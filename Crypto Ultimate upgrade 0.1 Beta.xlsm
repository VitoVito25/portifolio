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Victor Renaud\Desktop\Planilhas e controles\"/>
    </mc:Choice>
  </mc:AlternateContent>
  <xr:revisionPtr revIDLastSave="0" documentId="13_ncr:1_{C6442544-46FB-4571-ABBD-8B43C3B121EC}" xr6:coauthVersionLast="47" xr6:coauthVersionMax="47" xr10:uidLastSave="{00000000-0000-0000-0000-000000000000}"/>
  <bookViews>
    <workbookView xWindow="-120" yWindow="-120" windowWidth="29040" windowHeight="15840" xr2:uid="{0B92DC76-49A1-4FCA-947A-2BEAD0876DD0}"/>
  </bookViews>
  <sheets>
    <sheet name="Menu" sheetId="1" r:id="rId1"/>
    <sheet name="Grafico" sheetId="13" r:id="rId2"/>
    <sheet name="BTC" sheetId="9" r:id="rId3"/>
    <sheet name="ETH" sheetId="10" r:id="rId4"/>
    <sheet name="Config" sheetId="8" r:id="rId5"/>
    <sheet name="Outras info" sheetId="12" r:id="rId6"/>
  </sheets>
  <definedNames>
    <definedName name="cambio" localSheetId="4">Config!$N$193:$S$998</definedName>
    <definedName name="pt_br" localSheetId="4">Config!$A$2:$L$241</definedName>
    <definedName name="search?client_opera_gx_q_bitcoin_dollar_sourceid_opera_ie_UTF_8_oe_UTF_8" localSheetId="4">Config!#REF!</definedName>
    <definedName name="search?q_dollar_real_client_opera_gx_hs_FHW_sxsrf_ALiCzsZ0JanHrsRFeYJQgHEAbMDHCFhynA_3A1654820205776_ei_bY2iYsb_LrTK1sQP_r2WqAs_oq_dollar_gs_lcp_Cgdnd3Mtd2l6EAEYATIGCCMQJxATMgYIIxAnEBMyBAgjECcyBwgAELEDEAoyBwgAEIAEEAoyBwgAELEDEEMyBAg" localSheetId="4">Config!$P$1:$S$42</definedName>
    <definedName name="usd_brl" localSheetId="4">Config!$T$1:$AB$912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4" i="9" l="1"/>
  <c r="N14" i="9"/>
  <c r="O14" i="9" s="1"/>
  <c r="M14" i="9"/>
  <c r="L14" i="9"/>
  <c r="S34" i="10"/>
  <c r="R34" i="10"/>
  <c r="Q34" i="10"/>
  <c r="O34" i="10"/>
  <c r="P34" i="10" s="1"/>
  <c r="N34" i="10"/>
  <c r="M34" i="10"/>
  <c r="S33" i="10"/>
  <c r="R33" i="10"/>
  <c r="Q33" i="10"/>
  <c r="O33" i="10"/>
  <c r="P33" i="10" s="1"/>
  <c r="N33" i="10"/>
  <c r="M33" i="10"/>
  <c r="J33" i="10"/>
  <c r="S32" i="10"/>
  <c r="R32" i="10"/>
  <c r="Q32" i="10"/>
  <c r="O32" i="10"/>
  <c r="P32" i="10" s="1"/>
  <c r="N32" i="10"/>
  <c r="M32" i="10"/>
  <c r="J32" i="10"/>
  <c r="S31" i="10"/>
  <c r="R31" i="10"/>
  <c r="Q31" i="10"/>
  <c r="O31" i="10"/>
  <c r="P31" i="10" s="1"/>
  <c r="N31" i="10"/>
  <c r="M31" i="10"/>
  <c r="J31" i="10"/>
  <c r="S30" i="10"/>
  <c r="R30" i="10"/>
  <c r="Q30" i="10"/>
  <c r="O30" i="10"/>
  <c r="P30" i="10" s="1"/>
  <c r="N30" i="10"/>
  <c r="M30" i="10"/>
  <c r="J30" i="10"/>
  <c r="S29" i="10"/>
  <c r="R29" i="10"/>
  <c r="Q29" i="10"/>
  <c r="O29" i="10"/>
  <c r="P29" i="10" s="1"/>
  <c r="N29" i="10"/>
  <c r="M29" i="10"/>
  <c r="J29" i="10"/>
  <c r="S28" i="10"/>
  <c r="R28" i="10"/>
  <c r="Q28" i="10"/>
  <c r="O28" i="10"/>
  <c r="P28" i="10" s="1"/>
  <c r="N28" i="10"/>
  <c r="M28" i="10"/>
  <c r="J28" i="10"/>
  <c r="S27" i="10"/>
  <c r="R27" i="10"/>
  <c r="Q27" i="10"/>
  <c r="O27" i="10"/>
  <c r="P27" i="10" s="1"/>
  <c r="N27" i="10"/>
  <c r="M27" i="10"/>
  <c r="J27" i="10"/>
  <c r="M13" i="9"/>
  <c r="M12" i="9"/>
  <c r="Q13" i="9"/>
  <c r="N13" i="9"/>
  <c r="O13" i="9" s="1"/>
  <c r="L13" i="9"/>
  <c r="R284" i="12"/>
  <c r="Q284" i="12"/>
  <c r="P284" i="12"/>
  <c r="N284" i="12"/>
  <c r="O284" i="12" s="1"/>
  <c r="M284" i="12"/>
  <c r="L284" i="12"/>
  <c r="R283" i="12"/>
  <c r="Q283" i="12"/>
  <c r="P283" i="12"/>
  <c r="N283" i="12"/>
  <c r="O283" i="12" s="1"/>
  <c r="M283" i="12"/>
  <c r="L283" i="12"/>
  <c r="R282" i="12"/>
  <c r="Q282" i="12"/>
  <c r="P282" i="12"/>
  <c r="N282" i="12"/>
  <c r="O282" i="12" s="1"/>
  <c r="M282" i="12"/>
  <c r="L282" i="12"/>
  <c r="R281" i="12"/>
  <c r="Q281" i="12"/>
  <c r="P281" i="12"/>
  <c r="N281" i="12"/>
  <c r="O281" i="12" s="1"/>
  <c r="M281" i="12"/>
  <c r="L281" i="12"/>
  <c r="R280" i="12"/>
  <c r="Q280" i="12"/>
  <c r="P280" i="12"/>
  <c r="N280" i="12"/>
  <c r="O280" i="12" s="1"/>
  <c r="M280" i="12"/>
  <c r="L280" i="12"/>
  <c r="R279" i="12"/>
  <c r="Q279" i="12"/>
  <c r="P279" i="12"/>
  <c r="N279" i="12"/>
  <c r="O279" i="12" s="1"/>
  <c r="M279" i="12"/>
  <c r="L279" i="12"/>
  <c r="R278" i="12"/>
  <c r="Q278" i="12"/>
  <c r="P278" i="12"/>
  <c r="N278" i="12"/>
  <c r="O278" i="12" s="1"/>
  <c r="M278" i="12"/>
  <c r="L278" i="12"/>
  <c r="R277" i="12"/>
  <c r="Q277" i="12"/>
  <c r="P277" i="12"/>
  <c r="N277" i="12"/>
  <c r="O277" i="12" s="1"/>
  <c r="M277" i="12"/>
  <c r="L277" i="12"/>
  <c r="R276" i="12"/>
  <c r="Q276" i="12"/>
  <c r="P276" i="12"/>
  <c r="N276" i="12"/>
  <c r="O276" i="12" s="1"/>
  <c r="M276" i="12"/>
  <c r="L276" i="12"/>
  <c r="R275" i="12"/>
  <c r="Q275" i="12"/>
  <c r="P275" i="12"/>
  <c r="N275" i="12"/>
  <c r="O275" i="12" s="1"/>
  <c r="M275" i="12"/>
  <c r="L275" i="12"/>
  <c r="R274" i="12"/>
  <c r="Q274" i="12"/>
  <c r="P274" i="12"/>
  <c r="N274" i="12"/>
  <c r="O274" i="12" s="1"/>
  <c r="M274" i="12"/>
  <c r="L274" i="12"/>
  <c r="R273" i="12"/>
  <c r="Q273" i="12"/>
  <c r="P273" i="12"/>
  <c r="N273" i="12"/>
  <c r="O273" i="12" s="1"/>
  <c r="M273" i="12"/>
  <c r="L273" i="12"/>
  <c r="R272" i="12"/>
  <c r="Q272" i="12"/>
  <c r="P272" i="12"/>
  <c r="N272" i="12"/>
  <c r="O272" i="12" s="1"/>
  <c r="M272" i="12"/>
  <c r="L272" i="12"/>
  <c r="R271" i="12"/>
  <c r="Q271" i="12"/>
  <c r="P271" i="12"/>
  <c r="N271" i="12"/>
  <c r="O271" i="12" s="1"/>
  <c r="M271" i="12"/>
  <c r="L271" i="12"/>
  <c r="R270" i="12"/>
  <c r="Q270" i="12"/>
  <c r="P270" i="12"/>
  <c r="N270" i="12"/>
  <c r="O270" i="12" s="1"/>
  <c r="M270" i="12"/>
  <c r="L270" i="12"/>
  <c r="R269" i="12"/>
  <c r="Q269" i="12"/>
  <c r="P269" i="12"/>
  <c r="N269" i="12"/>
  <c r="O269" i="12" s="1"/>
  <c r="M269" i="12"/>
  <c r="L269" i="12"/>
  <c r="R268" i="12"/>
  <c r="Q268" i="12"/>
  <c r="P268" i="12"/>
  <c r="N268" i="12"/>
  <c r="O268" i="12" s="1"/>
  <c r="M268" i="12"/>
  <c r="L268" i="12"/>
  <c r="R267" i="12"/>
  <c r="Q267" i="12"/>
  <c r="P267" i="12"/>
  <c r="N267" i="12"/>
  <c r="O267" i="12" s="1"/>
  <c r="M267" i="12"/>
  <c r="L267" i="12"/>
  <c r="R266" i="12"/>
  <c r="Q266" i="12"/>
  <c r="P266" i="12"/>
  <c r="N266" i="12"/>
  <c r="O266" i="12" s="1"/>
  <c r="M266" i="12"/>
  <c r="L266" i="12"/>
  <c r="R265" i="12"/>
  <c r="Q265" i="12"/>
  <c r="P265" i="12"/>
  <c r="N265" i="12"/>
  <c r="O265" i="12" s="1"/>
  <c r="M265" i="12"/>
  <c r="L265" i="12"/>
  <c r="R264" i="12"/>
  <c r="Q264" i="12"/>
  <c r="P264" i="12"/>
  <c r="O264" i="12"/>
  <c r="N264" i="12"/>
  <c r="M264" i="12"/>
  <c r="L264" i="12"/>
  <c r="R263" i="12"/>
  <c r="Q263" i="12"/>
  <c r="P263" i="12"/>
  <c r="N263" i="12"/>
  <c r="O263" i="12" s="1"/>
  <c r="M263" i="12"/>
  <c r="L263" i="12"/>
  <c r="R262" i="12"/>
  <c r="Q262" i="12"/>
  <c r="P262" i="12"/>
  <c r="N262" i="12"/>
  <c r="O262" i="12" s="1"/>
  <c r="M262" i="12"/>
  <c r="L262" i="12"/>
  <c r="R261" i="12"/>
  <c r="Q261" i="12"/>
  <c r="P261" i="12"/>
  <c r="N261" i="12"/>
  <c r="O261" i="12" s="1"/>
  <c r="M261" i="12"/>
  <c r="L261" i="12"/>
  <c r="R260" i="12"/>
  <c r="Q260" i="12"/>
  <c r="P260" i="12"/>
  <c r="N260" i="12"/>
  <c r="O260" i="12" s="1"/>
  <c r="M260" i="12"/>
  <c r="L260" i="12"/>
  <c r="R259" i="12"/>
  <c r="Q259" i="12"/>
  <c r="P259" i="12"/>
  <c r="N259" i="12"/>
  <c r="O259" i="12" s="1"/>
  <c r="M259" i="12"/>
  <c r="L259" i="12"/>
  <c r="R258" i="12"/>
  <c r="Q258" i="12"/>
  <c r="P258" i="12"/>
  <c r="N258" i="12"/>
  <c r="O258" i="12" s="1"/>
  <c r="M258" i="12"/>
  <c r="L258" i="12"/>
  <c r="R257" i="12"/>
  <c r="Q257" i="12"/>
  <c r="P257" i="12"/>
  <c r="N257" i="12"/>
  <c r="O257" i="12" s="1"/>
  <c r="M257" i="12"/>
  <c r="L257" i="12"/>
  <c r="R256" i="12"/>
  <c r="Q256" i="12"/>
  <c r="P256" i="12"/>
  <c r="N256" i="12"/>
  <c r="O256" i="12" s="1"/>
  <c r="M256" i="12"/>
  <c r="L256" i="12"/>
  <c r="R255" i="12"/>
  <c r="Q255" i="12"/>
  <c r="P255" i="12"/>
  <c r="N255" i="12"/>
  <c r="O255" i="12" s="1"/>
  <c r="M255" i="12"/>
  <c r="L255" i="12"/>
  <c r="R254" i="12"/>
  <c r="Q254" i="12"/>
  <c r="P254" i="12"/>
  <c r="N254" i="12"/>
  <c r="O254" i="12" s="1"/>
  <c r="M254" i="12"/>
  <c r="L254" i="12"/>
  <c r="R253" i="12"/>
  <c r="Q253" i="12"/>
  <c r="P253" i="12"/>
  <c r="N253" i="12"/>
  <c r="O253" i="12" s="1"/>
  <c r="M253" i="12"/>
  <c r="L253" i="12"/>
  <c r="R252" i="12"/>
  <c r="Q252" i="12"/>
  <c r="P252" i="12"/>
  <c r="N252" i="12"/>
  <c r="O252" i="12" s="1"/>
  <c r="M252" i="12"/>
  <c r="L252" i="12"/>
  <c r="R251" i="12"/>
  <c r="Q251" i="12"/>
  <c r="P251" i="12"/>
  <c r="N251" i="12"/>
  <c r="O251" i="12" s="1"/>
  <c r="M251" i="12"/>
  <c r="L251" i="12"/>
  <c r="R250" i="12"/>
  <c r="Q250" i="12"/>
  <c r="P250" i="12"/>
  <c r="N250" i="12"/>
  <c r="O250" i="12" s="1"/>
  <c r="M250" i="12"/>
  <c r="L250" i="12"/>
  <c r="R249" i="12"/>
  <c r="Q249" i="12"/>
  <c r="P249" i="12"/>
  <c r="N249" i="12"/>
  <c r="O249" i="12" s="1"/>
  <c r="M249" i="12"/>
  <c r="L249" i="12"/>
  <c r="R248" i="12"/>
  <c r="Q248" i="12"/>
  <c r="P248" i="12"/>
  <c r="N248" i="12"/>
  <c r="O248" i="12" s="1"/>
  <c r="M248" i="12"/>
  <c r="L248" i="12"/>
  <c r="R247" i="12"/>
  <c r="Q247" i="12"/>
  <c r="P247" i="12"/>
  <c r="N247" i="12"/>
  <c r="O247" i="12" s="1"/>
  <c r="M247" i="12"/>
  <c r="L247" i="12"/>
  <c r="R246" i="12"/>
  <c r="Q246" i="12"/>
  <c r="P246" i="12"/>
  <c r="O246" i="12"/>
  <c r="N246" i="12"/>
  <c r="M246" i="12"/>
  <c r="L246" i="12"/>
  <c r="R245" i="12"/>
  <c r="Q245" i="12"/>
  <c r="P245" i="12"/>
  <c r="N245" i="12"/>
  <c r="O245" i="12" s="1"/>
  <c r="M245" i="12"/>
  <c r="L245" i="12"/>
  <c r="R244" i="12"/>
  <c r="Q244" i="12"/>
  <c r="P244" i="12"/>
  <c r="N244" i="12"/>
  <c r="O244" i="12" s="1"/>
  <c r="M244" i="12"/>
  <c r="L244" i="12"/>
  <c r="R243" i="12"/>
  <c r="Q243" i="12"/>
  <c r="P243" i="12"/>
  <c r="N243" i="12"/>
  <c r="O243" i="12" s="1"/>
  <c r="M243" i="12"/>
  <c r="L243" i="12"/>
  <c r="R242" i="12"/>
  <c r="Q242" i="12"/>
  <c r="P242" i="12"/>
  <c r="N242" i="12"/>
  <c r="O242" i="12" s="1"/>
  <c r="M242" i="12"/>
  <c r="L242" i="12"/>
  <c r="R241" i="12"/>
  <c r="Q241" i="12"/>
  <c r="P241" i="12"/>
  <c r="N241" i="12"/>
  <c r="O241" i="12" s="1"/>
  <c r="M241" i="12"/>
  <c r="L241" i="12"/>
  <c r="R240" i="12"/>
  <c r="Q240" i="12"/>
  <c r="P240" i="12"/>
  <c r="N240" i="12"/>
  <c r="O240" i="12" s="1"/>
  <c r="M240" i="12"/>
  <c r="L240" i="12"/>
  <c r="R239" i="12"/>
  <c r="Q239" i="12"/>
  <c r="P239" i="12"/>
  <c r="N239" i="12"/>
  <c r="O239" i="12" s="1"/>
  <c r="M239" i="12"/>
  <c r="L239" i="12"/>
  <c r="R238" i="12"/>
  <c r="Q238" i="12"/>
  <c r="P238" i="12"/>
  <c r="O238" i="12"/>
  <c r="N238" i="12"/>
  <c r="M238" i="12"/>
  <c r="L238" i="12"/>
  <c r="R237" i="12"/>
  <c r="Q237" i="12"/>
  <c r="P237" i="12"/>
  <c r="N237" i="12"/>
  <c r="O237" i="12" s="1"/>
  <c r="M237" i="12"/>
  <c r="L237" i="12"/>
  <c r="R236" i="12"/>
  <c r="Q236" i="12"/>
  <c r="P236" i="12"/>
  <c r="N236" i="12"/>
  <c r="O236" i="12" s="1"/>
  <c r="M236" i="12"/>
  <c r="L236" i="12"/>
  <c r="R235" i="12"/>
  <c r="Q235" i="12"/>
  <c r="P235" i="12"/>
  <c r="N235" i="12"/>
  <c r="O235" i="12" s="1"/>
  <c r="M235" i="12"/>
  <c r="L235" i="12"/>
  <c r="R234" i="12"/>
  <c r="Q234" i="12"/>
  <c r="P234" i="12"/>
  <c r="N234" i="12"/>
  <c r="O234" i="12" s="1"/>
  <c r="M234" i="12"/>
  <c r="L234" i="12"/>
  <c r="R233" i="12"/>
  <c r="Q233" i="12"/>
  <c r="P233" i="12"/>
  <c r="N233" i="12"/>
  <c r="O233" i="12" s="1"/>
  <c r="M233" i="12"/>
  <c r="L233" i="12"/>
  <c r="R232" i="12"/>
  <c r="Q232" i="12"/>
  <c r="P232" i="12"/>
  <c r="N232" i="12"/>
  <c r="O232" i="12" s="1"/>
  <c r="M232" i="12"/>
  <c r="L232" i="12"/>
  <c r="R231" i="12"/>
  <c r="Q231" i="12"/>
  <c r="P231" i="12"/>
  <c r="N231" i="12"/>
  <c r="O231" i="12" s="1"/>
  <c r="M231" i="12"/>
  <c r="L231" i="12"/>
  <c r="R230" i="12"/>
  <c r="Q230" i="12"/>
  <c r="P230" i="12"/>
  <c r="N230" i="12"/>
  <c r="O230" i="12" s="1"/>
  <c r="M230" i="12"/>
  <c r="L230" i="12"/>
  <c r="R229" i="12"/>
  <c r="Q229" i="12"/>
  <c r="P229" i="12"/>
  <c r="N229" i="12"/>
  <c r="O229" i="12" s="1"/>
  <c r="M229" i="12"/>
  <c r="L229" i="12"/>
  <c r="R228" i="12"/>
  <c r="Q228" i="12"/>
  <c r="P228" i="12"/>
  <c r="O228" i="12"/>
  <c r="N228" i="12"/>
  <c r="M228" i="12"/>
  <c r="L228" i="12"/>
  <c r="R227" i="12"/>
  <c r="Q227" i="12"/>
  <c r="P227" i="12"/>
  <c r="N227" i="12"/>
  <c r="O227" i="12" s="1"/>
  <c r="M227" i="12"/>
  <c r="L227" i="12"/>
  <c r="R226" i="12"/>
  <c r="Q226" i="12"/>
  <c r="P226" i="12"/>
  <c r="N226" i="12"/>
  <c r="O226" i="12" s="1"/>
  <c r="M226" i="12"/>
  <c r="L226" i="12"/>
  <c r="R225" i="12"/>
  <c r="Q225" i="12"/>
  <c r="P225" i="12"/>
  <c r="N225" i="12"/>
  <c r="O225" i="12" s="1"/>
  <c r="M225" i="12"/>
  <c r="L225" i="12"/>
  <c r="R224" i="12"/>
  <c r="Q224" i="12"/>
  <c r="P224" i="12"/>
  <c r="N224" i="12"/>
  <c r="O224" i="12" s="1"/>
  <c r="M224" i="12"/>
  <c r="L224" i="12"/>
  <c r="R223" i="12"/>
  <c r="Q223" i="12"/>
  <c r="P223" i="12"/>
  <c r="N223" i="12"/>
  <c r="O223" i="12" s="1"/>
  <c r="M223" i="12"/>
  <c r="L223" i="12"/>
  <c r="R222" i="12"/>
  <c r="Q222" i="12"/>
  <c r="P222" i="12"/>
  <c r="N222" i="12"/>
  <c r="O222" i="12" s="1"/>
  <c r="M222" i="12"/>
  <c r="L222" i="12"/>
  <c r="R221" i="12"/>
  <c r="Q221" i="12"/>
  <c r="P221" i="12"/>
  <c r="N221" i="12"/>
  <c r="O221" i="12" s="1"/>
  <c r="M221" i="12"/>
  <c r="L221" i="12"/>
  <c r="R220" i="12"/>
  <c r="Q220" i="12"/>
  <c r="P220" i="12"/>
  <c r="N220" i="12"/>
  <c r="O220" i="12" s="1"/>
  <c r="M220" i="12"/>
  <c r="L220" i="12"/>
  <c r="R219" i="12"/>
  <c r="Q219" i="12"/>
  <c r="P219" i="12"/>
  <c r="N219" i="12"/>
  <c r="O219" i="12" s="1"/>
  <c r="M219" i="12"/>
  <c r="L219" i="12"/>
  <c r="R218" i="12"/>
  <c r="Q218" i="12"/>
  <c r="P218" i="12"/>
  <c r="N218" i="12"/>
  <c r="O218" i="12" s="1"/>
  <c r="M218" i="12"/>
  <c r="L218" i="12"/>
  <c r="R217" i="12"/>
  <c r="Q217" i="12"/>
  <c r="P217" i="12"/>
  <c r="N217" i="12"/>
  <c r="O217" i="12" s="1"/>
  <c r="M217" i="12"/>
  <c r="L217" i="12"/>
  <c r="R216" i="12"/>
  <c r="Q216" i="12"/>
  <c r="P216" i="12"/>
  <c r="N216" i="12"/>
  <c r="O216" i="12" s="1"/>
  <c r="M216" i="12"/>
  <c r="L216" i="12"/>
  <c r="R215" i="12"/>
  <c r="Q215" i="12"/>
  <c r="P215" i="12"/>
  <c r="N215" i="12"/>
  <c r="O215" i="12" s="1"/>
  <c r="M215" i="12"/>
  <c r="L215" i="12"/>
  <c r="R214" i="12"/>
  <c r="Q214" i="12"/>
  <c r="P214" i="12"/>
  <c r="N214" i="12"/>
  <c r="O214" i="12" s="1"/>
  <c r="M214" i="12"/>
  <c r="L214" i="12"/>
  <c r="R213" i="12"/>
  <c r="Q213" i="12"/>
  <c r="P213" i="12"/>
  <c r="N213" i="12"/>
  <c r="O213" i="12" s="1"/>
  <c r="M213" i="12"/>
  <c r="L213" i="12"/>
  <c r="R212" i="12"/>
  <c r="Q212" i="12"/>
  <c r="P212" i="12"/>
  <c r="N212" i="12"/>
  <c r="O212" i="12" s="1"/>
  <c r="M212" i="12"/>
  <c r="L212" i="12"/>
  <c r="R211" i="12"/>
  <c r="Q211" i="12"/>
  <c r="P211" i="12"/>
  <c r="N211" i="12"/>
  <c r="O211" i="12" s="1"/>
  <c r="M211" i="12"/>
  <c r="L211" i="12"/>
  <c r="R210" i="12"/>
  <c r="Q210" i="12"/>
  <c r="P210" i="12"/>
  <c r="O210" i="12"/>
  <c r="N210" i="12"/>
  <c r="M210" i="12"/>
  <c r="L210" i="12"/>
  <c r="R209" i="12"/>
  <c r="Q209" i="12"/>
  <c r="P209" i="12"/>
  <c r="N209" i="12"/>
  <c r="O209" i="12" s="1"/>
  <c r="M209" i="12"/>
  <c r="L209" i="12"/>
  <c r="R208" i="12"/>
  <c r="Q208" i="12"/>
  <c r="P208" i="12"/>
  <c r="N208" i="12"/>
  <c r="O208" i="12" s="1"/>
  <c r="M208" i="12"/>
  <c r="L208" i="12"/>
  <c r="R207" i="12"/>
  <c r="Q207" i="12"/>
  <c r="P207" i="12"/>
  <c r="N207" i="12"/>
  <c r="O207" i="12" s="1"/>
  <c r="M207" i="12"/>
  <c r="L207" i="12"/>
  <c r="R206" i="12"/>
  <c r="Q206" i="12"/>
  <c r="P206" i="12"/>
  <c r="N206" i="12"/>
  <c r="O206" i="12" s="1"/>
  <c r="M206" i="12"/>
  <c r="L206" i="12"/>
  <c r="R205" i="12"/>
  <c r="Q205" i="12"/>
  <c r="P205" i="12"/>
  <c r="N205" i="12"/>
  <c r="O205" i="12" s="1"/>
  <c r="M205" i="12"/>
  <c r="L205" i="12"/>
  <c r="R204" i="12"/>
  <c r="Q204" i="12"/>
  <c r="P204" i="12"/>
  <c r="N204" i="12"/>
  <c r="O204" i="12" s="1"/>
  <c r="M204" i="12"/>
  <c r="L204" i="12"/>
  <c r="R203" i="12"/>
  <c r="Q203" i="12"/>
  <c r="P203" i="12"/>
  <c r="N203" i="12"/>
  <c r="O203" i="12" s="1"/>
  <c r="M203" i="12"/>
  <c r="L203" i="12"/>
  <c r="R202" i="12"/>
  <c r="Q202" i="12"/>
  <c r="P202" i="12"/>
  <c r="O202" i="12"/>
  <c r="N202" i="12"/>
  <c r="M202" i="12"/>
  <c r="L202" i="12"/>
  <c r="R201" i="12"/>
  <c r="Q201" i="12"/>
  <c r="P201" i="12"/>
  <c r="N201" i="12"/>
  <c r="O201" i="12" s="1"/>
  <c r="M201" i="12"/>
  <c r="L201" i="12"/>
  <c r="R200" i="12"/>
  <c r="Q200" i="12"/>
  <c r="P200" i="12"/>
  <c r="N200" i="12"/>
  <c r="O200" i="12" s="1"/>
  <c r="M200" i="12"/>
  <c r="L200" i="12"/>
  <c r="R199" i="12"/>
  <c r="Q199" i="12"/>
  <c r="P199" i="12"/>
  <c r="N199" i="12"/>
  <c r="O199" i="12" s="1"/>
  <c r="M199" i="12"/>
  <c r="L199" i="12"/>
  <c r="R198" i="12"/>
  <c r="Q198" i="12"/>
  <c r="P198" i="12"/>
  <c r="N198" i="12"/>
  <c r="O198" i="12" s="1"/>
  <c r="M198" i="12"/>
  <c r="L198" i="12"/>
  <c r="R197" i="12"/>
  <c r="Q197" i="12"/>
  <c r="P197" i="12"/>
  <c r="N197" i="12"/>
  <c r="O197" i="12" s="1"/>
  <c r="M197" i="12"/>
  <c r="L197" i="12"/>
  <c r="R196" i="12"/>
  <c r="Q196" i="12"/>
  <c r="P196" i="12"/>
  <c r="N196" i="12"/>
  <c r="O196" i="12" s="1"/>
  <c r="M196" i="12"/>
  <c r="L196" i="12"/>
  <c r="R195" i="12"/>
  <c r="Q195" i="12"/>
  <c r="P195" i="12"/>
  <c r="N195" i="12"/>
  <c r="O195" i="12" s="1"/>
  <c r="M195" i="12"/>
  <c r="L195" i="12"/>
  <c r="R194" i="12"/>
  <c r="Q194" i="12"/>
  <c r="P194" i="12"/>
  <c r="N194" i="12"/>
  <c r="O194" i="12" s="1"/>
  <c r="M194" i="12"/>
  <c r="L194" i="12"/>
  <c r="R193" i="12"/>
  <c r="Q193" i="12"/>
  <c r="P193" i="12"/>
  <c r="N193" i="12"/>
  <c r="O193" i="12" s="1"/>
  <c r="M193" i="12"/>
  <c r="L193" i="12"/>
  <c r="R192" i="12"/>
  <c r="Q192" i="12"/>
  <c r="P192" i="12"/>
  <c r="N192" i="12"/>
  <c r="O192" i="12" s="1"/>
  <c r="M192" i="12"/>
  <c r="L192" i="12"/>
  <c r="R191" i="12"/>
  <c r="Q191" i="12"/>
  <c r="P191" i="12"/>
  <c r="N191" i="12"/>
  <c r="O191" i="12" s="1"/>
  <c r="M191" i="12"/>
  <c r="L191" i="12"/>
  <c r="R190" i="12"/>
  <c r="Q190" i="12"/>
  <c r="P190" i="12"/>
  <c r="N190" i="12"/>
  <c r="O190" i="12" s="1"/>
  <c r="M190" i="12"/>
  <c r="L190" i="12"/>
  <c r="R189" i="12"/>
  <c r="Q189" i="12"/>
  <c r="P189" i="12"/>
  <c r="N189" i="12"/>
  <c r="O189" i="12" s="1"/>
  <c r="M189" i="12"/>
  <c r="L189" i="12"/>
  <c r="R188" i="12"/>
  <c r="Q188" i="12"/>
  <c r="P188" i="12"/>
  <c r="N188" i="12"/>
  <c r="O188" i="12" s="1"/>
  <c r="M188" i="12"/>
  <c r="L188" i="12"/>
  <c r="R187" i="12"/>
  <c r="Q187" i="12"/>
  <c r="P187" i="12"/>
  <c r="N187" i="12"/>
  <c r="O187" i="12" s="1"/>
  <c r="M187" i="12"/>
  <c r="L187" i="12"/>
  <c r="R186" i="12"/>
  <c r="Q186" i="12"/>
  <c r="P186" i="12"/>
  <c r="O186" i="12"/>
  <c r="N186" i="12"/>
  <c r="M186" i="12"/>
  <c r="L186" i="12"/>
  <c r="R185" i="12"/>
  <c r="Q185" i="12"/>
  <c r="P185" i="12"/>
  <c r="N185" i="12"/>
  <c r="O185" i="12" s="1"/>
  <c r="M185" i="12"/>
  <c r="L185" i="12"/>
  <c r="R184" i="12"/>
  <c r="Q184" i="12"/>
  <c r="P184" i="12"/>
  <c r="N184" i="12"/>
  <c r="O184" i="12" s="1"/>
  <c r="M184" i="12"/>
  <c r="L184" i="12"/>
  <c r="R183" i="12"/>
  <c r="Q183" i="12"/>
  <c r="P183" i="12"/>
  <c r="N183" i="12"/>
  <c r="O183" i="12" s="1"/>
  <c r="M183" i="12"/>
  <c r="L183" i="12"/>
  <c r="R182" i="12"/>
  <c r="Q182" i="12"/>
  <c r="P182" i="12"/>
  <c r="N182" i="12"/>
  <c r="O182" i="12" s="1"/>
  <c r="M182" i="12"/>
  <c r="L182" i="12"/>
  <c r="R181" i="12"/>
  <c r="Q181" i="12"/>
  <c r="P181" i="12"/>
  <c r="N181" i="12"/>
  <c r="O181" i="12" s="1"/>
  <c r="M181" i="12"/>
  <c r="L181" i="12"/>
  <c r="R180" i="12"/>
  <c r="Q180" i="12"/>
  <c r="P180" i="12"/>
  <c r="N180" i="12"/>
  <c r="O180" i="12" s="1"/>
  <c r="M180" i="12"/>
  <c r="L180" i="12"/>
  <c r="R179" i="12"/>
  <c r="Q179" i="12"/>
  <c r="P179" i="12"/>
  <c r="N179" i="12"/>
  <c r="O179" i="12" s="1"/>
  <c r="M179" i="12"/>
  <c r="L179" i="12"/>
  <c r="R178" i="12"/>
  <c r="Q178" i="12"/>
  <c r="P178" i="12"/>
  <c r="N178" i="12"/>
  <c r="O178" i="12" s="1"/>
  <c r="M178" i="12"/>
  <c r="L178" i="12"/>
  <c r="R177" i="12"/>
  <c r="Q177" i="12"/>
  <c r="P177" i="12"/>
  <c r="N177" i="12"/>
  <c r="O177" i="12" s="1"/>
  <c r="M177" i="12"/>
  <c r="L177" i="12"/>
  <c r="R176" i="12"/>
  <c r="Q176" i="12"/>
  <c r="P176" i="12"/>
  <c r="N176" i="12"/>
  <c r="O176" i="12" s="1"/>
  <c r="M176" i="12"/>
  <c r="L176" i="12"/>
  <c r="R175" i="12"/>
  <c r="Q175" i="12"/>
  <c r="P175" i="12"/>
  <c r="N175" i="12"/>
  <c r="O175" i="12" s="1"/>
  <c r="M175" i="12"/>
  <c r="L175" i="12"/>
  <c r="R174" i="12"/>
  <c r="Q174" i="12"/>
  <c r="P174" i="12"/>
  <c r="O174" i="12"/>
  <c r="N174" i="12"/>
  <c r="M174" i="12"/>
  <c r="L174" i="12"/>
  <c r="R173" i="12"/>
  <c r="Q173" i="12"/>
  <c r="P173" i="12"/>
  <c r="N173" i="12"/>
  <c r="O173" i="12" s="1"/>
  <c r="M173" i="12"/>
  <c r="L173" i="12"/>
  <c r="R172" i="12"/>
  <c r="Q172" i="12"/>
  <c r="P172" i="12"/>
  <c r="N172" i="12"/>
  <c r="O172" i="12" s="1"/>
  <c r="M172" i="12"/>
  <c r="L172" i="12"/>
  <c r="R171" i="12"/>
  <c r="Q171" i="12"/>
  <c r="P171" i="12"/>
  <c r="N171" i="12"/>
  <c r="O171" i="12" s="1"/>
  <c r="M171" i="12"/>
  <c r="L171" i="12"/>
  <c r="R170" i="12"/>
  <c r="Q170" i="12"/>
  <c r="P170" i="12"/>
  <c r="N170" i="12"/>
  <c r="O170" i="12" s="1"/>
  <c r="M170" i="12"/>
  <c r="L170" i="12"/>
  <c r="R169" i="12"/>
  <c r="Q169" i="12"/>
  <c r="P169" i="12"/>
  <c r="N169" i="12"/>
  <c r="O169" i="12" s="1"/>
  <c r="M169" i="12"/>
  <c r="L169" i="12"/>
  <c r="R168" i="12"/>
  <c r="Q168" i="12"/>
  <c r="P168" i="12"/>
  <c r="N168" i="12"/>
  <c r="O168" i="12" s="1"/>
  <c r="M168" i="12"/>
  <c r="L168" i="12"/>
  <c r="R167" i="12"/>
  <c r="Q167" i="12"/>
  <c r="P167" i="12"/>
  <c r="N167" i="12"/>
  <c r="O167" i="12" s="1"/>
  <c r="M167" i="12"/>
  <c r="L167" i="12"/>
  <c r="R166" i="12"/>
  <c r="Q166" i="12"/>
  <c r="P166" i="12"/>
  <c r="O166" i="12"/>
  <c r="N166" i="12"/>
  <c r="M166" i="12"/>
  <c r="L166" i="12"/>
  <c r="R165" i="12"/>
  <c r="Q165" i="12"/>
  <c r="P165" i="12"/>
  <c r="N165" i="12"/>
  <c r="O165" i="12" s="1"/>
  <c r="M165" i="12"/>
  <c r="L165" i="12"/>
  <c r="R164" i="12"/>
  <c r="Q164" i="12"/>
  <c r="P164" i="12"/>
  <c r="N164" i="12"/>
  <c r="O164" i="12" s="1"/>
  <c r="M164" i="12"/>
  <c r="L164" i="12"/>
  <c r="R163" i="12"/>
  <c r="Q163" i="12"/>
  <c r="P163" i="12"/>
  <c r="N163" i="12"/>
  <c r="O163" i="12" s="1"/>
  <c r="M163" i="12"/>
  <c r="L163" i="12"/>
  <c r="R162" i="12"/>
  <c r="Q162" i="12"/>
  <c r="P162" i="12"/>
  <c r="N162" i="12"/>
  <c r="O162" i="12" s="1"/>
  <c r="M162" i="12"/>
  <c r="L162" i="12"/>
  <c r="R161" i="12"/>
  <c r="Q161" i="12"/>
  <c r="P161" i="12"/>
  <c r="N161" i="12"/>
  <c r="O161" i="12" s="1"/>
  <c r="M161" i="12"/>
  <c r="L161" i="12"/>
  <c r="R160" i="12"/>
  <c r="Q160" i="12"/>
  <c r="P160" i="12"/>
  <c r="N160" i="12"/>
  <c r="O160" i="12" s="1"/>
  <c r="M160" i="12"/>
  <c r="L160" i="12"/>
  <c r="R159" i="12"/>
  <c r="Q159" i="12"/>
  <c r="P159" i="12"/>
  <c r="N159" i="12"/>
  <c r="O159" i="12" s="1"/>
  <c r="M159" i="12"/>
  <c r="L159" i="12"/>
  <c r="R158" i="12"/>
  <c r="Q158" i="12"/>
  <c r="P158" i="12"/>
  <c r="N158" i="12"/>
  <c r="O158" i="12" s="1"/>
  <c r="M158" i="12"/>
  <c r="L158" i="12"/>
  <c r="R157" i="12"/>
  <c r="Q157" i="12"/>
  <c r="P157" i="12"/>
  <c r="N157" i="12"/>
  <c r="O157" i="12" s="1"/>
  <c r="M157" i="12"/>
  <c r="L157" i="12"/>
  <c r="R156" i="12"/>
  <c r="Q156" i="12"/>
  <c r="P156" i="12"/>
  <c r="N156" i="12"/>
  <c r="O156" i="12" s="1"/>
  <c r="M156" i="12"/>
  <c r="L156" i="12"/>
  <c r="R155" i="12"/>
  <c r="Q155" i="12"/>
  <c r="P155" i="12"/>
  <c r="N155" i="12"/>
  <c r="O155" i="12" s="1"/>
  <c r="M155" i="12"/>
  <c r="L155" i="12"/>
  <c r="R154" i="12"/>
  <c r="Q154" i="12"/>
  <c r="P154" i="12"/>
  <c r="O154" i="12"/>
  <c r="N154" i="12"/>
  <c r="M154" i="12"/>
  <c r="L154" i="12"/>
  <c r="R153" i="12"/>
  <c r="Q153" i="12"/>
  <c r="P153" i="12"/>
  <c r="N153" i="12"/>
  <c r="O153" i="12" s="1"/>
  <c r="M153" i="12"/>
  <c r="L153" i="12"/>
  <c r="R152" i="12"/>
  <c r="Q152" i="12"/>
  <c r="P152" i="12"/>
  <c r="N152" i="12"/>
  <c r="O152" i="12" s="1"/>
  <c r="M152" i="12"/>
  <c r="L152" i="12"/>
  <c r="R151" i="12"/>
  <c r="Q151" i="12"/>
  <c r="P151" i="12"/>
  <c r="N151" i="12"/>
  <c r="O151" i="12" s="1"/>
  <c r="M151" i="12"/>
  <c r="L151" i="12"/>
  <c r="R150" i="12"/>
  <c r="Q150" i="12"/>
  <c r="P150" i="12"/>
  <c r="N150" i="12"/>
  <c r="O150" i="12" s="1"/>
  <c r="M150" i="12"/>
  <c r="L150" i="12"/>
  <c r="R149" i="12"/>
  <c r="Q149" i="12"/>
  <c r="P149" i="12"/>
  <c r="N149" i="12"/>
  <c r="O149" i="12" s="1"/>
  <c r="M149" i="12"/>
  <c r="L149" i="12"/>
  <c r="R148" i="12"/>
  <c r="Q148" i="12"/>
  <c r="P148" i="12"/>
  <c r="N148" i="12"/>
  <c r="O148" i="12" s="1"/>
  <c r="M148" i="12"/>
  <c r="L148" i="12"/>
  <c r="R147" i="12"/>
  <c r="Q147" i="12"/>
  <c r="P147" i="12"/>
  <c r="O147" i="12"/>
  <c r="N147" i="12"/>
  <c r="M147" i="12"/>
  <c r="L147" i="12"/>
  <c r="R146" i="12"/>
  <c r="Q146" i="12"/>
  <c r="P146" i="12"/>
  <c r="N146" i="12"/>
  <c r="O146" i="12" s="1"/>
  <c r="M146" i="12"/>
  <c r="L146" i="12"/>
  <c r="R145" i="12"/>
  <c r="Q145" i="12"/>
  <c r="P145" i="12"/>
  <c r="N145" i="12"/>
  <c r="O145" i="12" s="1"/>
  <c r="M145" i="12"/>
  <c r="L145" i="12"/>
  <c r="R144" i="12"/>
  <c r="Q144" i="12"/>
  <c r="P144" i="12"/>
  <c r="N144" i="12"/>
  <c r="O144" i="12" s="1"/>
  <c r="M144" i="12"/>
  <c r="L144" i="12"/>
  <c r="R143" i="12"/>
  <c r="Q143" i="12"/>
  <c r="P143" i="12"/>
  <c r="N143" i="12"/>
  <c r="O143" i="12" s="1"/>
  <c r="M143" i="12"/>
  <c r="L143" i="12"/>
  <c r="R142" i="12"/>
  <c r="Q142" i="12"/>
  <c r="P142" i="12"/>
  <c r="N142" i="12"/>
  <c r="O142" i="12" s="1"/>
  <c r="M142" i="12"/>
  <c r="L142" i="12"/>
  <c r="R141" i="12"/>
  <c r="Q141" i="12"/>
  <c r="P141" i="12"/>
  <c r="O141" i="12"/>
  <c r="N141" i="12"/>
  <c r="M141" i="12"/>
  <c r="L141" i="12"/>
  <c r="R140" i="12"/>
  <c r="Q140" i="12"/>
  <c r="P140" i="12"/>
  <c r="N140" i="12"/>
  <c r="O140" i="12" s="1"/>
  <c r="M140" i="12"/>
  <c r="L140" i="12"/>
  <c r="R139" i="12"/>
  <c r="Q139" i="12"/>
  <c r="P139" i="12"/>
  <c r="N139" i="12"/>
  <c r="O139" i="12" s="1"/>
  <c r="M139" i="12"/>
  <c r="L139" i="12"/>
  <c r="R138" i="12"/>
  <c r="Q138" i="12"/>
  <c r="P138" i="12"/>
  <c r="N138" i="12"/>
  <c r="O138" i="12" s="1"/>
  <c r="M138" i="12"/>
  <c r="L138" i="12"/>
  <c r="R137" i="12"/>
  <c r="Q137" i="12"/>
  <c r="P137" i="12"/>
  <c r="N137" i="12"/>
  <c r="O137" i="12" s="1"/>
  <c r="M137" i="12"/>
  <c r="L137" i="12"/>
  <c r="R136" i="12"/>
  <c r="Q136" i="12"/>
  <c r="P136" i="12"/>
  <c r="N136" i="12"/>
  <c r="O136" i="12" s="1"/>
  <c r="M136" i="12"/>
  <c r="L136" i="12"/>
  <c r="R135" i="12"/>
  <c r="Q135" i="12"/>
  <c r="P135" i="12"/>
  <c r="O135" i="12"/>
  <c r="N135" i="12"/>
  <c r="M135" i="12"/>
  <c r="L135" i="12"/>
  <c r="R134" i="12"/>
  <c r="Q134" i="12"/>
  <c r="P134" i="12"/>
  <c r="N134" i="12"/>
  <c r="O134" i="12" s="1"/>
  <c r="M134" i="12"/>
  <c r="L134" i="12"/>
  <c r="R133" i="12"/>
  <c r="Q133" i="12"/>
  <c r="P133" i="12"/>
  <c r="N133" i="12"/>
  <c r="O133" i="12" s="1"/>
  <c r="M133" i="12"/>
  <c r="L133" i="12"/>
  <c r="R132" i="12"/>
  <c r="Q132" i="12"/>
  <c r="P132" i="12"/>
  <c r="N132" i="12"/>
  <c r="O132" i="12" s="1"/>
  <c r="M132" i="12"/>
  <c r="L132" i="12"/>
  <c r="R131" i="12"/>
  <c r="Q131" i="12"/>
  <c r="P131" i="12"/>
  <c r="N131" i="12"/>
  <c r="O131" i="12" s="1"/>
  <c r="M131" i="12"/>
  <c r="L131" i="12"/>
  <c r="R130" i="12"/>
  <c r="Q130" i="12"/>
  <c r="P130" i="12"/>
  <c r="O130" i="12"/>
  <c r="N130" i="12"/>
  <c r="M130" i="12"/>
  <c r="L130" i="12"/>
  <c r="R129" i="12"/>
  <c r="Q129" i="12"/>
  <c r="P129" i="12"/>
  <c r="N129" i="12"/>
  <c r="O129" i="12" s="1"/>
  <c r="M129" i="12"/>
  <c r="L129" i="12"/>
  <c r="R128" i="12"/>
  <c r="Q128" i="12"/>
  <c r="P128" i="12"/>
  <c r="N128" i="12"/>
  <c r="O128" i="12" s="1"/>
  <c r="M128" i="12"/>
  <c r="L128" i="12"/>
  <c r="R127" i="12"/>
  <c r="Q127" i="12"/>
  <c r="P127" i="12"/>
  <c r="N127" i="12"/>
  <c r="O127" i="12" s="1"/>
  <c r="M127" i="12"/>
  <c r="L127" i="12"/>
  <c r="R126" i="12"/>
  <c r="Q126" i="12"/>
  <c r="P126" i="12"/>
  <c r="N126" i="12"/>
  <c r="O126" i="12" s="1"/>
  <c r="M126" i="12"/>
  <c r="L126" i="12"/>
  <c r="R125" i="12"/>
  <c r="Q125" i="12"/>
  <c r="P125" i="12"/>
  <c r="N125" i="12"/>
  <c r="O125" i="12" s="1"/>
  <c r="M125" i="12"/>
  <c r="L125" i="12"/>
  <c r="R124" i="12"/>
  <c r="Q124" i="12"/>
  <c r="P124" i="12"/>
  <c r="N124" i="12"/>
  <c r="O124" i="12" s="1"/>
  <c r="M124" i="12"/>
  <c r="L124" i="12"/>
  <c r="R123" i="12"/>
  <c r="Q123" i="12"/>
  <c r="P123" i="12"/>
  <c r="O123" i="12"/>
  <c r="N123" i="12"/>
  <c r="M123" i="12"/>
  <c r="L123" i="12"/>
  <c r="R122" i="12"/>
  <c r="Q122" i="12"/>
  <c r="P122" i="12"/>
  <c r="N122" i="12"/>
  <c r="O122" i="12" s="1"/>
  <c r="M122" i="12"/>
  <c r="L122" i="12"/>
  <c r="R121" i="12"/>
  <c r="Q121" i="12"/>
  <c r="P121" i="12"/>
  <c r="N121" i="12"/>
  <c r="O121" i="12" s="1"/>
  <c r="M121" i="12"/>
  <c r="L121" i="12"/>
  <c r="R120" i="12"/>
  <c r="Q120" i="12"/>
  <c r="P120" i="12"/>
  <c r="N120" i="12"/>
  <c r="O120" i="12" s="1"/>
  <c r="M120" i="12"/>
  <c r="L120" i="12"/>
  <c r="R119" i="12"/>
  <c r="Q119" i="12"/>
  <c r="P119" i="12"/>
  <c r="N119" i="12"/>
  <c r="O119" i="12" s="1"/>
  <c r="M119" i="12"/>
  <c r="L119" i="12"/>
  <c r="R118" i="12"/>
  <c r="Q118" i="12"/>
  <c r="P118" i="12"/>
  <c r="N118" i="12"/>
  <c r="O118" i="12" s="1"/>
  <c r="M118" i="12"/>
  <c r="L118" i="12"/>
  <c r="R117" i="12"/>
  <c r="Q117" i="12"/>
  <c r="P117" i="12"/>
  <c r="O117" i="12"/>
  <c r="N117" i="12"/>
  <c r="M117" i="12"/>
  <c r="L117" i="12"/>
  <c r="R116" i="12"/>
  <c r="Q116" i="12"/>
  <c r="P116" i="12"/>
  <c r="N116" i="12"/>
  <c r="O116" i="12" s="1"/>
  <c r="M116" i="12"/>
  <c r="L116" i="12"/>
  <c r="R115" i="12"/>
  <c r="Q115" i="12"/>
  <c r="P115" i="12"/>
  <c r="N115" i="12"/>
  <c r="O115" i="12" s="1"/>
  <c r="M115" i="12"/>
  <c r="L115" i="12"/>
  <c r="R114" i="12"/>
  <c r="Q114" i="12"/>
  <c r="P114" i="12"/>
  <c r="N114" i="12"/>
  <c r="O114" i="12" s="1"/>
  <c r="M114" i="12"/>
  <c r="L114" i="12"/>
  <c r="R113" i="12"/>
  <c r="Q113" i="12"/>
  <c r="P113" i="12"/>
  <c r="N113" i="12"/>
  <c r="O113" i="12" s="1"/>
  <c r="M113" i="12"/>
  <c r="L113" i="12"/>
  <c r="R112" i="12"/>
  <c r="Q112" i="12"/>
  <c r="P112" i="12"/>
  <c r="N112" i="12"/>
  <c r="O112" i="12" s="1"/>
  <c r="M112" i="12"/>
  <c r="L112" i="12"/>
  <c r="R111" i="12"/>
  <c r="Q111" i="12"/>
  <c r="P111" i="12"/>
  <c r="O111" i="12"/>
  <c r="N111" i="12"/>
  <c r="M111" i="12"/>
  <c r="L111" i="12"/>
  <c r="R110" i="12"/>
  <c r="Q110" i="12"/>
  <c r="P110" i="12"/>
  <c r="N110" i="12"/>
  <c r="O110" i="12" s="1"/>
  <c r="M110" i="12"/>
  <c r="L110" i="12"/>
  <c r="R109" i="12"/>
  <c r="Q109" i="12"/>
  <c r="P109" i="12"/>
  <c r="N109" i="12"/>
  <c r="O109" i="12" s="1"/>
  <c r="M109" i="12"/>
  <c r="L109" i="12"/>
  <c r="R108" i="12"/>
  <c r="Q108" i="12"/>
  <c r="P108" i="12"/>
  <c r="N108" i="12"/>
  <c r="O108" i="12" s="1"/>
  <c r="M108" i="12"/>
  <c r="L108" i="12"/>
  <c r="R107" i="12"/>
  <c r="Q107" i="12"/>
  <c r="P107" i="12"/>
  <c r="N107" i="12"/>
  <c r="O107" i="12" s="1"/>
  <c r="M107" i="12"/>
  <c r="L107" i="12"/>
  <c r="R106" i="12"/>
  <c r="Q106" i="12"/>
  <c r="P106" i="12"/>
  <c r="O106" i="12"/>
  <c r="N106" i="12"/>
  <c r="M106" i="12"/>
  <c r="L106" i="12"/>
  <c r="R105" i="12"/>
  <c r="Q105" i="12"/>
  <c r="P105" i="12"/>
  <c r="N105" i="12"/>
  <c r="O105" i="12" s="1"/>
  <c r="M105" i="12"/>
  <c r="L105" i="12"/>
  <c r="R104" i="12"/>
  <c r="Q104" i="12"/>
  <c r="P104" i="12"/>
  <c r="N104" i="12"/>
  <c r="O104" i="12" s="1"/>
  <c r="M104" i="12"/>
  <c r="L104" i="12"/>
  <c r="R103" i="12"/>
  <c r="Q103" i="12"/>
  <c r="P103" i="12"/>
  <c r="N103" i="12"/>
  <c r="O103" i="12" s="1"/>
  <c r="M103" i="12"/>
  <c r="L103" i="12"/>
  <c r="R102" i="12"/>
  <c r="Q102" i="12"/>
  <c r="P102" i="12"/>
  <c r="N102" i="12"/>
  <c r="O102" i="12" s="1"/>
  <c r="M102" i="12"/>
  <c r="L102" i="12"/>
  <c r="R101" i="12"/>
  <c r="Q101" i="12"/>
  <c r="P101" i="12"/>
  <c r="N101" i="12"/>
  <c r="O101" i="12" s="1"/>
  <c r="M101" i="12"/>
  <c r="L101" i="12"/>
  <c r="R100" i="12"/>
  <c r="Q100" i="12"/>
  <c r="P100" i="12"/>
  <c r="N100" i="12"/>
  <c r="O100" i="12" s="1"/>
  <c r="M100" i="12"/>
  <c r="L100" i="12"/>
  <c r="R99" i="12"/>
  <c r="Q99" i="12"/>
  <c r="P99" i="12"/>
  <c r="O99" i="12"/>
  <c r="N99" i="12"/>
  <c r="M99" i="12"/>
  <c r="L99" i="12"/>
  <c r="R98" i="12"/>
  <c r="Q98" i="12"/>
  <c r="P98" i="12"/>
  <c r="N98" i="12"/>
  <c r="O98" i="12" s="1"/>
  <c r="M98" i="12"/>
  <c r="L98" i="12"/>
  <c r="R97" i="12"/>
  <c r="Q97" i="12"/>
  <c r="P97" i="12"/>
  <c r="N97" i="12"/>
  <c r="O97" i="12" s="1"/>
  <c r="M97" i="12"/>
  <c r="L97" i="12"/>
  <c r="R96" i="12"/>
  <c r="Q96" i="12"/>
  <c r="P96" i="12"/>
  <c r="N96" i="12"/>
  <c r="O96" i="12" s="1"/>
  <c r="M96" i="12"/>
  <c r="L96" i="12"/>
  <c r="R95" i="12"/>
  <c r="Q95" i="12"/>
  <c r="P95" i="12"/>
  <c r="N95" i="12"/>
  <c r="O95" i="12" s="1"/>
  <c r="M95" i="12"/>
  <c r="L95" i="12"/>
  <c r="R94" i="12"/>
  <c r="Q94" i="12"/>
  <c r="P94" i="12"/>
  <c r="N94" i="12"/>
  <c r="O94" i="12" s="1"/>
  <c r="M94" i="12"/>
  <c r="L94" i="12"/>
  <c r="R93" i="12"/>
  <c r="Q93" i="12"/>
  <c r="P93" i="12"/>
  <c r="O93" i="12"/>
  <c r="N93" i="12"/>
  <c r="M93" i="12"/>
  <c r="L93" i="12"/>
  <c r="R92" i="12"/>
  <c r="Q92" i="12"/>
  <c r="P92" i="12"/>
  <c r="N92" i="12"/>
  <c r="O92" i="12" s="1"/>
  <c r="M92" i="12"/>
  <c r="L92" i="12"/>
  <c r="R91" i="12"/>
  <c r="Q91" i="12"/>
  <c r="P91" i="12"/>
  <c r="N91" i="12"/>
  <c r="O91" i="12" s="1"/>
  <c r="M91" i="12"/>
  <c r="L91" i="12"/>
  <c r="R90" i="12"/>
  <c r="Q90" i="12"/>
  <c r="P90" i="12"/>
  <c r="N90" i="12"/>
  <c r="O90" i="12" s="1"/>
  <c r="M90" i="12"/>
  <c r="L90" i="12"/>
  <c r="R89" i="12"/>
  <c r="Q89" i="12"/>
  <c r="P89" i="12"/>
  <c r="N89" i="12"/>
  <c r="O89" i="12" s="1"/>
  <c r="M89" i="12"/>
  <c r="L89" i="12"/>
  <c r="R88" i="12"/>
  <c r="Q88" i="12"/>
  <c r="P88" i="12"/>
  <c r="N88" i="12"/>
  <c r="O88" i="12" s="1"/>
  <c r="M88" i="12"/>
  <c r="L88" i="12"/>
  <c r="R87" i="12"/>
  <c r="Q87" i="12"/>
  <c r="P87" i="12"/>
  <c r="N87" i="12"/>
  <c r="O87" i="12" s="1"/>
  <c r="M87" i="12"/>
  <c r="L87" i="12"/>
  <c r="R86" i="12"/>
  <c r="Q86" i="12"/>
  <c r="P86" i="12"/>
  <c r="N86" i="12"/>
  <c r="O86" i="12" s="1"/>
  <c r="M86" i="12"/>
  <c r="L86" i="12"/>
  <c r="R85" i="12"/>
  <c r="Q85" i="12"/>
  <c r="P85" i="12"/>
  <c r="N85" i="12"/>
  <c r="O85" i="12" s="1"/>
  <c r="M85" i="12"/>
  <c r="L85" i="12"/>
  <c r="R84" i="12"/>
  <c r="Q84" i="12"/>
  <c r="P84" i="12"/>
  <c r="N84" i="12"/>
  <c r="O84" i="12" s="1"/>
  <c r="M84" i="12"/>
  <c r="L84" i="12"/>
  <c r="R83" i="12"/>
  <c r="Q83" i="12"/>
  <c r="P83" i="12"/>
  <c r="N83" i="12"/>
  <c r="O83" i="12" s="1"/>
  <c r="M83" i="12"/>
  <c r="L83" i="12"/>
  <c r="R82" i="12"/>
  <c r="Q82" i="12"/>
  <c r="P82" i="12"/>
  <c r="O82" i="12"/>
  <c r="N82" i="12"/>
  <c r="M82" i="12"/>
  <c r="L82" i="12"/>
  <c r="R81" i="12"/>
  <c r="Q81" i="12"/>
  <c r="P81" i="12"/>
  <c r="N81" i="12"/>
  <c r="O81" i="12" s="1"/>
  <c r="M81" i="12"/>
  <c r="L81" i="12"/>
  <c r="R80" i="12"/>
  <c r="Q80" i="12"/>
  <c r="P80" i="12"/>
  <c r="N80" i="12"/>
  <c r="O80" i="12" s="1"/>
  <c r="M80" i="12"/>
  <c r="L80" i="12"/>
  <c r="R79" i="12"/>
  <c r="Q79" i="12"/>
  <c r="P79" i="12"/>
  <c r="N79" i="12"/>
  <c r="O79" i="12" s="1"/>
  <c r="M79" i="12"/>
  <c r="L79" i="12"/>
  <c r="R78" i="12"/>
  <c r="Q78" i="12"/>
  <c r="P78" i="12"/>
  <c r="N78" i="12"/>
  <c r="O78" i="12" s="1"/>
  <c r="M78" i="12"/>
  <c r="L78" i="12"/>
  <c r="R77" i="12"/>
  <c r="Q77" i="12"/>
  <c r="P77" i="12"/>
  <c r="N77" i="12"/>
  <c r="O77" i="12" s="1"/>
  <c r="M77" i="12"/>
  <c r="L77" i="12"/>
  <c r="R76" i="12"/>
  <c r="Q76" i="12"/>
  <c r="P76" i="12"/>
  <c r="N76" i="12"/>
  <c r="O76" i="12" s="1"/>
  <c r="M76" i="12"/>
  <c r="L76" i="12"/>
  <c r="R75" i="12"/>
  <c r="Q75" i="12"/>
  <c r="P75" i="12"/>
  <c r="O75" i="12"/>
  <c r="N75" i="12"/>
  <c r="M75" i="12"/>
  <c r="L75" i="12"/>
  <c r="R74" i="12"/>
  <c r="Q74" i="12"/>
  <c r="P74" i="12"/>
  <c r="N74" i="12"/>
  <c r="O74" i="12" s="1"/>
  <c r="M74" i="12"/>
  <c r="L74" i="12"/>
  <c r="R73" i="12"/>
  <c r="Q73" i="12"/>
  <c r="P73" i="12"/>
  <c r="N73" i="12"/>
  <c r="O73" i="12" s="1"/>
  <c r="M73" i="12"/>
  <c r="L73" i="12"/>
  <c r="R72" i="12"/>
  <c r="Q72" i="12"/>
  <c r="P72" i="12"/>
  <c r="N72" i="12"/>
  <c r="O72" i="12" s="1"/>
  <c r="M72" i="12"/>
  <c r="L72" i="12"/>
  <c r="R71" i="12"/>
  <c r="Q71" i="12"/>
  <c r="P71" i="12"/>
  <c r="N71" i="12"/>
  <c r="O71" i="12" s="1"/>
  <c r="M71" i="12"/>
  <c r="L71" i="12"/>
  <c r="R70" i="12"/>
  <c r="Q70" i="12"/>
  <c r="P70" i="12"/>
  <c r="N70" i="12"/>
  <c r="O70" i="12" s="1"/>
  <c r="M70" i="12"/>
  <c r="L70" i="12"/>
  <c r="R69" i="12"/>
  <c r="Q69" i="12"/>
  <c r="P69" i="12"/>
  <c r="O69" i="12"/>
  <c r="N69" i="12"/>
  <c r="M69" i="12"/>
  <c r="L69" i="12"/>
  <c r="R68" i="12"/>
  <c r="Q68" i="12"/>
  <c r="P68" i="12"/>
  <c r="N68" i="12"/>
  <c r="O68" i="12" s="1"/>
  <c r="M68" i="12"/>
  <c r="L68" i="12"/>
  <c r="R67" i="12"/>
  <c r="Q67" i="12"/>
  <c r="P67" i="12"/>
  <c r="N67" i="12"/>
  <c r="O67" i="12" s="1"/>
  <c r="M67" i="12"/>
  <c r="L67" i="12"/>
  <c r="R66" i="12"/>
  <c r="Q66" i="12"/>
  <c r="P66" i="12"/>
  <c r="N66" i="12"/>
  <c r="O66" i="12" s="1"/>
  <c r="M66" i="12"/>
  <c r="L66" i="12"/>
  <c r="R65" i="12"/>
  <c r="Q65" i="12"/>
  <c r="P65" i="12"/>
  <c r="N65" i="12"/>
  <c r="O65" i="12" s="1"/>
  <c r="M65" i="12"/>
  <c r="L65" i="12"/>
  <c r="R64" i="12"/>
  <c r="Q64" i="12"/>
  <c r="P64" i="12"/>
  <c r="N64" i="12"/>
  <c r="O64" i="12" s="1"/>
  <c r="M64" i="12"/>
  <c r="L64" i="12"/>
  <c r="R63" i="12"/>
  <c r="Q63" i="12"/>
  <c r="P63" i="12"/>
  <c r="N63" i="12"/>
  <c r="O63" i="12" s="1"/>
  <c r="M63" i="12"/>
  <c r="L63" i="12"/>
  <c r="R62" i="12"/>
  <c r="Q62" i="12"/>
  <c r="P62" i="12"/>
  <c r="N62" i="12"/>
  <c r="O62" i="12" s="1"/>
  <c r="M62" i="12"/>
  <c r="L62" i="12"/>
  <c r="R61" i="12"/>
  <c r="Q61" i="12"/>
  <c r="P61" i="12"/>
  <c r="N61" i="12"/>
  <c r="O61" i="12" s="1"/>
  <c r="M61" i="12"/>
  <c r="L61" i="12"/>
  <c r="R60" i="12"/>
  <c r="Q60" i="12"/>
  <c r="P60" i="12"/>
  <c r="N60" i="12"/>
  <c r="O60" i="12" s="1"/>
  <c r="M60" i="12"/>
  <c r="L60" i="12"/>
  <c r="R59" i="12"/>
  <c r="Q59" i="12"/>
  <c r="P59" i="12"/>
  <c r="N59" i="12"/>
  <c r="O59" i="12" s="1"/>
  <c r="M59" i="12"/>
  <c r="L59" i="12"/>
  <c r="R58" i="12"/>
  <c r="Q58" i="12"/>
  <c r="P58" i="12"/>
  <c r="O58" i="12"/>
  <c r="N58" i="12"/>
  <c r="M58" i="12"/>
  <c r="L58" i="12"/>
  <c r="R57" i="12"/>
  <c r="Q57" i="12"/>
  <c r="P57" i="12"/>
  <c r="N57" i="12"/>
  <c r="O57" i="12" s="1"/>
  <c r="M57" i="12"/>
  <c r="L57" i="12"/>
  <c r="R56" i="12"/>
  <c r="Q56" i="12"/>
  <c r="P56" i="12"/>
  <c r="N56" i="12"/>
  <c r="O56" i="12" s="1"/>
  <c r="M56" i="12"/>
  <c r="L56" i="12"/>
  <c r="R55" i="12"/>
  <c r="Q55" i="12"/>
  <c r="P55" i="12"/>
  <c r="N55" i="12"/>
  <c r="O55" i="12" s="1"/>
  <c r="M55" i="12"/>
  <c r="L55" i="12"/>
  <c r="R54" i="12"/>
  <c r="Q54" i="12"/>
  <c r="P54" i="12"/>
  <c r="N54" i="12"/>
  <c r="O54" i="12" s="1"/>
  <c r="M54" i="12"/>
  <c r="L54" i="12"/>
  <c r="R53" i="12"/>
  <c r="Q53" i="12"/>
  <c r="P53" i="12"/>
  <c r="N53" i="12"/>
  <c r="O53" i="12" s="1"/>
  <c r="M53" i="12"/>
  <c r="L53" i="12"/>
  <c r="R52" i="12"/>
  <c r="Q52" i="12"/>
  <c r="P52" i="12"/>
  <c r="N52" i="12"/>
  <c r="O52" i="12" s="1"/>
  <c r="M52" i="12"/>
  <c r="L52" i="12"/>
  <c r="R51" i="12"/>
  <c r="Q51" i="12"/>
  <c r="P51" i="12"/>
  <c r="O51" i="12"/>
  <c r="N51" i="12"/>
  <c r="M51" i="12"/>
  <c r="L51" i="12"/>
  <c r="R50" i="12"/>
  <c r="Q50" i="12"/>
  <c r="P50" i="12"/>
  <c r="N50" i="12"/>
  <c r="O50" i="12" s="1"/>
  <c r="M50" i="12"/>
  <c r="L50" i="12"/>
  <c r="R49" i="12"/>
  <c r="Q49" i="12"/>
  <c r="P49" i="12"/>
  <c r="N49" i="12"/>
  <c r="O49" i="12" s="1"/>
  <c r="M49" i="12"/>
  <c r="L49" i="12"/>
  <c r="R48" i="12"/>
  <c r="Q48" i="12"/>
  <c r="P48" i="12"/>
  <c r="N48" i="12"/>
  <c r="O48" i="12" s="1"/>
  <c r="M48" i="12"/>
  <c r="L48" i="12"/>
  <c r="R47" i="12"/>
  <c r="Q47" i="12"/>
  <c r="P47" i="12"/>
  <c r="N47" i="12"/>
  <c r="O47" i="12" s="1"/>
  <c r="M47" i="12"/>
  <c r="L47" i="12"/>
  <c r="R46" i="12"/>
  <c r="Q46" i="12"/>
  <c r="P46" i="12"/>
  <c r="N46" i="12"/>
  <c r="O46" i="12" s="1"/>
  <c r="M46" i="12"/>
  <c r="L46" i="12"/>
  <c r="R45" i="12"/>
  <c r="Q45" i="12"/>
  <c r="P45" i="12"/>
  <c r="O45" i="12"/>
  <c r="N45" i="12"/>
  <c r="M45" i="12"/>
  <c r="L45" i="12"/>
  <c r="R44" i="12"/>
  <c r="Q44" i="12"/>
  <c r="P44" i="12"/>
  <c r="N44" i="12"/>
  <c r="O44" i="12" s="1"/>
  <c r="M44" i="12"/>
  <c r="L44" i="12"/>
  <c r="R43" i="12"/>
  <c r="Q43" i="12"/>
  <c r="P43" i="12"/>
  <c r="N43" i="12"/>
  <c r="O43" i="12" s="1"/>
  <c r="M43" i="12"/>
  <c r="L43" i="12"/>
  <c r="R42" i="12"/>
  <c r="Q42" i="12"/>
  <c r="P42" i="12"/>
  <c r="N42" i="12"/>
  <c r="O42" i="12" s="1"/>
  <c r="M42" i="12"/>
  <c r="L42" i="12"/>
  <c r="R41" i="12"/>
  <c r="Q41" i="12"/>
  <c r="P41" i="12"/>
  <c r="N41" i="12"/>
  <c r="O41" i="12" s="1"/>
  <c r="M41" i="12"/>
  <c r="L41" i="12"/>
  <c r="R40" i="12"/>
  <c r="Q40" i="12"/>
  <c r="P40" i="12"/>
  <c r="N40" i="12"/>
  <c r="O40" i="12" s="1"/>
  <c r="M40" i="12"/>
  <c r="L40" i="12"/>
  <c r="R39" i="12"/>
  <c r="Q39" i="12"/>
  <c r="P39" i="12"/>
  <c r="N39" i="12"/>
  <c r="O39" i="12" s="1"/>
  <c r="M39" i="12"/>
  <c r="L39" i="12"/>
  <c r="R38" i="12"/>
  <c r="Q38" i="12"/>
  <c r="P38" i="12"/>
  <c r="N38" i="12"/>
  <c r="O38" i="12" s="1"/>
  <c r="M38" i="12"/>
  <c r="L38" i="12"/>
  <c r="R37" i="12"/>
  <c r="Q37" i="12"/>
  <c r="P37" i="12"/>
  <c r="N37" i="12"/>
  <c r="O37" i="12" s="1"/>
  <c r="M37" i="12"/>
  <c r="L37" i="12"/>
  <c r="R36" i="12"/>
  <c r="Q36" i="12"/>
  <c r="P36" i="12"/>
  <c r="N36" i="12"/>
  <c r="O36" i="12" s="1"/>
  <c r="M36" i="12"/>
  <c r="L36" i="12"/>
  <c r="R35" i="12"/>
  <c r="Q35" i="12"/>
  <c r="P35" i="12"/>
  <c r="N35" i="12"/>
  <c r="O35" i="12" s="1"/>
  <c r="M35" i="12"/>
  <c r="L35" i="12"/>
  <c r="R34" i="12"/>
  <c r="Q34" i="12"/>
  <c r="P34" i="12"/>
  <c r="O34" i="12"/>
  <c r="N34" i="12"/>
  <c r="M34" i="12"/>
  <c r="L34" i="12"/>
  <c r="R33" i="12"/>
  <c r="Q33" i="12"/>
  <c r="P33" i="12"/>
  <c r="N33" i="12"/>
  <c r="O33" i="12" s="1"/>
  <c r="M33" i="12"/>
  <c r="L33" i="12"/>
  <c r="R32" i="12"/>
  <c r="Q32" i="12"/>
  <c r="P32" i="12"/>
  <c r="N32" i="12"/>
  <c r="O32" i="12" s="1"/>
  <c r="M32" i="12"/>
  <c r="L32" i="12"/>
  <c r="R31" i="12"/>
  <c r="Q31" i="12"/>
  <c r="P31" i="12"/>
  <c r="N31" i="12"/>
  <c r="O31" i="12" s="1"/>
  <c r="M31" i="12"/>
  <c r="L31" i="12"/>
  <c r="R30" i="12"/>
  <c r="Q30" i="12"/>
  <c r="P30" i="12"/>
  <c r="N30" i="12"/>
  <c r="O30" i="12" s="1"/>
  <c r="M30" i="12"/>
  <c r="L30" i="12"/>
  <c r="R29" i="12"/>
  <c r="Q29" i="12"/>
  <c r="P29" i="12"/>
  <c r="N29" i="12"/>
  <c r="O29" i="12" s="1"/>
  <c r="M29" i="12"/>
  <c r="L29" i="12"/>
  <c r="R28" i="12"/>
  <c r="Q28" i="12"/>
  <c r="P28" i="12"/>
  <c r="N28" i="12"/>
  <c r="O28" i="12" s="1"/>
  <c r="M28" i="12"/>
  <c r="L28" i="12"/>
  <c r="R27" i="12"/>
  <c r="Q27" i="12"/>
  <c r="P27" i="12"/>
  <c r="O27" i="12"/>
  <c r="N27" i="12"/>
  <c r="M27" i="12"/>
  <c r="L27" i="12"/>
  <c r="R26" i="12"/>
  <c r="Q26" i="12"/>
  <c r="P26" i="12"/>
  <c r="N26" i="12"/>
  <c r="O26" i="12" s="1"/>
  <c r="M26" i="12"/>
  <c r="L26" i="12"/>
  <c r="R25" i="12"/>
  <c r="Q25" i="12"/>
  <c r="P25" i="12"/>
  <c r="N25" i="12"/>
  <c r="O25" i="12" s="1"/>
  <c r="M25" i="12"/>
  <c r="L25" i="12"/>
  <c r="R24" i="12"/>
  <c r="Q24" i="12"/>
  <c r="P24" i="12"/>
  <c r="N24" i="12"/>
  <c r="O24" i="12" s="1"/>
  <c r="M24" i="12"/>
  <c r="L24" i="12"/>
  <c r="R23" i="12"/>
  <c r="Q23" i="12"/>
  <c r="P23" i="12"/>
  <c r="N23" i="12"/>
  <c r="O23" i="12" s="1"/>
  <c r="M23" i="12"/>
  <c r="L23" i="12"/>
  <c r="R22" i="12"/>
  <c r="Q22" i="12"/>
  <c r="P22" i="12"/>
  <c r="N22" i="12"/>
  <c r="O22" i="12" s="1"/>
  <c r="M22" i="12"/>
  <c r="L22" i="12"/>
  <c r="R21" i="12"/>
  <c r="Q21" i="12"/>
  <c r="P21" i="12"/>
  <c r="O21" i="12"/>
  <c r="N21" i="12"/>
  <c r="M21" i="12"/>
  <c r="L21" i="12"/>
  <c r="R20" i="12"/>
  <c r="Q20" i="12"/>
  <c r="P20" i="12"/>
  <c r="N20" i="12"/>
  <c r="O20" i="12" s="1"/>
  <c r="M20" i="12"/>
  <c r="L20" i="12"/>
  <c r="R19" i="12"/>
  <c r="Q19" i="12"/>
  <c r="P19" i="12"/>
  <c r="N19" i="12"/>
  <c r="O19" i="12" s="1"/>
  <c r="M19" i="12"/>
  <c r="L19" i="12"/>
  <c r="R18" i="12"/>
  <c r="Q18" i="12"/>
  <c r="P18" i="12"/>
  <c r="N18" i="12"/>
  <c r="O18" i="12" s="1"/>
  <c r="M18" i="12"/>
  <c r="L18" i="12"/>
  <c r="R17" i="12"/>
  <c r="Q17" i="12"/>
  <c r="P17" i="12"/>
  <c r="N17" i="12"/>
  <c r="O17" i="12" s="1"/>
  <c r="M17" i="12"/>
  <c r="L17" i="12"/>
  <c r="R16" i="12"/>
  <c r="Q16" i="12"/>
  <c r="P16" i="12"/>
  <c r="N16" i="12"/>
  <c r="O16" i="12" s="1"/>
  <c r="M16" i="12"/>
  <c r="L16" i="12"/>
  <c r="R15" i="12"/>
  <c r="Q15" i="12"/>
  <c r="P15" i="12"/>
  <c r="N15" i="12"/>
  <c r="O15" i="12" s="1"/>
  <c r="M15" i="12"/>
  <c r="L15" i="12"/>
  <c r="R14" i="12"/>
  <c r="Q14" i="12"/>
  <c r="P14" i="12"/>
  <c r="N14" i="12"/>
  <c r="O14" i="12" s="1"/>
  <c r="M14" i="12"/>
  <c r="L14" i="12"/>
  <c r="R13" i="12"/>
  <c r="Q13" i="12"/>
  <c r="P13" i="12"/>
  <c r="N13" i="12"/>
  <c r="O13" i="12" s="1"/>
  <c r="M13" i="12"/>
  <c r="L13" i="12"/>
  <c r="R12" i="12"/>
  <c r="Q12" i="12"/>
  <c r="P12" i="12"/>
  <c r="N12" i="12"/>
  <c r="O12" i="12" s="1"/>
  <c r="M12" i="12"/>
  <c r="L12" i="12"/>
  <c r="R11" i="12"/>
  <c r="Q11" i="12"/>
  <c r="P11" i="12"/>
  <c r="N11" i="12"/>
  <c r="O11" i="12" s="1"/>
  <c r="M11" i="12"/>
  <c r="L11" i="12"/>
  <c r="R10" i="12"/>
  <c r="Q10" i="12"/>
  <c r="P10" i="12"/>
  <c r="O10" i="12"/>
  <c r="N10" i="12"/>
  <c r="M10" i="12"/>
  <c r="L10" i="12"/>
  <c r="R9" i="12"/>
  <c r="Q9" i="12"/>
  <c r="P9" i="12"/>
  <c r="N9" i="12"/>
  <c r="O9" i="12" s="1"/>
  <c r="M9" i="12"/>
  <c r="L9" i="12"/>
  <c r="R8" i="12"/>
  <c r="Q8" i="12"/>
  <c r="P8" i="12"/>
  <c r="N8" i="12"/>
  <c r="O8" i="12" s="1"/>
  <c r="M8" i="12"/>
  <c r="L8" i="12"/>
  <c r="R7" i="12"/>
  <c r="Q7" i="12"/>
  <c r="P7" i="12"/>
  <c r="N7" i="12"/>
  <c r="O7" i="12" s="1"/>
  <c r="M7" i="12"/>
  <c r="L7" i="12"/>
  <c r="R6" i="12"/>
  <c r="Q6" i="12"/>
  <c r="P6" i="12"/>
  <c r="N6" i="12"/>
  <c r="O6" i="12" s="1"/>
  <c r="M6" i="12"/>
  <c r="L6" i="12"/>
  <c r="L12" i="9"/>
  <c r="Q12" i="9"/>
  <c r="N12" i="9"/>
  <c r="O12" i="9" s="1"/>
  <c r="J16" i="10"/>
  <c r="J24" i="10"/>
  <c r="J23" i="10"/>
  <c r="J22" i="10"/>
  <c r="J21" i="10"/>
  <c r="S26" i="10"/>
  <c r="R26" i="10"/>
  <c r="Q26" i="10"/>
  <c r="O26" i="10"/>
  <c r="P26" i="10" s="1"/>
  <c r="N26" i="10"/>
  <c r="M26" i="10"/>
  <c r="S25" i="10"/>
  <c r="R25" i="10"/>
  <c r="Q25" i="10"/>
  <c r="O25" i="10"/>
  <c r="P25" i="10" s="1"/>
  <c r="N25" i="10"/>
  <c r="M25" i="10"/>
  <c r="J25" i="10"/>
  <c r="S24" i="10"/>
  <c r="R24" i="10"/>
  <c r="Q24" i="10"/>
  <c r="O24" i="10"/>
  <c r="P24" i="10" s="1"/>
  <c r="N24" i="10"/>
  <c r="M24" i="10"/>
  <c r="S23" i="10"/>
  <c r="R23" i="10"/>
  <c r="Q23" i="10"/>
  <c r="O23" i="10"/>
  <c r="P23" i="10" s="1"/>
  <c r="N23" i="10"/>
  <c r="M23" i="10"/>
  <c r="S22" i="10"/>
  <c r="R22" i="10"/>
  <c r="Q22" i="10"/>
  <c r="O22" i="10"/>
  <c r="P22" i="10" s="1"/>
  <c r="N22" i="10"/>
  <c r="M22" i="10"/>
  <c r="S21" i="10"/>
  <c r="R21" i="10"/>
  <c r="Q21" i="10"/>
  <c r="O21" i="10"/>
  <c r="P21" i="10" s="1"/>
  <c r="N21" i="10"/>
  <c r="M21" i="10"/>
  <c r="S20" i="10"/>
  <c r="R20" i="10"/>
  <c r="O20" i="10"/>
  <c r="P20" i="10" s="1"/>
  <c r="N20" i="10"/>
  <c r="M20" i="10"/>
  <c r="S19" i="10"/>
  <c r="R19" i="10"/>
  <c r="O19" i="10"/>
  <c r="P19" i="10" s="1"/>
  <c r="N19" i="10"/>
  <c r="M19" i="10"/>
  <c r="S18" i="10"/>
  <c r="R18" i="10"/>
  <c r="Q18" i="10"/>
  <c r="P18" i="10"/>
  <c r="O18" i="10"/>
  <c r="N18" i="10"/>
  <c r="M18" i="10"/>
  <c r="J17" i="10"/>
  <c r="J14" i="10"/>
  <c r="I23" i="9"/>
  <c r="I22" i="9"/>
  <c r="I21" i="9"/>
  <c r="I20" i="9"/>
  <c r="I19" i="9"/>
  <c r="I18" i="9"/>
  <c r="I17" i="9"/>
  <c r="J8" i="10"/>
  <c r="S291" i="10"/>
  <c r="R291" i="10"/>
  <c r="Q291" i="10"/>
  <c r="O291" i="10"/>
  <c r="P291" i="10" s="1"/>
  <c r="N291" i="10"/>
  <c r="M291" i="10"/>
  <c r="S290" i="10"/>
  <c r="R290" i="10"/>
  <c r="Q290" i="10"/>
  <c r="O290" i="10"/>
  <c r="P290" i="10" s="1"/>
  <c r="N290" i="10"/>
  <c r="M290" i="10"/>
  <c r="S289" i="10"/>
  <c r="R289" i="10"/>
  <c r="Q289" i="10"/>
  <c r="O289" i="10"/>
  <c r="P289" i="10" s="1"/>
  <c r="N289" i="10"/>
  <c r="M289" i="10"/>
  <c r="S288" i="10"/>
  <c r="R288" i="10"/>
  <c r="Q288" i="10"/>
  <c r="O288" i="10"/>
  <c r="P288" i="10" s="1"/>
  <c r="N288" i="10"/>
  <c r="M288" i="10"/>
  <c r="S287" i="10"/>
  <c r="R287" i="10"/>
  <c r="Q287" i="10"/>
  <c r="O287" i="10"/>
  <c r="P287" i="10" s="1"/>
  <c r="N287" i="10"/>
  <c r="M287" i="10"/>
  <c r="S286" i="10"/>
  <c r="R286" i="10"/>
  <c r="Q286" i="10"/>
  <c r="O286" i="10"/>
  <c r="P286" i="10" s="1"/>
  <c r="N286" i="10"/>
  <c r="M286" i="10"/>
  <c r="S285" i="10"/>
  <c r="R285" i="10"/>
  <c r="Q285" i="10"/>
  <c r="O285" i="10"/>
  <c r="P285" i="10" s="1"/>
  <c r="N285" i="10"/>
  <c r="M285" i="10"/>
  <c r="S284" i="10"/>
  <c r="R284" i="10"/>
  <c r="Q284" i="10"/>
  <c r="O284" i="10"/>
  <c r="P284" i="10" s="1"/>
  <c r="N284" i="10"/>
  <c r="M284" i="10"/>
  <c r="S283" i="10"/>
  <c r="R283" i="10"/>
  <c r="Q283" i="10"/>
  <c r="O283" i="10"/>
  <c r="P283" i="10" s="1"/>
  <c r="N283" i="10"/>
  <c r="M283" i="10"/>
  <c r="S282" i="10"/>
  <c r="R282" i="10"/>
  <c r="Q282" i="10"/>
  <c r="O282" i="10"/>
  <c r="P282" i="10" s="1"/>
  <c r="N282" i="10"/>
  <c r="M282" i="10"/>
  <c r="S281" i="10"/>
  <c r="R281" i="10"/>
  <c r="Q281" i="10"/>
  <c r="O281" i="10"/>
  <c r="P281" i="10" s="1"/>
  <c r="N281" i="10"/>
  <c r="M281" i="10"/>
  <c r="S280" i="10"/>
  <c r="R280" i="10"/>
  <c r="Q280" i="10"/>
  <c r="O280" i="10"/>
  <c r="P280" i="10" s="1"/>
  <c r="N280" i="10"/>
  <c r="M280" i="10"/>
  <c r="S279" i="10"/>
  <c r="R279" i="10"/>
  <c r="Q279" i="10"/>
  <c r="O279" i="10"/>
  <c r="P279" i="10" s="1"/>
  <c r="N279" i="10"/>
  <c r="M279" i="10"/>
  <c r="S278" i="10"/>
  <c r="R278" i="10"/>
  <c r="Q278" i="10"/>
  <c r="O278" i="10"/>
  <c r="P278" i="10" s="1"/>
  <c r="N278" i="10"/>
  <c r="M278" i="10"/>
  <c r="S277" i="10"/>
  <c r="R277" i="10"/>
  <c r="Q277" i="10"/>
  <c r="O277" i="10"/>
  <c r="P277" i="10" s="1"/>
  <c r="N277" i="10"/>
  <c r="M277" i="10"/>
  <c r="S276" i="10"/>
  <c r="R276" i="10"/>
  <c r="Q276" i="10"/>
  <c r="O276" i="10"/>
  <c r="P276" i="10" s="1"/>
  <c r="N276" i="10"/>
  <c r="M276" i="10"/>
  <c r="S275" i="10"/>
  <c r="R275" i="10"/>
  <c r="Q275" i="10"/>
  <c r="O275" i="10"/>
  <c r="P275" i="10" s="1"/>
  <c r="N275" i="10"/>
  <c r="M275" i="10"/>
  <c r="S274" i="10"/>
  <c r="R274" i="10"/>
  <c r="Q274" i="10"/>
  <c r="O274" i="10"/>
  <c r="P274" i="10" s="1"/>
  <c r="N274" i="10"/>
  <c r="M274" i="10"/>
  <c r="S273" i="10"/>
  <c r="R273" i="10"/>
  <c r="Q273" i="10"/>
  <c r="O273" i="10"/>
  <c r="P273" i="10" s="1"/>
  <c r="N273" i="10"/>
  <c r="M273" i="10"/>
  <c r="S272" i="10"/>
  <c r="R272" i="10"/>
  <c r="Q272" i="10"/>
  <c r="O272" i="10"/>
  <c r="P272" i="10" s="1"/>
  <c r="N272" i="10"/>
  <c r="M272" i="10"/>
  <c r="S271" i="10"/>
  <c r="R271" i="10"/>
  <c r="Q271" i="10"/>
  <c r="O271" i="10"/>
  <c r="P271" i="10" s="1"/>
  <c r="N271" i="10"/>
  <c r="M271" i="10"/>
  <c r="S270" i="10"/>
  <c r="R270" i="10"/>
  <c r="Q270" i="10"/>
  <c r="O270" i="10"/>
  <c r="P270" i="10" s="1"/>
  <c r="N270" i="10"/>
  <c r="M270" i="10"/>
  <c r="S269" i="10"/>
  <c r="R269" i="10"/>
  <c r="Q269" i="10"/>
  <c r="O269" i="10"/>
  <c r="P269" i="10" s="1"/>
  <c r="N269" i="10"/>
  <c r="M269" i="10"/>
  <c r="S268" i="10"/>
  <c r="R268" i="10"/>
  <c r="Q268" i="10"/>
  <c r="O268" i="10"/>
  <c r="P268" i="10" s="1"/>
  <c r="N268" i="10"/>
  <c r="M268" i="10"/>
  <c r="S267" i="10"/>
  <c r="R267" i="10"/>
  <c r="Q267" i="10"/>
  <c r="O267" i="10"/>
  <c r="P267" i="10" s="1"/>
  <c r="N267" i="10"/>
  <c r="M267" i="10"/>
  <c r="S266" i="10"/>
  <c r="R266" i="10"/>
  <c r="Q266" i="10"/>
  <c r="O266" i="10"/>
  <c r="P266" i="10" s="1"/>
  <c r="N266" i="10"/>
  <c r="M266" i="10"/>
  <c r="S265" i="10"/>
  <c r="R265" i="10"/>
  <c r="Q265" i="10"/>
  <c r="O265" i="10"/>
  <c r="P265" i="10" s="1"/>
  <c r="N265" i="10"/>
  <c r="M265" i="10"/>
  <c r="S264" i="10"/>
  <c r="R264" i="10"/>
  <c r="Q264" i="10"/>
  <c r="O264" i="10"/>
  <c r="P264" i="10" s="1"/>
  <c r="N264" i="10"/>
  <c r="M264" i="10"/>
  <c r="S263" i="10"/>
  <c r="R263" i="10"/>
  <c r="Q263" i="10"/>
  <c r="O263" i="10"/>
  <c r="P263" i="10" s="1"/>
  <c r="N263" i="10"/>
  <c r="M263" i="10"/>
  <c r="S262" i="10"/>
  <c r="R262" i="10"/>
  <c r="Q262" i="10"/>
  <c r="O262" i="10"/>
  <c r="P262" i="10" s="1"/>
  <c r="N262" i="10"/>
  <c r="M262" i="10"/>
  <c r="S261" i="10"/>
  <c r="R261" i="10"/>
  <c r="Q261" i="10"/>
  <c r="O261" i="10"/>
  <c r="P261" i="10" s="1"/>
  <c r="N261" i="10"/>
  <c r="M261" i="10"/>
  <c r="S260" i="10"/>
  <c r="R260" i="10"/>
  <c r="Q260" i="10"/>
  <c r="O260" i="10"/>
  <c r="P260" i="10" s="1"/>
  <c r="N260" i="10"/>
  <c r="M260" i="10"/>
  <c r="S259" i="10"/>
  <c r="R259" i="10"/>
  <c r="Q259" i="10"/>
  <c r="O259" i="10"/>
  <c r="P259" i="10" s="1"/>
  <c r="N259" i="10"/>
  <c r="M259" i="10"/>
  <c r="S258" i="10"/>
  <c r="R258" i="10"/>
  <c r="Q258" i="10"/>
  <c r="O258" i="10"/>
  <c r="P258" i="10" s="1"/>
  <c r="N258" i="10"/>
  <c r="M258" i="10"/>
  <c r="S257" i="10"/>
  <c r="R257" i="10"/>
  <c r="Q257" i="10"/>
  <c r="O257" i="10"/>
  <c r="P257" i="10" s="1"/>
  <c r="N257" i="10"/>
  <c r="M257" i="10"/>
  <c r="S256" i="10"/>
  <c r="R256" i="10"/>
  <c r="Q256" i="10"/>
  <c r="O256" i="10"/>
  <c r="P256" i="10" s="1"/>
  <c r="N256" i="10"/>
  <c r="M256" i="10"/>
  <c r="S255" i="10"/>
  <c r="R255" i="10"/>
  <c r="Q255" i="10"/>
  <c r="O255" i="10"/>
  <c r="P255" i="10" s="1"/>
  <c r="N255" i="10"/>
  <c r="M255" i="10"/>
  <c r="S254" i="10"/>
  <c r="R254" i="10"/>
  <c r="Q254" i="10"/>
  <c r="O254" i="10"/>
  <c r="P254" i="10" s="1"/>
  <c r="N254" i="10"/>
  <c r="M254" i="10"/>
  <c r="S253" i="10"/>
  <c r="R253" i="10"/>
  <c r="Q253" i="10"/>
  <c r="O253" i="10"/>
  <c r="P253" i="10" s="1"/>
  <c r="N253" i="10"/>
  <c r="M253" i="10"/>
  <c r="S252" i="10"/>
  <c r="R252" i="10"/>
  <c r="Q252" i="10"/>
  <c r="P252" i="10"/>
  <c r="O252" i="10"/>
  <c r="N252" i="10"/>
  <c r="M252" i="10"/>
  <c r="S251" i="10"/>
  <c r="R251" i="10"/>
  <c r="Q251" i="10"/>
  <c r="O251" i="10"/>
  <c r="P251" i="10" s="1"/>
  <c r="N251" i="10"/>
  <c r="M251" i="10"/>
  <c r="S250" i="10"/>
  <c r="R250" i="10"/>
  <c r="Q250" i="10"/>
  <c r="O250" i="10"/>
  <c r="P250" i="10" s="1"/>
  <c r="N250" i="10"/>
  <c r="M250" i="10"/>
  <c r="S249" i="10"/>
  <c r="R249" i="10"/>
  <c r="Q249" i="10"/>
  <c r="O249" i="10"/>
  <c r="P249" i="10" s="1"/>
  <c r="N249" i="10"/>
  <c r="M249" i="10"/>
  <c r="S248" i="10"/>
  <c r="R248" i="10"/>
  <c r="Q248" i="10"/>
  <c r="O248" i="10"/>
  <c r="P248" i="10" s="1"/>
  <c r="N248" i="10"/>
  <c r="M248" i="10"/>
  <c r="S247" i="10"/>
  <c r="R247" i="10"/>
  <c r="Q247" i="10"/>
  <c r="O247" i="10"/>
  <c r="P247" i="10" s="1"/>
  <c r="N247" i="10"/>
  <c r="M247" i="10"/>
  <c r="S246" i="10"/>
  <c r="R246" i="10"/>
  <c r="Q246" i="10"/>
  <c r="O246" i="10"/>
  <c r="P246" i="10" s="1"/>
  <c r="N246" i="10"/>
  <c r="M246" i="10"/>
  <c r="S245" i="10"/>
  <c r="R245" i="10"/>
  <c r="Q245" i="10"/>
  <c r="O245" i="10"/>
  <c r="P245" i="10" s="1"/>
  <c r="N245" i="10"/>
  <c r="M245" i="10"/>
  <c r="S244" i="10"/>
  <c r="R244" i="10"/>
  <c r="Q244" i="10"/>
  <c r="O244" i="10"/>
  <c r="P244" i="10" s="1"/>
  <c r="N244" i="10"/>
  <c r="M244" i="10"/>
  <c r="S243" i="10"/>
  <c r="R243" i="10"/>
  <c r="Q243" i="10"/>
  <c r="O243" i="10"/>
  <c r="P243" i="10" s="1"/>
  <c r="N243" i="10"/>
  <c r="M243" i="10"/>
  <c r="S242" i="10"/>
  <c r="R242" i="10"/>
  <c r="Q242" i="10"/>
  <c r="O242" i="10"/>
  <c r="P242" i="10" s="1"/>
  <c r="N242" i="10"/>
  <c r="M242" i="10"/>
  <c r="S241" i="10"/>
  <c r="R241" i="10"/>
  <c r="Q241" i="10"/>
  <c r="O241" i="10"/>
  <c r="P241" i="10" s="1"/>
  <c r="N241" i="10"/>
  <c r="M241" i="10"/>
  <c r="S240" i="10"/>
  <c r="R240" i="10"/>
  <c r="Q240" i="10"/>
  <c r="O240" i="10"/>
  <c r="P240" i="10" s="1"/>
  <c r="N240" i="10"/>
  <c r="M240" i="10"/>
  <c r="S239" i="10"/>
  <c r="R239" i="10"/>
  <c r="Q239" i="10"/>
  <c r="O239" i="10"/>
  <c r="P239" i="10" s="1"/>
  <c r="N239" i="10"/>
  <c r="M239" i="10"/>
  <c r="S238" i="10"/>
  <c r="R238" i="10"/>
  <c r="Q238" i="10"/>
  <c r="O238" i="10"/>
  <c r="P238" i="10" s="1"/>
  <c r="N238" i="10"/>
  <c r="M238" i="10"/>
  <c r="S237" i="10"/>
  <c r="R237" i="10"/>
  <c r="Q237" i="10"/>
  <c r="O237" i="10"/>
  <c r="P237" i="10" s="1"/>
  <c r="N237" i="10"/>
  <c r="M237" i="10"/>
  <c r="S236" i="10"/>
  <c r="R236" i="10"/>
  <c r="Q236" i="10"/>
  <c r="O236" i="10"/>
  <c r="P236" i="10" s="1"/>
  <c r="N236" i="10"/>
  <c r="M236" i="10"/>
  <c r="S235" i="10"/>
  <c r="R235" i="10"/>
  <c r="Q235" i="10"/>
  <c r="O235" i="10"/>
  <c r="P235" i="10" s="1"/>
  <c r="N235" i="10"/>
  <c r="M235" i="10"/>
  <c r="S234" i="10"/>
  <c r="R234" i="10"/>
  <c r="Q234" i="10"/>
  <c r="O234" i="10"/>
  <c r="P234" i="10" s="1"/>
  <c r="N234" i="10"/>
  <c r="M234" i="10"/>
  <c r="S233" i="10"/>
  <c r="R233" i="10"/>
  <c r="Q233" i="10"/>
  <c r="O233" i="10"/>
  <c r="P233" i="10" s="1"/>
  <c r="N233" i="10"/>
  <c r="M233" i="10"/>
  <c r="S232" i="10"/>
  <c r="R232" i="10"/>
  <c r="Q232" i="10"/>
  <c r="O232" i="10"/>
  <c r="P232" i="10" s="1"/>
  <c r="N232" i="10"/>
  <c r="M232" i="10"/>
  <c r="S231" i="10"/>
  <c r="R231" i="10"/>
  <c r="Q231" i="10"/>
  <c r="O231" i="10"/>
  <c r="P231" i="10" s="1"/>
  <c r="N231" i="10"/>
  <c r="M231" i="10"/>
  <c r="S230" i="10"/>
  <c r="R230" i="10"/>
  <c r="Q230" i="10"/>
  <c r="O230" i="10"/>
  <c r="P230" i="10" s="1"/>
  <c r="N230" i="10"/>
  <c r="M230" i="10"/>
  <c r="S229" i="10"/>
  <c r="R229" i="10"/>
  <c r="Q229" i="10"/>
  <c r="O229" i="10"/>
  <c r="P229" i="10" s="1"/>
  <c r="N229" i="10"/>
  <c r="M229" i="10"/>
  <c r="S228" i="10"/>
  <c r="R228" i="10"/>
  <c r="Q228" i="10"/>
  <c r="O228" i="10"/>
  <c r="P228" i="10" s="1"/>
  <c r="N228" i="10"/>
  <c r="M228" i="10"/>
  <c r="S227" i="10"/>
  <c r="R227" i="10"/>
  <c r="Q227" i="10"/>
  <c r="O227" i="10"/>
  <c r="P227" i="10" s="1"/>
  <c r="N227" i="10"/>
  <c r="M227" i="10"/>
  <c r="S226" i="10"/>
  <c r="R226" i="10"/>
  <c r="Q226" i="10"/>
  <c r="O226" i="10"/>
  <c r="P226" i="10" s="1"/>
  <c r="N226" i="10"/>
  <c r="M226" i="10"/>
  <c r="S225" i="10"/>
  <c r="R225" i="10"/>
  <c r="Q225" i="10"/>
  <c r="O225" i="10"/>
  <c r="P225" i="10" s="1"/>
  <c r="N225" i="10"/>
  <c r="M225" i="10"/>
  <c r="S224" i="10"/>
  <c r="R224" i="10"/>
  <c r="Q224" i="10"/>
  <c r="O224" i="10"/>
  <c r="P224" i="10" s="1"/>
  <c r="N224" i="10"/>
  <c r="M224" i="10"/>
  <c r="S223" i="10"/>
  <c r="R223" i="10"/>
  <c r="Q223" i="10"/>
  <c r="O223" i="10"/>
  <c r="P223" i="10" s="1"/>
  <c r="N223" i="10"/>
  <c r="M223" i="10"/>
  <c r="S222" i="10"/>
  <c r="R222" i="10"/>
  <c r="Q222" i="10"/>
  <c r="O222" i="10"/>
  <c r="P222" i="10" s="1"/>
  <c r="N222" i="10"/>
  <c r="M222" i="10"/>
  <c r="S221" i="10"/>
  <c r="R221" i="10"/>
  <c r="Q221" i="10"/>
  <c r="O221" i="10"/>
  <c r="P221" i="10" s="1"/>
  <c r="N221" i="10"/>
  <c r="M221" i="10"/>
  <c r="S220" i="10"/>
  <c r="R220" i="10"/>
  <c r="Q220" i="10"/>
  <c r="O220" i="10"/>
  <c r="P220" i="10" s="1"/>
  <c r="N220" i="10"/>
  <c r="M220" i="10"/>
  <c r="S219" i="10"/>
  <c r="R219" i="10"/>
  <c r="Q219" i="10"/>
  <c r="O219" i="10"/>
  <c r="P219" i="10" s="1"/>
  <c r="N219" i="10"/>
  <c r="M219" i="10"/>
  <c r="S218" i="10"/>
  <c r="R218" i="10"/>
  <c r="Q218" i="10"/>
  <c r="O218" i="10"/>
  <c r="P218" i="10" s="1"/>
  <c r="N218" i="10"/>
  <c r="M218" i="10"/>
  <c r="S217" i="10"/>
  <c r="R217" i="10"/>
  <c r="Q217" i="10"/>
  <c r="O217" i="10"/>
  <c r="P217" i="10" s="1"/>
  <c r="N217" i="10"/>
  <c r="M217" i="10"/>
  <c r="S216" i="10"/>
  <c r="R216" i="10"/>
  <c r="Q216" i="10"/>
  <c r="O216" i="10"/>
  <c r="P216" i="10" s="1"/>
  <c r="N216" i="10"/>
  <c r="M216" i="10"/>
  <c r="S215" i="10"/>
  <c r="R215" i="10"/>
  <c r="Q215" i="10"/>
  <c r="O215" i="10"/>
  <c r="P215" i="10" s="1"/>
  <c r="N215" i="10"/>
  <c r="M215" i="10"/>
  <c r="S214" i="10"/>
  <c r="R214" i="10"/>
  <c r="Q214" i="10"/>
  <c r="O214" i="10"/>
  <c r="P214" i="10" s="1"/>
  <c r="N214" i="10"/>
  <c r="M214" i="10"/>
  <c r="S213" i="10"/>
  <c r="R213" i="10"/>
  <c r="Q213" i="10"/>
  <c r="O213" i="10"/>
  <c r="P213" i="10" s="1"/>
  <c r="N213" i="10"/>
  <c r="M213" i="10"/>
  <c r="S212" i="10"/>
  <c r="R212" i="10"/>
  <c r="Q212" i="10"/>
  <c r="O212" i="10"/>
  <c r="P212" i="10" s="1"/>
  <c r="N212" i="10"/>
  <c r="M212" i="10"/>
  <c r="S211" i="10"/>
  <c r="R211" i="10"/>
  <c r="Q211" i="10"/>
  <c r="O211" i="10"/>
  <c r="P211" i="10" s="1"/>
  <c r="N211" i="10"/>
  <c r="M211" i="10"/>
  <c r="S210" i="10"/>
  <c r="R210" i="10"/>
  <c r="Q210" i="10"/>
  <c r="O210" i="10"/>
  <c r="P210" i="10" s="1"/>
  <c r="N210" i="10"/>
  <c r="M210" i="10"/>
  <c r="S209" i="10"/>
  <c r="R209" i="10"/>
  <c r="Q209" i="10"/>
  <c r="O209" i="10"/>
  <c r="P209" i="10" s="1"/>
  <c r="N209" i="10"/>
  <c r="M209" i="10"/>
  <c r="S208" i="10"/>
  <c r="R208" i="10"/>
  <c r="Q208" i="10"/>
  <c r="O208" i="10"/>
  <c r="P208" i="10" s="1"/>
  <c r="N208" i="10"/>
  <c r="M208" i="10"/>
  <c r="S207" i="10"/>
  <c r="R207" i="10"/>
  <c r="Q207" i="10"/>
  <c r="O207" i="10"/>
  <c r="P207" i="10" s="1"/>
  <c r="N207" i="10"/>
  <c r="M207" i="10"/>
  <c r="S206" i="10"/>
  <c r="R206" i="10"/>
  <c r="Q206" i="10"/>
  <c r="O206" i="10"/>
  <c r="P206" i="10" s="1"/>
  <c r="N206" i="10"/>
  <c r="M206" i="10"/>
  <c r="S205" i="10"/>
  <c r="R205" i="10"/>
  <c r="Q205" i="10"/>
  <c r="O205" i="10"/>
  <c r="P205" i="10" s="1"/>
  <c r="N205" i="10"/>
  <c r="M205" i="10"/>
  <c r="S204" i="10"/>
  <c r="R204" i="10"/>
  <c r="Q204" i="10"/>
  <c r="O204" i="10"/>
  <c r="P204" i="10" s="1"/>
  <c r="N204" i="10"/>
  <c r="M204" i="10"/>
  <c r="S203" i="10"/>
  <c r="R203" i="10"/>
  <c r="Q203" i="10"/>
  <c r="O203" i="10"/>
  <c r="P203" i="10" s="1"/>
  <c r="N203" i="10"/>
  <c r="M203" i="10"/>
  <c r="S202" i="10"/>
  <c r="R202" i="10"/>
  <c r="Q202" i="10"/>
  <c r="O202" i="10"/>
  <c r="P202" i="10" s="1"/>
  <c r="N202" i="10"/>
  <c r="M202" i="10"/>
  <c r="S201" i="10"/>
  <c r="R201" i="10"/>
  <c r="Q201" i="10"/>
  <c r="O201" i="10"/>
  <c r="P201" i="10" s="1"/>
  <c r="N201" i="10"/>
  <c r="M201" i="10"/>
  <c r="S200" i="10"/>
  <c r="R200" i="10"/>
  <c r="Q200" i="10"/>
  <c r="O200" i="10"/>
  <c r="P200" i="10" s="1"/>
  <c r="N200" i="10"/>
  <c r="M200" i="10"/>
  <c r="S199" i="10"/>
  <c r="R199" i="10"/>
  <c r="Q199" i="10"/>
  <c r="O199" i="10"/>
  <c r="P199" i="10" s="1"/>
  <c r="N199" i="10"/>
  <c r="M199" i="10"/>
  <c r="S198" i="10"/>
  <c r="R198" i="10"/>
  <c r="Q198" i="10"/>
  <c r="O198" i="10"/>
  <c r="P198" i="10" s="1"/>
  <c r="N198" i="10"/>
  <c r="M198" i="10"/>
  <c r="S197" i="10"/>
  <c r="R197" i="10"/>
  <c r="Q197" i="10"/>
  <c r="O197" i="10"/>
  <c r="P197" i="10" s="1"/>
  <c r="N197" i="10"/>
  <c r="M197" i="10"/>
  <c r="S196" i="10"/>
  <c r="R196" i="10"/>
  <c r="Q196" i="10"/>
  <c r="O196" i="10"/>
  <c r="P196" i="10" s="1"/>
  <c r="N196" i="10"/>
  <c r="M196" i="10"/>
  <c r="S195" i="10"/>
  <c r="R195" i="10"/>
  <c r="Q195" i="10"/>
  <c r="O195" i="10"/>
  <c r="P195" i="10" s="1"/>
  <c r="N195" i="10"/>
  <c r="M195" i="10"/>
  <c r="S194" i="10"/>
  <c r="R194" i="10"/>
  <c r="Q194" i="10"/>
  <c r="O194" i="10"/>
  <c r="P194" i="10" s="1"/>
  <c r="N194" i="10"/>
  <c r="M194" i="10"/>
  <c r="S193" i="10"/>
  <c r="R193" i="10"/>
  <c r="Q193" i="10"/>
  <c r="O193" i="10"/>
  <c r="P193" i="10" s="1"/>
  <c r="N193" i="10"/>
  <c r="M193" i="10"/>
  <c r="S192" i="10"/>
  <c r="R192" i="10"/>
  <c r="Q192" i="10"/>
  <c r="O192" i="10"/>
  <c r="P192" i="10" s="1"/>
  <c r="N192" i="10"/>
  <c r="M192" i="10"/>
  <c r="S191" i="10"/>
  <c r="R191" i="10"/>
  <c r="Q191" i="10"/>
  <c r="O191" i="10"/>
  <c r="P191" i="10" s="1"/>
  <c r="N191" i="10"/>
  <c r="M191" i="10"/>
  <c r="S190" i="10"/>
  <c r="R190" i="10"/>
  <c r="Q190" i="10"/>
  <c r="O190" i="10"/>
  <c r="P190" i="10" s="1"/>
  <c r="N190" i="10"/>
  <c r="M190" i="10"/>
  <c r="S189" i="10"/>
  <c r="R189" i="10"/>
  <c r="Q189" i="10"/>
  <c r="O189" i="10"/>
  <c r="P189" i="10" s="1"/>
  <c r="N189" i="10"/>
  <c r="M189" i="10"/>
  <c r="S188" i="10"/>
  <c r="R188" i="10"/>
  <c r="Q188" i="10"/>
  <c r="O188" i="10"/>
  <c r="P188" i="10" s="1"/>
  <c r="N188" i="10"/>
  <c r="M188" i="10"/>
  <c r="S187" i="10"/>
  <c r="R187" i="10"/>
  <c r="Q187" i="10"/>
  <c r="O187" i="10"/>
  <c r="P187" i="10" s="1"/>
  <c r="N187" i="10"/>
  <c r="M187" i="10"/>
  <c r="S186" i="10"/>
  <c r="R186" i="10"/>
  <c r="Q186" i="10"/>
  <c r="P186" i="10"/>
  <c r="O186" i="10"/>
  <c r="N186" i="10"/>
  <c r="M186" i="10"/>
  <c r="S185" i="10"/>
  <c r="R185" i="10"/>
  <c r="Q185" i="10"/>
  <c r="O185" i="10"/>
  <c r="P185" i="10" s="1"/>
  <c r="N185" i="10"/>
  <c r="M185" i="10"/>
  <c r="S184" i="10"/>
  <c r="R184" i="10"/>
  <c r="Q184" i="10"/>
  <c r="O184" i="10"/>
  <c r="P184" i="10" s="1"/>
  <c r="N184" i="10"/>
  <c r="M184" i="10"/>
  <c r="S183" i="10"/>
  <c r="R183" i="10"/>
  <c r="Q183" i="10"/>
  <c r="O183" i="10"/>
  <c r="P183" i="10" s="1"/>
  <c r="N183" i="10"/>
  <c r="M183" i="10"/>
  <c r="S182" i="10"/>
  <c r="R182" i="10"/>
  <c r="Q182" i="10"/>
  <c r="O182" i="10"/>
  <c r="P182" i="10" s="1"/>
  <c r="N182" i="10"/>
  <c r="M182" i="10"/>
  <c r="S181" i="10"/>
  <c r="R181" i="10"/>
  <c r="Q181" i="10"/>
  <c r="O181" i="10"/>
  <c r="P181" i="10" s="1"/>
  <c r="N181" i="10"/>
  <c r="M181" i="10"/>
  <c r="S180" i="10"/>
  <c r="R180" i="10"/>
  <c r="Q180" i="10"/>
  <c r="O180" i="10"/>
  <c r="P180" i="10" s="1"/>
  <c r="N180" i="10"/>
  <c r="M180" i="10"/>
  <c r="S179" i="10"/>
  <c r="R179" i="10"/>
  <c r="Q179" i="10"/>
  <c r="O179" i="10"/>
  <c r="P179" i="10" s="1"/>
  <c r="N179" i="10"/>
  <c r="M179" i="10"/>
  <c r="S178" i="10"/>
  <c r="R178" i="10"/>
  <c r="Q178" i="10"/>
  <c r="O178" i="10"/>
  <c r="P178" i="10" s="1"/>
  <c r="N178" i="10"/>
  <c r="M178" i="10"/>
  <c r="S177" i="10"/>
  <c r="R177" i="10"/>
  <c r="Q177" i="10"/>
  <c r="O177" i="10"/>
  <c r="P177" i="10" s="1"/>
  <c r="N177" i="10"/>
  <c r="M177" i="10"/>
  <c r="S176" i="10"/>
  <c r="R176" i="10"/>
  <c r="Q176" i="10"/>
  <c r="O176" i="10"/>
  <c r="P176" i="10" s="1"/>
  <c r="N176" i="10"/>
  <c r="M176" i="10"/>
  <c r="S175" i="10"/>
  <c r="R175" i="10"/>
  <c r="Q175" i="10"/>
  <c r="O175" i="10"/>
  <c r="P175" i="10" s="1"/>
  <c r="N175" i="10"/>
  <c r="M175" i="10"/>
  <c r="S174" i="10"/>
  <c r="R174" i="10"/>
  <c r="Q174" i="10"/>
  <c r="O174" i="10"/>
  <c r="P174" i="10" s="1"/>
  <c r="N174" i="10"/>
  <c r="M174" i="10"/>
  <c r="S173" i="10"/>
  <c r="R173" i="10"/>
  <c r="Q173" i="10"/>
  <c r="O173" i="10"/>
  <c r="P173" i="10" s="1"/>
  <c r="N173" i="10"/>
  <c r="M173" i="10"/>
  <c r="S172" i="10"/>
  <c r="R172" i="10"/>
  <c r="Q172" i="10"/>
  <c r="O172" i="10"/>
  <c r="P172" i="10" s="1"/>
  <c r="N172" i="10"/>
  <c r="M172" i="10"/>
  <c r="S171" i="10"/>
  <c r="R171" i="10"/>
  <c r="Q171" i="10"/>
  <c r="O171" i="10"/>
  <c r="P171" i="10" s="1"/>
  <c r="N171" i="10"/>
  <c r="M171" i="10"/>
  <c r="S170" i="10"/>
  <c r="R170" i="10"/>
  <c r="Q170" i="10"/>
  <c r="O170" i="10"/>
  <c r="P170" i="10" s="1"/>
  <c r="N170" i="10"/>
  <c r="M170" i="10"/>
  <c r="S169" i="10"/>
  <c r="R169" i="10"/>
  <c r="Q169" i="10"/>
  <c r="O169" i="10"/>
  <c r="P169" i="10" s="1"/>
  <c r="N169" i="10"/>
  <c r="M169" i="10"/>
  <c r="S168" i="10"/>
  <c r="R168" i="10"/>
  <c r="Q168" i="10"/>
  <c r="O168" i="10"/>
  <c r="P168" i="10" s="1"/>
  <c r="N168" i="10"/>
  <c r="M168" i="10"/>
  <c r="S167" i="10"/>
  <c r="R167" i="10"/>
  <c r="Q167" i="10"/>
  <c r="O167" i="10"/>
  <c r="P167" i="10" s="1"/>
  <c r="N167" i="10"/>
  <c r="M167" i="10"/>
  <c r="S166" i="10"/>
  <c r="R166" i="10"/>
  <c r="Q166" i="10"/>
  <c r="O166" i="10"/>
  <c r="P166" i="10" s="1"/>
  <c r="N166" i="10"/>
  <c r="M166" i="10"/>
  <c r="S165" i="10"/>
  <c r="R165" i="10"/>
  <c r="Q165" i="10"/>
  <c r="O165" i="10"/>
  <c r="P165" i="10" s="1"/>
  <c r="N165" i="10"/>
  <c r="M165" i="10"/>
  <c r="S164" i="10"/>
  <c r="R164" i="10"/>
  <c r="Q164" i="10"/>
  <c r="O164" i="10"/>
  <c r="P164" i="10" s="1"/>
  <c r="N164" i="10"/>
  <c r="M164" i="10"/>
  <c r="S163" i="10"/>
  <c r="R163" i="10"/>
  <c r="Q163" i="10"/>
  <c r="O163" i="10"/>
  <c r="P163" i="10" s="1"/>
  <c r="N163" i="10"/>
  <c r="M163" i="10"/>
  <c r="S162" i="10"/>
  <c r="R162" i="10"/>
  <c r="Q162" i="10"/>
  <c r="O162" i="10"/>
  <c r="P162" i="10" s="1"/>
  <c r="N162" i="10"/>
  <c r="M162" i="10"/>
  <c r="S161" i="10"/>
  <c r="R161" i="10"/>
  <c r="Q161" i="10"/>
  <c r="O161" i="10"/>
  <c r="P161" i="10" s="1"/>
  <c r="N161" i="10"/>
  <c r="M161" i="10"/>
  <c r="S160" i="10"/>
  <c r="R160" i="10"/>
  <c r="Q160" i="10"/>
  <c r="O160" i="10"/>
  <c r="P160" i="10" s="1"/>
  <c r="N160" i="10"/>
  <c r="M160" i="10"/>
  <c r="S159" i="10"/>
  <c r="R159" i="10"/>
  <c r="Q159" i="10"/>
  <c r="O159" i="10"/>
  <c r="P159" i="10" s="1"/>
  <c r="N159" i="10"/>
  <c r="M159" i="10"/>
  <c r="S158" i="10"/>
  <c r="R158" i="10"/>
  <c r="Q158" i="10"/>
  <c r="O158" i="10"/>
  <c r="P158" i="10" s="1"/>
  <c r="N158" i="10"/>
  <c r="M158" i="10"/>
  <c r="S157" i="10"/>
  <c r="R157" i="10"/>
  <c r="Q157" i="10"/>
  <c r="O157" i="10"/>
  <c r="P157" i="10" s="1"/>
  <c r="N157" i="10"/>
  <c r="M157" i="10"/>
  <c r="S156" i="10"/>
  <c r="R156" i="10"/>
  <c r="Q156" i="10"/>
  <c r="O156" i="10"/>
  <c r="P156" i="10" s="1"/>
  <c r="N156" i="10"/>
  <c r="M156" i="10"/>
  <c r="S155" i="10"/>
  <c r="R155" i="10"/>
  <c r="Q155" i="10"/>
  <c r="O155" i="10"/>
  <c r="P155" i="10" s="1"/>
  <c r="N155" i="10"/>
  <c r="M155" i="10"/>
  <c r="S154" i="10"/>
  <c r="R154" i="10"/>
  <c r="Q154" i="10"/>
  <c r="O154" i="10"/>
  <c r="P154" i="10" s="1"/>
  <c r="N154" i="10"/>
  <c r="M154" i="10"/>
  <c r="S153" i="10"/>
  <c r="R153" i="10"/>
  <c r="Q153" i="10"/>
  <c r="O153" i="10"/>
  <c r="P153" i="10" s="1"/>
  <c r="N153" i="10"/>
  <c r="M153" i="10"/>
  <c r="S152" i="10"/>
  <c r="R152" i="10"/>
  <c r="Q152" i="10"/>
  <c r="O152" i="10"/>
  <c r="P152" i="10" s="1"/>
  <c r="N152" i="10"/>
  <c r="M152" i="10"/>
  <c r="S151" i="10"/>
  <c r="R151" i="10"/>
  <c r="Q151" i="10"/>
  <c r="O151" i="10"/>
  <c r="P151" i="10" s="1"/>
  <c r="N151" i="10"/>
  <c r="M151" i="10"/>
  <c r="S150" i="10"/>
  <c r="R150" i="10"/>
  <c r="Q150" i="10"/>
  <c r="O150" i="10"/>
  <c r="P150" i="10" s="1"/>
  <c r="N150" i="10"/>
  <c r="M150" i="10"/>
  <c r="S149" i="10"/>
  <c r="R149" i="10"/>
  <c r="Q149" i="10"/>
  <c r="O149" i="10"/>
  <c r="P149" i="10" s="1"/>
  <c r="N149" i="10"/>
  <c r="M149" i="10"/>
  <c r="S148" i="10"/>
  <c r="R148" i="10"/>
  <c r="Q148" i="10"/>
  <c r="O148" i="10"/>
  <c r="P148" i="10" s="1"/>
  <c r="N148" i="10"/>
  <c r="M148" i="10"/>
  <c r="S147" i="10"/>
  <c r="R147" i="10"/>
  <c r="Q147" i="10"/>
  <c r="O147" i="10"/>
  <c r="P147" i="10" s="1"/>
  <c r="N147" i="10"/>
  <c r="M147" i="10"/>
  <c r="S146" i="10"/>
  <c r="R146" i="10"/>
  <c r="Q146" i="10"/>
  <c r="O146" i="10"/>
  <c r="P146" i="10" s="1"/>
  <c r="N146" i="10"/>
  <c r="M146" i="10"/>
  <c r="S145" i="10"/>
  <c r="R145" i="10"/>
  <c r="Q145" i="10"/>
  <c r="O145" i="10"/>
  <c r="P145" i="10" s="1"/>
  <c r="N145" i="10"/>
  <c r="M145" i="10"/>
  <c r="S144" i="10"/>
  <c r="R144" i="10"/>
  <c r="Q144" i="10"/>
  <c r="O144" i="10"/>
  <c r="P144" i="10" s="1"/>
  <c r="N144" i="10"/>
  <c r="M144" i="10"/>
  <c r="S143" i="10"/>
  <c r="R143" i="10"/>
  <c r="Q143" i="10"/>
  <c r="O143" i="10"/>
  <c r="P143" i="10" s="1"/>
  <c r="N143" i="10"/>
  <c r="M143" i="10"/>
  <c r="S142" i="10"/>
  <c r="R142" i="10"/>
  <c r="Q142" i="10"/>
  <c r="O142" i="10"/>
  <c r="P142" i="10" s="1"/>
  <c r="N142" i="10"/>
  <c r="M142" i="10"/>
  <c r="S141" i="10"/>
  <c r="R141" i="10"/>
  <c r="Q141" i="10"/>
  <c r="O141" i="10"/>
  <c r="P141" i="10" s="1"/>
  <c r="N141" i="10"/>
  <c r="M141" i="10"/>
  <c r="S140" i="10"/>
  <c r="R140" i="10"/>
  <c r="Q140" i="10"/>
  <c r="O140" i="10"/>
  <c r="P140" i="10" s="1"/>
  <c r="N140" i="10"/>
  <c r="M140" i="10"/>
  <c r="S139" i="10"/>
  <c r="R139" i="10"/>
  <c r="Q139" i="10"/>
  <c r="O139" i="10"/>
  <c r="P139" i="10" s="1"/>
  <c r="N139" i="10"/>
  <c r="M139" i="10"/>
  <c r="S138" i="10"/>
  <c r="R138" i="10"/>
  <c r="Q138" i="10"/>
  <c r="O138" i="10"/>
  <c r="P138" i="10" s="1"/>
  <c r="N138" i="10"/>
  <c r="M138" i="10"/>
  <c r="S137" i="10"/>
  <c r="R137" i="10"/>
  <c r="Q137" i="10"/>
  <c r="O137" i="10"/>
  <c r="P137" i="10" s="1"/>
  <c r="N137" i="10"/>
  <c r="M137" i="10"/>
  <c r="S136" i="10"/>
  <c r="R136" i="10"/>
  <c r="Q136" i="10"/>
  <c r="O136" i="10"/>
  <c r="P136" i="10" s="1"/>
  <c r="N136" i="10"/>
  <c r="M136" i="10"/>
  <c r="S135" i="10"/>
  <c r="R135" i="10"/>
  <c r="Q135" i="10"/>
  <c r="O135" i="10"/>
  <c r="P135" i="10" s="1"/>
  <c r="N135" i="10"/>
  <c r="M135" i="10"/>
  <c r="S134" i="10"/>
  <c r="R134" i="10"/>
  <c r="Q134" i="10"/>
  <c r="O134" i="10"/>
  <c r="P134" i="10" s="1"/>
  <c r="N134" i="10"/>
  <c r="M134" i="10"/>
  <c r="S133" i="10"/>
  <c r="R133" i="10"/>
  <c r="Q133" i="10"/>
  <c r="O133" i="10"/>
  <c r="P133" i="10" s="1"/>
  <c r="N133" i="10"/>
  <c r="M133" i="10"/>
  <c r="S132" i="10"/>
  <c r="R132" i="10"/>
  <c r="Q132" i="10"/>
  <c r="O132" i="10"/>
  <c r="P132" i="10" s="1"/>
  <c r="N132" i="10"/>
  <c r="M132" i="10"/>
  <c r="S131" i="10"/>
  <c r="R131" i="10"/>
  <c r="Q131" i="10"/>
  <c r="O131" i="10"/>
  <c r="P131" i="10" s="1"/>
  <c r="N131" i="10"/>
  <c r="M131" i="10"/>
  <c r="S130" i="10"/>
  <c r="R130" i="10"/>
  <c r="Q130" i="10"/>
  <c r="O130" i="10"/>
  <c r="P130" i="10" s="1"/>
  <c r="N130" i="10"/>
  <c r="M130" i="10"/>
  <c r="S129" i="10"/>
  <c r="R129" i="10"/>
  <c r="Q129" i="10"/>
  <c r="O129" i="10"/>
  <c r="P129" i="10" s="1"/>
  <c r="N129" i="10"/>
  <c r="M129" i="10"/>
  <c r="S128" i="10"/>
  <c r="R128" i="10"/>
  <c r="Q128" i="10"/>
  <c r="O128" i="10"/>
  <c r="P128" i="10" s="1"/>
  <c r="N128" i="10"/>
  <c r="M128" i="10"/>
  <c r="S127" i="10"/>
  <c r="R127" i="10"/>
  <c r="Q127" i="10"/>
  <c r="O127" i="10"/>
  <c r="P127" i="10" s="1"/>
  <c r="N127" i="10"/>
  <c r="M127" i="10"/>
  <c r="S126" i="10"/>
  <c r="R126" i="10"/>
  <c r="Q126" i="10"/>
  <c r="O126" i="10"/>
  <c r="P126" i="10" s="1"/>
  <c r="N126" i="10"/>
  <c r="M126" i="10"/>
  <c r="S125" i="10"/>
  <c r="R125" i="10"/>
  <c r="Q125" i="10"/>
  <c r="O125" i="10"/>
  <c r="P125" i="10" s="1"/>
  <c r="N125" i="10"/>
  <c r="M125" i="10"/>
  <c r="S124" i="10"/>
  <c r="R124" i="10"/>
  <c r="Q124" i="10"/>
  <c r="O124" i="10"/>
  <c r="P124" i="10" s="1"/>
  <c r="N124" i="10"/>
  <c r="M124" i="10"/>
  <c r="S123" i="10"/>
  <c r="R123" i="10"/>
  <c r="Q123" i="10"/>
  <c r="O123" i="10"/>
  <c r="P123" i="10" s="1"/>
  <c r="N123" i="10"/>
  <c r="M123" i="10"/>
  <c r="S122" i="10"/>
  <c r="R122" i="10"/>
  <c r="Q122" i="10"/>
  <c r="O122" i="10"/>
  <c r="P122" i="10" s="1"/>
  <c r="N122" i="10"/>
  <c r="M122" i="10"/>
  <c r="S121" i="10"/>
  <c r="R121" i="10"/>
  <c r="Q121" i="10"/>
  <c r="O121" i="10"/>
  <c r="P121" i="10" s="1"/>
  <c r="N121" i="10"/>
  <c r="M121" i="10"/>
  <c r="S120" i="10"/>
  <c r="R120" i="10"/>
  <c r="Q120" i="10"/>
  <c r="O120" i="10"/>
  <c r="P120" i="10" s="1"/>
  <c r="N120" i="10"/>
  <c r="M120" i="10"/>
  <c r="S119" i="10"/>
  <c r="R119" i="10"/>
  <c r="Q119" i="10"/>
  <c r="O119" i="10"/>
  <c r="P119" i="10" s="1"/>
  <c r="N119" i="10"/>
  <c r="M119" i="10"/>
  <c r="S118" i="10"/>
  <c r="R118" i="10"/>
  <c r="Q118" i="10"/>
  <c r="O118" i="10"/>
  <c r="P118" i="10" s="1"/>
  <c r="N118" i="10"/>
  <c r="M118" i="10"/>
  <c r="S117" i="10"/>
  <c r="R117" i="10"/>
  <c r="Q117" i="10"/>
  <c r="O117" i="10"/>
  <c r="P117" i="10" s="1"/>
  <c r="N117" i="10"/>
  <c r="M117" i="10"/>
  <c r="S116" i="10"/>
  <c r="R116" i="10"/>
  <c r="Q116" i="10"/>
  <c r="O116" i="10"/>
  <c r="P116" i="10" s="1"/>
  <c r="N116" i="10"/>
  <c r="M116" i="10"/>
  <c r="S115" i="10"/>
  <c r="R115" i="10"/>
  <c r="Q115" i="10"/>
  <c r="O115" i="10"/>
  <c r="P115" i="10" s="1"/>
  <c r="N115" i="10"/>
  <c r="M115" i="10"/>
  <c r="S114" i="10"/>
  <c r="R114" i="10"/>
  <c r="Q114" i="10"/>
  <c r="O114" i="10"/>
  <c r="P114" i="10" s="1"/>
  <c r="N114" i="10"/>
  <c r="M114" i="10"/>
  <c r="S113" i="10"/>
  <c r="R113" i="10"/>
  <c r="Q113" i="10"/>
  <c r="O113" i="10"/>
  <c r="P113" i="10" s="1"/>
  <c r="N113" i="10"/>
  <c r="M113" i="10"/>
  <c r="S112" i="10"/>
  <c r="R112" i="10"/>
  <c r="Q112" i="10"/>
  <c r="O112" i="10"/>
  <c r="P112" i="10" s="1"/>
  <c r="N112" i="10"/>
  <c r="M112" i="10"/>
  <c r="S111" i="10"/>
  <c r="R111" i="10"/>
  <c r="Q111" i="10"/>
  <c r="O111" i="10"/>
  <c r="P111" i="10" s="1"/>
  <c r="N111" i="10"/>
  <c r="M111" i="10"/>
  <c r="S110" i="10"/>
  <c r="R110" i="10"/>
  <c r="Q110" i="10"/>
  <c r="O110" i="10"/>
  <c r="P110" i="10" s="1"/>
  <c r="N110" i="10"/>
  <c r="M110" i="10"/>
  <c r="S109" i="10"/>
  <c r="R109" i="10"/>
  <c r="Q109" i="10"/>
  <c r="O109" i="10"/>
  <c r="P109" i="10" s="1"/>
  <c r="N109" i="10"/>
  <c r="M109" i="10"/>
  <c r="S108" i="10"/>
  <c r="R108" i="10"/>
  <c r="Q108" i="10"/>
  <c r="O108" i="10"/>
  <c r="P108" i="10" s="1"/>
  <c r="N108" i="10"/>
  <c r="M108" i="10"/>
  <c r="S107" i="10"/>
  <c r="R107" i="10"/>
  <c r="Q107" i="10"/>
  <c r="O107" i="10"/>
  <c r="P107" i="10" s="1"/>
  <c r="N107" i="10"/>
  <c r="M107" i="10"/>
  <c r="S106" i="10"/>
  <c r="R106" i="10"/>
  <c r="Q106" i="10"/>
  <c r="O106" i="10"/>
  <c r="P106" i="10" s="1"/>
  <c r="N106" i="10"/>
  <c r="M106" i="10"/>
  <c r="S105" i="10"/>
  <c r="R105" i="10"/>
  <c r="Q105" i="10"/>
  <c r="O105" i="10"/>
  <c r="P105" i="10" s="1"/>
  <c r="N105" i="10"/>
  <c r="M105" i="10"/>
  <c r="S104" i="10"/>
  <c r="R104" i="10"/>
  <c r="Q104" i="10"/>
  <c r="O104" i="10"/>
  <c r="P104" i="10" s="1"/>
  <c r="N104" i="10"/>
  <c r="M104" i="10"/>
  <c r="S103" i="10"/>
  <c r="R103" i="10"/>
  <c r="Q103" i="10"/>
  <c r="O103" i="10"/>
  <c r="P103" i="10" s="1"/>
  <c r="N103" i="10"/>
  <c r="M103" i="10"/>
  <c r="S102" i="10"/>
  <c r="R102" i="10"/>
  <c r="Q102" i="10"/>
  <c r="O102" i="10"/>
  <c r="P102" i="10" s="1"/>
  <c r="N102" i="10"/>
  <c r="M102" i="10"/>
  <c r="S101" i="10"/>
  <c r="R101" i="10"/>
  <c r="Q101" i="10"/>
  <c r="O101" i="10"/>
  <c r="P101" i="10" s="1"/>
  <c r="N101" i="10"/>
  <c r="M101" i="10"/>
  <c r="S100" i="10"/>
  <c r="R100" i="10"/>
  <c r="Q100" i="10"/>
  <c r="O100" i="10"/>
  <c r="P100" i="10" s="1"/>
  <c r="N100" i="10"/>
  <c r="M100" i="10"/>
  <c r="S99" i="10"/>
  <c r="R99" i="10"/>
  <c r="Q99" i="10"/>
  <c r="O99" i="10"/>
  <c r="P99" i="10" s="1"/>
  <c r="N99" i="10"/>
  <c r="M99" i="10"/>
  <c r="S98" i="10"/>
  <c r="R98" i="10"/>
  <c r="Q98" i="10"/>
  <c r="O98" i="10"/>
  <c r="P98" i="10" s="1"/>
  <c r="N98" i="10"/>
  <c r="M98" i="10"/>
  <c r="S97" i="10"/>
  <c r="R97" i="10"/>
  <c r="Q97" i="10"/>
  <c r="O97" i="10"/>
  <c r="P97" i="10" s="1"/>
  <c r="N97" i="10"/>
  <c r="M97" i="10"/>
  <c r="S96" i="10"/>
  <c r="R96" i="10"/>
  <c r="Q96" i="10"/>
  <c r="O96" i="10"/>
  <c r="P96" i="10" s="1"/>
  <c r="N96" i="10"/>
  <c r="M96" i="10"/>
  <c r="S95" i="10"/>
  <c r="R95" i="10"/>
  <c r="Q95" i="10"/>
  <c r="O95" i="10"/>
  <c r="P95" i="10" s="1"/>
  <c r="N95" i="10"/>
  <c r="M95" i="10"/>
  <c r="S94" i="10"/>
  <c r="R94" i="10"/>
  <c r="Q94" i="10"/>
  <c r="O94" i="10"/>
  <c r="P94" i="10" s="1"/>
  <c r="N94" i="10"/>
  <c r="M94" i="10"/>
  <c r="S93" i="10"/>
  <c r="R93" i="10"/>
  <c r="Q93" i="10"/>
  <c r="O93" i="10"/>
  <c r="P93" i="10" s="1"/>
  <c r="N93" i="10"/>
  <c r="M93" i="10"/>
  <c r="S92" i="10"/>
  <c r="R92" i="10"/>
  <c r="Q92" i="10"/>
  <c r="O92" i="10"/>
  <c r="P92" i="10" s="1"/>
  <c r="N92" i="10"/>
  <c r="M92" i="10"/>
  <c r="S91" i="10"/>
  <c r="R91" i="10"/>
  <c r="Q91" i="10"/>
  <c r="O91" i="10"/>
  <c r="P91" i="10" s="1"/>
  <c r="N91" i="10"/>
  <c r="M91" i="10"/>
  <c r="S90" i="10"/>
  <c r="R90" i="10"/>
  <c r="Q90" i="10"/>
  <c r="O90" i="10"/>
  <c r="P90" i="10" s="1"/>
  <c r="N90" i="10"/>
  <c r="M90" i="10"/>
  <c r="S89" i="10"/>
  <c r="R89" i="10"/>
  <c r="Q89" i="10"/>
  <c r="P89" i="10"/>
  <c r="O89" i="10"/>
  <c r="N89" i="10"/>
  <c r="M89" i="10"/>
  <c r="S88" i="10"/>
  <c r="R88" i="10"/>
  <c r="Q88" i="10"/>
  <c r="O88" i="10"/>
  <c r="P88" i="10" s="1"/>
  <c r="N88" i="10"/>
  <c r="M88" i="10"/>
  <c r="S87" i="10"/>
  <c r="R87" i="10"/>
  <c r="Q87" i="10"/>
  <c r="O87" i="10"/>
  <c r="P87" i="10" s="1"/>
  <c r="N87" i="10"/>
  <c r="M87" i="10"/>
  <c r="S86" i="10"/>
  <c r="R86" i="10"/>
  <c r="Q86" i="10"/>
  <c r="O86" i="10"/>
  <c r="P86" i="10" s="1"/>
  <c r="N86" i="10"/>
  <c r="M86" i="10"/>
  <c r="S85" i="10"/>
  <c r="R85" i="10"/>
  <c r="Q85" i="10"/>
  <c r="O85" i="10"/>
  <c r="P85" i="10" s="1"/>
  <c r="N85" i="10"/>
  <c r="M85" i="10"/>
  <c r="S84" i="10"/>
  <c r="R84" i="10"/>
  <c r="Q84" i="10"/>
  <c r="O84" i="10"/>
  <c r="P84" i="10" s="1"/>
  <c r="N84" i="10"/>
  <c r="M84" i="10"/>
  <c r="S83" i="10"/>
  <c r="R83" i="10"/>
  <c r="Q83" i="10"/>
  <c r="O83" i="10"/>
  <c r="P83" i="10" s="1"/>
  <c r="N83" i="10"/>
  <c r="M83" i="10"/>
  <c r="S82" i="10"/>
  <c r="R82" i="10"/>
  <c r="Q82" i="10"/>
  <c r="O82" i="10"/>
  <c r="P82" i="10" s="1"/>
  <c r="N82" i="10"/>
  <c r="M82" i="10"/>
  <c r="S81" i="10"/>
  <c r="R81" i="10"/>
  <c r="Q81" i="10"/>
  <c r="O81" i="10"/>
  <c r="P81" i="10" s="1"/>
  <c r="N81" i="10"/>
  <c r="M81" i="10"/>
  <c r="S80" i="10"/>
  <c r="R80" i="10"/>
  <c r="Q80" i="10"/>
  <c r="O80" i="10"/>
  <c r="P80" i="10" s="1"/>
  <c r="N80" i="10"/>
  <c r="M80" i="10"/>
  <c r="S79" i="10"/>
  <c r="R79" i="10"/>
  <c r="Q79" i="10"/>
  <c r="O79" i="10"/>
  <c r="P79" i="10" s="1"/>
  <c r="N79" i="10"/>
  <c r="M79" i="10"/>
  <c r="S78" i="10"/>
  <c r="R78" i="10"/>
  <c r="Q78" i="10"/>
  <c r="O78" i="10"/>
  <c r="P78" i="10" s="1"/>
  <c r="N78" i="10"/>
  <c r="M78" i="10"/>
  <c r="S77" i="10"/>
  <c r="R77" i="10"/>
  <c r="Q77" i="10"/>
  <c r="O77" i="10"/>
  <c r="P77" i="10" s="1"/>
  <c r="N77" i="10"/>
  <c r="M77" i="10"/>
  <c r="S76" i="10"/>
  <c r="R76" i="10"/>
  <c r="Q76" i="10"/>
  <c r="O76" i="10"/>
  <c r="P76" i="10" s="1"/>
  <c r="N76" i="10"/>
  <c r="M76" i="10"/>
  <c r="S75" i="10"/>
  <c r="R75" i="10"/>
  <c r="Q75" i="10"/>
  <c r="O75" i="10"/>
  <c r="P75" i="10" s="1"/>
  <c r="N75" i="10"/>
  <c r="M75" i="10"/>
  <c r="S74" i="10"/>
  <c r="R74" i="10"/>
  <c r="Q74" i="10"/>
  <c r="O74" i="10"/>
  <c r="P74" i="10" s="1"/>
  <c r="N74" i="10"/>
  <c r="M74" i="10"/>
  <c r="S73" i="10"/>
  <c r="R73" i="10"/>
  <c r="Q73" i="10"/>
  <c r="O73" i="10"/>
  <c r="P73" i="10" s="1"/>
  <c r="N73" i="10"/>
  <c r="M73" i="10"/>
  <c r="S72" i="10"/>
  <c r="R72" i="10"/>
  <c r="Q72" i="10"/>
  <c r="O72" i="10"/>
  <c r="P72" i="10" s="1"/>
  <c r="N72" i="10"/>
  <c r="M72" i="10"/>
  <c r="S71" i="10"/>
  <c r="R71" i="10"/>
  <c r="Q71" i="10"/>
  <c r="O71" i="10"/>
  <c r="P71" i="10" s="1"/>
  <c r="N71" i="10"/>
  <c r="M71" i="10"/>
  <c r="S70" i="10"/>
  <c r="R70" i="10"/>
  <c r="Q70" i="10"/>
  <c r="O70" i="10"/>
  <c r="P70" i="10" s="1"/>
  <c r="N70" i="10"/>
  <c r="M70" i="10"/>
  <c r="S69" i="10"/>
  <c r="R69" i="10"/>
  <c r="Q69" i="10"/>
  <c r="O69" i="10"/>
  <c r="P69" i="10" s="1"/>
  <c r="N69" i="10"/>
  <c r="M69" i="10"/>
  <c r="S68" i="10"/>
  <c r="R68" i="10"/>
  <c r="Q68" i="10"/>
  <c r="O68" i="10"/>
  <c r="P68" i="10" s="1"/>
  <c r="N68" i="10"/>
  <c r="M68" i="10"/>
  <c r="S67" i="10"/>
  <c r="R67" i="10"/>
  <c r="Q67" i="10"/>
  <c r="O67" i="10"/>
  <c r="P67" i="10" s="1"/>
  <c r="N67" i="10"/>
  <c r="M67" i="10"/>
  <c r="S66" i="10"/>
  <c r="R66" i="10"/>
  <c r="Q66" i="10"/>
  <c r="O66" i="10"/>
  <c r="P66" i="10" s="1"/>
  <c r="N66" i="10"/>
  <c r="M66" i="10"/>
  <c r="S65" i="10"/>
  <c r="R65" i="10"/>
  <c r="Q65" i="10"/>
  <c r="O65" i="10"/>
  <c r="P65" i="10" s="1"/>
  <c r="N65" i="10"/>
  <c r="M65" i="10"/>
  <c r="S64" i="10"/>
  <c r="R64" i="10"/>
  <c r="Q64" i="10"/>
  <c r="O64" i="10"/>
  <c r="P64" i="10" s="1"/>
  <c r="N64" i="10"/>
  <c r="M64" i="10"/>
  <c r="S63" i="10"/>
  <c r="R63" i="10"/>
  <c r="Q63" i="10"/>
  <c r="O63" i="10"/>
  <c r="P63" i="10" s="1"/>
  <c r="N63" i="10"/>
  <c r="M63" i="10"/>
  <c r="S62" i="10"/>
  <c r="R62" i="10"/>
  <c r="Q62" i="10"/>
  <c r="O62" i="10"/>
  <c r="P62" i="10" s="1"/>
  <c r="N62" i="10"/>
  <c r="M62" i="10"/>
  <c r="S61" i="10"/>
  <c r="R61" i="10"/>
  <c r="Q61" i="10"/>
  <c r="O61" i="10"/>
  <c r="P61" i="10" s="1"/>
  <c r="N61" i="10"/>
  <c r="M61" i="10"/>
  <c r="S60" i="10"/>
  <c r="R60" i="10"/>
  <c r="Q60" i="10"/>
  <c r="O60" i="10"/>
  <c r="P60" i="10" s="1"/>
  <c r="N60" i="10"/>
  <c r="M60" i="10"/>
  <c r="S59" i="10"/>
  <c r="R59" i="10"/>
  <c r="Q59" i="10"/>
  <c r="O59" i="10"/>
  <c r="P59" i="10" s="1"/>
  <c r="N59" i="10"/>
  <c r="M59" i="10"/>
  <c r="S58" i="10"/>
  <c r="R58" i="10"/>
  <c r="Q58" i="10"/>
  <c r="O58" i="10"/>
  <c r="P58" i="10" s="1"/>
  <c r="N58" i="10"/>
  <c r="M58" i="10"/>
  <c r="S57" i="10"/>
  <c r="R57" i="10"/>
  <c r="Q57" i="10"/>
  <c r="O57" i="10"/>
  <c r="P57" i="10" s="1"/>
  <c r="N57" i="10"/>
  <c r="M57" i="10"/>
  <c r="S56" i="10"/>
  <c r="R56" i="10"/>
  <c r="Q56" i="10"/>
  <c r="O56" i="10"/>
  <c r="P56" i="10" s="1"/>
  <c r="N56" i="10"/>
  <c r="M56" i="10"/>
  <c r="S55" i="10"/>
  <c r="R55" i="10"/>
  <c r="Q55" i="10"/>
  <c r="O55" i="10"/>
  <c r="P55" i="10" s="1"/>
  <c r="N55" i="10"/>
  <c r="M55" i="10"/>
  <c r="S54" i="10"/>
  <c r="R54" i="10"/>
  <c r="Q54" i="10"/>
  <c r="O54" i="10"/>
  <c r="P54" i="10" s="1"/>
  <c r="N54" i="10"/>
  <c r="M54" i="10"/>
  <c r="S53" i="10"/>
  <c r="R53" i="10"/>
  <c r="Q53" i="10"/>
  <c r="O53" i="10"/>
  <c r="P53" i="10" s="1"/>
  <c r="N53" i="10"/>
  <c r="M53" i="10"/>
  <c r="S52" i="10"/>
  <c r="R52" i="10"/>
  <c r="Q52" i="10"/>
  <c r="O52" i="10"/>
  <c r="P52" i="10" s="1"/>
  <c r="N52" i="10"/>
  <c r="M52" i="10"/>
  <c r="S51" i="10"/>
  <c r="R51" i="10"/>
  <c r="Q51" i="10"/>
  <c r="O51" i="10"/>
  <c r="P51" i="10" s="1"/>
  <c r="N51" i="10"/>
  <c r="M51" i="10"/>
  <c r="S50" i="10"/>
  <c r="R50" i="10"/>
  <c r="Q50" i="10"/>
  <c r="O50" i="10"/>
  <c r="P50" i="10" s="1"/>
  <c r="N50" i="10"/>
  <c r="M50" i="10"/>
  <c r="S49" i="10"/>
  <c r="R49" i="10"/>
  <c r="Q49" i="10"/>
  <c r="O49" i="10"/>
  <c r="P49" i="10" s="1"/>
  <c r="N49" i="10"/>
  <c r="M49" i="10"/>
  <c r="S48" i="10"/>
  <c r="R48" i="10"/>
  <c r="Q48" i="10"/>
  <c r="O48" i="10"/>
  <c r="P48" i="10" s="1"/>
  <c r="N48" i="10"/>
  <c r="M48" i="10"/>
  <c r="S47" i="10"/>
  <c r="R47" i="10"/>
  <c r="Q47" i="10"/>
  <c r="O47" i="10"/>
  <c r="P47" i="10" s="1"/>
  <c r="N47" i="10"/>
  <c r="M47" i="10"/>
  <c r="S46" i="10"/>
  <c r="R46" i="10"/>
  <c r="Q46" i="10"/>
  <c r="O46" i="10"/>
  <c r="P46" i="10" s="1"/>
  <c r="N46" i="10"/>
  <c r="M46" i="10"/>
  <c r="S45" i="10"/>
  <c r="R45" i="10"/>
  <c r="Q45" i="10"/>
  <c r="O45" i="10"/>
  <c r="P45" i="10" s="1"/>
  <c r="N45" i="10"/>
  <c r="M45" i="10"/>
  <c r="S44" i="10"/>
  <c r="R44" i="10"/>
  <c r="Q44" i="10"/>
  <c r="O44" i="10"/>
  <c r="P44" i="10" s="1"/>
  <c r="N44" i="10"/>
  <c r="M44" i="10"/>
  <c r="S43" i="10"/>
  <c r="R43" i="10"/>
  <c r="Q43" i="10"/>
  <c r="O43" i="10"/>
  <c r="P43" i="10" s="1"/>
  <c r="N43" i="10"/>
  <c r="M43" i="10"/>
  <c r="S42" i="10"/>
  <c r="R42" i="10"/>
  <c r="Q42" i="10"/>
  <c r="O42" i="10"/>
  <c r="P42" i="10" s="1"/>
  <c r="N42" i="10"/>
  <c r="M42" i="10"/>
  <c r="S41" i="10"/>
  <c r="R41" i="10"/>
  <c r="Q41" i="10"/>
  <c r="O41" i="10"/>
  <c r="P41" i="10" s="1"/>
  <c r="N41" i="10"/>
  <c r="M41" i="10"/>
  <c r="S40" i="10"/>
  <c r="R40" i="10"/>
  <c r="Q40" i="10"/>
  <c r="O40" i="10"/>
  <c r="P40" i="10" s="1"/>
  <c r="N40" i="10"/>
  <c r="M40" i="10"/>
  <c r="S39" i="10"/>
  <c r="R39" i="10"/>
  <c r="Q39" i="10"/>
  <c r="O39" i="10"/>
  <c r="P39" i="10" s="1"/>
  <c r="N39" i="10"/>
  <c r="M39" i="10"/>
  <c r="S38" i="10"/>
  <c r="R38" i="10"/>
  <c r="Q38" i="10"/>
  <c r="O38" i="10"/>
  <c r="P38" i="10" s="1"/>
  <c r="N38" i="10"/>
  <c r="M38" i="10"/>
  <c r="S37" i="10"/>
  <c r="R37" i="10"/>
  <c r="Q37" i="10"/>
  <c r="O37" i="10"/>
  <c r="P37" i="10" s="1"/>
  <c r="N37" i="10"/>
  <c r="M37" i="10"/>
  <c r="S36" i="10"/>
  <c r="R36" i="10"/>
  <c r="Q36" i="10"/>
  <c r="O36" i="10"/>
  <c r="P36" i="10" s="1"/>
  <c r="N36" i="10"/>
  <c r="M36" i="10"/>
  <c r="S35" i="10"/>
  <c r="R35" i="10"/>
  <c r="Q35" i="10"/>
  <c r="O35" i="10"/>
  <c r="P35" i="10" s="1"/>
  <c r="N35" i="10"/>
  <c r="M35" i="10"/>
  <c r="S17" i="10"/>
  <c r="R17" i="10"/>
  <c r="Q17" i="10"/>
  <c r="O17" i="10"/>
  <c r="P17" i="10" s="1"/>
  <c r="N17" i="10"/>
  <c r="M17" i="10"/>
  <c r="S16" i="10"/>
  <c r="R16" i="10"/>
  <c r="O16" i="10"/>
  <c r="P16" i="10" s="1"/>
  <c r="N16" i="10"/>
  <c r="M16" i="10"/>
  <c r="S15" i="10"/>
  <c r="R15" i="10"/>
  <c r="Q15" i="10"/>
  <c r="O15" i="10"/>
  <c r="P15" i="10" s="1"/>
  <c r="N15" i="10"/>
  <c r="M15" i="10"/>
  <c r="S14" i="10"/>
  <c r="R14" i="10"/>
  <c r="Q14" i="10"/>
  <c r="O14" i="10"/>
  <c r="P14" i="10" s="1"/>
  <c r="N14" i="10"/>
  <c r="M14" i="10"/>
  <c r="S13" i="10"/>
  <c r="R13" i="10"/>
  <c r="O13" i="10"/>
  <c r="P13" i="10" s="1"/>
  <c r="N13" i="10"/>
  <c r="M13" i="10"/>
  <c r="S12" i="10"/>
  <c r="R12" i="10"/>
  <c r="O12" i="10"/>
  <c r="P12" i="10" s="1"/>
  <c r="N12" i="10"/>
  <c r="M12" i="10"/>
  <c r="S11" i="10"/>
  <c r="R11" i="10"/>
  <c r="O11" i="10"/>
  <c r="P11" i="10" s="1"/>
  <c r="N11" i="10"/>
  <c r="M11" i="10"/>
  <c r="S10" i="10"/>
  <c r="R10" i="10"/>
  <c r="O10" i="10"/>
  <c r="P10" i="10" s="1"/>
  <c r="N10" i="10"/>
  <c r="M10" i="10"/>
  <c r="S9" i="10"/>
  <c r="R9" i="10"/>
  <c r="Q9" i="10"/>
  <c r="O9" i="10"/>
  <c r="P9" i="10" s="1"/>
  <c r="N9" i="10"/>
  <c r="M9" i="10"/>
  <c r="S8" i="10"/>
  <c r="R8" i="10"/>
  <c r="Q8" i="10"/>
  <c r="O8" i="10"/>
  <c r="P8" i="10" s="1"/>
  <c r="N8" i="10"/>
  <c r="M8" i="10"/>
  <c r="S7" i="10"/>
  <c r="R7" i="10"/>
  <c r="O7" i="10"/>
  <c r="P7" i="10" s="1"/>
  <c r="N7" i="10"/>
  <c r="M7" i="10"/>
  <c r="S6" i="10"/>
  <c r="R6" i="10"/>
  <c r="O6" i="10"/>
  <c r="P6" i="10" s="1"/>
  <c r="N6" i="10"/>
  <c r="M6" i="10"/>
  <c r="P305" i="9"/>
  <c r="P304" i="9"/>
  <c r="P303" i="9"/>
  <c r="P302" i="9"/>
  <c r="P301" i="9"/>
  <c r="P300" i="9"/>
  <c r="P299" i="9"/>
  <c r="P298" i="9"/>
  <c r="P297" i="9"/>
  <c r="P296" i="9"/>
  <c r="P295" i="9"/>
  <c r="P294" i="9"/>
  <c r="P293" i="9"/>
  <c r="P292" i="9"/>
  <c r="P291" i="9"/>
  <c r="P290" i="9"/>
  <c r="P289" i="9"/>
  <c r="P288" i="9"/>
  <c r="P287" i="9"/>
  <c r="P286" i="9"/>
  <c r="P285" i="9"/>
  <c r="P284" i="9"/>
  <c r="P283" i="9"/>
  <c r="P282" i="9"/>
  <c r="P281" i="9"/>
  <c r="P280" i="9"/>
  <c r="P279" i="9"/>
  <c r="P278" i="9"/>
  <c r="P277" i="9"/>
  <c r="P276" i="9"/>
  <c r="P275" i="9"/>
  <c r="P274" i="9"/>
  <c r="P273" i="9"/>
  <c r="P272" i="9"/>
  <c r="P271" i="9"/>
  <c r="P270" i="9"/>
  <c r="P269" i="9"/>
  <c r="P268" i="9"/>
  <c r="P267" i="9"/>
  <c r="P266" i="9"/>
  <c r="P265" i="9"/>
  <c r="P264" i="9"/>
  <c r="P263" i="9"/>
  <c r="P262" i="9"/>
  <c r="P261" i="9"/>
  <c r="P260" i="9"/>
  <c r="P259" i="9"/>
  <c r="P258" i="9"/>
  <c r="P257" i="9"/>
  <c r="P256" i="9"/>
  <c r="P255" i="9"/>
  <c r="P254" i="9"/>
  <c r="P253" i="9"/>
  <c r="P252" i="9"/>
  <c r="P251" i="9"/>
  <c r="P250" i="9"/>
  <c r="P249" i="9"/>
  <c r="P248" i="9"/>
  <c r="P247" i="9"/>
  <c r="P246" i="9"/>
  <c r="P245" i="9"/>
  <c r="P244" i="9"/>
  <c r="P243" i="9"/>
  <c r="P242" i="9"/>
  <c r="P241" i="9"/>
  <c r="P240" i="9"/>
  <c r="P239" i="9"/>
  <c r="P238" i="9"/>
  <c r="P237" i="9"/>
  <c r="P236" i="9"/>
  <c r="P235" i="9"/>
  <c r="P234" i="9"/>
  <c r="P233" i="9"/>
  <c r="P232" i="9"/>
  <c r="P231" i="9"/>
  <c r="P230" i="9"/>
  <c r="P229" i="9"/>
  <c r="P228" i="9"/>
  <c r="P227" i="9"/>
  <c r="P226" i="9"/>
  <c r="P225" i="9"/>
  <c r="P224" i="9"/>
  <c r="P223" i="9"/>
  <c r="P222" i="9"/>
  <c r="P221" i="9"/>
  <c r="P220" i="9"/>
  <c r="P219" i="9"/>
  <c r="P218" i="9"/>
  <c r="P217" i="9"/>
  <c r="P216" i="9"/>
  <c r="P215" i="9"/>
  <c r="P214" i="9"/>
  <c r="P213" i="9"/>
  <c r="P212" i="9"/>
  <c r="P211" i="9"/>
  <c r="P210" i="9"/>
  <c r="P209" i="9"/>
  <c r="P208" i="9"/>
  <c r="P207" i="9"/>
  <c r="P206" i="9"/>
  <c r="P205" i="9"/>
  <c r="P204" i="9"/>
  <c r="P203" i="9"/>
  <c r="P202" i="9"/>
  <c r="P201" i="9"/>
  <c r="P200" i="9"/>
  <c r="P199" i="9"/>
  <c r="P198" i="9"/>
  <c r="P197" i="9"/>
  <c r="P196" i="9"/>
  <c r="P195" i="9"/>
  <c r="P194" i="9"/>
  <c r="P193" i="9"/>
  <c r="P192" i="9"/>
  <c r="P191" i="9"/>
  <c r="P190" i="9"/>
  <c r="P189" i="9"/>
  <c r="P188" i="9"/>
  <c r="P187" i="9"/>
  <c r="P186" i="9"/>
  <c r="P185" i="9"/>
  <c r="P184" i="9"/>
  <c r="P183" i="9"/>
  <c r="P182" i="9"/>
  <c r="P181" i="9"/>
  <c r="P180" i="9"/>
  <c r="P179" i="9"/>
  <c r="P178" i="9"/>
  <c r="P177" i="9"/>
  <c r="P176" i="9"/>
  <c r="P175" i="9"/>
  <c r="P174" i="9"/>
  <c r="P173" i="9"/>
  <c r="P172" i="9"/>
  <c r="P171" i="9"/>
  <c r="P170" i="9"/>
  <c r="P169" i="9"/>
  <c r="P168" i="9"/>
  <c r="P167" i="9"/>
  <c r="P166" i="9"/>
  <c r="P165" i="9"/>
  <c r="P164" i="9"/>
  <c r="P163" i="9"/>
  <c r="P162" i="9"/>
  <c r="P161" i="9"/>
  <c r="P160" i="9"/>
  <c r="P159" i="9"/>
  <c r="P158" i="9"/>
  <c r="P157" i="9"/>
  <c r="P156" i="9"/>
  <c r="P155" i="9"/>
  <c r="P154" i="9"/>
  <c r="P153" i="9"/>
  <c r="P152" i="9"/>
  <c r="P151" i="9"/>
  <c r="P150" i="9"/>
  <c r="P149" i="9"/>
  <c r="P148" i="9"/>
  <c r="P147" i="9"/>
  <c r="P146" i="9"/>
  <c r="P145" i="9"/>
  <c r="P144" i="9"/>
  <c r="P143" i="9"/>
  <c r="P142" i="9"/>
  <c r="P141" i="9"/>
  <c r="P140" i="9"/>
  <c r="P139" i="9"/>
  <c r="P138" i="9"/>
  <c r="P137" i="9"/>
  <c r="P136" i="9"/>
  <c r="P135" i="9"/>
  <c r="P134" i="9"/>
  <c r="P133" i="9"/>
  <c r="P132" i="9"/>
  <c r="P131" i="9"/>
  <c r="P130" i="9"/>
  <c r="P129" i="9"/>
  <c r="P128" i="9"/>
  <c r="P127" i="9"/>
  <c r="P126" i="9"/>
  <c r="P125" i="9"/>
  <c r="P124" i="9"/>
  <c r="P123" i="9"/>
  <c r="P122" i="9"/>
  <c r="P121" i="9"/>
  <c r="P120" i="9"/>
  <c r="P119" i="9"/>
  <c r="P118" i="9"/>
  <c r="P117" i="9"/>
  <c r="P116" i="9"/>
  <c r="P115" i="9"/>
  <c r="P114" i="9"/>
  <c r="P113" i="9"/>
  <c r="P112" i="9"/>
  <c r="P111" i="9"/>
  <c r="P110" i="9"/>
  <c r="P109" i="9"/>
  <c r="P108" i="9"/>
  <c r="P107" i="9"/>
  <c r="P106" i="9"/>
  <c r="P105" i="9"/>
  <c r="P104" i="9"/>
  <c r="P103" i="9"/>
  <c r="P102" i="9"/>
  <c r="P101" i="9"/>
  <c r="P100" i="9"/>
  <c r="P99" i="9"/>
  <c r="P98" i="9"/>
  <c r="P97" i="9"/>
  <c r="P96" i="9"/>
  <c r="P95" i="9"/>
  <c r="P94" i="9"/>
  <c r="P93" i="9"/>
  <c r="P92" i="9"/>
  <c r="P91" i="9"/>
  <c r="P90" i="9"/>
  <c r="P89" i="9"/>
  <c r="P88" i="9"/>
  <c r="P87" i="9"/>
  <c r="P86" i="9"/>
  <c r="P85" i="9"/>
  <c r="P84" i="9"/>
  <c r="P83" i="9"/>
  <c r="P82" i="9"/>
  <c r="P81" i="9"/>
  <c r="P80" i="9"/>
  <c r="P79" i="9"/>
  <c r="P78" i="9"/>
  <c r="P77" i="9"/>
  <c r="P76" i="9"/>
  <c r="P75" i="9"/>
  <c r="P74" i="9"/>
  <c r="P73" i="9"/>
  <c r="P72" i="9"/>
  <c r="P71" i="9"/>
  <c r="P70" i="9"/>
  <c r="P69" i="9"/>
  <c r="P68" i="9"/>
  <c r="P67" i="9"/>
  <c r="P66" i="9"/>
  <c r="P65" i="9"/>
  <c r="P64" i="9"/>
  <c r="P63" i="9"/>
  <c r="P62" i="9"/>
  <c r="P61" i="9"/>
  <c r="P60" i="9"/>
  <c r="P59" i="9"/>
  <c r="P58" i="9"/>
  <c r="P57" i="9"/>
  <c r="P56" i="9"/>
  <c r="P55" i="9"/>
  <c r="P54" i="9"/>
  <c r="P53" i="9"/>
  <c r="P52" i="9"/>
  <c r="P51" i="9"/>
  <c r="P50" i="9"/>
  <c r="P49" i="9"/>
  <c r="P48" i="9"/>
  <c r="P47" i="9"/>
  <c r="P46" i="9"/>
  <c r="P45" i="9"/>
  <c r="P44" i="9"/>
  <c r="P43" i="9"/>
  <c r="P42" i="9"/>
  <c r="P41" i="9"/>
  <c r="P40" i="9"/>
  <c r="P39" i="9"/>
  <c r="P38" i="9"/>
  <c r="P37" i="9"/>
  <c r="P36" i="9"/>
  <c r="P35" i="9"/>
  <c r="P34" i="9"/>
  <c r="P33" i="9"/>
  <c r="P32" i="9"/>
  <c r="P31" i="9"/>
  <c r="P30" i="9"/>
  <c r="P29" i="9"/>
  <c r="P28" i="9"/>
  <c r="P27" i="9"/>
  <c r="P26" i="9"/>
  <c r="P25" i="9"/>
  <c r="P24" i="9"/>
  <c r="P23" i="9"/>
  <c r="P21" i="9"/>
  <c r="P18" i="9"/>
  <c r="P16" i="9"/>
  <c r="P15" i="9"/>
  <c r="I15" i="9"/>
  <c r="R24" i="9"/>
  <c r="Q24" i="9"/>
  <c r="N24" i="9"/>
  <c r="O24" i="9" s="1"/>
  <c r="M24" i="9"/>
  <c r="L24" i="9"/>
  <c r="R23" i="9"/>
  <c r="Q23" i="9"/>
  <c r="N23" i="9"/>
  <c r="O23" i="9" s="1"/>
  <c r="M23" i="9"/>
  <c r="L23" i="9"/>
  <c r="R22" i="9"/>
  <c r="Q22" i="9"/>
  <c r="N22" i="9"/>
  <c r="O22" i="9" s="1"/>
  <c r="M22" i="9"/>
  <c r="L22" i="9"/>
  <c r="P22" i="9" s="1"/>
  <c r="R21" i="9"/>
  <c r="Q21" i="9"/>
  <c r="N21" i="9"/>
  <c r="O21" i="9" s="1"/>
  <c r="M21" i="9"/>
  <c r="L21" i="9"/>
  <c r="R20" i="9"/>
  <c r="Q20" i="9"/>
  <c r="N20" i="9"/>
  <c r="O20" i="9" s="1"/>
  <c r="M20" i="9"/>
  <c r="L20" i="9"/>
  <c r="P20" i="9" s="1"/>
  <c r="R19" i="9"/>
  <c r="Q19" i="9"/>
  <c r="N19" i="9"/>
  <c r="O19" i="9" s="1"/>
  <c r="M19" i="9"/>
  <c r="L19" i="9"/>
  <c r="P19" i="9" s="1"/>
  <c r="R18" i="9"/>
  <c r="Q18" i="9"/>
  <c r="N18" i="9"/>
  <c r="O18" i="9" s="1"/>
  <c r="M18" i="9"/>
  <c r="L18" i="9"/>
  <c r="R17" i="9"/>
  <c r="Q17" i="9"/>
  <c r="N17" i="9"/>
  <c r="O17" i="9" s="1"/>
  <c r="M17" i="9"/>
  <c r="L17" i="9"/>
  <c r="P17" i="9" s="1"/>
  <c r="R305" i="9"/>
  <c r="R304" i="9"/>
  <c r="R303" i="9"/>
  <c r="R302" i="9"/>
  <c r="R301" i="9"/>
  <c r="R300" i="9"/>
  <c r="R299" i="9"/>
  <c r="R298" i="9"/>
  <c r="R297" i="9"/>
  <c r="R296" i="9"/>
  <c r="R295" i="9"/>
  <c r="R294" i="9"/>
  <c r="R293" i="9"/>
  <c r="R292" i="9"/>
  <c r="R291" i="9"/>
  <c r="R290" i="9"/>
  <c r="R289" i="9"/>
  <c r="R288" i="9"/>
  <c r="R287" i="9"/>
  <c r="R286" i="9"/>
  <c r="R285" i="9"/>
  <c r="R284" i="9"/>
  <c r="R283" i="9"/>
  <c r="R282" i="9"/>
  <c r="R281" i="9"/>
  <c r="R280" i="9"/>
  <c r="R279" i="9"/>
  <c r="R278" i="9"/>
  <c r="R277" i="9"/>
  <c r="R276" i="9"/>
  <c r="R275" i="9"/>
  <c r="R274" i="9"/>
  <c r="R273" i="9"/>
  <c r="R272" i="9"/>
  <c r="R271" i="9"/>
  <c r="R270" i="9"/>
  <c r="R269" i="9"/>
  <c r="R268" i="9"/>
  <c r="R267" i="9"/>
  <c r="R266" i="9"/>
  <c r="R265" i="9"/>
  <c r="R264" i="9"/>
  <c r="R263" i="9"/>
  <c r="R262" i="9"/>
  <c r="R261" i="9"/>
  <c r="R260" i="9"/>
  <c r="R259" i="9"/>
  <c r="R258" i="9"/>
  <c r="R257" i="9"/>
  <c r="R256" i="9"/>
  <c r="R255" i="9"/>
  <c r="R254" i="9"/>
  <c r="R253" i="9"/>
  <c r="R252" i="9"/>
  <c r="R251" i="9"/>
  <c r="R250" i="9"/>
  <c r="R249" i="9"/>
  <c r="R248" i="9"/>
  <c r="R247" i="9"/>
  <c r="R246" i="9"/>
  <c r="R245" i="9"/>
  <c r="R244" i="9"/>
  <c r="R243" i="9"/>
  <c r="R242" i="9"/>
  <c r="R241" i="9"/>
  <c r="R240" i="9"/>
  <c r="R239" i="9"/>
  <c r="R238" i="9"/>
  <c r="R237" i="9"/>
  <c r="R236" i="9"/>
  <c r="R235" i="9"/>
  <c r="R234" i="9"/>
  <c r="R233" i="9"/>
  <c r="R232" i="9"/>
  <c r="R231" i="9"/>
  <c r="R230" i="9"/>
  <c r="R229" i="9"/>
  <c r="R228" i="9"/>
  <c r="R227" i="9"/>
  <c r="R226" i="9"/>
  <c r="R225" i="9"/>
  <c r="R224" i="9"/>
  <c r="R223" i="9"/>
  <c r="R222" i="9"/>
  <c r="R221" i="9"/>
  <c r="R220" i="9"/>
  <c r="R219" i="9"/>
  <c r="R218" i="9"/>
  <c r="R217" i="9"/>
  <c r="R216" i="9"/>
  <c r="R215" i="9"/>
  <c r="R214" i="9"/>
  <c r="R213" i="9"/>
  <c r="R212" i="9"/>
  <c r="R211" i="9"/>
  <c r="R210" i="9"/>
  <c r="R209" i="9"/>
  <c r="R208" i="9"/>
  <c r="R207" i="9"/>
  <c r="R206" i="9"/>
  <c r="R205" i="9"/>
  <c r="R204" i="9"/>
  <c r="R203" i="9"/>
  <c r="R202" i="9"/>
  <c r="R201" i="9"/>
  <c r="R200" i="9"/>
  <c r="R199" i="9"/>
  <c r="R198" i="9"/>
  <c r="R197" i="9"/>
  <c r="R196" i="9"/>
  <c r="R195" i="9"/>
  <c r="R194" i="9"/>
  <c r="R193" i="9"/>
  <c r="R192" i="9"/>
  <c r="R191" i="9"/>
  <c r="R190" i="9"/>
  <c r="R189" i="9"/>
  <c r="R188" i="9"/>
  <c r="R187" i="9"/>
  <c r="R186" i="9"/>
  <c r="R185" i="9"/>
  <c r="R184" i="9"/>
  <c r="R183" i="9"/>
  <c r="R182" i="9"/>
  <c r="R181" i="9"/>
  <c r="R180" i="9"/>
  <c r="R179" i="9"/>
  <c r="R178" i="9"/>
  <c r="R177" i="9"/>
  <c r="R176" i="9"/>
  <c r="R175" i="9"/>
  <c r="R174" i="9"/>
  <c r="R173" i="9"/>
  <c r="R172" i="9"/>
  <c r="R171" i="9"/>
  <c r="R170" i="9"/>
  <c r="R169" i="9"/>
  <c r="R168" i="9"/>
  <c r="R167" i="9"/>
  <c r="R166" i="9"/>
  <c r="R165" i="9"/>
  <c r="R164" i="9"/>
  <c r="R163" i="9"/>
  <c r="R162" i="9"/>
  <c r="R161" i="9"/>
  <c r="R160" i="9"/>
  <c r="R159" i="9"/>
  <c r="R158" i="9"/>
  <c r="R157" i="9"/>
  <c r="R156" i="9"/>
  <c r="R155" i="9"/>
  <c r="R154" i="9"/>
  <c r="R153" i="9"/>
  <c r="R152" i="9"/>
  <c r="R151" i="9"/>
  <c r="R150" i="9"/>
  <c r="R149" i="9"/>
  <c r="R148" i="9"/>
  <c r="R147" i="9"/>
  <c r="R146" i="9"/>
  <c r="R145" i="9"/>
  <c r="R144" i="9"/>
  <c r="R143" i="9"/>
  <c r="R142" i="9"/>
  <c r="R141" i="9"/>
  <c r="R140" i="9"/>
  <c r="R139" i="9"/>
  <c r="R138" i="9"/>
  <c r="R137" i="9"/>
  <c r="R136" i="9"/>
  <c r="R135" i="9"/>
  <c r="R134" i="9"/>
  <c r="R133" i="9"/>
  <c r="R132" i="9"/>
  <c r="R131" i="9"/>
  <c r="R130" i="9"/>
  <c r="R129" i="9"/>
  <c r="R128" i="9"/>
  <c r="R127" i="9"/>
  <c r="R126" i="9"/>
  <c r="R125" i="9"/>
  <c r="R124" i="9"/>
  <c r="R123" i="9"/>
  <c r="R122" i="9"/>
  <c r="R121" i="9"/>
  <c r="R120" i="9"/>
  <c r="R119" i="9"/>
  <c r="R118" i="9"/>
  <c r="R117" i="9"/>
  <c r="R116" i="9"/>
  <c r="R115" i="9"/>
  <c r="R114" i="9"/>
  <c r="R113" i="9"/>
  <c r="R112" i="9"/>
  <c r="R111" i="9"/>
  <c r="R110" i="9"/>
  <c r="R109" i="9"/>
  <c r="R108" i="9"/>
  <c r="R107" i="9"/>
  <c r="R106" i="9"/>
  <c r="R105" i="9"/>
  <c r="R104" i="9"/>
  <c r="R103" i="9"/>
  <c r="R102" i="9"/>
  <c r="R101" i="9"/>
  <c r="R100" i="9"/>
  <c r="R99" i="9"/>
  <c r="R98" i="9"/>
  <c r="R97" i="9"/>
  <c r="R96" i="9"/>
  <c r="R95" i="9"/>
  <c r="R94" i="9"/>
  <c r="R93" i="9"/>
  <c r="R92" i="9"/>
  <c r="R91" i="9"/>
  <c r="R90" i="9"/>
  <c r="R89" i="9"/>
  <c r="R88" i="9"/>
  <c r="R87" i="9"/>
  <c r="R86" i="9"/>
  <c r="R85" i="9"/>
  <c r="R84" i="9"/>
  <c r="R83" i="9"/>
  <c r="R82" i="9"/>
  <c r="R81" i="9"/>
  <c r="R80" i="9"/>
  <c r="R79" i="9"/>
  <c r="R78" i="9"/>
  <c r="R77" i="9"/>
  <c r="R76" i="9"/>
  <c r="R75" i="9"/>
  <c r="R74" i="9"/>
  <c r="R73" i="9"/>
  <c r="R72" i="9"/>
  <c r="R71" i="9"/>
  <c r="R70" i="9"/>
  <c r="R69" i="9"/>
  <c r="R68" i="9"/>
  <c r="R67" i="9"/>
  <c r="R66" i="9"/>
  <c r="R65" i="9"/>
  <c r="R64" i="9"/>
  <c r="R63" i="9"/>
  <c r="R62" i="9"/>
  <c r="R61" i="9"/>
  <c r="R60" i="9"/>
  <c r="R59" i="9"/>
  <c r="R58" i="9"/>
  <c r="R57" i="9"/>
  <c r="R56" i="9"/>
  <c r="R55" i="9"/>
  <c r="R54" i="9"/>
  <c r="R53" i="9"/>
  <c r="R52" i="9"/>
  <c r="R51" i="9"/>
  <c r="R50" i="9"/>
  <c r="R49" i="9"/>
  <c r="R48" i="9"/>
  <c r="R47" i="9"/>
  <c r="R46" i="9"/>
  <c r="R45" i="9"/>
  <c r="R44" i="9"/>
  <c r="R43" i="9"/>
  <c r="R42" i="9"/>
  <c r="R41" i="9"/>
  <c r="R40" i="9"/>
  <c r="R39" i="9"/>
  <c r="R38" i="9"/>
  <c r="R37" i="9"/>
  <c r="R36" i="9"/>
  <c r="R35" i="9"/>
  <c r="R34" i="9"/>
  <c r="R33" i="9"/>
  <c r="R32" i="9"/>
  <c r="R31" i="9"/>
  <c r="R30" i="9"/>
  <c r="R29" i="9"/>
  <c r="R28" i="9"/>
  <c r="R27" i="9"/>
  <c r="R26" i="9"/>
  <c r="R25" i="9"/>
  <c r="R16" i="9"/>
  <c r="R15" i="9"/>
  <c r="R11" i="9"/>
  <c r="R10" i="9"/>
  <c r="R9" i="9"/>
  <c r="R8" i="9"/>
  <c r="R7" i="9"/>
  <c r="Q305" i="9"/>
  <c r="Q304" i="9"/>
  <c r="Q303" i="9"/>
  <c r="Q302" i="9"/>
  <c r="Q301" i="9"/>
  <c r="Q300" i="9"/>
  <c r="Q299" i="9"/>
  <c r="Q298" i="9"/>
  <c r="Q297" i="9"/>
  <c r="Q296" i="9"/>
  <c r="Q295" i="9"/>
  <c r="Q294" i="9"/>
  <c r="Q293" i="9"/>
  <c r="Q292" i="9"/>
  <c r="Q291" i="9"/>
  <c r="Q290" i="9"/>
  <c r="Q289" i="9"/>
  <c r="Q288" i="9"/>
  <c r="Q287" i="9"/>
  <c r="Q286" i="9"/>
  <c r="Q285" i="9"/>
  <c r="Q284" i="9"/>
  <c r="Q283" i="9"/>
  <c r="Q282" i="9"/>
  <c r="Q281" i="9"/>
  <c r="Q280" i="9"/>
  <c r="Q279" i="9"/>
  <c r="Q278" i="9"/>
  <c r="Q277" i="9"/>
  <c r="Q276" i="9"/>
  <c r="Q275" i="9"/>
  <c r="Q274" i="9"/>
  <c r="Q273" i="9"/>
  <c r="Q272" i="9"/>
  <c r="Q271" i="9"/>
  <c r="Q270" i="9"/>
  <c r="Q269" i="9"/>
  <c r="Q268" i="9"/>
  <c r="Q267" i="9"/>
  <c r="Q266" i="9"/>
  <c r="Q265" i="9"/>
  <c r="Q264" i="9"/>
  <c r="Q263" i="9"/>
  <c r="Q262" i="9"/>
  <c r="Q261" i="9"/>
  <c r="Q260" i="9"/>
  <c r="Q259" i="9"/>
  <c r="Q258" i="9"/>
  <c r="Q257" i="9"/>
  <c r="Q256" i="9"/>
  <c r="Q255" i="9"/>
  <c r="Q254" i="9"/>
  <c r="Q253" i="9"/>
  <c r="Q252" i="9"/>
  <c r="Q251" i="9"/>
  <c r="Q250" i="9"/>
  <c r="Q249" i="9"/>
  <c r="Q248" i="9"/>
  <c r="Q247" i="9"/>
  <c r="Q246" i="9"/>
  <c r="Q245" i="9"/>
  <c r="Q244" i="9"/>
  <c r="Q243" i="9"/>
  <c r="Q242" i="9"/>
  <c r="Q241" i="9"/>
  <c r="Q240" i="9"/>
  <c r="Q239" i="9"/>
  <c r="Q238" i="9"/>
  <c r="Q237" i="9"/>
  <c r="Q236" i="9"/>
  <c r="Q235" i="9"/>
  <c r="Q234" i="9"/>
  <c r="Q233" i="9"/>
  <c r="Q232" i="9"/>
  <c r="Q231" i="9"/>
  <c r="Q230" i="9"/>
  <c r="Q229" i="9"/>
  <c r="Q228" i="9"/>
  <c r="Q227" i="9"/>
  <c r="Q226" i="9"/>
  <c r="Q225" i="9"/>
  <c r="Q224" i="9"/>
  <c r="Q223" i="9"/>
  <c r="Q222" i="9"/>
  <c r="Q221" i="9"/>
  <c r="Q220" i="9"/>
  <c r="Q219" i="9"/>
  <c r="Q218" i="9"/>
  <c r="Q217" i="9"/>
  <c r="Q216" i="9"/>
  <c r="Q215" i="9"/>
  <c r="Q214" i="9"/>
  <c r="Q213" i="9"/>
  <c r="Q212" i="9"/>
  <c r="Q211" i="9"/>
  <c r="Q210" i="9"/>
  <c r="Q209" i="9"/>
  <c r="Q208" i="9"/>
  <c r="Q207" i="9"/>
  <c r="Q206" i="9"/>
  <c r="Q205" i="9"/>
  <c r="Q204" i="9"/>
  <c r="Q203" i="9"/>
  <c r="Q202" i="9"/>
  <c r="Q201" i="9"/>
  <c r="Q200" i="9"/>
  <c r="Q199" i="9"/>
  <c r="Q198" i="9"/>
  <c r="Q197" i="9"/>
  <c r="Q196" i="9"/>
  <c r="Q195" i="9"/>
  <c r="Q194" i="9"/>
  <c r="Q193" i="9"/>
  <c r="Q192" i="9"/>
  <c r="Q191" i="9"/>
  <c r="Q190" i="9"/>
  <c r="Q189" i="9"/>
  <c r="Q188" i="9"/>
  <c r="Q187" i="9"/>
  <c r="Q186" i="9"/>
  <c r="Q185" i="9"/>
  <c r="Q184" i="9"/>
  <c r="Q183" i="9"/>
  <c r="Q182" i="9"/>
  <c r="Q181" i="9"/>
  <c r="Q180" i="9"/>
  <c r="Q179" i="9"/>
  <c r="Q178" i="9"/>
  <c r="Q177" i="9"/>
  <c r="Q176" i="9"/>
  <c r="Q175" i="9"/>
  <c r="Q174" i="9"/>
  <c r="Q173" i="9"/>
  <c r="Q172" i="9"/>
  <c r="Q171" i="9"/>
  <c r="Q170" i="9"/>
  <c r="Q169" i="9"/>
  <c r="Q168" i="9"/>
  <c r="Q167" i="9"/>
  <c r="Q166" i="9"/>
  <c r="Q165" i="9"/>
  <c r="Q164" i="9"/>
  <c r="Q163" i="9"/>
  <c r="Q162" i="9"/>
  <c r="Q161" i="9"/>
  <c r="Q160" i="9"/>
  <c r="Q159" i="9"/>
  <c r="Q158" i="9"/>
  <c r="Q157" i="9"/>
  <c r="Q156" i="9"/>
  <c r="Q155" i="9"/>
  <c r="Q154" i="9"/>
  <c r="Q153" i="9"/>
  <c r="Q152" i="9"/>
  <c r="Q151" i="9"/>
  <c r="Q150" i="9"/>
  <c r="Q149" i="9"/>
  <c r="Q148" i="9"/>
  <c r="Q147" i="9"/>
  <c r="Q146" i="9"/>
  <c r="Q145" i="9"/>
  <c r="Q144" i="9"/>
  <c r="Q143" i="9"/>
  <c r="Q142" i="9"/>
  <c r="Q141" i="9"/>
  <c r="Q140" i="9"/>
  <c r="Q139" i="9"/>
  <c r="Q138" i="9"/>
  <c r="Q137" i="9"/>
  <c r="Q136" i="9"/>
  <c r="Q135" i="9"/>
  <c r="Q134" i="9"/>
  <c r="Q133" i="9"/>
  <c r="Q132" i="9"/>
  <c r="Q131" i="9"/>
  <c r="Q130" i="9"/>
  <c r="Q129" i="9"/>
  <c r="Q128" i="9"/>
  <c r="Q127" i="9"/>
  <c r="Q126" i="9"/>
  <c r="Q125" i="9"/>
  <c r="Q124" i="9"/>
  <c r="Q123" i="9"/>
  <c r="Q122" i="9"/>
  <c r="Q121" i="9"/>
  <c r="Q120" i="9"/>
  <c r="Q119" i="9"/>
  <c r="Q118" i="9"/>
  <c r="Q117" i="9"/>
  <c r="Q116" i="9"/>
  <c r="Q115" i="9"/>
  <c r="Q114" i="9"/>
  <c r="Q113" i="9"/>
  <c r="Q112" i="9"/>
  <c r="Q111" i="9"/>
  <c r="Q110" i="9"/>
  <c r="Q109" i="9"/>
  <c r="Q108" i="9"/>
  <c r="Q107" i="9"/>
  <c r="Q106" i="9"/>
  <c r="Q105" i="9"/>
  <c r="Q104" i="9"/>
  <c r="Q103" i="9"/>
  <c r="Q102" i="9"/>
  <c r="Q101" i="9"/>
  <c r="Q100" i="9"/>
  <c r="Q99" i="9"/>
  <c r="Q98" i="9"/>
  <c r="Q97" i="9"/>
  <c r="Q96" i="9"/>
  <c r="Q95" i="9"/>
  <c r="Q94" i="9"/>
  <c r="Q93" i="9"/>
  <c r="Q92" i="9"/>
  <c r="Q91" i="9"/>
  <c r="Q90" i="9"/>
  <c r="Q89" i="9"/>
  <c r="Q88" i="9"/>
  <c r="Q87" i="9"/>
  <c r="Q86" i="9"/>
  <c r="Q85" i="9"/>
  <c r="Q84" i="9"/>
  <c r="Q83" i="9"/>
  <c r="Q82" i="9"/>
  <c r="Q81" i="9"/>
  <c r="Q80" i="9"/>
  <c r="Q79" i="9"/>
  <c r="Q78" i="9"/>
  <c r="Q77" i="9"/>
  <c r="Q76" i="9"/>
  <c r="Q75" i="9"/>
  <c r="Q74" i="9"/>
  <c r="Q73" i="9"/>
  <c r="Q72" i="9"/>
  <c r="Q71" i="9"/>
  <c r="Q70" i="9"/>
  <c r="Q69" i="9"/>
  <c r="Q68" i="9"/>
  <c r="Q67" i="9"/>
  <c r="Q66" i="9"/>
  <c r="Q65" i="9"/>
  <c r="Q64" i="9"/>
  <c r="Q63" i="9"/>
  <c r="Q62" i="9"/>
  <c r="Q61" i="9"/>
  <c r="Q60" i="9"/>
  <c r="Q59" i="9"/>
  <c r="Q58" i="9"/>
  <c r="Q57" i="9"/>
  <c r="Q56" i="9"/>
  <c r="Q55" i="9"/>
  <c r="Q54" i="9"/>
  <c r="Q53" i="9"/>
  <c r="Q52" i="9"/>
  <c r="Q51" i="9"/>
  <c r="Q50" i="9"/>
  <c r="Q49" i="9"/>
  <c r="Q48" i="9"/>
  <c r="Q47" i="9"/>
  <c r="Q46" i="9"/>
  <c r="Q45" i="9"/>
  <c r="Q44" i="9"/>
  <c r="Q43" i="9"/>
  <c r="Q42" i="9"/>
  <c r="Q41" i="9"/>
  <c r="Q40" i="9"/>
  <c r="Q39" i="9"/>
  <c r="Q38" i="9"/>
  <c r="Q37" i="9"/>
  <c r="Q36" i="9"/>
  <c r="Q35" i="9"/>
  <c r="Q34" i="9"/>
  <c r="Q33" i="9"/>
  <c r="Q32" i="9"/>
  <c r="Q31" i="9"/>
  <c r="Q30" i="9"/>
  <c r="Q29" i="9"/>
  <c r="Q28" i="9"/>
  <c r="Q27" i="9"/>
  <c r="Q26" i="9"/>
  <c r="Q25" i="9"/>
  <c r="Q16" i="9"/>
  <c r="Q15" i="9"/>
  <c r="Q11" i="9"/>
  <c r="Q10" i="9"/>
  <c r="Q9" i="9"/>
  <c r="Q8" i="9"/>
  <c r="Q7" i="9"/>
  <c r="N305" i="9"/>
  <c r="O305" i="9" s="1"/>
  <c r="N304" i="9"/>
  <c r="O304" i="9" s="1"/>
  <c r="N303" i="9"/>
  <c r="O303" i="9" s="1"/>
  <c r="N302" i="9"/>
  <c r="O302" i="9" s="1"/>
  <c r="N301" i="9"/>
  <c r="O301" i="9" s="1"/>
  <c r="N300" i="9"/>
  <c r="O300" i="9" s="1"/>
  <c r="N299" i="9"/>
  <c r="O299" i="9" s="1"/>
  <c r="N298" i="9"/>
  <c r="O298" i="9" s="1"/>
  <c r="N297" i="9"/>
  <c r="O297" i="9" s="1"/>
  <c r="N296" i="9"/>
  <c r="O296" i="9" s="1"/>
  <c r="N295" i="9"/>
  <c r="O295" i="9" s="1"/>
  <c r="N294" i="9"/>
  <c r="O294" i="9" s="1"/>
  <c r="N293" i="9"/>
  <c r="O293" i="9" s="1"/>
  <c r="N292" i="9"/>
  <c r="O292" i="9" s="1"/>
  <c r="N291" i="9"/>
  <c r="O291" i="9" s="1"/>
  <c r="N290" i="9"/>
  <c r="O290" i="9" s="1"/>
  <c r="N289" i="9"/>
  <c r="O289" i="9" s="1"/>
  <c r="N288" i="9"/>
  <c r="O288" i="9" s="1"/>
  <c r="N287" i="9"/>
  <c r="O287" i="9" s="1"/>
  <c r="N286" i="9"/>
  <c r="O286" i="9" s="1"/>
  <c r="N285" i="9"/>
  <c r="O285" i="9" s="1"/>
  <c r="N284" i="9"/>
  <c r="O284" i="9" s="1"/>
  <c r="N283" i="9"/>
  <c r="O283" i="9" s="1"/>
  <c r="N282" i="9"/>
  <c r="O282" i="9" s="1"/>
  <c r="N281" i="9"/>
  <c r="O281" i="9" s="1"/>
  <c r="N280" i="9"/>
  <c r="O280" i="9" s="1"/>
  <c r="N279" i="9"/>
  <c r="O279" i="9" s="1"/>
  <c r="N278" i="9"/>
  <c r="O278" i="9" s="1"/>
  <c r="N277" i="9"/>
  <c r="O277" i="9" s="1"/>
  <c r="N276" i="9"/>
  <c r="O276" i="9" s="1"/>
  <c r="N275" i="9"/>
  <c r="O275" i="9" s="1"/>
  <c r="N274" i="9"/>
  <c r="O274" i="9" s="1"/>
  <c r="N273" i="9"/>
  <c r="O273" i="9" s="1"/>
  <c r="N272" i="9"/>
  <c r="O272" i="9" s="1"/>
  <c r="N271" i="9"/>
  <c r="O271" i="9" s="1"/>
  <c r="N270" i="9"/>
  <c r="O270" i="9" s="1"/>
  <c r="N269" i="9"/>
  <c r="O269" i="9" s="1"/>
  <c r="N268" i="9"/>
  <c r="O268" i="9" s="1"/>
  <c r="N267" i="9"/>
  <c r="O267" i="9" s="1"/>
  <c r="N266" i="9"/>
  <c r="O266" i="9" s="1"/>
  <c r="N265" i="9"/>
  <c r="O265" i="9" s="1"/>
  <c r="N264" i="9"/>
  <c r="O264" i="9" s="1"/>
  <c r="N263" i="9"/>
  <c r="O263" i="9" s="1"/>
  <c r="N262" i="9"/>
  <c r="O262" i="9" s="1"/>
  <c r="N261" i="9"/>
  <c r="O261" i="9" s="1"/>
  <c r="N260" i="9"/>
  <c r="O260" i="9" s="1"/>
  <c r="N259" i="9"/>
  <c r="O259" i="9" s="1"/>
  <c r="N258" i="9"/>
  <c r="O258" i="9" s="1"/>
  <c r="N257" i="9"/>
  <c r="O257" i="9" s="1"/>
  <c r="N256" i="9"/>
  <c r="O256" i="9" s="1"/>
  <c r="N255" i="9"/>
  <c r="O255" i="9" s="1"/>
  <c r="N254" i="9"/>
  <c r="O254" i="9" s="1"/>
  <c r="N253" i="9"/>
  <c r="O253" i="9" s="1"/>
  <c r="N252" i="9"/>
  <c r="O252" i="9" s="1"/>
  <c r="N251" i="9"/>
  <c r="O251" i="9" s="1"/>
  <c r="N250" i="9"/>
  <c r="O250" i="9" s="1"/>
  <c r="N249" i="9"/>
  <c r="O249" i="9" s="1"/>
  <c r="N248" i="9"/>
  <c r="O248" i="9" s="1"/>
  <c r="N247" i="9"/>
  <c r="O247" i="9" s="1"/>
  <c r="N246" i="9"/>
  <c r="O246" i="9" s="1"/>
  <c r="N245" i="9"/>
  <c r="O245" i="9" s="1"/>
  <c r="N244" i="9"/>
  <c r="O244" i="9" s="1"/>
  <c r="N243" i="9"/>
  <c r="O243" i="9" s="1"/>
  <c r="N242" i="9"/>
  <c r="O242" i="9" s="1"/>
  <c r="N241" i="9"/>
  <c r="O241" i="9" s="1"/>
  <c r="N240" i="9"/>
  <c r="O240" i="9" s="1"/>
  <c r="N239" i="9"/>
  <c r="O239" i="9" s="1"/>
  <c r="N238" i="9"/>
  <c r="O238" i="9" s="1"/>
  <c r="N237" i="9"/>
  <c r="O237" i="9" s="1"/>
  <c r="N236" i="9"/>
  <c r="O236" i="9" s="1"/>
  <c r="N235" i="9"/>
  <c r="O235" i="9" s="1"/>
  <c r="N234" i="9"/>
  <c r="O234" i="9" s="1"/>
  <c r="N233" i="9"/>
  <c r="O233" i="9" s="1"/>
  <c r="N232" i="9"/>
  <c r="O232" i="9" s="1"/>
  <c r="N231" i="9"/>
  <c r="O231" i="9" s="1"/>
  <c r="N230" i="9"/>
  <c r="O230" i="9" s="1"/>
  <c r="N229" i="9"/>
  <c r="O229" i="9" s="1"/>
  <c r="N228" i="9"/>
  <c r="O228" i="9" s="1"/>
  <c r="N227" i="9"/>
  <c r="O227" i="9" s="1"/>
  <c r="N226" i="9"/>
  <c r="O226" i="9" s="1"/>
  <c r="N225" i="9"/>
  <c r="O225" i="9" s="1"/>
  <c r="N224" i="9"/>
  <c r="O224" i="9" s="1"/>
  <c r="N223" i="9"/>
  <c r="O223" i="9" s="1"/>
  <c r="N222" i="9"/>
  <c r="O222" i="9" s="1"/>
  <c r="N221" i="9"/>
  <c r="O221" i="9" s="1"/>
  <c r="N220" i="9"/>
  <c r="O220" i="9" s="1"/>
  <c r="N219" i="9"/>
  <c r="O219" i="9" s="1"/>
  <c r="N218" i="9"/>
  <c r="O218" i="9" s="1"/>
  <c r="N217" i="9"/>
  <c r="O217" i="9" s="1"/>
  <c r="N216" i="9"/>
  <c r="O216" i="9" s="1"/>
  <c r="N215" i="9"/>
  <c r="O215" i="9" s="1"/>
  <c r="N214" i="9"/>
  <c r="O214" i="9" s="1"/>
  <c r="N213" i="9"/>
  <c r="O213" i="9" s="1"/>
  <c r="N212" i="9"/>
  <c r="O212" i="9" s="1"/>
  <c r="N211" i="9"/>
  <c r="O211" i="9" s="1"/>
  <c r="N210" i="9"/>
  <c r="O210" i="9" s="1"/>
  <c r="N209" i="9"/>
  <c r="O209" i="9" s="1"/>
  <c r="N208" i="9"/>
  <c r="O208" i="9" s="1"/>
  <c r="N207" i="9"/>
  <c r="O207" i="9" s="1"/>
  <c r="N206" i="9"/>
  <c r="O206" i="9" s="1"/>
  <c r="N205" i="9"/>
  <c r="O205" i="9" s="1"/>
  <c r="N204" i="9"/>
  <c r="O204" i="9" s="1"/>
  <c r="N203" i="9"/>
  <c r="O203" i="9" s="1"/>
  <c r="N202" i="9"/>
  <c r="O202" i="9" s="1"/>
  <c r="N201" i="9"/>
  <c r="O201" i="9" s="1"/>
  <c r="N200" i="9"/>
  <c r="O200" i="9" s="1"/>
  <c r="N199" i="9"/>
  <c r="O199" i="9" s="1"/>
  <c r="N198" i="9"/>
  <c r="O198" i="9" s="1"/>
  <c r="N197" i="9"/>
  <c r="O197" i="9" s="1"/>
  <c r="N196" i="9"/>
  <c r="O196" i="9" s="1"/>
  <c r="N195" i="9"/>
  <c r="O195" i="9" s="1"/>
  <c r="N194" i="9"/>
  <c r="O194" i="9" s="1"/>
  <c r="N193" i="9"/>
  <c r="O193" i="9" s="1"/>
  <c r="N192" i="9"/>
  <c r="O192" i="9" s="1"/>
  <c r="N191" i="9"/>
  <c r="O191" i="9" s="1"/>
  <c r="N190" i="9"/>
  <c r="O190" i="9" s="1"/>
  <c r="N189" i="9"/>
  <c r="O189" i="9" s="1"/>
  <c r="N188" i="9"/>
  <c r="O188" i="9" s="1"/>
  <c r="N187" i="9"/>
  <c r="O187" i="9" s="1"/>
  <c r="N186" i="9"/>
  <c r="O186" i="9" s="1"/>
  <c r="N185" i="9"/>
  <c r="O185" i="9" s="1"/>
  <c r="N184" i="9"/>
  <c r="O184" i="9" s="1"/>
  <c r="N183" i="9"/>
  <c r="O183" i="9" s="1"/>
  <c r="N182" i="9"/>
  <c r="O182" i="9" s="1"/>
  <c r="N181" i="9"/>
  <c r="O181" i="9" s="1"/>
  <c r="N180" i="9"/>
  <c r="O180" i="9" s="1"/>
  <c r="N179" i="9"/>
  <c r="O179" i="9" s="1"/>
  <c r="N178" i="9"/>
  <c r="O178" i="9" s="1"/>
  <c r="N177" i="9"/>
  <c r="O177" i="9" s="1"/>
  <c r="N176" i="9"/>
  <c r="O176" i="9" s="1"/>
  <c r="N175" i="9"/>
  <c r="O175" i="9" s="1"/>
  <c r="N174" i="9"/>
  <c r="O174" i="9" s="1"/>
  <c r="N173" i="9"/>
  <c r="O173" i="9" s="1"/>
  <c r="N172" i="9"/>
  <c r="O172" i="9" s="1"/>
  <c r="N171" i="9"/>
  <c r="O171" i="9" s="1"/>
  <c r="N170" i="9"/>
  <c r="O170" i="9" s="1"/>
  <c r="N169" i="9"/>
  <c r="O169" i="9" s="1"/>
  <c r="N168" i="9"/>
  <c r="O168" i="9" s="1"/>
  <c r="N167" i="9"/>
  <c r="O167" i="9" s="1"/>
  <c r="N166" i="9"/>
  <c r="O166" i="9" s="1"/>
  <c r="N165" i="9"/>
  <c r="O165" i="9" s="1"/>
  <c r="N164" i="9"/>
  <c r="O164" i="9" s="1"/>
  <c r="N163" i="9"/>
  <c r="O163" i="9" s="1"/>
  <c r="N162" i="9"/>
  <c r="O162" i="9" s="1"/>
  <c r="N161" i="9"/>
  <c r="O161" i="9" s="1"/>
  <c r="N160" i="9"/>
  <c r="O160" i="9" s="1"/>
  <c r="N159" i="9"/>
  <c r="O159" i="9" s="1"/>
  <c r="N158" i="9"/>
  <c r="O158" i="9" s="1"/>
  <c r="N157" i="9"/>
  <c r="O157" i="9" s="1"/>
  <c r="N156" i="9"/>
  <c r="O156" i="9" s="1"/>
  <c r="N155" i="9"/>
  <c r="O155" i="9" s="1"/>
  <c r="N154" i="9"/>
  <c r="O154" i="9" s="1"/>
  <c r="N153" i="9"/>
  <c r="O153" i="9" s="1"/>
  <c r="N152" i="9"/>
  <c r="O152" i="9" s="1"/>
  <c r="N151" i="9"/>
  <c r="O151" i="9" s="1"/>
  <c r="N150" i="9"/>
  <c r="O150" i="9" s="1"/>
  <c r="N149" i="9"/>
  <c r="O149" i="9" s="1"/>
  <c r="N148" i="9"/>
  <c r="O148" i="9" s="1"/>
  <c r="N147" i="9"/>
  <c r="O147" i="9" s="1"/>
  <c r="N146" i="9"/>
  <c r="O146" i="9" s="1"/>
  <c r="N145" i="9"/>
  <c r="O145" i="9" s="1"/>
  <c r="N144" i="9"/>
  <c r="O144" i="9" s="1"/>
  <c r="N143" i="9"/>
  <c r="O143" i="9" s="1"/>
  <c r="N142" i="9"/>
  <c r="O142" i="9" s="1"/>
  <c r="N141" i="9"/>
  <c r="O141" i="9" s="1"/>
  <c r="N140" i="9"/>
  <c r="O140" i="9" s="1"/>
  <c r="N139" i="9"/>
  <c r="O139" i="9" s="1"/>
  <c r="N138" i="9"/>
  <c r="O138" i="9" s="1"/>
  <c r="N137" i="9"/>
  <c r="O137" i="9" s="1"/>
  <c r="N136" i="9"/>
  <c r="O136" i="9" s="1"/>
  <c r="N135" i="9"/>
  <c r="O135" i="9" s="1"/>
  <c r="N134" i="9"/>
  <c r="O134" i="9" s="1"/>
  <c r="N133" i="9"/>
  <c r="O133" i="9" s="1"/>
  <c r="N132" i="9"/>
  <c r="O132" i="9" s="1"/>
  <c r="N131" i="9"/>
  <c r="O131" i="9" s="1"/>
  <c r="N130" i="9"/>
  <c r="O130" i="9" s="1"/>
  <c r="N129" i="9"/>
  <c r="O129" i="9" s="1"/>
  <c r="N128" i="9"/>
  <c r="O128" i="9" s="1"/>
  <c r="N127" i="9"/>
  <c r="O127" i="9" s="1"/>
  <c r="N126" i="9"/>
  <c r="O126" i="9" s="1"/>
  <c r="N125" i="9"/>
  <c r="O125" i="9" s="1"/>
  <c r="N124" i="9"/>
  <c r="O124" i="9" s="1"/>
  <c r="N123" i="9"/>
  <c r="O123" i="9" s="1"/>
  <c r="N122" i="9"/>
  <c r="O122" i="9" s="1"/>
  <c r="N121" i="9"/>
  <c r="O121" i="9" s="1"/>
  <c r="N120" i="9"/>
  <c r="O120" i="9" s="1"/>
  <c r="N119" i="9"/>
  <c r="O119" i="9" s="1"/>
  <c r="N118" i="9"/>
  <c r="O118" i="9" s="1"/>
  <c r="N117" i="9"/>
  <c r="O117" i="9" s="1"/>
  <c r="N116" i="9"/>
  <c r="O116" i="9" s="1"/>
  <c r="N115" i="9"/>
  <c r="O115" i="9" s="1"/>
  <c r="N114" i="9"/>
  <c r="O114" i="9" s="1"/>
  <c r="N113" i="9"/>
  <c r="O113" i="9" s="1"/>
  <c r="N112" i="9"/>
  <c r="O112" i="9" s="1"/>
  <c r="N111" i="9"/>
  <c r="O111" i="9" s="1"/>
  <c r="N110" i="9"/>
  <c r="O110" i="9" s="1"/>
  <c r="N109" i="9"/>
  <c r="O109" i="9" s="1"/>
  <c r="N108" i="9"/>
  <c r="O108" i="9" s="1"/>
  <c r="N107" i="9"/>
  <c r="O107" i="9" s="1"/>
  <c r="N106" i="9"/>
  <c r="O106" i="9" s="1"/>
  <c r="N105" i="9"/>
  <c r="O105" i="9" s="1"/>
  <c r="N104" i="9"/>
  <c r="O104" i="9" s="1"/>
  <c r="N103" i="9"/>
  <c r="O103" i="9" s="1"/>
  <c r="N102" i="9"/>
  <c r="O102" i="9" s="1"/>
  <c r="N101" i="9"/>
  <c r="O101" i="9" s="1"/>
  <c r="N100" i="9"/>
  <c r="O100" i="9" s="1"/>
  <c r="N99" i="9"/>
  <c r="O99" i="9" s="1"/>
  <c r="N98" i="9"/>
  <c r="O98" i="9" s="1"/>
  <c r="N97" i="9"/>
  <c r="O97" i="9" s="1"/>
  <c r="N96" i="9"/>
  <c r="O96" i="9" s="1"/>
  <c r="N95" i="9"/>
  <c r="O95" i="9" s="1"/>
  <c r="N94" i="9"/>
  <c r="O94" i="9" s="1"/>
  <c r="N93" i="9"/>
  <c r="O93" i="9" s="1"/>
  <c r="N92" i="9"/>
  <c r="O92" i="9" s="1"/>
  <c r="N91" i="9"/>
  <c r="O91" i="9" s="1"/>
  <c r="N90" i="9"/>
  <c r="O90" i="9" s="1"/>
  <c r="N89" i="9"/>
  <c r="O89" i="9" s="1"/>
  <c r="N88" i="9"/>
  <c r="O88" i="9" s="1"/>
  <c r="N87" i="9"/>
  <c r="O87" i="9" s="1"/>
  <c r="N86" i="9"/>
  <c r="O86" i="9" s="1"/>
  <c r="N85" i="9"/>
  <c r="O85" i="9" s="1"/>
  <c r="N84" i="9"/>
  <c r="O84" i="9" s="1"/>
  <c r="N83" i="9"/>
  <c r="O83" i="9" s="1"/>
  <c r="N82" i="9"/>
  <c r="O82" i="9" s="1"/>
  <c r="N81" i="9"/>
  <c r="O81" i="9" s="1"/>
  <c r="N80" i="9"/>
  <c r="O80" i="9" s="1"/>
  <c r="N79" i="9"/>
  <c r="O79" i="9" s="1"/>
  <c r="N78" i="9"/>
  <c r="O78" i="9" s="1"/>
  <c r="N77" i="9"/>
  <c r="O77" i="9" s="1"/>
  <c r="N76" i="9"/>
  <c r="O76" i="9" s="1"/>
  <c r="N75" i="9"/>
  <c r="O75" i="9" s="1"/>
  <c r="N74" i="9"/>
  <c r="O74" i="9" s="1"/>
  <c r="N73" i="9"/>
  <c r="O73" i="9" s="1"/>
  <c r="N72" i="9"/>
  <c r="O72" i="9" s="1"/>
  <c r="N71" i="9"/>
  <c r="O71" i="9" s="1"/>
  <c r="N70" i="9"/>
  <c r="O70" i="9" s="1"/>
  <c r="N69" i="9"/>
  <c r="O69" i="9" s="1"/>
  <c r="N68" i="9"/>
  <c r="O68" i="9" s="1"/>
  <c r="N67" i="9"/>
  <c r="O67" i="9" s="1"/>
  <c r="N66" i="9"/>
  <c r="O66" i="9" s="1"/>
  <c r="N65" i="9"/>
  <c r="O65" i="9" s="1"/>
  <c r="N64" i="9"/>
  <c r="O64" i="9" s="1"/>
  <c r="N63" i="9"/>
  <c r="O63" i="9" s="1"/>
  <c r="N62" i="9"/>
  <c r="O62" i="9" s="1"/>
  <c r="N61" i="9"/>
  <c r="O61" i="9" s="1"/>
  <c r="N60" i="9"/>
  <c r="O60" i="9" s="1"/>
  <c r="N59" i="9"/>
  <c r="O59" i="9" s="1"/>
  <c r="N58" i="9"/>
  <c r="O58" i="9" s="1"/>
  <c r="N57" i="9"/>
  <c r="O57" i="9" s="1"/>
  <c r="N56" i="9"/>
  <c r="O56" i="9" s="1"/>
  <c r="N55" i="9"/>
  <c r="O55" i="9" s="1"/>
  <c r="N54" i="9"/>
  <c r="O54" i="9" s="1"/>
  <c r="N53" i="9"/>
  <c r="O53" i="9" s="1"/>
  <c r="N52" i="9"/>
  <c r="O52" i="9" s="1"/>
  <c r="N51" i="9"/>
  <c r="O51" i="9" s="1"/>
  <c r="N50" i="9"/>
  <c r="O50" i="9" s="1"/>
  <c r="N49" i="9"/>
  <c r="O49" i="9" s="1"/>
  <c r="N48" i="9"/>
  <c r="O48" i="9" s="1"/>
  <c r="N47" i="9"/>
  <c r="O47" i="9" s="1"/>
  <c r="N46" i="9"/>
  <c r="O46" i="9" s="1"/>
  <c r="N45" i="9"/>
  <c r="O45" i="9" s="1"/>
  <c r="N44" i="9"/>
  <c r="O44" i="9" s="1"/>
  <c r="N43" i="9"/>
  <c r="O43" i="9" s="1"/>
  <c r="N42" i="9"/>
  <c r="O42" i="9" s="1"/>
  <c r="N41" i="9"/>
  <c r="O41" i="9" s="1"/>
  <c r="N40" i="9"/>
  <c r="O40" i="9" s="1"/>
  <c r="N39" i="9"/>
  <c r="O39" i="9" s="1"/>
  <c r="N38" i="9"/>
  <c r="O38" i="9" s="1"/>
  <c r="N37" i="9"/>
  <c r="O37" i="9" s="1"/>
  <c r="N36" i="9"/>
  <c r="O36" i="9" s="1"/>
  <c r="N35" i="9"/>
  <c r="O35" i="9" s="1"/>
  <c r="N34" i="9"/>
  <c r="O34" i="9" s="1"/>
  <c r="N33" i="9"/>
  <c r="O33" i="9" s="1"/>
  <c r="N32" i="9"/>
  <c r="O32" i="9" s="1"/>
  <c r="N31" i="9"/>
  <c r="O31" i="9" s="1"/>
  <c r="N30" i="9"/>
  <c r="O30" i="9" s="1"/>
  <c r="N29" i="9"/>
  <c r="O29" i="9" s="1"/>
  <c r="N28" i="9"/>
  <c r="O28" i="9" s="1"/>
  <c r="N27" i="9"/>
  <c r="O27" i="9" s="1"/>
  <c r="N26" i="9"/>
  <c r="O26" i="9" s="1"/>
  <c r="N25" i="9"/>
  <c r="O25" i="9" s="1"/>
  <c r="N16" i="9"/>
  <c r="O16" i="9" s="1"/>
  <c r="N15" i="9"/>
  <c r="O15" i="9" s="1"/>
  <c r="N11" i="9"/>
  <c r="O11" i="9" s="1"/>
  <c r="N10" i="9"/>
  <c r="O10" i="9" s="1"/>
  <c r="N9" i="9"/>
  <c r="O9" i="9" s="1"/>
  <c r="N8" i="9"/>
  <c r="O8" i="9" s="1"/>
  <c r="N7" i="9"/>
  <c r="O7" i="9" s="1"/>
  <c r="M305" i="9"/>
  <c r="M304" i="9"/>
  <c r="M303" i="9"/>
  <c r="M302" i="9"/>
  <c r="M301" i="9"/>
  <c r="M300" i="9"/>
  <c r="M299" i="9"/>
  <c r="M298" i="9"/>
  <c r="M297" i="9"/>
  <c r="M296" i="9"/>
  <c r="M295" i="9"/>
  <c r="M294" i="9"/>
  <c r="M293" i="9"/>
  <c r="M292" i="9"/>
  <c r="M291" i="9"/>
  <c r="M290" i="9"/>
  <c r="M289" i="9"/>
  <c r="M288" i="9"/>
  <c r="M287" i="9"/>
  <c r="M286" i="9"/>
  <c r="M285" i="9"/>
  <c r="M284" i="9"/>
  <c r="M283" i="9"/>
  <c r="M282" i="9"/>
  <c r="M281" i="9"/>
  <c r="M280" i="9"/>
  <c r="M279" i="9"/>
  <c r="M278" i="9"/>
  <c r="M277" i="9"/>
  <c r="M276" i="9"/>
  <c r="M275" i="9"/>
  <c r="M274" i="9"/>
  <c r="M273" i="9"/>
  <c r="M272" i="9"/>
  <c r="M271" i="9"/>
  <c r="M270" i="9"/>
  <c r="M269" i="9"/>
  <c r="M268" i="9"/>
  <c r="M267" i="9"/>
  <c r="M266" i="9"/>
  <c r="M265" i="9"/>
  <c r="M264" i="9"/>
  <c r="M263" i="9"/>
  <c r="M262" i="9"/>
  <c r="M261" i="9"/>
  <c r="M260" i="9"/>
  <c r="M259" i="9"/>
  <c r="M258" i="9"/>
  <c r="M257" i="9"/>
  <c r="M256" i="9"/>
  <c r="M255" i="9"/>
  <c r="M254" i="9"/>
  <c r="M253" i="9"/>
  <c r="M252" i="9"/>
  <c r="M251" i="9"/>
  <c r="M250" i="9"/>
  <c r="M249" i="9"/>
  <c r="M248" i="9"/>
  <c r="M247" i="9"/>
  <c r="M246" i="9"/>
  <c r="M245" i="9"/>
  <c r="M244" i="9"/>
  <c r="M243" i="9"/>
  <c r="M242" i="9"/>
  <c r="M241" i="9"/>
  <c r="M240" i="9"/>
  <c r="M239" i="9"/>
  <c r="M238" i="9"/>
  <c r="M237" i="9"/>
  <c r="M236" i="9"/>
  <c r="M235" i="9"/>
  <c r="M234" i="9"/>
  <c r="M233" i="9"/>
  <c r="M232" i="9"/>
  <c r="M231" i="9"/>
  <c r="M230" i="9"/>
  <c r="M229" i="9"/>
  <c r="M228" i="9"/>
  <c r="M227" i="9"/>
  <c r="M226" i="9"/>
  <c r="M225" i="9"/>
  <c r="M224" i="9"/>
  <c r="M223" i="9"/>
  <c r="M222" i="9"/>
  <c r="M221" i="9"/>
  <c r="M220" i="9"/>
  <c r="M219" i="9"/>
  <c r="M218" i="9"/>
  <c r="M217" i="9"/>
  <c r="M216" i="9"/>
  <c r="M215" i="9"/>
  <c r="M214" i="9"/>
  <c r="M213" i="9"/>
  <c r="M212" i="9"/>
  <c r="M211" i="9"/>
  <c r="M210" i="9"/>
  <c r="M209" i="9"/>
  <c r="M208" i="9"/>
  <c r="M207" i="9"/>
  <c r="M206" i="9"/>
  <c r="M205" i="9"/>
  <c r="M204" i="9"/>
  <c r="M203" i="9"/>
  <c r="M202" i="9"/>
  <c r="M201" i="9"/>
  <c r="M200" i="9"/>
  <c r="M199" i="9"/>
  <c r="M198" i="9"/>
  <c r="M197" i="9"/>
  <c r="M196" i="9"/>
  <c r="M195" i="9"/>
  <c r="M194" i="9"/>
  <c r="M193" i="9"/>
  <c r="M192" i="9"/>
  <c r="M191" i="9"/>
  <c r="M190" i="9"/>
  <c r="M189" i="9"/>
  <c r="M188" i="9"/>
  <c r="M187" i="9"/>
  <c r="M186" i="9"/>
  <c r="M185" i="9"/>
  <c r="M184" i="9"/>
  <c r="M183" i="9"/>
  <c r="M182" i="9"/>
  <c r="M181" i="9"/>
  <c r="M180" i="9"/>
  <c r="M179" i="9"/>
  <c r="M178" i="9"/>
  <c r="M177" i="9"/>
  <c r="M176" i="9"/>
  <c r="M175" i="9"/>
  <c r="M174" i="9"/>
  <c r="M173" i="9"/>
  <c r="M172" i="9"/>
  <c r="M171" i="9"/>
  <c r="M170" i="9"/>
  <c r="M169" i="9"/>
  <c r="M168" i="9"/>
  <c r="M167" i="9"/>
  <c r="M166" i="9"/>
  <c r="M165" i="9"/>
  <c r="M164" i="9"/>
  <c r="M163" i="9"/>
  <c r="M162" i="9"/>
  <c r="M161" i="9"/>
  <c r="M160" i="9"/>
  <c r="M159" i="9"/>
  <c r="M158" i="9"/>
  <c r="M157" i="9"/>
  <c r="M156" i="9"/>
  <c r="M155" i="9"/>
  <c r="M154" i="9"/>
  <c r="M153" i="9"/>
  <c r="M152" i="9"/>
  <c r="M151" i="9"/>
  <c r="M150" i="9"/>
  <c r="M149" i="9"/>
  <c r="M148" i="9"/>
  <c r="M147" i="9"/>
  <c r="M146" i="9"/>
  <c r="M145" i="9"/>
  <c r="M144" i="9"/>
  <c r="M143" i="9"/>
  <c r="M142" i="9"/>
  <c r="M141" i="9"/>
  <c r="M140" i="9"/>
  <c r="M139" i="9"/>
  <c r="M138" i="9"/>
  <c r="M137" i="9"/>
  <c r="M136" i="9"/>
  <c r="M135" i="9"/>
  <c r="M134" i="9"/>
  <c r="M133" i="9"/>
  <c r="M132" i="9"/>
  <c r="M131" i="9"/>
  <c r="M130" i="9"/>
  <c r="M129" i="9"/>
  <c r="M128" i="9"/>
  <c r="M127" i="9"/>
  <c r="M126" i="9"/>
  <c r="M125" i="9"/>
  <c r="M124" i="9"/>
  <c r="M123" i="9"/>
  <c r="M122" i="9"/>
  <c r="M121" i="9"/>
  <c r="M120" i="9"/>
  <c r="M119" i="9"/>
  <c r="M118" i="9"/>
  <c r="M117" i="9"/>
  <c r="M116" i="9"/>
  <c r="M115" i="9"/>
  <c r="M114" i="9"/>
  <c r="M113" i="9"/>
  <c r="M112" i="9"/>
  <c r="M111" i="9"/>
  <c r="M110" i="9"/>
  <c r="M109" i="9"/>
  <c r="M108" i="9"/>
  <c r="M107" i="9"/>
  <c r="M106" i="9"/>
  <c r="M105" i="9"/>
  <c r="M104" i="9"/>
  <c r="M103" i="9"/>
  <c r="M102" i="9"/>
  <c r="M101" i="9"/>
  <c r="M100" i="9"/>
  <c r="M99" i="9"/>
  <c r="M98" i="9"/>
  <c r="M97" i="9"/>
  <c r="M96" i="9"/>
  <c r="M95" i="9"/>
  <c r="M94" i="9"/>
  <c r="M93" i="9"/>
  <c r="M92" i="9"/>
  <c r="M91" i="9"/>
  <c r="M90" i="9"/>
  <c r="M89"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16" i="9"/>
  <c r="M15" i="9"/>
  <c r="M11" i="9"/>
  <c r="M10" i="9"/>
  <c r="M9" i="9"/>
  <c r="M8" i="9"/>
  <c r="M7" i="9"/>
  <c r="L305" i="9"/>
  <c r="L304" i="9"/>
  <c r="L303" i="9"/>
  <c r="L302" i="9"/>
  <c r="L301" i="9"/>
  <c r="L300" i="9"/>
  <c r="L299" i="9"/>
  <c r="L298" i="9"/>
  <c r="L297" i="9"/>
  <c r="L296" i="9"/>
  <c r="L295" i="9"/>
  <c r="L294" i="9"/>
  <c r="L293" i="9"/>
  <c r="L292" i="9"/>
  <c r="L291" i="9"/>
  <c r="L290" i="9"/>
  <c r="L289" i="9"/>
  <c r="L288" i="9"/>
  <c r="L287" i="9"/>
  <c r="L286" i="9"/>
  <c r="L285" i="9"/>
  <c r="L284" i="9"/>
  <c r="L283" i="9"/>
  <c r="L282" i="9"/>
  <c r="L281" i="9"/>
  <c r="L280" i="9"/>
  <c r="L279" i="9"/>
  <c r="L278" i="9"/>
  <c r="L277" i="9"/>
  <c r="L276" i="9"/>
  <c r="L275" i="9"/>
  <c r="L274" i="9"/>
  <c r="L273" i="9"/>
  <c r="L272" i="9"/>
  <c r="L271" i="9"/>
  <c r="L270" i="9"/>
  <c r="L269" i="9"/>
  <c r="L268" i="9"/>
  <c r="L267" i="9"/>
  <c r="L266" i="9"/>
  <c r="L265" i="9"/>
  <c r="L264" i="9"/>
  <c r="L263" i="9"/>
  <c r="L262" i="9"/>
  <c r="L261" i="9"/>
  <c r="L260" i="9"/>
  <c r="L259" i="9"/>
  <c r="L258" i="9"/>
  <c r="L257" i="9"/>
  <c r="L256" i="9"/>
  <c r="L255" i="9"/>
  <c r="L254" i="9"/>
  <c r="L253" i="9"/>
  <c r="L252" i="9"/>
  <c r="L251" i="9"/>
  <c r="L250" i="9"/>
  <c r="L249" i="9"/>
  <c r="L248" i="9"/>
  <c r="L247" i="9"/>
  <c r="L246" i="9"/>
  <c r="L245" i="9"/>
  <c r="L244" i="9"/>
  <c r="L243" i="9"/>
  <c r="L242" i="9"/>
  <c r="L241" i="9"/>
  <c r="L240" i="9"/>
  <c r="L239" i="9"/>
  <c r="L238" i="9"/>
  <c r="L237" i="9"/>
  <c r="L236" i="9"/>
  <c r="L235" i="9"/>
  <c r="L234" i="9"/>
  <c r="L233" i="9"/>
  <c r="L232" i="9"/>
  <c r="L231" i="9"/>
  <c r="L230" i="9"/>
  <c r="L229" i="9"/>
  <c r="L228" i="9"/>
  <c r="L227" i="9"/>
  <c r="L226" i="9"/>
  <c r="L225" i="9"/>
  <c r="L224" i="9"/>
  <c r="L223" i="9"/>
  <c r="L222" i="9"/>
  <c r="L221" i="9"/>
  <c r="L220" i="9"/>
  <c r="L219" i="9"/>
  <c r="L218" i="9"/>
  <c r="L217" i="9"/>
  <c r="L216" i="9"/>
  <c r="L215" i="9"/>
  <c r="L214" i="9"/>
  <c r="L213" i="9"/>
  <c r="L212" i="9"/>
  <c r="L211" i="9"/>
  <c r="L210" i="9"/>
  <c r="L209" i="9"/>
  <c r="L208" i="9"/>
  <c r="L207" i="9"/>
  <c r="L206" i="9"/>
  <c r="L205" i="9"/>
  <c r="L204" i="9"/>
  <c r="L203" i="9"/>
  <c r="L202" i="9"/>
  <c r="L201" i="9"/>
  <c r="L200" i="9"/>
  <c r="L199" i="9"/>
  <c r="L198" i="9"/>
  <c r="L197" i="9"/>
  <c r="L196" i="9"/>
  <c r="L195" i="9"/>
  <c r="L194" i="9"/>
  <c r="L193" i="9"/>
  <c r="L192" i="9"/>
  <c r="L191" i="9"/>
  <c r="L190" i="9"/>
  <c r="L189" i="9"/>
  <c r="L188" i="9"/>
  <c r="L187" i="9"/>
  <c r="L186" i="9"/>
  <c r="L185" i="9"/>
  <c r="L184" i="9"/>
  <c r="L183" i="9"/>
  <c r="L182" i="9"/>
  <c r="L181" i="9"/>
  <c r="L180" i="9"/>
  <c r="L179" i="9"/>
  <c r="L178" i="9"/>
  <c r="L177" i="9"/>
  <c r="L176" i="9"/>
  <c r="L175" i="9"/>
  <c r="L174" i="9"/>
  <c r="L173" i="9"/>
  <c r="L172" i="9"/>
  <c r="L171" i="9"/>
  <c r="L170" i="9"/>
  <c r="L169" i="9"/>
  <c r="L168" i="9"/>
  <c r="L167" i="9"/>
  <c r="L166" i="9"/>
  <c r="L165" i="9"/>
  <c r="L164" i="9"/>
  <c r="L163" i="9"/>
  <c r="L162" i="9"/>
  <c r="L161" i="9"/>
  <c r="L160" i="9"/>
  <c r="L159" i="9"/>
  <c r="L158" i="9"/>
  <c r="L157" i="9"/>
  <c r="L156" i="9"/>
  <c r="L155" i="9"/>
  <c r="L154" i="9"/>
  <c r="L153" i="9"/>
  <c r="L152" i="9"/>
  <c r="L151" i="9"/>
  <c r="L150" i="9"/>
  <c r="L149" i="9"/>
  <c r="L148" i="9"/>
  <c r="L147" i="9"/>
  <c r="L146" i="9"/>
  <c r="L145" i="9"/>
  <c r="L144" i="9"/>
  <c r="L143" i="9"/>
  <c r="L142" i="9"/>
  <c r="L141" i="9"/>
  <c r="L140" i="9"/>
  <c r="L139" i="9"/>
  <c r="L138" i="9"/>
  <c r="L137" i="9"/>
  <c r="L136" i="9"/>
  <c r="L135" i="9"/>
  <c r="L134" i="9"/>
  <c r="L133" i="9"/>
  <c r="L132" i="9"/>
  <c r="L131" i="9"/>
  <c r="L130" i="9"/>
  <c r="L129" i="9"/>
  <c r="L128" i="9"/>
  <c r="L127" i="9"/>
  <c r="L126" i="9"/>
  <c r="L125" i="9"/>
  <c r="L124" i="9"/>
  <c r="L123" i="9"/>
  <c r="L122" i="9"/>
  <c r="L121" i="9"/>
  <c r="L120" i="9"/>
  <c r="L119" i="9"/>
  <c r="L118" i="9"/>
  <c r="L117" i="9"/>
  <c r="L116" i="9"/>
  <c r="L115" i="9"/>
  <c r="L114" i="9"/>
  <c r="L113" i="9"/>
  <c r="L112" i="9"/>
  <c r="L111" i="9"/>
  <c r="L110" i="9"/>
  <c r="L109" i="9"/>
  <c r="L108" i="9"/>
  <c r="L107" i="9"/>
  <c r="L106" i="9"/>
  <c r="L105" i="9"/>
  <c r="L104" i="9"/>
  <c r="L103" i="9"/>
  <c r="L102" i="9"/>
  <c r="L101" i="9"/>
  <c r="L100" i="9"/>
  <c r="L99" i="9"/>
  <c r="L98" i="9"/>
  <c r="L97" i="9"/>
  <c r="L96" i="9"/>
  <c r="L95" i="9"/>
  <c r="L94" i="9"/>
  <c r="L93" i="9"/>
  <c r="L92" i="9"/>
  <c r="L91" i="9"/>
  <c r="L90" i="9"/>
  <c r="L89" i="9"/>
  <c r="L88" i="9"/>
  <c r="L87" i="9"/>
  <c r="L86" i="9"/>
  <c r="L85" i="9"/>
  <c r="L84" i="9"/>
  <c r="L83" i="9"/>
  <c r="L82" i="9"/>
  <c r="L81" i="9"/>
  <c r="L80" i="9"/>
  <c r="L79" i="9"/>
  <c r="L78" i="9"/>
  <c r="L77" i="9"/>
  <c r="L76" i="9"/>
  <c r="L75" i="9"/>
  <c r="L74" i="9"/>
  <c r="L73" i="9"/>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16" i="9"/>
  <c r="L15" i="9"/>
  <c r="L11" i="9"/>
  <c r="P11" i="9" s="1"/>
  <c r="L10" i="9"/>
  <c r="P10" i="9" s="1"/>
  <c r="L9" i="9"/>
  <c r="P9" i="9" s="1"/>
  <c r="L8" i="9"/>
  <c r="P8" i="9" s="1"/>
  <c r="L7" i="9"/>
  <c r="P7" i="9" s="1"/>
  <c r="N6" i="9"/>
  <c r="O6" i="9" s="1"/>
  <c r="L6" i="9"/>
  <c r="Q20" i="10" l="1"/>
  <c r="P14" i="9"/>
  <c r="P6" i="9"/>
  <c r="Q19" i="10"/>
  <c r="P13" i="9"/>
  <c r="P12" i="9"/>
  <c r="Q16" i="10"/>
  <c r="Q7" i="10"/>
  <c r="Q12" i="10"/>
  <c r="Q13" i="10"/>
  <c r="Q11" i="10"/>
  <c r="Q10" i="10"/>
  <c r="Q6" i="10"/>
  <c r="F3" i="10"/>
  <c r="E17" i="1" s="1"/>
  <c r="A3" i="10"/>
  <c r="B17" i="1" s="1"/>
  <c r="E3" i="10"/>
  <c r="E15" i="1" s="1"/>
  <c r="E3" i="9"/>
  <c r="J3" i="9" l="1"/>
  <c r="F10" i="1" s="1"/>
  <c r="E8" i="1"/>
  <c r="K3" i="10"/>
  <c r="F17" i="1" s="1"/>
  <c r="Q6" i="9"/>
  <c r="F3" i="9" s="1"/>
  <c r="R6" i="9"/>
  <c r="M6" i="9"/>
  <c r="A3" i="9" s="1"/>
  <c r="B10" i="1" s="1"/>
  <c r="N6" i="8"/>
  <c r="X3" i="1" s="1"/>
  <c r="E4" i="1"/>
  <c r="B15" i="1"/>
  <c r="V3" i="1" s="1"/>
  <c r="M1" i="10" s="1"/>
  <c r="B8" i="1"/>
  <c r="T3" i="1" s="1"/>
  <c r="J19" i="10" l="1"/>
  <c r="J20" i="10"/>
  <c r="L1" i="9"/>
  <c r="I7" i="9" s="1"/>
  <c r="L1" i="12"/>
  <c r="N1" i="10"/>
  <c r="O1" i="10" s="1"/>
  <c r="C3" i="10" s="1"/>
  <c r="G3" i="10" s="1"/>
  <c r="D17" i="1" s="1"/>
  <c r="M1" i="12"/>
  <c r="J12" i="10"/>
  <c r="J11" i="10"/>
  <c r="J13" i="10"/>
  <c r="J10" i="10"/>
  <c r="E10" i="1"/>
  <c r="A4" i="1"/>
  <c r="C15" i="1" s="1"/>
  <c r="M1" i="9"/>
  <c r="I11" i="9" l="1"/>
  <c r="I14" i="9"/>
  <c r="I10" i="9"/>
  <c r="I6" i="9"/>
  <c r="I9" i="9"/>
  <c r="N1" i="9"/>
  <c r="C3" i="9" s="1"/>
  <c r="G3" i="9" s="1"/>
  <c r="I8" i="9"/>
  <c r="I12" i="9"/>
  <c r="I13" i="9"/>
  <c r="H3" i="10"/>
  <c r="D15" i="1" s="1"/>
  <c r="C17" i="1"/>
  <c r="C8" i="1"/>
  <c r="C10" i="1" s="1"/>
  <c r="F4" i="1"/>
  <c r="N1" i="12"/>
  <c r="D10" i="1" l="1"/>
  <c r="H3" i="9"/>
  <c r="D8" i="1" s="1"/>
  <c r="C4" i="1"/>
  <c r="D4" i="1" l="1"/>
  <c r="B4" i="1"/>
  <c r="F15" i="1"/>
  <c r="F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Victor Renaud</author>
  </authors>
  <commentList>
    <comment ref="A6" authorId="0" shapeId="0" xr:uid="{AFA47A0C-7596-47AF-9540-F7269C513A7E}">
      <text>
        <r>
          <rPr>
            <b/>
            <sz val="10"/>
            <color indexed="81"/>
            <rFont val="Segoe UI"/>
            <family val="2"/>
          </rPr>
          <t>Victor Renaud:</t>
        </r>
        <r>
          <rPr>
            <sz val="10"/>
            <color indexed="81"/>
            <rFont val="Segoe UI"/>
            <family val="2"/>
          </rPr>
          <t xml:space="preserve">
O famoso eternal HOLD</t>
        </r>
      </text>
    </comment>
    <comment ref="A17" authorId="0" shapeId="0" xr:uid="{5D054D9C-605B-4E72-A0AF-9F0307C2EFF4}">
      <text>
        <r>
          <rPr>
            <b/>
            <sz val="10"/>
            <color indexed="81"/>
            <rFont val="Segoe UI"/>
            <family val="2"/>
          </rPr>
          <t>Victor Renaud:</t>
        </r>
        <r>
          <rPr>
            <sz val="10"/>
            <color indexed="81"/>
            <rFont val="Segoe UI"/>
            <family val="2"/>
          </rPr>
          <t xml:space="preserve">
O famoso eternal HOLD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Victor Renaud</author>
  </authors>
  <commentList>
    <comment ref="A6" authorId="0" shapeId="0" xr:uid="{ECE1E3DC-4E0A-4961-98A3-4E5AA6C2553B}">
      <text>
        <r>
          <rPr>
            <sz val="10"/>
            <color indexed="81"/>
            <rFont val="Segoe UI"/>
            <family val="2"/>
          </rPr>
          <t>Para se sentir exposto no mercado, sem um objetivo</t>
        </r>
      </text>
    </comment>
    <comment ref="A8" authorId="0" shapeId="0" xr:uid="{122C8883-CA34-46D4-A047-E9C52CFDC937}">
      <text>
        <r>
          <rPr>
            <b/>
            <sz val="10"/>
            <color indexed="81"/>
            <rFont val="Segoe UI"/>
            <family val="2"/>
          </rPr>
          <t>Grande FTX</t>
        </r>
      </text>
    </comment>
    <comment ref="A10" authorId="0" shapeId="0" xr:uid="{4D01AAB5-9D23-4742-ABC3-E20DDAB31A9F}">
      <text>
        <r>
          <rPr>
            <sz val="12"/>
            <color indexed="81"/>
            <rFont val="Segoe UI"/>
            <family val="2"/>
          </rPr>
          <t>Ficar exposto, sem objetivo, parte 2</t>
        </r>
        <r>
          <rPr>
            <sz val="9"/>
            <color indexed="81"/>
            <rFont val="Segoe UI"/>
            <family val="2"/>
          </rPr>
          <t xml:space="preserve">
</t>
        </r>
      </text>
    </comment>
    <comment ref="A16" authorId="0" shapeId="0" xr:uid="{84EAA564-EE40-4B26-8A7F-491FA6E75654}">
      <text>
        <r>
          <rPr>
            <sz val="11"/>
            <color indexed="81"/>
            <rFont val="Segoe UI"/>
            <family val="2"/>
          </rPr>
          <t>Position Trade.
Era pra ter colocado stop em 2k, mas resolvi fechar na mao e quase me fudi</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34626-DCC1-4032-8E1A-D20628286FF1}" name="Conexão1" type="4" refreshedVersion="8" background="1" saveData="1">
    <webPr sourceData="1" parsePre="1" consecutive="1" xl2000="1" url="https://coingolive.com/pt-br" htmlTables="1" htmlFormat="all"/>
  </connection>
  <connection id="2" xr16:uid="{97F2CD3E-E12D-401D-959F-F19F496460F2}" name="Conexão2" type="4" refreshedVersion="8" background="1" saveData="1">
    <webPr sourceData="1" parsePre="1" consecutive="1" url="https://br.investing.com/currencies/usd-brl" htmlFormat="all"/>
  </connection>
  <connection id="3" xr16:uid="{BD9207CF-388F-406D-AC0F-97A80C3151F4}" name="Conexão3" type="4" refreshedVersion="8" background="1" saveData="1">
    <webPr sourceData="1" parsePre="1" consecutive="1" url="https://economia.uol.com.br/cotacoes/cambio" htmlFormat="all"/>
  </connection>
  <connection id="4" xr16:uid="{F9091E81-8E95-48C8-A21B-56C039155BE2}" name="Conexão4" type="4" refreshedVersion="8" background="1" saveData="1">
    <webPr sourceData="1" parsePre="1" consecutive="1" xl2000="1" url="https://www.google.com/search?q=dollar+real&amp;client=opera-gx&amp;hs=FHW&amp;sxsrf=ALiCzsZ0JanHrsRFeYJQgHEAbMDHCFhynA%3A1654820205776&amp;ei=bY2iYsb-LrTK1sQP-r2WqAs&amp;oq=dollar&amp;gs_lcp=Cgdnd3Mtd2l6EAEYATIGCCMQJxATMgYIIxAnEBMyBAgjECcyBwgAELEDEAoyBwgAEIAEEAoyBwgAELEDEEMyBAg" htmlFormat="all"/>
  </connection>
</connections>
</file>

<file path=xl/sharedStrings.xml><?xml version="1.0" encoding="utf-8"?>
<sst xmlns="http://schemas.openxmlformats.org/spreadsheetml/2006/main" count="1061" uniqueCount="801">
  <si>
    <t>Informações gerais</t>
  </si>
  <si>
    <t>Bitcoinn</t>
  </si>
  <si>
    <t>BTC / Dollar</t>
  </si>
  <si>
    <t>BTC / Reais</t>
  </si>
  <si>
    <t>BTC</t>
  </si>
  <si>
    <t>#</t>
  </si>
  <si>
    <t>Ethereum</t>
  </si>
  <si>
    <t>ETH</t>
  </si>
  <si>
    <t>USDT</t>
  </si>
  <si>
    <t>USDC</t>
  </si>
  <si>
    <t>BNB</t>
  </si>
  <si>
    <t>ADA</t>
  </si>
  <si>
    <t>XRP</t>
  </si>
  <si>
    <t>BUSD</t>
  </si>
  <si>
    <t>SOL</t>
  </si>
  <si>
    <t>DOGE</t>
  </si>
  <si>
    <t>ETH / Dollar</t>
  </si>
  <si>
    <t>ETH / Reais</t>
  </si>
  <si>
    <t>Criptomoeda</t>
  </si>
  <si>
    <t>Preço</t>
  </si>
  <si>
    <t>MarketCap</t>
  </si>
  <si>
    <t>1h</t>
  </si>
  <si>
    <t>24h</t>
  </si>
  <si>
    <t>7d</t>
  </si>
  <si>
    <t>Gráfico Preço 7d</t>
  </si>
  <si>
    <t>24h Vol. in 7d</t>
  </si>
  <si>
    <t>Vol. 24h</t>
  </si>
  <si>
    <t>Circ. Supply</t>
  </si>
  <si>
    <t>Bitcoin (BTC)</t>
  </si>
  <si>
    <t xml:space="preserve">GanheComprar </t>
  </si>
  <si>
    <t>Ethereum (ETH)</t>
  </si>
  <si>
    <t>Tether (USDT)</t>
  </si>
  <si>
    <t xml:space="preserve">Comprar </t>
  </si>
  <si>
    <t>$1,00</t>
  </si>
  <si>
    <t>USD Coin (USDC)</t>
  </si>
  <si>
    <t>BNB (BNB)</t>
  </si>
  <si>
    <t>Cardano (ADA)</t>
  </si>
  <si>
    <t>Ripple (XRP)</t>
  </si>
  <si>
    <t>Binance USD (BUSD)</t>
  </si>
  <si>
    <t>Solana (SOL)</t>
  </si>
  <si>
    <t>Dogecoin (DOGE)</t>
  </si>
  <si>
    <t>Polkadot (DOT)</t>
  </si>
  <si>
    <t>DOT</t>
  </si>
  <si>
    <t>Wrapped Bitcoin (WBTC)</t>
  </si>
  <si>
    <t>WBTC</t>
  </si>
  <si>
    <t>TRON (TRX)</t>
  </si>
  <si>
    <t>TRX</t>
  </si>
  <si>
    <t>Lido Staked Ether (STETH)</t>
  </si>
  <si>
    <t>STETH</t>
  </si>
  <si>
    <t>Avalanche (AVAX)</t>
  </si>
  <si>
    <t>AVAX</t>
  </si>
  <si>
    <t>Dai (DAI)</t>
  </si>
  <si>
    <t>DAI</t>
  </si>
  <si>
    <t>Shiba Inu (SHIB)</t>
  </si>
  <si>
    <t>SHIB</t>
  </si>
  <si>
    <t>Cronos (CRO)</t>
  </si>
  <si>
    <t>CRO</t>
  </si>
  <si>
    <t>25.26B</t>
  </si>
  <si>
    <t>Litecoin (LTC)</t>
  </si>
  <si>
    <t>LTC</t>
  </si>
  <si>
    <t>Polygon (MATIC)</t>
  </si>
  <si>
    <t>MATIC</t>
  </si>
  <si>
    <t>NEAR Protocol (NEAR)</t>
  </si>
  <si>
    <t>NEAR</t>
  </si>
  <si>
    <t>Bitcoin Cash (BCH)</t>
  </si>
  <si>
    <t>BCH</t>
  </si>
  <si>
    <t>Stellar (XLM)</t>
  </si>
  <si>
    <t>XLM</t>
  </si>
  <si>
    <t>Monero (XMR)</t>
  </si>
  <si>
    <t>XMR</t>
  </si>
  <si>
    <t>Chainlink (LINK)</t>
  </si>
  <si>
    <t>LINK</t>
  </si>
  <si>
    <t>OKB (OKB)</t>
  </si>
  <si>
    <t>OKB</t>
  </si>
  <si>
    <t>Ethereum Classic (ETC)</t>
  </si>
  <si>
    <t>ETC</t>
  </si>
  <si>
    <t>Cosmos Hub (ATOM)</t>
  </si>
  <si>
    <t>ATOM</t>
  </si>
  <si>
    <t>292.59M</t>
  </si>
  <si>
    <t>Algorand (ALGO)</t>
  </si>
  <si>
    <t>ALGO</t>
  </si>
  <si>
    <t>Flow (FLOW)</t>
  </si>
  <si>
    <t>FLOW</t>
  </si>
  <si>
    <t>1.04B</t>
  </si>
  <si>
    <t>Uniswap (UNI)</t>
  </si>
  <si>
    <t>UNI</t>
  </si>
  <si>
    <t>VeChain (VET)</t>
  </si>
  <si>
    <t>VET</t>
  </si>
  <si>
    <t>Hedera (HBAR)</t>
  </si>
  <si>
    <t>HBAR</t>
  </si>
  <si>
    <t>ApeCoin (APE)</t>
  </si>
  <si>
    <t>APE</t>
  </si>
  <si>
    <t>Internet Computer (ICP)</t>
  </si>
  <si>
    <t>ICP</t>
  </si>
  <si>
    <t>EGLD</t>
  </si>
  <si>
    <t>Tezos (XTZ)</t>
  </si>
  <si>
    <t>XTZ</t>
  </si>
  <si>
    <t>Axie Infinity (AXS)</t>
  </si>
  <si>
    <t>AXS</t>
  </si>
  <si>
    <t>The Sandbox (SAND)</t>
  </si>
  <si>
    <t>SAND</t>
  </si>
  <si>
    <t>Filecoin (FIL)</t>
  </si>
  <si>
    <t>FIL</t>
  </si>
  <si>
    <t>Frax (FRAX)</t>
  </si>
  <si>
    <t>FRAX</t>
  </si>
  <si>
    <t>Aave (AAVE)</t>
  </si>
  <si>
    <t>AAVE</t>
  </si>
  <si>
    <t>Decentraland (MANA)</t>
  </si>
  <si>
    <t>MANA</t>
  </si>
  <si>
    <t>TrueUSD (TUSD)</t>
  </si>
  <si>
    <t>TUSD</t>
  </si>
  <si>
    <t>EOS (EOS)</t>
  </si>
  <si>
    <t>EOS</t>
  </si>
  <si>
    <t>The Graph (GRT)</t>
  </si>
  <si>
    <t>GRT</t>
  </si>
  <si>
    <t>Theta Network (THETA)</t>
  </si>
  <si>
    <t>THETA</t>
  </si>
  <si>
    <t>1.00B</t>
  </si>
  <si>
    <t>Klaytn (KLAY)</t>
  </si>
  <si>
    <t>KLAY</t>
  </si>
  <si>
    <t>Zcash (ZEC)</t>
  </si>
  <si>
    <t>ZEC</t>
  </si>
  <si>
    <t>Huobi (HT)</t>
  </si>
  <si>
    <t>HT</t>
  </si>
  <si>
    <t>Bitcoin SV (BSV)</t>
  </si>
  <si>
    <t>BSV</t>
  </si>
  <si>
    <t>Maker (MKR)</t>
  </si>
  <si>
    <t>MKR</t>
  </si>
  <si>
    <t>BitTorrent (BTT)</t>
  </si>
  <si>
    <t>BTT</t>
  </si>
  <si>
    <t>IOTA (MIOTA)</t>
  </si>
  <si>
    <t>MIOTA</t>
  </si>
  <si>
    <t>2.78B</t>
  </si>
  <si>
    <t>Pax Dollar (USDP)</t>
  </si>
  <si>
    <t>USDP</t>
  </si>
  <si>
    <t>eCash (XEC)</t>
  </si>
  <si>
    <t>XEC</t>
  </si>
  <si>
    <t>Fantom (FTM)</t>
  </si>
  <si>
    <t>FTM</t>
  </si>
  <si>
    <t>THORChain (RUNE)</t>
  </si>
  <si>
    <t>RUNE</t>
  </si>
  <si>
    <t>Quant (QNT)</t>
  </si>
  <si>
    <t>QNT</t>
  </si>
  <si>
    <t>NEO (NEO)</t>
  </si>
  <si>
    <t>NEO</t>
  </si>
  <si>
    <t>70.53M</t>
  </si>
  <si>
    <t>PancakeSwap (CAKE)</t>
  </si>
  <si>
    <t>CAKE</t>
  </si>
  <si>
    <t>Zilliqa (ZIL)</t>
  </si>
  <si>
    <t>ZIL</t>
  </si>
  <si>
    <t>Chiliz (CHZ)</t>
  </si>
  <si>
    <t>CHZ</t>
  </si>
  <si>
    <t>5.34B</t>
  </si>
  <si>
    <t>USDD (USDD)</t>
  </si>
  <si>
    <t>USDD</t>
  </si>
  <si>
    <t>Arweave (AR)</t>
  </si>
  <si>
    <t>AR</t>
  </si>
  <si>
    <t>50.11M</t>
  </si>
  <si>
    <t>Dash (DASH)</t>
  </si>
  <si>
    <t>DASH</t>
  </si>
  <si>
    <t>PAX Gold (PAXG)</t>
  </si>
  <si>
    <t>PAXG</t>
  </si>
  <si>
    <t>Enjin Coin (ENJ)</t>
  </si>
  <si>
    <t>ENJ</t>
  </si>
  <si>
    <t>Synthetix Network (SNX)</t>
  </si>
  <si>
    <t>SNX</t>
  </si>
  <si>
    <t>BitDAO (BIT)</t>
  </si>
  <si>
    <t>BIT</t>
  </si>
  <si>
    <t>Google</t>
  </si>
  <si>
    <t>TODAS</t>
  </si>
  <si>
    <t>IMAGENS</t>
  </si>
  <si>
    <t xml:space="preserve">Pesquisas relacionadas </t>
  </si>
  <si>
    <t>&gt;</t>
  </si>
  <si>
    <t>Mais &gt;</t>
  </si>
  <si>
    <t>Fazer login</t>
  </si>
  <si>
    <t>Privacidade</t>
  </si>
  <si>
    <t>Termos</t>
  </si>
  <si>
    <t>72.51B</t>
  </si>
  <si>
    <t>Data</t>
  </si>
  <si>
    <t>Investido</t>
  </si>
  <si>
    <t>$ dia</t>
  </si>
  <si>
    <t>BTC dia</t>
  </si>
  <si>
    <t>WLT</t>
  </si>
  <si>
    <t>ETH dia</t>
  </si>
  <si>
    <t>Câmbio em tempo real</t>
  </si>
  <si>
    <t>USD/BRL</t>
  </si>
  <si>
    <t>Código</t>
  </si>
  <si>
    <t>Bolsa</t>
  </si>
  <si>
    <t>Moeda</t>
  </si>
  <si>
    <t>BRL</t>
  </si>
  <si>
    <t>Tempo Real</t>
  </si>
  <si>
    <t>USD/BRL PTAX</t>
  </si>
  <si>
    <t>Atrasada</t>
  </si>
  <si>
    <t>DOLc3</t>
  </si>
  <si>
    <t>BM&amp;FBovespa</t>
  </si>
  <si>
    <t>DOLc2</t>
  </si>
  <si>
    <t>DOLc1</t>
  </si>
  <si>
    <t>Compra</t>
  </si>
  <si>
    <t>Venda</t>
  </si>
  <si>
    <t>5 min</t>
  </si>
  <si>
    <t>15 min</t>
  </si>
  <si>
    <t>Hora</t>
  </si>
  <si>
    <t>Diário</t>
  </si>
  <si>
    <t>Mensal</t>
  </si>
  <si>
    <t>Neutro</t>
  </si>
  <si>
    <t>Compra Forte</t>
  </si>
  <si>
    <t>Venda Forte</t>
  </si>
  <si>
    <t>Período</t>
  </si>
  <si>
    <t>Confiabilidade</t>
  </si>
  <si>
    <t>Vela anterior</t>
  </si>
  <si>
    <t>Hora da vela</t>
  </si>
  <si>
    <t>Three Inside Up</t>
  </si>
  <si>
    <t>1W</t>
  </si>
  <si>
    <t>Atual</t>
  </si>
  <si>
    <t>Doji Star Bullish</t>
  </si>
  <si>
    <t>1D</t>
  </si>
  <si>
    <t>24.05.2022</t>
  </si>
  <si>
    <t>Three Outside Down Bearish</t>
  </si>
  <si>
    <t>1M</t>
  </si>
  <si>
    <t>Engulfing Bearish</t>
  </si>
  <si>
    <t>Último</t>
  </si>
  <si>
    <t>Volume</t>
  </si>
  <si>
    <t>Var%</t>
  </si>
  <si>
    <t>Import.</t>
  </si>
  <si>
    <t>Evento</t>
  </si>
  <si>
    <t>Projeção</t>
  </si>
  <si>
    <t>Prévio</t>
  </si>
  <si>
    <t>Vendas no Varejo (YoY) (Abr)</t>
  </si>
  <si>
    <t>Vendas no Varejo (MoM) (Abr)</t>
  </si>
  <si>
    <t>USD</t>
  </si>
  <si>
    <t>IPC-núcleo (MoM) (Mai)</t>
  </si>
  <si>
    <t>IPC-núcleo (YoY) (Mai)</t>
  </si>
  <si>
    <t>IPC-núcleo (Mai)</t>
  </si>
  <si>
    <t>IPC (MoM) (Mai)</t>
  </si>
  <si>
    <t>IPC (YoY) (Mai)</t>
  </si>
  <si>
    <t>IPC (sem ajuste sazonal) (Mai)</t>
  </si>
  <si>
    <t>IPC com Ajuste Sazonal (Mai)</t>
  </si>
  <si>
    <t>IPC sem Ajuste Sazonal (MoM) (Mai)</t>
  </si>
  <si>
    <t>Rendimento Real (MoM) (Mai)</t>
  </si>
  <si>
    <t>Expectativas de Inflação a 5 anos Michigan (Jun)</t>
  </si>
  <si>
    <t>Confiança do Consumidor Michigan - Leitura Final (Jun)</t>
  </si>
  <si>
    <t>Índice Michigan de Percepção do Consumidor (Jun)</t>
  </si>
  <si>
    <t>Índice de Condições Atuais Michigan (Jun)</t>
  </si>
  <si>
    <t>Expectativas de Inflação Michigan (Jun)</t>
  </si>
  <si>
    <t>IPC - Cleveland (MoM) (Mai)</t>
  </si>
  <si>
    <t xml:space="preserve">Relatório WASDE </t>
  </si>
  <si>
    <t xml:space="preserve">Contagem de Sondas Baker Hughes </t>
  </si>
  <si>
    <t xml:space="preserve">Contagem Total de Sondas dos EUA por Baker Hughes </t>
  </si>
  <si>
    <t>Balanço Orçamentário Federal (Mai)</t>
  </si>
  <si>
    <t>-120,00B</t>
  </si>
  <si>
    <t>308,00B</t>
  </si>
  <si>
    <t xml:space="preserve">Alumínio: Posições líquidas de especuladores no relatório da CFTC </t>
  </si>
  <si>
    <t>3,70K</t>
  </si>
  <si>
    <t xml:space="preserve">Cobre - Posições líquidas de especuladores no relatório da CFTC </t>
  </si>
  <si>
    <t>-18,00K</t>
  </si>
  <si>
    <t xml:space="preserve">Milho: Posições líquidas de especuladores no relatório da CFTC </t>
  </si>
  <si>
    <t>404,20K</t>
  </si>
  <si>
    <t xml:space="preserve">Petróleo - Posições líquidas de especuladores no relatório da CFTC </t>
  </si>
  <si>
    <t>333,00K</t>
  </si>
  <si>
    <t xml:space="preserve">Ouro - Posições líquidas de especuladores no relatório da CFTC </t>
  </si>
  <si>
    <t>172,60K</t>
  </si>
  <si>
    <t xml:space="preserve">Nasdaq 100 - Posições líquidas de especuladores no relatório da CFTC </t>
  </si>
  <si>
    <t>5,60K</t>
  </si>
  <si>
    <t xml:space="preserve">Gás Natural: Posições líquidas de especuladores no relatório da CFTC </t>
  </si>
  <si>
    <t>-110,40K</t>
  </si>
  <si>
    <t xml:space="preserve">S&amp;P 500 - Posições líquidas de especuladores no relatório da CFTC </t>
  </si>
  <si>
    <t>21,90K</t>
  </si>
  <si>
    <t xml:space="preserve">Prata - Posições líquidas de especuladores no relatório da CFTC </t>
  </si>
  <si>
    <t>14,00K</t>
  </si>
  <si>
    <t xml:space="preserve">Soja: Posições líquidas de especuladores no relatório da CFTC </t>
  </si>
  <si>
    <t>186,10K</t>
  </si>
  <si>
    <t xml:space="preserve">Trigo: Posições líquidas de especuladores no relatório da CFTC </t>
  </si>
  <si>
    <t>22,30K</t>
  </si>
  <si>
    <t xml:space="preserve">BRL – Posições líquidas de especuladores no relatório da CFTC </t>
  </si>
  <si>
    <t>45,30K</t>
  </si>
  <si>
    <t>Reserva Federal(FED)</t>
  </si>
  <si>
    <t>Taxa Atual</t>
  </si>
  <si>
    <t>Presidente</t>
  </si>
  <si>
    <t>Jerome H. Powell</t>
  </si>
  <si>
    <t>Banco Central do Brasil(BCB)</t>
  </si>
  <si>
    <t>Roberto Campos Neto</t>
  </si>
  <si>
    <t>VENDA</t>
  </si>
  <si>
    <t>VARIAÇÃO</t>
  </si>
  <si>
    <t>MÁXIMO</t>
  </si>
  <si>
    <t>MÍNIMO</t>
  </si>
  <si>
    <t>%</t>
  </si>
  <si>
    <t>NOT̓IAS</t>
  </si>
  <si>
    <t>V̈́EOS</t>
  </si>
  <si>
    <t xml:space="preserve">1 D󬡲 americano = </t>
  </si>
  <si>
    <t xml:space="preserve">Exonera磯 de responsabilidade </t>
  </si>
  <si>
    <t>Configura絥s</t>
  </si>
  <si>
    <t xml:space="preserve"> -</t>
  </si>
  <si>
    <t>FTX</t>
  </si>
  <si>
    <t>Sistema</t>
  </si>
  <si>
    <t>MB</t>
  </si>
  <si>
    <t>Visão geral!</t>
  </si>
  <si>
    <t>BTC na Carteira</t>
  </si>
  <si>
    <t>Reais na Carteira</t>
  </si>
  <si>
    <t>18.15M</t>
  </si>
  <si>
    <t>Lido DAO (LDO)</t>
  </si>
  <si>
    <t>LDO</t>
  </si>
  <si>
    <t>Total retirado</t>
  </si>
  <si>
    <t>Total investido</t>
  </si>
  <si>
    <t>% da Carteira</t>
  </si>
  <si>
    <t>ETH na Carteira</t>
  </si>
  <si>
    <t>Reais na carteira</t>
  </si>
  <si>
    <t>Dollar hoje</t>
  </si>
  <si>
    <t>Dollar</t>
  </si>
  <si>
    <t>Total no momento</t>
  </si>
  <si>
    <t>300.70M</t>
  </si>
  <si>
    <t>NEXO (NEXO)</t>
  </si>
  <si>
    <t>NEXO</t>
  </si>
  <si>
    <t>560.00M</t>
  </si>
  <si>
    <t>Osmosis (OSMO)</t>
  </si>
  <si>
    <t>OSMO</t>
  </si>
  <si>
    <t>Tokenize Xchange (TKX)</t>
  </si>
  <si>
    <t>TKX</t>
  </si>
  <si>
    <t>80.00M</t>
  </si>
  <si>
    <t>Ganho / Perda</t>
  </si>
  <si>
    <t>753.77M</t>
  </si>
  <si>
    <t>Terra Luna Classic (LUNC)</t>
  </si>
  <si>
    <t>LUNC</t>
  </si>
  <si>
    <t xml:space="preserve">1 USD para BRL | Converter D󬡲es dos EUA para Brazilian Reais www.xe.com › currencyconverter › convert </t>
  </si>
  <si>
    <t>589.37T</t>
  </si>
  <si>
    <t>491.60M</t>
  </si>
  <si>
    <t>Mina Protocol (MINA)</t>
  </si>
  <si>
    <t>MINA</t>
  </si>
  <si>
    <t>Trust Wallet (TWT)</t>
  </si>
  <si>
    <t>TWT</t>
  </si>
  <si>
    <t>416.65M</t>
  </si>
  <si>
    <t xml:space="preserve">USD/BRL - Cota磯 D󬡲 para Real - Investing.com br.investing.com › currencies › usd-brl </t>
  </si>
  <si>
    <t xml:space="preserve">d󬡲 hoje </t>
  </si>
  <si>
    <t xml:space="preserve">d󬡲 </t>
  </si>
  <si>
    <t>Movimento</t>
  </si>
  <si>
    <t>Tx</t>
  </si>
  <si>
    <t>Alocado</t>
  </si>
  <si>
    <t>Valor</t>
  </si>
  <si>
    <t>Status</t>
  </si>
  <si>
    <t>Entrada</t>
  </si>
  <si>
    <t>Entrada R$</t>
  </si>
  <si>
    <t>Entrada BTC</t>
  </si>
  <si>
    <t>Saida R$</t>
  </si>
  <si>
    <t>Saida BTC</t>
  </si>
  <si>
    <t>Saída</t>
  </si>
  <si>
    <t>Em andamento</t>
  </si>
  <si>
    <t>Num Entrada</t>
  </si>
  <si>
    <t>Preço medio</t>
  </si>
  <si>
    <t>Preço Medio</t>
  </si>
  <si>
    <t>Total BTC Momento</t>
  </si>
  <si>
    <t>Total R$ Momento</t>
  </si>
  <si>
    <t>Retirado</t>
  </si>
  <si>
    <t>Valor total</t>
  </si>
  <si>
    <t>Relação</t>
  </si>
  <si>
    <t>Rocket Pool (RPL)</t>
  </si>
  <si>
    <t>RPL</t>
  </si>
  <si>
    <t>Extrato Ethereum!</t>
  </si>
  <si>
    <t>Entrada ETH</t>
  </si>
  <si>
    <t>Saida ETH</t>
  </si>
  <si>
    <t>Total ETH Momento</t>
  </si>
  <si>
    <t>-</t>
  </si>
  <si>
    <t>Finalizado</t>
  </si>
  <si>
    <t>35.05B</t>
  </si>
  <si>
    <t>TON</t>
  </si>
  <si>
    <t>1.47B</t>
  </si>
  <si>
    <t>14.54M</t>
  </si>
  <si>
    <t>1.82B</t>
  </si>
  <si>
    <t>Aptos (APT)</t>
  </si>
  <si>
    <t>APT</t>
  </si>
  <si>
    <t>725.33M</t>
  </si>
  <si>
    <t>EthereumPoW (ETHW)</t>
  </si>
  <si>
    <t>ETHW</t>
  </si>
  <si>
    <t>Curve DAO (CRV)</t>
  </si>
  <si>
    <t>CRV</t>
  </si>
  <si>
    <t>Frax Share (FXS)</t>
  </si>
  <si>
    <t>FXS</t>
  </si>
  <si>
    <t xml:space="preserve">Converta 1 D󬡲 dos EUA para Real brasileiro. Obtenha taxas de c⭢io, taxas hist󲩣as e dados e grᦩcos de moeda de mercado intermediᲩo ao vivo para... </t>
  </si>
  <si>
    <t>Outros dados</t>
  </si>
  <si>
    <t>COIN</t>
  </si>
  <si>
    <t>TX</t>
  </si>
  <si>
    <t>Na coin</t>
  </si>
  <si>
    <t>1.02B</t>
  </si>
  <si>
    <t>1.09B</t>
  </si>
  <si>
    <t>GMX (GMX)</t>
  </si>
  <si>
    <t>GMX</t>
  </si>
  <si>
    <t>1inch (1INCH)</t>
  </si>
  <si>
    <t>1INCH</t>
  </si>
  <si>
    <t>OKC (OKT)</t>
  </si>
  <si>
    <t>OKT</t>
  </si>
  <si>
    <t>17.85M</t>
  </si>
  <si>
    <t>ImmutableX (IMX)</t>
  </si>
  <si>
    <t>IMX</t>
  </si>
  <si>
    <t xml:space="preserve"> - </t>
  </si>
  <si>
    <t xml:space="preserve">D󬡲 Comercial: Cota磯 de Hoje, Grᦩcos e tabelas economia.uol.com.br › cotacoes › cambio </t>
  </si>
  <si>
    <t xml:space="preserve">d󬡲 americano </t>
  </si>
  <si>
    <t>246.64M</t>
  </si>
  <si>
    <t>Toncoin (TON)</t>
  </si>
  <si>
    <t>368.59M</t>
  </si>
  <si>
    <t>19.27M</t>
  </si>
  <si>
    <t>951.42T</t>
  </si>
  <si>
    <t>107.82M</t>
  </si>
  <si>
    <t>Optimism (OP)</t>
  </si>
  <si>
    <t>OP</t>
  </si>
  <si>
    <t>214.75M</t>
  </si>
  <si>
    <t xml:space="preserve">Conversor de Moeda - Melhor C⭢io www.melhorcambio.com › conversor-de-moeda </t>
  </si>
  <si>
    <t>MultiversX (EGLD)</t>
  </si>
  <si>
    <t>$0,14</t>
  </si>
  <si>
    <t>Flare (FLR)</t>
  </si>
  <si>
    <t>FLR</t>
  </si>
  <si>
    <t xml:space="preserve">D󬡲 americano Hoje (USD) | Cota絥s - Remessa Online www.remessaonline.com.br › cotacao › cotacao-dolar </t>
  </si>
  <si>
    <t xml:space="preserve">euro real </t>
  </si>
  <si>
    <t>$1.02B</t>
  </si>
  <si>
    <t>Tether Gold (XAUT)</t>
  </si>
  <si>
    <t>XAUT</t>
  </si>
  <si>
    <t>50.80B</t>
  </si>
  <si>
    <t>---%</t>
  </si>
  <si>
    <t>1.20B</t>
  </si>
  <si>
    <t>$1.23B</t>
  </si>
  <si>
    <t>$1.08B</t>
  </si>
  <si>
    <t>162.34M</t>
  </si>
  <si>
    <t>KuCoin (KCS)</t>
  </si>
  <si>
    <t>KCS</t>
  </si>
  <si>
    <t>97.39M</t>
  </si>
  <si>
    <t>19.11M</t>
  </si>
  <si>
    <t>$0,57</t>
  </si>
  <si>
    <t>1.17B</t>
  </si>
  <si>
    <t>3.09B</t>
  </si>
  <si>
    <t>Loopring (LRC)</t>
  </si>
  <si>
    <t>LRC</t>
  </si>
  <si>
    <t>1.25B</t>
  </si>
  <si>
    <r>
      <t xml:space="preserve">Veja o valor do d󬡲 hoje em tempo real, baixe os dados hist󲩣os da cota磯 do d󬡲 para real (USD BRL), use o grᦩco e leia as not_xD8E9_as e anᬩses. </t>
    </r>
    <r>
      <rPr>
        <sz val="11"/>
        <color rgb="FF1967D2"/>
        <rFont val="Arial"/>
        <family val="2"/>
      </rPr>
      <t>Grᦩco T飮ico</t>
    </r>
    <r>
      <rPr>
        <sz val="11"/>
        <color theme="1"/>
        <rFont val="Arial"/>
        <family val="2"/>
      </rPr>
      <t xml:space="preserve"> </t>
    </r>
    <r>
      <rPr>
        <sz val="11"/>
        <color rgb="FF1967D2"/>
        <rFont val="Arial"/>
        <family val="2"/>
      </rPr>
      <t>Dados Hist󲩣os</t>
    </r>
    <r>
      <rPr>
        <sz val="11"/>
        <color theme="1"/>
        <rFont val="Arial"/>
        <family val="2"/>
      </rPr>
      <t xml:space="preserve"> </t>
    </r>
    <r>
      <rPr>
        <sz val="11"/>
        <color rgb="FF1967D2"/>
        <rFont val="Arial"/>
        <family val="2"/>
      </rPr>
      <t>F󲵭</t>
    </r>
    <r>
      <rPr>
        <sz val="11"/>
        <color theme="1"/>
        <rFont val="Arial"/>
        <family val="2"/>
      </rPr>
      <t xml:space="preserve"> </t>
    </r>
    <r>
      <rPr>
        <sz val="11"/>
        <color rgb="FF1967D2"/>
        <rFont val="Arial"/>
        <family val="2"/>
      </rPr>
      <t>Not_xD8E9_as e Anᬩses</t>
    </r>
    <r>
      <rPr>
        <sz val="11"/>
        <color theme="1"/>
        <rFont val="Arial"/>
        <family val="2"/>
      </rPr>
      <t xml:space="preserve"> </t>
    </r>
  </si>
  <si>
    <t xml:space="preserve">d󬡲 canadense </t>
  </si>
  <si>
    <t>120.51M</t>
  </si>
  <si>
    <t>$0,39</t>
  </si>
  <si>
    <t>9.01B</t>
  </si>
  <si>
    <t>$1.92B</t>
  </si>
  <si>
    <t>26.05B</t>
  </si>
  <si>
    <t>$0,73</t>
  </si>
  <si>
    <t>$1.28B</t>
  </si>
  <si>
    <t>1.76B</t>
  </si>
  <si>
    <t>14.26M</t>
  </si>
  <si>
    <t>8.89B</t>
  </si>
  <si>
    <t>$1.11B</t>
  </si>
  <si>
    <t>$42,85</t>
  </si>
  <si>
    <t>$1,07</t>
  </si>
  <si>
    <t>19.30T</t>
  </si>
  <si>
    <t>793.75M</t>
  </si>
  <si>
    <t>$0,25</t>
  </si>
  <si>
    <t>Render (RNDR)</t>
  </si>
  <si>
    <t>RNDR</t>
  </si>
  <si>
    <t>299.88M</t>
  </si>
  <si>
    <t>SingularityNET (AGIX)</t>
  </si>
  <si>
    <t>AGIX</t>
  </si>
  <si>
    <t>$0,44</t>
  </si>
  <si>
    <t>Baby Doge Coin (BABYDOGE)</t>
  </si>
  <si>
    <t>BABYDOGE</t>
  </si>
  <si>
    <t>159,278.39T</t>
  </si>
  <si>
    <t>Convex Finance (CVX)</t>
  </si>
  <si>
    <t>CVX</t>
  </si>
  <si>
    <t>Fetch.ai (FET)</t>
  </si>
  <si>
    <t>FET</t>
  </si>
  <si>
    <t>$0,45</t>
  </si>
  <si>
    <t>Casper Network (CSPR)</t>
  </si>
  <si>
    <t>CSPR</t>
  </si>
  <si>
    <t xml:space="preserve">Confira cota磯 do D󬡲 americano (USD) hoje no nico conversor de moedas voltado para remessas de dinheiro para o exterior. </t>
  </si>
  <si>
    <t xml:space="preserve">USD BRL Chart – Dollar to Real Rate - TradingView www.tradingview.com › ... › Americas › Exotic </t>
  </si>
  <si>
    <t xml:space="preserve">View live U.S. Dollar / Brazilian Real chart to track latest price changes. Trade ideas, forecasts and market news are at your disposal as well. </t>
  </si>
  <si>
    <t xml:space="preserve">D󬡲 Hoje: Cota磯 Comercial e Turismo. Valor e Pre篡 dolarhoje.com </t>
  </si>
  <si>
    <t xml:space="preserve">D󬡲 Hoje. Valor da cota磯 do d󬡲 americano comercial e turismo hoje. Pre篠do d󬡲 sempre atualizado! ... Cidade, Real... </t>
  </si>
  <si>
    <t xml:space="preserve">USD to BRL Exchange Rate - Bloomberg Markets www.bloomberg.com › quote › USDBRL:CUR </t>
  </si>
  <si>
    <t xml:space="preserve">Current exchange rate US DOLLAR (USD) to BRAZIL REAL (BRL) including currency converter, buying &amp; selling rate and historical conversion chart. </t>
  </si>
  <si>
    <t xml:space="preserve">euro hoje </t>
  </si>
  <si>
    <t>Total em $</t>
  </si>
  <si>
    <t>Ultima att</t>
  </si>
  <si>
    <t>$21.917,00</t>
  </si>
  <si>
    <t>$421.21B</t>
  </si>
  <si>
    <t>$52.22B</t>
  </si>
  <si>
    <t>19.29M</t>
  </si>
  <si>
    <t>$1.553,10</t>
  </si>
  <si>
    <t>$186.73B</t>
  </si>
  <si>
    <t>$12.83B</t>
  </si>
  <si>
    <t>$68.17B</t>
  </si>
  <si>
    <t>$66.86B</t>
  </si>
  <si>
    <t>68.18B</t>
  </si>
  <si>
    <t>$307,34</t>
  </si>
  <si>
    <t>$48.35B</t>
  </si>
  <si>
    <t>$1.06B</t>
  </si>
  <si>
    <t>157.90M</t>
  </si>
  <si>
    <t>$41.48B</t>
  </si>
  <si>
    <t>$4.32B</t>
  </si>
  <si>
    <t>41.50B</t>
  </si>
  <si>
    <t>$19.53B</t>
  </si>
  <si>
    <t>$1.87B</t>
  </si>
  <si>
    <t>$16.17B</t>
  </si>
  <si>
    <t>$14.67B</t>
  </si>
  <si>
    <t>16.16B</t>
  </si>
  <si>
    <t>$0,36</t>
  </si>
  <si>
    <t>$12.64B</t>
  </si>
  <si>
    <t>$504.67M</t>
  </si>
  <si>
    <t>$1,26</t>
  </si>
  <si>
    <t>$11.31B</t>
  </si>
  <si>
    <t>$1.50B</t>
  </si>
  <si>
    <t>$0,082</t>
  </si>
  <si>
    <t>138.08B</t>
  </si>
  <si>
    <t>$40,15</t>
  </si>
  <si>
    <t>$9.91B</t>
  </si>
  <si>
    <t>$50.87M</t>
  </si>
  <si>
    <t>$1.550,47</t>
  </si>
  <si>
    <t>$7.84B</t>
  </si>
  <si>
    <t>$56.55M</t>
  </si>
  <si>
    <t>5.07M</t>
  </si>
  <si>
    <t>$20,68</t>
  </si>
  <si>
    <t>$7.72B</t>
  </si>
  <si>
    <t>$866.79M</t>
  </si>
  <si>
    <t>374.98M</t>
  </si>
  <si>
    <t>$6,26</t>
  </si>
  <si>
    <t>$7.50B</t>
  </si>
  <si>
    <t>$540.35M</t>
  </si>
  <si>
    <t>$0,000012</t>
  </si>
  <si>
    <t>$7.28B</t>
  </si>
  <si>
    <t>$576.50M</t>
  </si>
  <si>
    <t>$92,25</t>
  </si>
  <si>
    <t>$6.65B</t>
  </si>
  <si>
    <t>$962.21M</t>
  </si>
  <si>
    <t>72.25M</t>
  </si>
  <si>
    <t>$0,063</t>
  </si>
  <si>
    <t>$5.74B</t>
  </si>
  <si>
    <t>$756.26M</t>
  </si>
  <si>
    <t>91.70B</t>
  </si>
  <si>
    <t>$17,88</t>
  </si>
  <si>
    <t>$5.63B</t>
  </si>
  <si>
    <t>$391.85M</t>
  </si>
  <si>
    <t>315.12M</t>
  </si>
  <si>
    <t>$5.09B</t>
  </si>
  <si>
    <t>$235.49M</t>
  </si>
  <si>
    <t>5.09B</t>
  </si>
  <si>
    <t>$6,33</t>
  </si>
  <si>
    <t>$4.76B</t>
  </si>
  <si>
    <t>$232.94M</t>
  </si>
  <si>
    <t>$13,55</t>
  </si>
  <si>
    <t>$3.96B</t>
  </si>
  <si>
    <t>$285.39M</t>
  </si>
  <si>
    <t>$21.884,00</t>
  </si>
  <si>
    <t>$3.85B</t>
  </si>
  <si>
    <t>$228.94M</t>
  </si>
  <si>
    <t>$7,03</t>
  </si>
  <si>
    <t>$3.45B</t>
  </si>
  <si>
    <t>$2,17</t>
  </si>
  <si>
    <t>$3.19B</t>
  </si>
  <si>
    <t>$24.50M</t>
  </si>
  <si>
    <t>$21,01</t>
  </si>
  <si>
    <t>$2.92B</t>
  </si>
  <si>
    <t>$265.24M</t>
  </si>
  <si>
    <t>139.19M</t>
  </si>
  <si>
    <t>$153,67</t>
  </si>
  <si>
    <t>$2.78B</t>
  </si>
  <si>
    <t>$119.48M</t>
  </si>
  <si>
    <t>$129,23</t>
  </si>
  <si>
    <t>$2.49B</t>
  </si>
  <si>
    <t>$619.45M</t>
  </si>
  <si>
    <t>19.31M</t>
  </si>
  <si>
    <t>$2,78</t>
  </si>
  <si>
    <t>$2.33B</t>
  </si>
  <si>
    <t>$867.71M</t>
  </si>
  <si>
    <t>842.05M</t>
  </si>
  <si>
    <t>$0,086</t>
  </si>
  <si>
    <t>$2.25B</t>
  </si>
  <si>
    <t>$102.32M</t>
  </si>
  <si>
    <t>26.34B</t>
  </si>
  <si>
    <t>$13,14</t>
  </si>
  <si>
    <t>$2.13B</t>
  </si>
  <si>
    <t>$502.23M</t>
  </si>
  <si>
    <t>162.70M</t>
  </si>
  <si>
    <t>$0,077</t>
  </si>
  <si>
    <t>$1.95B</t>
  </si>
  <si>
    <t>$32.92M</t>
  </si>
  <si>
    <t>$2,25</t>
  </si>
  <si>
    <t>$288.78M</t>
  </si>
  <si>
    <t>851.94M</t>
  </si>
  <si>
    <t>$0,074</t>
  </si>
  <si>
    <t>$1.91B</t>
  </si>
  <si>
    <t>$104.76M</t>
  </si>
  <si>
    <t>$131,42</t>
  </si>
  <si>
    <t>$1.90B</t>
  </si>
  <si>
    <t>$49.79M</t>
  </si>
  <si>
    <t>$4,83</t>
  </si>
  <si>
    <t>$248.57M</t>
  </si>
  <si>
    <t>389.51M</t>
  </si>
  <si>
    <t>$5,09</t>
  </si>
  <si>
    <t>$205.34M</t>
  </si>
  <si>
    <t>$1.82B</t>
  </si>
  <si>
    <t>$240.60M</t>
  </si>
  <si>
    <t>7.18B</t>
  </si>
  <si>
    <t>$0,023</t>
  </si>
  <si>
    <t>$1.69B</t>
  </si>
  <si>
    <t>$151.21M</t>
  </si>
  <si>
    <t>$5,07</t>
  </si>
  <si>
    <t>$1.46B</t>
  </si>
  <si>
    <t>$71.72M</t>
  </si>
  <si>
    <t>288.85M</t>
  </si>
  <si>
    <t>$0,15</t>
  </si>
  <si>
    <t>$1.34B</t>
  </si>
  <si>
    <t>$501.79M</t>
  </si>
  <si>
    <t>$1.27B</t>
  </si>
  <si>
    <t>$449.81M</t>
  </si>
  <si>
    <t>$1.25B</t>
  </si>
  <si>
    <t>$538.72M</t>
  </si>
  <si>
    <t>$0,67</t>
  </si>
  <si>
    <t>$239.87M</t>
  </si>
  <si>
    <t>$10,14</t>
  </si>
  <si>
    <t>$1.17B</t>
  </si>
  <si>
    <t>$215.57M</t>
  </si>
  <si>
    <t>115.21M</t>
  </si>
  <si>
    <t>$1,05</t>
  </si>
  <si>
    <t>$1.15B</t>
  </si>
  <si>
    <t>$309.21M</t>
  </si>
  <si>
    <t>$78,01</t>
  </si>
  <si>
    <t>$223.12M</t>
  </si>
  <si>
    <t>$42,39</t>
  </si>
  <si>
    <t>$36.84M</t>
  </si>
  <si>
    <t>24.98M</t>
  </si>
  <si>
    <t>$1,02</t>
  </si>
  <si>
    <t>$1.05B</t>
  </si>
  <si>
    <t>$88.18M</t>
  </si>
  <si>
    <t>$1,04</t>
  </si>
  <si>
    <t>$1.04B</t>
  </si>
  <si>
    <t>$63.76M</t>
  </si>
  <si>
    <t>$55,14</t>
  </si>
  <si>
    <t>$1.03B</t>
  </si>
  <si>
    <t>$88.40M</t>
  </si>
  <si>
    <t>$55.39M</t>
  </si>
  <si>
    <t>$985.20M</t>
  </si>
  <si>
    <t>$54.73M</t>
  </si>
  <si>
    <t>918.69M</t>
  </si>
  <si>
    <t>$0,00016</t>
  </si>
  <si>
    <t>$955.32M</t>
  </si>
  <si>
    <t>$120.22M</t>
  </si>
  <si>
    <t>5.93T</t>
  </si>
  <si>
    <t>$946.21M</t>
  </si>
  <si>
    <t>$68.27M</t>
  </si>
  <si>
    <t>947.08M</t>
  </si>
  <si>
    <t>$12,35</t>
  </si>
  <si>
    <t>$910.29M</t>
  </si>
  <si>
    <t>$225.77M</t>
  </si>
  <si>
    <t>73.52M</t>
  </si>
  <si>
    <t>$861.34M</t>
  </si>
  <si>
    <t>$4.20M</t>
  </si>
  <si>
    <t>862.37M</t>
  </si>
  <si>
    <t>$5,02</t>
  </si>
  <si>
    <t>$812.84M</t>
  </si>
  <si>
    <t>$15.82M</t>
  </si>
  <si>
    <t>$8,16</t>
  </si>
  <si>
    <t>$792.69M</t>
  </si>
  <si>
    <t>$2.06M</t>
  </si>
  <si>
    <t>$41,11</t>
  </si>
  <si>
    <t>$789.35M</t>
  </si>
  <si>
    <t>$23.94M</t>
  </si>
  <si>
    <t>$2,39</t>
  </si>
  <si>
    <t>$746.34M</t>
  </si>
  <si>
    <t>$69.97M</t>
  </si>
  <si>
    <t>313.27M</t>
  </si>
  <si>
    <t>$738.43M</t>
  </si>
  <si>
    <t>$312.79M</t>
  </si>
  <si>
    <t>$0,98</t>
  </si>
  <si>
    <t>$733.00M</t>
  </si>
  <si>
    <t>$200.00M</t>
  </si>
  <si>
    <t>747.70M</t>
  </si>
  <si>
    <t>$718.88M</t>
  </si>
  <si>
    <t>$40.39M</t>
  </si>
  <si>
    <t>$0,88</t>
  </si>
  <si>
    <t>$701.57M</t>
  </si>
  <si>
    <t>$77.20M</t>
  </si>
  <si>
    <t>$4,17</t>
  </si>
  <si>
    <t>$686.26M</t>
  </si>
  <si>
    <t>$249.48M</t>
  </si>
  <si>
    <t>164.96M</t>
  </si>
  <si>
    <t>$0,00000071</t>
  </si>
  <si>
    <t>$674.00M</t>
  </si>
  <si>
    <t>$28.24M</t>
  </si>
  <si>
    <t>$9,44</t>
  </si>
  <si>
    <t>$664.30M</t>
  </si>
  <si>
    <t>$349.15M</t>
  </si>
  <si>
    <t>$662.32M</t>
  </si>
  <si>
    <t>$21.78M</t>
  </si>
  <si>
    <t>$0,000034</t>
  </si>
  <si>
    <t>$657.95M</t>
  </si>
  <si>
    <t>$17.96M</t>
  </si>
  <si>
    <t>$58,15</t>
  </si>
  <si>
    <t>$644.78M</t>
  </si>
  <si>
    <t>$165.94M</t>
  </si>
  <si>
    <t>11.14M</t>
  </si>
  <si>
    <t>$0,23</t>
  </si>
  <si>
    <t>$638.35M</t>
  </si>
  <si>
    <t>$23.53M</t>
  </si>
  <si>
    <t>$708,49</t>
  </si>
  <si>
    <t>$637.20M</t>
  </si>
  <si>
    <t>$46.53M</t>
  </si>
  <si>
    <t>$610.25M</t>
  </si>
  <si>
    <t>$163.80M</t>
  </si>
  <si>
    <t>833.60M</t>
  </si>
  <si>
    <t>$0,19</t>
  </si>
  <si>
    <t>$601.85M</t>
  </si>
  <si>
    <t>$50.37M</t>
  </si>
  <si>
    <t>$1,42</t>
  </si>
  <si>
    <t>$589.96M</t>
  </si>
  <si>
    <t>$49.22M</t>
  </si>
  <si>
    <t>$546.22M</t>
  </si>
  <si>
    <t>$87.16M</t>
  </si>
  <si>
    <t>12.77M</t>
  </si>
  <si>
    <t>$534.49M</t>
  </si>
  <si>
    <t>$35.82M</t>
  </si>
  <si>
    <t>528.75M</t>
  </si>
  <si>
    <t>$2,45</t>
  </si>
  <si>
    <t>$524.27M</t>
  </si>
  <si>
    <t>$525.96M</t>
  </si>
  <si>
    <t>$29,50</t>
  </si>
  <si>
    <t>$522.54M</t>
  </si>
  <si>
    <t>$6.09M</t>
  </si>
  <si>
    <t>$10,43</t>
  </si>
  <si>
    <t>$522.32M</t>
  </si>
  <si>
    <t>$78.60M</t>
  </si>
  <si>
    <t>$6,48</t>
  </si>
  <si>
    <t>$517.44M</t>
  </si>
  <si>
    <t>$5.59M</t>
  </si>
  <si>
    <t>$60,53</t>
  </si>
  <si>
    <t>$511.24M</t>
  </si>
  <si>
    <t>$50.63M</t>
  </si>
  <si>
    <t>8.46M</t>
  </si>
  <si>
    <t>$1,67</t>
  </si>
  <si>
    <t>$502.05M</t>
  </si>
  <si>
    <t>$111.33M</t>
  </si>
  <si>
    <t>$1.852,55</t>
  </si>
  <si>
    <t>$496.27M</t>
  </si>
  <si>
    <t>$14.17M</t>
  </si>
  <si>
    <t>$0,41</t>
  </si>
  <si>
    <t>$492.13M</t>
  </si>
  <si>
    <t>$360.89M</t>
  </si>
  <si>
    <t>$1.866,50</t>
  </si>
  <si>
    <t>$457.63M</t>
  </si>
  <si>
    <t>$1.86M</t>
  </si>
  <si>
    <t>$0,0000000029</t>
  </si>
  <si>
    <t>$453.11M</t>
  </si>
  <si>
    <t>$17.35M</t>
  </si>
  <si>
    <t>WhiteBIT Token (WBT)</t>
  </si>
  <si>
    <t>WBT</t>
  </si>
  <si>
    <t>$3,31</t>
  </si>
  <si>
    <t>$447.88M</t>
  </si>
  <si>
    <t>$1.31M</t>
  </si>
  <si>
    <t>135.73M</t>
  </si>
  <si>
    <t>$440.77M</t>
  </si>
  <si>
    <t>$66.66M</t>
  </si>
  <si>
    <t>$0,027</t>
  </si>
  <si>
    <t>$440.49M</t>
  </si>
  <si>
    <t>$97.37M</t>
  </si>
  <si>
    <t>16.11B</t>
  </si>
  <si>
    <t>$430.71M</t>
  </si>
  <si>
    <t>$288.98M</t>
  </si>
  <si>
    <t>$5,76</t>
  </si>
  <si>
    <t>$427.18M</t>
  </si>
  <si>
    <t>$12.81M</t>
  </si>
  <si>
    <t>74.37M</t>
  </si>
  <si>
    <t>$0,040</t>
  </si>
  <si>
    <t>$426.26M</t>
  </si>
  <si>
    <t>$11.35M</t>
  </si>
  <si>
    <t>10.74B</t>
  </si>
  <si>
    <t>$0,53</t>
  </si>
  <si>
    <t>$420.54M</t>
  </si>
  <si>
    <t>$65.67M</t>
  </si>
  <si>
    <t>792.25M</t>
  </si>
  <si>
    <t>$0,038</t>
  </si>
  <si>
    <t>$420.49M</t>
  </si>
  <si>
    <t>$11.49M</t>
  </si>
  <si>
    <t>11.12B</t>
  </si>
  <si>
    <t>$1,41</t>
  </si>
  <si>
    <t>$416.06M</t>
  </si>
  <si>
    <t>$227.72M</t>
  </si>
  <si>
    <t>$0,33</t>
  </si>
  <si>
    <t>$415.98M</t>
  </si>
  <si>
    <t>$199.95M</t>
  </si>
  <si>
    <t>$409.03M</t>
  </si>
  <si>
    <t>$8.48M</t>
  </si>
  <si>
    <t>Basic Attention (BAT)</t>
  </si>
  <si>
    <t>BAT</t>
  </si>
  <si>
    <t>$0,27</t>
  </si>
  <si>
    <t>$398.24M</t>
  </si>
  <si>
    <t>$52.27M</t>
  </si>
  <si>
    <t>1.49B</t>
  </si>
  <si>
    <t>$3,68</t>
  </si>
  <si>
    <t>$396.61M</t>
  </si>
  <si>
    <t>$29.62M</t>
  </si>
  <si>
    <t xml:space="preserve">5,29 Real brasileiro </t>
  </si>
  <si>
    <t xml:space="preserve">D󬡲 Comercial: Acompanhe no UOL Economia a cota磯 de hoje, veja grᦩcos, tabelas e hist󲩣o de cota絥s. Conhe硠tamb魠o conversor de moedas. </t>
  </si>
  <si>
    <t xml:space="preserve">Principais not_xD8E9_as </t>
  </si>
  <si>
    <t xml:space="preserve">Real entre farpas: Como fica a cota磯 do d󬡲 com a batalha entre Lula e BC? InfoMoney 2 dias atr᳼/span&gt; </t>
  </si>
  <si>
    <t xml:space="preserve">Ciclo de d󬡲 forte se aproxima do fim, mas real pode perder chance de valoriza磯 Valor Econ_xDC76__xDE63_o 17 horas atr᳼/span&gt; </t>
  </si>
  <si>
    <t xml:space="preserve">D󬡲 mostra instabilidade ante real com Congresso se unindo ao coro de cr_xDD29_cas ao BC Por Reuters Investing.com 11 horas atr᳼/span&gt; </t>
  </si>
  <si>
    <t xml:space="preserve">Real. 1 D󬡲 vale 5,29 Reais. 100 D󬡲es valem 529 Reais. 500 D󬡲es valem 2.646 Reais. 1.000 D󬡲es valem 5.292 Reais. 3.000 D󬡲es valem 15.875 Reais. </t>
  </si>
  <si>
    <t xml:space="preserve">US Dollar/Brazilian Real FX Spot Rate BRL=:Exchange - CNBC www.cnbc.com › quotes </t>
  </si>
  <si>
    <t xml:space="preserve">Get US Dollar/Brazilian Real FX Spot Rate (BRL=:Exchange) real-time stock quotes, news, price and financial information from CNBC. </t>
  </si>
  <si>
    <t xml:space="preserve">d󬡲 valor </t>
  </si>
  <si>
    <t xml:space="preserve">converter d󬡲 em real calculadora </t>
  </si>
  <si>
    <t>Boqueir㯬 Curitiba - PR - Com base na sua atividade anterior - Saiba mais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</si>
</sst>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R$&quot;\ * #,##0.00_-;\-&quot;R$&quot;\ * #,##0.00_-;_-&quot;R$&quot;\ * &quot;-&quot;??_-;_-@_-"/>
    <numFmt numFmtId="164" formatCode="_-[$$-409]* #,##0.00_ ;_-[$$-409]* \-#,##0.00\ ;_-[$$-409]* &quot;-&quot;??_ ;_-@_ "/>
    <numFmt numFmtId="165" formatCode="_-[$R$-416]\ * #,##0.00_-;\-[$R$-416]\ * #,##0.00_-;_-[$R$-416]\ * &quot;-&quot;??_-;_-@_-"/>
    <numFmt numFmtId="166" formatCode="0.00000000"/>
    <numFmt numFmtId="167" formatCode="0.000000"/>
  </numFmts>
  <fonts count="29" x14ac:knownFonts="1">
    <font>
      <sz val="11"/>
      <color theme="1"/>
      <name val="Calibri"/>
      <family val="2"/>
      <scheme val="minor"/>
    </font>
    <font>
      <u/>
      <sz val="11"/>
      <color theme="10"/>
      <name val="Calibri"/>
      <family val="2"/>
      <scheme val="minor"/>
    </font>
    <font>
      <b/>
      <sz val="20"/>
      <color theme="1"/>
      <name val="Calibri"/>
      <family val="2"/>
      <scheme val="minor"/>
    </font>
    <font>
      <sz val="20"/>
      <color theme="1"/>
      <name val="Calibri"/>
      <family val="2"/>
      <scheme val="minor"/>
    </font>
    <font>
      <sz val="11"/>
      <color rgb="FF3C4858"/>
      <name val="Roboto"/>
    </font>
    <font>
      <b/>
      <sz val="11"/>
      <color rgb="FF3C4858"/>
      <name val="Roboto"/>
    </font>
    <font>
      <b/>
      <i/>
      <sz val="11"/>
      <color rgb="FF3C4858"/>
      <name val="Roboto"/>
    </font>
    <font>
      <sz val="11"/>
      <color theme="1"/>
      <name val="Calibri"/>
      <family val="2"/>
      <scheme val="minor"/>
    </font>
    <font>
      <sz val="18"/>
      <color theme="1"/>
      <name val="Calibri"/>
      <family val="2"/>
      <scheme val="minor"/>
    </font>
    <font>
      <b/>
      <sz val="48"/>
      <color theme="1"/>
      <name val="Courier New"/>
      <family val="3"/>
    </font>
    <font>
      <b/>
      <sz val="36"/>
      <color theme="1"/>
      <name val="Courier New"/>
      <family val="3"/>
    </font>
    <font>
      <b/>
      <sz val="20"/>
      <color theme="1"/>
      <name val="Arial"/>
      <family val="2"/>
    </font>
    <font>
      <sz val="11"/>
      <color rgb="FF333333"/>
      <name val="Arial"/>
      <family val="2"/>
    </font>
    <font>
      <b/>
      <sz val="11"/>
      <color rgb="FF333333"/>
      <name val="Arial"/>
      <family val="2"/>
    </font>
    <font>
      <sz val="10"/>
      <color theme="1"/>
      <name val="Calibri"/>
      <family val="2"/>
      <scheme val="minor"/>
    </font>
    <font>
      <b/>
      <sz val="10"/>
      <color theme="1"/>
      <name val="Calibri"/>
      <family val="2"/>
      <scheme val="minor"/>
    </font>
    <font>
      <sz val="26"/>
      <color theme="1"/>
      <name val="Calibri"/>
      <family val="2"/>
      <scheme val="minor"/>
    </font>
    <font>
      <b/>
      <sz val="28"/>
      <color theme="1"/>
      <name val="Courier New"/>
      <family val="3"/>
    </font>
    <font>
      <b/>
      <sz val="48"/>
      <color theme="0"/>
      <name val="Courier New"/>
      <family val="3"/>
    </font>
    <font>
      <sz val="11"/>
      <color theme="1"/>
      <name val="Arial"/>
      <family val="2"/>
    </font>
    <font>
      <b/>
      <sz val="10"/>
      <color rgb="FF4285F4"/>
      <name val="Arial"/>
      <family val="2"/>
    </font>
    <font>
      <sz val="10"/>
      <color rgb="FF70757A"/>
      <name val="Arial"/>
      <family val="2"/>
    </font>
    <font>
      <b/>
      <sz val="22"/>
      <color theme="1"/>
      <name val="Courier New"/>
      <family val="3"/>
    </font>
    <font>
      <b/>
      <sz val="10"/>
      <color indexed="81"/>
      <name val="Segoe UI"/>
      <family val="2"/>
    </font>
    <font>
      <sz val="10"/>
      <color indexed="81"/>
      <name val="Segoe UI"/>
      <family val="2"/>
    </font>
    <font>
      <sz val="9"/>
      <color indexed="81"/>
      <name val="Segoe UI"/>
      <family val="2"/>
    </font>
    <font>
      <sz val="11"/>
      <color indexed="81"/>
      <name val="Segoe UI"/>
      <family val="2"/>
    </font>
    <font>
      <sz val="12"/>
      <color indexed="81"/>
      <name val="Segoe UI"/>
      <family val="2"/>
    </font>
    <font>
      <sz val="11"/>
      <color rgb="FF1967D2"/>
      <name val="Arial"/>
      <family val="2"/>
    </font>
  </fonts>
  <fills count="26">
    <fill>
      <patternFill patternType="none"/>
    </fill>
    <fill>
      <patternFill patternType="gray125"/>
    </fill>
    <fill>
      <patternFill patternType="solid">
        <fgColor rgb="FFFFFFFF"/>
        <bgColor indexed="64"/>
      </patternFill>
    </fill>
    <fill>
      <patternFill patternType="solid">
        <fgColor rgb="FFCC66FF"/>
        <bgColor indexed="64"/>
      </patternFill>
    </fill>
    <fill>
      <patternFill patternType="solid">
        <fgColor rgb="FFFFC000"/>
        <bgColor indexed="64"/>
      </patternFill>
    </fill>
    <fill>
      <patternFill patternType="solid">
        <fgColor rgb="FF00ABD2"/>
        <bgColor indexed="64"/>
      </patternFill>
    </fill>
    <fill>
      <patternFill patternType="solid">
        <fgColor rgb="FF74D9F1"/>
        <bgColor indexed="64"/>
      </patternFill>
    </fill>
    <fill>
      <patternFill patternType="solid">
        <fgColor rgb="FFBFE7F1"/>
        <bgColor indexed="64"/>
      </patternFill>
    </fill>
    <fill>
      <patternFill patternType="solid">
        <fgColor rgb="FFA1E1F1"/>
        <bgColor indexed="64"/>
      </patternFill>
    </fill>
    <fill>
      <patternFill patternType="solid">
        <fgColor rgb="FFFFFF00"/>
        <bgColor indexed="64"/>
      </patternFill>
    </fill>
    <fill>
      <patternFill patternType="solid">
        <fgColor theme="7" tint="0.59999389629810485"/>
        <bgColor theme="7" tint="0.59999389629810485"/>
      </patternFill>
    </fill>
    <fill>
      <patternFill patternType="solid">
        <fgColor theme="7" tint="0.79998168889431442"/>
        <bgColor theme="7" tint="0.79998168889431442"/>
      </patternFill>
    </fill>
    <fill>
      <patternFill patternType="solid">
        <fgColor theme="0" tint="-0.14999847407452621"/>
        <bgColor theme="0" tint="-0.14999847407452621"/>
      </patternFill>
    </fill>
    <fill>
      <patternFill patternType="solid">
        <fgColor rgb="FFB48FFF"/>
        <bgColor indexed="64"/>
      </patternFill>
    </fill>
    <fill>
      <patternFill patternType="solid">
        <fgColor rgb="FFB7B7FF"/>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darkDown">
        <fgColor theme="1"/>
        <bgColor theme="0" tint="-0.499984740745262"/>
      </patternFill>
    </fill>
    <fill>
      <patternFill patternType="darkDown">
        <fgColor theme="7" tint="-0.24994659260841701"/>
        <bgColor rgb="FFFFC000"/>
      </patternFill>
    </fill>
    <fill>
      <patternFill patternType="darkDown">
        <fgColor rgb="FF8F45C7"/>
        <bgColor rgb="FFC9A4E4"/>
      </patternFill>
    </fill>
    <fill>
      <patternFill patternType="solid">
        <fgColor theme="7" tint="0.79998168889431442"/>
        <bgColor theme="7" tint="0.59999389629810485"/>
      </patternFill>
    </fill>
    <fill>
      <patternFill patternType="solid">
        <fgColor theme="3" tint="0.79998168889431442"/>
        <bgColor theme="7" tint="0.59999389629810485"/>
      </patternFill>
    </fill>
    <fill>
      <patternFill patternType="solid">
        <fgColor theme="0"/>
        <bgColor theme="7" tint="0.59999389629810485"/>
      </patternFill>
    </fill>
    <fill>
      <patternFill patternType="solid">
        <fgColor theme="0"/>
        <bgColor theme="7" tint="0.79998168889431442"/>
      </patternFill>
    </fill>
    <fill>
      <patternFill patternType="solid">
        <fgColor theme="0" tint="-0.14999847407452621"/>
        <bgColor indexed="64"/>
      </patternFill>
    </fill>
  </fills>
  <borders count="78">
    <border>
      <left/>
      <right/>
      <top/>
      <bottom/>
      <diagonal/>
    </border>
    <border>
      <left style="thin">
        <color rgb="FFDADCE0"/>
      </left>
      <right style="thin">
        <color rgb="FFDADCE0"/>
      </right>
      <top style="thin">
        <color rgb="FFDADCE0"/>
      </top>
      <bottom/>
      <diagonal/>
    </border>
    <border>
      <left style="thin">
        <color rgb="FFDADCE0"/>
      </left>
      <right style="thin">
        <color rgb="FFDADCE0"/>
      </right>
      <top style="thin">
        <color rgb="FFDADCE0"/>
      </top>
      <bottom style="thin">
        <color rgb="FFDADCE0"/>
      </bottom>
      <diagonal/>
    </border>
    <border>
      <left/>
      <right/>
      <top style="thin">
        <color rgb="FFDADCE0"/>
      </top>
      <bottom style="thin">
        <color rgb="FFDADCE0"/>
      </bottom>
      <diagonal/>
    </border>
    <border>
      <left/>
      <right style="thin">
        <color rgb="FFDADCE0"/>
      </right>
      <top style="thin">
        <color rgb="FFDADCE0"/>
      </top>
      <bottom style="thin">
        <color rgb="FFDADCE0"/>
      </bottom>
      <diagonal/>
    </border>
    <border>
      <left style="thin">
        <color rgb="FFDADCE0"/>
      </left>
      <right style="thin">
        <color rgb="FFDADCE0"/>
      </right>
      <top/>
      <bottom style="thin">
        <color rgb="FFDADCE0"/>
      </bottom>
      <diagonal/>
    </border>
    <border>
      <left style="thin">
        <color rgb="FFDADCE0"/>
      </left>
      <right/>
      <top style="thin">
        <color rgb="FFDADCE0"/>
      </top>
      <bottom style="thin">
        <color rgb="FFDADCE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rgb="FF7030A0"/>
      </left>
      <right style="medium">
        <color rgb="FF7030A0"/>
      </right>
      <top style="thick">
        <color rgb="FF7030A0"/>
      </top>
      <bottom style="dashed">
        <color rgb="FF7030A0"/>
      </bottom>
      <diagonal/>
    </border>
    <border>
      <left style="medium">
        <color rgb="FF7030A0"/>
      </left>
      <right style="medium">
        <color rgb="FF7030A0"/>
      </right>
      <top style="dashed">
        <color rgb="FF7030A0"/>
      </top>
      <bottom style="thick">
        <color rgb="FF7030A0"/>
      </bottom>
      <diagonal/>
    </border>
    <border>
      <left style="medium">
        <color theme="7" tint="-0.24994659260841701"/>
      </left>
      <right style="medium">
        <color theme="7" tint="-0.24994659260841701"/>
      </right>
      <top style="thick">
        <color theme="7" tint="-0.24994659260841701"/>
      </top>
      <bottom style="dashed">
        <color theme="7" tint="-0.24994659260841701"/>
      </bottom>
      <diagonal/>
    </border>
    <border>
      <left style="medium">
        <color theme="7" tint="-0.24994659260841701"/>
      </left>
      <right style="medium">
        <color theme="7" tint="-0.24994659260841701"/>
      </right>
      <top style="dashed">
        <color theme="7" tint="-0.24994659260841701"/>
      </top>
      <bottom style="thick">
        <color theme="7" tint="-0.24994659260841701"/>
      </bottom>
      <diagonal/>
    </border>
    <border>
      <left style="thick">
        <color theme="7" tint="-0.24994659260841701"/>
      </left>
      <right style="medium">
        <color theme="7" tint="-0.24994659260841701"/>
      </right>
      <top style="thick">
        <color theme="7" tint="-0.24994659260841701"/>
      </top>
      <bottom/>
      <diagonal/>
    </border>
    <border>
      <left style="thick">
        <color theme="7" tint="-0.24994659260841701"/>
      </left>
      <right style="medium">
        <color theme="7" tint="-0.24994659260841701"/>
      </right>
      <top/>
      <bottom/>
      <diagonal/>
    </border>
    <border>
      <left style="thick">
        <color theme="7" tint="-0.24994659260841701"/>
      </left>
      <right style="medium">
        <color theme="7" tint="-0.24994659260841701"/>
      </right>
      <top/>
      <bottom style="thick">
        <color theme="7" tint="-0.24994659260841701"/>
      </bottom>
      <diagonal/>
    </border>
    <border>
      <left/>
      <right/>
      <top style="thick">
        <color rgb="FF7030A0"/>
      </top>
      <bottom/>
      <diagonal/>
    </border>
    <border>
      <left/>
      <right/>
      <top/>
      <bottom style="thick">
        <color rgb="FF7030A0"/>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medium">
        <color indexed="64"/>
      </bottom>
      <diagonal/>
    </border>
    <border>
      <left style="medium">
        <color indexed="64"/>
      </left>
      <right style="medium">
        <color indexed="64"/>
      </right>
      <top style="thin">
        <color indexed="64"/>
      </top>
      <bottom style="medium">
        <color indexed="64"/>
      </bottom>
      <diagonal/>
    </border>
    <border>
      <left/>
      <right style="dashed">
        <color indexed="64"/>
      </right>
      <top style="medium">
        <color indexed="64"/>
      </top>
      <bottom style="medium">
        <color indexed="64"/>
      </bottom>
      <diagonal/>
    </border>
    <border>
      <left/>
      <right style="hair">
        <color indexed="64"/>
      </right>
      <top style="thin">
        <color indexed="64"/>
      </top>
      <bottom style="thin">
        <color indexed="64"/>
      </bottom>
      <diagonal/>
    </border>
    <border>
      <left/>
      <right style="hair">
        <color indexed="64"/>
      </right>
      <top style="thin">
        <color indexed="64"/>
      </top>
      <bottom style="medium">
        <color indexed="64"/>
      </bottom>
      <diagonal/>
    </border>
    <border>
      <left style="dashed">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64"/>
      </left>
      <right/>
      <top style="thin">
        <color indexed="64"/>
      </top>
      <bottom style="medium">
        <color indexed="64"/>
      </bottom>
      <diagonal/>
    </border>
    <border>
      <left style="medium">
        <color indexed="64"/>
      </left>
      <right style="dashed">
        <color indexed="64"/>
      </right>
      <top style="medium">
        <color indexed="64"/>
      </top>
      <bottom style="thin">
        <color indexed="64"/>
      </bottom>
      <diagonal/>
    </border>
    <border>
      <left style="dashed">
        <color indexed="64"/>
      </left>
      <right style="dashed">
        <color indexed="64"/>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style="medium">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style="medium">
        <color indexed="64"/>
      </right>
      <top style="thin">
        <color indexed="64"/>
      </top>
      <bottom style="thin">
        <color indexed="64"/>
      </bottom>
      <diagonal/>
    </border>
    <border>
      <left style="medium">
        <color indexed="64"/>
      </left>
      <right style="dashed">
        <color indexed="64"/>
      </right>
      <top style="thin">
        <color indexed="64"/>
      </top>
      <bottom style="medium">
        <color indexed="64"/>
      </bottom>
      <diagonal/>
    </border>
    <border>
      <left style="dashed">
        <color indexed="64"/>
      </left>
      <right style="dashed">
        <color indexed="64"/>
      </right>
      <top style="thin">
        <color indexed="64"/>
      </top>
      <bottom style="medium">
        <color indexed="64"/>
      </bottom>
      <diagonal/>
    </border>
    <border>
      <left style="dashed">
        <color indexed="64"/>
      </left>
      <right style="medium">
        <color indexed="64"/>
      </right>
      <top style="thin">
        <color indexed="64"/>
      </top>
      <bottom style="medium">
        <color indexed="64"/>
      </bottom>
      <diagonal/>
    </border>
    <border>
      <left style="medium">
        <color indexed="64"/>
      </left>
      <right style="dashed">
        <color indexed="64"/>
      </right>
      <top/>
      <bottom style="medium">
        <color indexed="64"/>
      </bottom>
      <diagonal/>
    </border>
    <border>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top/>
      <bottom style="medium">
        <color indexed="64"/>
      </bottom>
      <diagonal/>
    </border>
    <border>
      <left style="dashed">
        <color indexed="64"/>
      </left>
      <right style="medium">
        <color indexed="64"/>
      </right>
      <top/>
      <bottom style="medium">
        <color indexed="64"/>
      </bottom>
      <diagonal/>
    </border>
    <border>
      <left style="medium">
        <color indexed="64"/>
      </left>
      <right style="dashed">
        <color indexed="64"/>
      </right>
      <top style="thin">
        <color indexed="64"/>
      </top>
      <bottom/>
      <diagonal/>
    </border>
    <border>
      <left style="dashed">
        <color indexed="64"/>
      </left>
      <right style="dashed">
        <color indexed="64"/>
      </right>
      <top style="thin">
        <color indexed="64"/>
      </top>
      <bottom/>
      <diagonal/>
    </border>
    <border>
      <left style="dashed">
        <color indexed="64"/>
      </left>
      <right style="medium">
        <color indexed="64"/>
      </right>
      <top style="thin">
        <color indexed="64"/>
      </top>
      <bottom/>
      <diagonal/>
    </border>
    <border>
      <left style="medium">
        <color indexed="64"/>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theme="7" tint="-0.24994659260841701"/>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rgb="FF7030A0"/>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style="medium">
        <color rgb="FF7030A0"/>
      </right>
      <top/>
      <bottom style="medium">
        <color rgb="FF7030A0"/>
      </bottom>
      <diagonal/>
    </border>
  </borders>
  <cellStyleXfs count="4">
    <xf numFmtId="0" fontId="0" fillId="0" borderId="0"/>
    <xf numFmtId="0" fontId="1" fillId="0" borderId="0" applyNumberFormat="0" applyFill="0" applyBorder="0" applyAlignment="0" applyProtection="0"/>
    <xf numFmtId="44" fontId="7" fillId="0" borderId="0" applyFont="0" applyFill="0" applyBorder="0" applyAlignment="0" applyProtection="0"/>
    <xf numFmtId="9" fontId="7" fillId="0" borderId="0" applyFont="0" applyFill="0" applyBorder="0" applyAlignment="0" applyProtection="0"/>
  </cellStyleXfs>
  <cellXfs count="332">
    <xf numFmtId="0" fontId="0" fillId="0" borderId="0" xfId="0"/>
    <xf numFmtId="0" fontId="2" fillId="4" borderId="0" xfId="0" applyFont="1" applyFill="1" applyAlignment="1">
      <alignment horizontal="center" vertical="center"/>
    </xf>
    <xf numFmtId="0" fontId="2" fillId="3" borderId="0" xfId="0" applyFont="1" applyFill="1" applyAlignment="1">
      <alignment horizontal="center" vertical="center"/>
    </xf>
    <xf numFmtId="0" fontId="5" fillId="2" borderId="0" xfId="0" applyFont="1" applyFill="1" applyAlignment="1">
      <alignment horizontal="center" vertical="center" wrapText="1"/>
    </xf>
    <xf numFmtId="0" fontId="6" fillId="2" borderId="0" xfId="0" applyFont="1" applyFill="1" applyAlignment="1">
      <alignment horizontal="center" vertical="center" wrapText="1"/>
    </xf>
    <xf numFmtId="0" fontId="1" fillId="2" borderId="0" xfId="1" applyFill="1" applyAlignment="1">
      <alignment horizontal="left" vertical="center" wrapText="1" indent="1"/>
    </xf>
    <xf numFmtId="0" fontId="4" fillId="2" borderId="0" xfId="0" applyFont="1" applyFill="1" applyAlignment="1">
      <alignment horizontal="left" vertical="center" wrapText="1" indent="1"/>
    </xf>
    <xf numFmtId="0" fontId="0" fillId="0" borderId="0" xfId="0" applyAlignment="1">
      <alignment vertical="center"/>
    </xf>
    <xf numFmtId="0" fontId="0" fillId="0" borderId="0" xfId="0" applyAlignment="1">
      <alignment vertical="center" wrapText="1"/>
    </xf>
    <xf numFmtId="0" fontId="1" fillId="0" borderId="0" xfId="1" applyAlignment="1">
      <alignment vertical="center" wrapText="1"/>
    </xf>
    <xf numFmtId="0" fontId="1" fillId="0" borderId="0" xfId="1" applyAlignment="1">
      <alignment horizontal="center" vertical="center"/>
    </xf>
    <xf numFmtId="0" fontId="1" fillId="0" borderId="3" xfId="1" applyBorder="1" applyAlignment="1">
      <alignment vertical="center" wrapText="1"/>
    </xf>
    <xf numFmtId="0" fontId="1" fillId="0" borderId="4" xfId="1" applyBorder="1" applyAlignment="1">
      <alignment vertical="center" wrapText="1"/>
    </xf>
    <xf numFmtId="0" fontId="1" fillId="0" borderId="2" xfId="1" applyBorder="1" applyAlignment="1">
      <alignment vertical="center" wrapText="1"/>
    </xf>
    <xf numFmtId="0" fontId="1" fillId="0" borderId="5" xfId="1" applyBorder="1" applyAlignment="1">
      <alignment vertical="center" wrapText="1"/>
    </xf>
    <xf numFmtId="0" fontId="1" fillId="0" borderId="0" xfId="1" applyAlignment="1">
      <alignment vertical="center"/>
    </xf>
    <xf numFmtId="0" fontId="1" fillId="0" borderId="2" xfId="1" applyBorder="1" applyAlignment="1">
      <alignment horizontal="right" vertical="center" wrapText="1"/>
    </xf>
    <xf numFmtId="0" fontId="1" fillId="0" borderId="6" xfId="1" applyBorder="1" applyAlignment="1">
      <alignment vertical="center" wrapText="1"/>
    </xf>
    <xf numFmtId="0" fontId="8" fillId="0" borderId="0" xfId="0" applyFont="1" applyAlignment="1">
      <alignment horizontal="center" vertical="center"/>
    </xf>
    <xf numFmtId="0" fontId="8" fillId="11" borderId="10" xfId="0" applyFont="1" applyFill="1" applyBorder="1" applyAlignment="1">
      <alignment horizontal="center" vertical="center"/>
    </xf>
    <xf numFmtId="0" fontId="8" fillId="11" borderId="11" xfId="0" applyFont="1" applyFill="1" applyBorder="1" applyAlignment="1">
      <alignment horizontal="center" vertical="center"/>
    </xf>
    <xf numFmtId="0" fontId="8" fillId="11" borderId="12" xfId="0" applyFont="1" applyFill="1" applyBorder="1" applyAlignment="1">
      <alignment horizontal="center" vertical="center"/>
    </xf>
    <xf numFmtId="0" fontId="8" fillId="10" borderId="10" xfId="0" applyFont="1" applyFill="1" applyBorder="1" applyAlignment="1">
      <alignment horizontal="center" vertical="center"/>
    </xf>
    <xf numFmtId="0" fontId="8" fillId="10" borderId="11" xfId="0" applyFont="1" applyFill="1" applyBorder="1" applyAlignment="1">
      <alignment horizontal="center" vertical="center"/>
    </xf>
    <xf numFmtId="0" fontId="8" fillId="10" borderId="12" xfId="0" applyFont="1" applyFill="1" applyBorder="1" applyAlignment="1">
      <alignment horizontal="center" vertical="center"/>
    </xf>
    <xf numFmtId="0" fontId="8" fillId="10" borderId="13" xfId="0" applyFont="1" applyFill="1" applyBorder="1" applyAlignment="1">
      <alignment horizontal="center" vertical="center"/>
    </xf>
    <xf numFmtId="0" fontId="8" fillId="10" borderId="14" xfId="0" applyFont="1" applyFill="1" applyBorder="1" applyAlignment="1">
      <alignment horizontal="center" vertical="center"/>
    </xf>
    <xf numFmtId="0" fontId="8" fillId="10" borderId="15" xfId="0" applyFont="1" applyFill="1" applyBorder="1" applyAlignment="1">
      <alignment horizontal="center" vertical="center"/>
    </xf>
    <xf numFmtId="0" fontId="10" fillId="0" borderId="0" xfId="0" applyFont="1" applyAlignment="1">
      <alignment horizontal="center" vertical="center"/>
    </xf>
    <xf numFmtId="0" fontId="11" fillId="9" borderId="16" xfId="0" applyFont="1" applyFill="1" applyBorder="1" applyAlignment="1">
      <alignment horizontal="center" vertical="center"/>
    </xf>
    <xf numFmtId="0" fontId="11" fillId="9" borderId="17" xfId="0" applyFont="1" applyFill="1" applyBorder="1" applyAlignment="1">
      <alignment horizontal="center" vertical="center"/>
    </xf>
    <xf numFmtId="0" fontId="11" fillId="9" borderId="18" xfId="0" applyFont="1" applyFill="1" applyBorder="1" applyAlignment="1">
      <alignment horizontal="center" vertical="center"/>
    </xf>
    <xf numFmtId="0" fontId="11" fillId="0" borderId="0" xfId="0" applyFont="1" applyAlignment="1">
      <alignment horizontal="center" vertical="center"/>
    </xf>
    <xf numFmtId="164" fontId="8" fillId="0" borderId="0" xfId="0" applyNumberFormat="1" applyFont="1" applyAlignment="1">
      <alignment horizontal="center" vertical="center"/>
    </xf>
    <xf numFmtId="165" fontId="8" fillId="0" borderId="0" xfId="0" applyNumberFormat="1" applyFont="1" applyAlignment="1">
      <alignment horizontal="center" vertical="center"/>
    </xf>
    <xf numFmtId="165" fontId="11" fillId="9" borderId="17" xfId="0" applyNumberFormat="1" applyFont="1" applyFill="1" applyBorder="1" applyAlignment="1">
      <alignment horizontal="center" vertical="center"/>
    </xf>
    <xf numFmtId="165" fontId="8" fillId="11" borderId="11" xfId="0" applyNumberFormat="1" applyFont="1" applyFill="1" applyBorder="1" applyAlignment="1">
      <alignment horizontal="center" vertical="center"/>
    </xf>
    <xf numFmtId="165" fontId="8" fillId="10" borderId="11" xfId="0" applyNumberFormat="1" applyFont="1" applyFill="1" applyBorder="1" applyAlignment="1">
      <alignment horizontal="center" vertical="center"/>
    </xf>
    <xf numFmtId="165" fontId="8" fillId="10" borderId="14" xfId="0" applyNumberFormat="1" applyFont="1" applyFill="1" applyBorder="1" applyAlignment="1">
      <alignment horizontal="center" vertical="center"/>
    </xf>
    <xf numFmtId="164" fontId="11" fillId="9" borderId="17" xfId="0" applyNumberFormat="1" applyFont="1" applyFill="1" applyBorder="1" applyAlignment="1">
      <alignment horizontal="center" vertical="center"/>
    </xf>
    <xf numFmtId="164" fontId="8" fillId="11" borderId="11" xfId="0" applyNumberFormat="1" applyFont="1" applyFill="1" applyBorder="1" applyAlignment="1">
      <alignment horizontal="center" vertical="center"/>
    </xf>
    <xf numFmtId="164" fontId="8" fillId="10" borderId="11" xfId="0" applyNumberFormat="1" applyFont="1" applyFill="1" applyBorder="1" applyAlignment="1">
      <alignment horizontal="center" vertical="center"/>
    </xf>
    <xf numFmtId="164" fontId="8" fillId="10" borderId="14" xfId="0" applyNumberFormat="1" applyFont="1" applyFill="1" applyBorder="1" applyAlignment="1">
      <alignment horizontal="center" vertical="center"/>
    </xf>
    <xf numFmtId="0" fontId="12" fillId="0" borderId="0" xfId="0" applyFont="1" applyAlignment="1">
      <alignment vertical="center" wrapText="1"/>
    </xf>
    <xf numFmtId="0" fontId="15" fillId="0" borderId="0" xfId="0" applyFont="1" applyAlignment="1">
      <alignment horizontal="center" vertical="center" wrapText="1"/>
    </xf>
    <xf numFmtId="0" fontId="14" fillId="0" borderId="0" xfId="0" applyFont="1" applyAlignment="1">
      <alignment vertical="center" wrapText="1"/>
    </xf>
    <xf numFmtId="17" fontId="14" fillId="0" borderId="0" xfId="0" applyNumberFormat="1" applyFont="1" applyAlignment="1">
      <alignment vertical="center" wrapText="1"/>
    </xf>
    <xf numFmtId="3" fontId="14" fillId="0" borderId="0" xfId="0" applyNumberFormat="1" applyFont="1" applyAlignment="1">
      <alignment vertical="center" wrapText="1"/>
    </xf>
    <xf numFmtId="10" fontId="14" fillId="0" borderId="0" xfId="0" applyNumberFormat="1" applyFont="1" applyAlignment="1">
      <alignment vertical="center" wrapText="1" readingOrder="1"/>
    </xf>
    <xf numFmtId="21" fontId="14" fillId="0" borderId="0" xfId="0" applyNumberFormat="1" applyFont="1" applyAlignment="1">
      <alignment vertical="center" wrapText="1"/>
    </xf>
    <xf numFmtId="4" fontId="14" fillId="0" borderId="0" xfId="0" applyNumberFormat="1" applyFont="1" applyAlignment="1">
      <alignment vertical="center" wrapText="1"/>
    </xf>
    <xf numFmtId="16" fontId="14" fillId="0" borderId="0" xfId="0" applyNumberFormat="1" applyFont="1" applyAlignment="1">
      <alignment vertical="center" wrapText="1"/>
    </xf>
    <xf numFmtId="0" fontId="0" fillId="0" borderId="0" xfId="0" applyAlignment="1">
      <alignment vertical="center" wrapText="1" readingOrder="1"/>
    </xf>
    <xf numFmtId="0" fontId="14" fillId="0" borderId="0" xfId="0" applyFont="1" applyAlignment="1">
      <alignment vertical="center" wrapText="1" readingOrder="1"/>
    </xf>
    <xf numFmtId="10" fontId="14" fillId="0" borderId="0" xfId="0" applyNumberFormat="1" applyFont="1" applyAlignment="1">
      <alignment vertical="center" wrapText="1"/>
    </xf>
    <xf numFmtId="4" fontId="14" fillId="0" borderId="0" xfId="0" applyNumberFormat="1" applyFont="1" applyAlignment="1">
      <alignment vertical="center" wrapText="1" readingOrder="1"/>
    </xf>
    <xf numFmtId="3" fontId="14" fillId="0" borderId="0" xfId="0" applyNumberFormat="1" applyFont="1" applyAlignment="1">
      <alignment vertical="center" wrapText="1" readingOrder="1"/>
    </xf>
    <xf numFmtId="0" fontId="13" fillId="0" borderId="0" xfId="0" applyFont="1" applyAlignment="1">
      <alignment horizontal="center" vertical="center" wrapText="1"/>
    </xf>
    <xf numFmtId="0" fontId="3" fillId="0" borderId="7" xfId="0" applyFont="1" applyBorder="1" applyAlignment="1">
      <alignment horizontal="center" vertical="center"/>
    </xf>
    <xf numFmtId="0" fontId="3" fillId="0" borderId="8" xfId="0" applyFont="1" applyBorder="1" applyAlignment="1">
      <alignment horizontal="center" vertical="center"/>
    </xf>
    <xf numFmtId="44" fontId="0" fillId="0" borderId="0" xfId="2" applyFont="1"/>
    <xf numFmtId="0" fontId="2" fillId="4" borderId="23" xfId="0" applyFont="1" applyFill="1" applyBorder="1" applyAlignment="1">
      <alignment horizontal="center" vertical="center"/>
    </xf>
    <xf numFmtId="0" fontId="2" fillId="3" borderId="23" xfId="0" applyFont="1" applyFill="1" applyBorder="1" applyAlignment="1">
      <alignment horizontal="center" vertical="center"/>
    </xf>
    <xf numFmtId="0" fontId="3" fillId="0" borderId="24" xfId="0" applyFont="1" applyBorder="1" applyAlignment="1">
      <alignment horizontal="center" vertical="center"/>
    </xf>
    <xf numFmtId="0" fontId="3" fillId="0" borderId="26" xfId="0" applyFont="1" applyBorder="1" applyAlignment="1">
      <alignment horizontal="center" vertical="center"/>
    </xf>
    <xf numFmtId="0" fontId="3" fillId="0" borderId="25" xfId="0" applyFont="1" applyBorder="1" applyAlignment="1">
      <alignment horizontal="center" vertical="center"/>
    </xf>
    <xf numFmtId="0" fontId="3" fillId="19" borderId="22" xfId="0" applyFont="1" applyFill="1" applyBorder="1" applyAlignment="1">
      <alignment horizontal="center" vertical="center"/>
    </xf>
    <xf numFmtId="0" fontId="3" fillId="19" borderId="0" xfId="0" applyFont="1" applyFill="1" applyAlignment="1">
      <alignment horizontal="center" vertical="center"/>
    </xf>
    <xf numFmtId="0" fontId="3" fillId="19" borderId="23" xfId="0" applyFont="1" applyFill="1" applyBorder="1" applyAlignment="1">
      <alignment horizontal="center" vertical="center"/>
    </xf>
    <xf numFmtId="0" fontId="3" fillId="18" borderId="7" xfId="0" applyFont="1" applyFill="1" applyBorder="1" applyAlignment="1">
      <alignment horizontal="center" vertical="center"/>
    </xf>
    <xf numFmtId="0" fontId="3" fillId="18" borderId="8" xfId="0" applyFont="1" applyFill="1" applyBorder="1" applyAlignment="1">
      <alignment horizontal="center" vertical="center"/>
    </xf>
    <xf numFmtId="0" fontId="3" fillId="18" borderId="9" xfId="0" applyFont="1" applyFill="1" applyBorder="1" applyAlignment="1">
      <alignment horizontal="center" vertical="center"/>
    </xf>
    <xf numFmtId="0" fontId="3" fillId="20" borderId="22" xfId="0" applyFont="1" applyFill="1" applyBorder="1" applyAlignment="1">
      <alignment horizontal="center" vertical="center"/>
    </xf>
    <xf numFmtId="0" fontId="3" fillId="20" borderId="0" xfId="0" applyFont="1" applyFill="1" applyAlignment="1">
      <alignment horizontal="center" vertical="center"/>
    </xf>
    <xf numFmtId="0" fontId="3" fillId="20" borderId="23" xfId="0" applyFont="1" applyFill="1" applyBorder="1" applyAlignment="1">
      <alignment horizontal="center" vertical="center"/>
    </xf>
    <xf numFmtId="44" fontId="2" fillId="4" borderId="30" xfId="0" applyNumberFormat="1" applyFont="1" applyFill="1" applyBorder="1" applyAlignment="1">
      <alignment horizontal="center" vertical="center"/>
    </xf>
    <xf numFmtId="0" fontId="2" fillId="4" borderId="29" xfId="0" applyFont="1" applyFill="1" applyBorder="1" applyAlignment="1">
      <alignment horizontal="center" vertical="center"/>
    </xf>
    <xf numFmtId="164" fontId="2" fillId="4" borderId="30" xfId="0" applyNumberFormat="1" applyFont="1" applyFill="1" applyBorder="1" applyAlignment="1">
      <alignment horizontal="center" vertical="center"/>
    </xf>
    <xf numFmtId="0" fontId="3" fillId="0" borderId="0" xfId="0" applyFont="1" applyAlignment="1">
      <alignment horizontal="center" vertical="center"/>
    </xf>
    <xf numFmtId="0" fontId="2" fillId="3" borderId="27" xfId="0" applyFont="1" applyFill="1" applyBorder="1" applyAlignment="1">
      <alignment horizontal="center" vertical="center"/>
    </xf>
    <xf numFmtId="44" fontId="3" fillId="0" borderId="0" xfId="0" applyNumberFormat="1" applyFont="1" applyAlignment="1">
      <alignment horizontal="center" vertical="center"/>
    </xf>
    <xf numFmtId="0" fontId="3" fillId="0" borderId="19" xfId="0" applyFont="1" applyBorder="1" applyAlignment="1">
      <alignment horizontal="center" vertical="center"/>
    </xf>
    <xf numFmtId="2" fontId="3" fillId="0" borderId="0" xfId="0" applyNumberFormat="1" applyFont="1" applyAlignment="1">
      <alignment horizontal="center" vertical="center"/>
    </xf>
    <xf numFmtId="165" fontId="2" fillId="3" borderId="28" xfId="0" applyNumberFormat="1" applyFont="1" applyFill="1" applyBorder="1" applyAlignment="1">
      <alignment horizontal="center" vertical="center"/>
    </xf>
    <xf numFmtId="0" fontId="2" fillId="3" borderId="28" xfId="0" applyFont="1" applyFill="1" applyBorder="1" applyAlignment="1">
      <alignment horizontal="center" vertical="center"/>
    </xf>
    <xf numFmtId="44" fontId="2" fillId="3" borderId="28" xfId="0" applyNumberFormat="1" applyFont="1" applyFill="1" applyBorder="1" applyAlignment="1">
      <alignment horizontal="center" vertical="center"/>
    </xf>
    <xf numFmtId="44" fontId="2" fillId="4" borderId="30" xfId="2" applyFont="1" applyFill="1" applyBorder="1" applyAlignment="1">
      <alignment horizontal="center" vertical="center"/>
    </xf>
    <xf numFmtId="0" fontId="3" fillId="0" borderId="0" xfId="0" applyFont="1" applyAlignment="1">
      <alignment vertical="center"/>
    </xf>
    <xf numFmtId="44" fontId="3" fillId="0" borderId="0" xfId="0" applyNumberFormat="1" applyFont="1" applyAlignment="1">
      <alignment vertical="center"/>
    </xf>
    <xf numFmtId="0" fontId="3" fillId="17" borderId="21" xfId="0" applyFont="1" applyFill="1" applyBorder="1" applyAlignment="1">
      <alignment vertical="center"/>
    </xf>
    <xf numFmtId="0" fontId="3" fillId="17" borderId="23" xfId="0" applyFont="1" applyFill="1" applyBorder="1" applyAlignment="1">
      <alignment vertical="center"/>
    </xf>
    <xf numFmtId="0" fontId="3" fillId="17" borderId="36" xfId="0" applyFont="1" applyFill="1" applyBorder="1" applyAlignment="1">
      <alignment horizontal="center" vertical="center"/>
    </xf>
    <xf numFmtId="44" fontId="3" fillId="17" borderId="37" xfId="2" applyFont="1" applyFill="1" applyBorder="1" applyAlignment="1">
      <alignment horizontal="center" vertical="center"/>
    </xf>
    <xf numFmtId="0" fontId="19" fillId="0" borderId="1" xfId="0" applyFont="1" applyBorder="1" applyAlignment="1">
      <alignment horizontal="right" vertical="center" wrapText="1" indent="1"/>
    </xf>
    <xf numFmtId="0" fontId="19" fillId="0" borderId="1" xfId="0" applyFont="1" applyBorder="1" applyAlignment="1">
      <alignment vertical="top" wrapText="1"/>
    </xf>
    <xf numFmtId="0" fontId="20" fillId="0" borderId="2" xfId="0" applyFont="1" applyBorder="1" applyAlignment="1">
      <alignment horizontal="center" vertical="center" wrapText="1"/>
    </xf>
    <xf numFmtId="0" fontId="21" fillId="0" borderId="2" xfId="0" applyFont="1" applyBorder="1" applyAlignment="1">
      <alignment horizontal="right" vertical="center" indent="1"/>
    </xf>
    <xf numFmtId="0" fontId="19" fillId="0" borderId="1" xfId="0" applyFont="1" applyBorder="1" applyAlignment="1">
      <alignment horizontal="left" vertical="center" wrapText="1" indent="1"/>
    </xf>
    <xf numFmtId="0" fontId="19" fillId="0" borderId="0" xfId="0" applyFont="1" applyAlignment="1">
      <alignment vertical="center"/>
    </xf>
    <xf numFmtId="0" fontId="19" fillId="0" borderId="2" xfId="0" applyFont="1" applyBorder="1" applyAlignment="1">
      <alignment vertical="center" wrapText="1" indent="1"/>
    </xf>
    <xf numFmtId="166" fontId="2" fillId="4" borderId="30" xfId="0" applyNumberFormat="1" applyFont="1" applyFill="1" applyBorder="1" applyAlignment="1">
      <alignment horizontal="center" vertical="center"/>
    </xf>
    <xf numFmtId="0" fontId="3" fillId="19" borderId="7" xfId="0" applyFont="1" applyFill="1" applyBorder="1" applyAlignment="1">
      <alignment horizontal="center" vertical="center"/>
    </xf>
    <xf numFmtId="0" fontId="3" fillId="19" borderId="8" xfId="0" applyFont="1" applyFill="1" applyBorder="1" applyAlignment="1">
      <alignment horizontal="center" vertical="center"/>
    </xf>
    <xf numFmtId="0" fontId="3" fillId="19" borderId="9" xfId="0" applyFont="1" applyFill="1" applyBorder="1" applyAlignment="1">
      <alignment horizontal="center" vertical="center"/>
    </xf>
    <xf numFmtId="0" fontId="11" fillId="9" borderId="20" xfId="0" applyFont="1" applyFill="1" applyBorder="1" applyAlignment="1">
      <alignment horizontal="center" vertical="center"/>
    </xf>
    <xf numFmtId="44" fontId="3" fillId="19" borderId="8" xfId="2" applyFont="1" applyFill="1" applyBorder="1" applyAlignment="1">
      <alignment horizontal="center" vertical="center"/>
    </xf>
    <xf numFmtId="44" fontId="11" fillId="9" borderId="17" xfId="2" applyFont="1" applyFill="1" applyBorder="1" applyAlignment="1">
      <alignment horizontal="center" vertical="center"/>
    </xf>
    <xf numFmtId="44" fontId="8" fillId="11" borderId="11" xfId="2" applyFont="1" applyFill="1" applyBorder="1" applyAlignment="1">
      <alignment horizontal="center" vertical="center"/>
    </xf>
    <xf numFmtId="44" fontId="8" fillId="10" borderId="11" xfId="2" applyFont="1" applyFill="1" applyBorder="1" applyAlignment="1">
      <alignment horizontal="center" vertical="center"/>
    </xf>
    <xf numFmtId="44" fontId="8" fillId="10" borderId="14" xfId="2" applyFont="1" applyFill="1" applyBorder="1" applyAlignment="1">
      <alignment horizontal="center" vertical="center"/>
    </xf>
    <xf numFmtId="44" fontId="8" fillId="0" borderId="0" xfId="2" applyFont="1" applyAlignment="1">
      <alignment horizontal="center" vertical="center"/>
    </xf>
    <xf numFmtId="0" fontId="3" fillId="20" borderId="7" xfId="0" applyFont="1" applyFill="1" applyBorder="1" applyAlignment="1">
      <alignment horizontal="center" vertical="center"/>
    </xf>
    <xf numFmtId="0" fontId="3" fillId="20" borderId="8" xfId="0" applyFont="1" applyFill="1" applyBorder="1" applyAlignment="1">
      <alignment horizontal="center" vertical="center"/>
    </xf>
    <xf numFmtId="0" fontId="3" fillId="20" borderId="9" xfId="0" applyFont="1" applyFill="1" applyBorder="1" applyAlignment="1">
      <alignment horizontal="center" vertical="center"/>
    </xf>
    <xf numFmtId="44" fontId="3" fillId="20" borderId="8" xfId="2" applyFont="1" applyFill="1" applyBorder="1" applyAlignment="1">
      <alignment horizontal="center" vertical="center"/>
    </xf>
    <xf numFmtId="0" fontId="18" fillId="15" borderId="21" xfId="0" applyFont="1" applyFill="1" applyBorder="1" applyAlignment="1">
      <alignment vertical="center"/>
    </xf>
    <xf numFmtId="0" fontId="16" fillId="16" borderId="9" xfId="0" applyFont="1" applyFill="1" applyBorder="1" applyAlignment="1">
      <alignment vertical="center"/>
    </xf>
    <xf numFmtId="2" fontId="2" fillId="4" borderId="30" xfId="2" applyNumberFormat="1" applyFont="1" applyFill="1" applyBorder="1" applyAlignment="1">
      <alignment horizontal="center" vertical="center"/>
    </xf>
    <xf numFmtId="2" fontId="2" fillId="3" borderId="28" xfId="3" applyNumberFormat="1" applyFont="1" applyFill="1" applyBorder="1" applyAlignment="1">
      <alignment horizontal="center" vertical="center"/>
    </xf>
    <xf numFmtId="14" fontId="8" fillId="0" borderId="0" xfId="0" applyNumberFormat="1" applyFont="1" applyAlignment="1">
      <alignment horizontal="center" vertical="center"/>
    </xf>
    <xf numFmtId="165" fontId="11" fillId="9" borderId="9" xfId="0" applyNumberFormat="1" applyFont="1" applyFill="1" applyBorder="1" applyAlignment="1">
      <alignment horizontal="center" vertical="center"/>
    </xf>
    <xf numFmtId="0" fontId="11" fillId="9" borderId="39" xfId="0" applyFont="1" applyFill="1" applyBorder="1" applyAlignment="1">
      <alignment horizontal="center" vertical="center"/>
    </xf>
    <xf numFmtId="0" fontId="8" fillId="11" borderId="40" xfId="0" applyFont="1" applyFill="1" applyBorder="1" applyAlignment="1">
      <alignment horizontal="center" vertical="center"/>
    </xf>
    <xf numFmtId="0" fontId="8" fillId="10" borderId="40" xfId="0" applyFont="1" applyFill="1" applyBorder="1" applyAlignment="1">
      <alignment horizontal="center" vertical="center"/>
    </xf>
    <xf numFmtId="0" fontId="8" fillId="10" borderId="41" xfId="0" applyFont="1" applyFill="1" applyBorder="1" applyAlignment="1">
      <alignment horizontal="center" vertical="center"/>
    </xf>
    <xf numFmtId="0" fontId="22" fillId="0" borderId="0" xfId="0" applyFont="1" applyAlignment="1">
      <alignment horizontal="center" vertical="center"/>
    </xf>
    <xf numFmtId="44" fontId="22" fillId="0" borderId="0" xfId="0" applyNumberFormat="1" applyFont="1" applyAlignment="1">
      <alignment horizontal="center" vertical="center"/>
    </xf>
    <xf numFmtId="10" fontId="11" fillId="9" borderId="9" xfId="0" applyNumberFormat="1" applyFont="1" applyFill="1" applyBorder="1" applyAlignment="1">
      <alignment horizontal="center" vertical="center"/>
    </xf>
    <xf numFmtId="10" fontId="8" fillId="10" borderId="25" xfId="0" applyNumberFormat="1" applyFont="1" applyFill="1" applyBorder="1" applyAlignment="1">
      <alignment horizontal="center" vertical="center"/>
    </xf>
    <xf numFmtId="10" fontId="3" fillId="19" borderId="8" xfId="0" applyNumberFormat="1" applyFont="1" applyFill="1" applyBorder="1" applyAlignment="1">
      <alignment horizontal="center" vertical="center"/>
    </xf>
    <xf numFmtId="10" fontId="11" fillId="9" borderId="42" xfId="0" applyNumberFormat="1" applyFont="1" applyFill="1" applyBorder="1" applyAlignment="1">
      <alignment horizontal="center" vertical="center"/>
    </xf>
    <xf numFmtId="10" fontId="8" fillId="11" borderId="43" xfId="0" applyNumberFormat="1" applyFont="1" applyFill="1" applyBorder="1" applyAlignment="1">
      <alignment horizontal="center" vertical="center"/>
    </xf>
    <xf numFmtId="10" fontId="8" fillId="10" borderId="43" xfId="0" applyNumberFormat="1" applyFont="1" applyFill="1" applyBorder="1" applyAlignment="1">
      <alignment horizontal="center" vertical="center"/>
    </xf>
    <xf numFmtId="10" fontId="8" fillId="10" borderId="44" xfId="0" applyNumberFormat="1" applyFont="1" applyFill="1" applyBorder="1" applyAlignment="1">
      <alignment horizontal="center" vertical="center"/>
    </xf>
    <xf numFmtId="10" fontId="8" fillId="0" borderId="0" xfId="0" applyNumberFormat="1" applyFont="1" applyAlignment="1">
      <alignment horizontal="center" vertical="center"/>
    </xf>
    <xf numFmtId="0" fontId="8" fillId="10" borderId="45" xfId="0" applyFont="1" applyFill="1" applyBorder="1" applyAlignment="1">
      <alignment horizontal="center" vertical="center"/>
    </xf>
    <xf numFmtId="14" fontId="8" fillId="10" borderId="46" xfId="0" applyNumberFormat="1" applyFont="1" applyFill="1" applyBorder="1" applyAlignment="1">
      <alignment horizontal="center" vertical="center"/>
    </xf>
    <xf numFmtId="44" fontId="8" fillId="10" borderId="46" xfId="2" applyFont="1" applyFill="1" applyBorder="1" applyAlignment="1">
      <alignment horizontal="center" vertical="center"/>
    </xf>
    <xf numFmtId="166" fontId="8" fillId="10" borderId="46" xfId="0" applyNumberFormat="1" applyFont="1" applyFill="1" applyBorder="1" applyAlignment="1">
      <alignment horizontal="center" vertical="center"/>
    </xf>
    <xf numFmtId="165" fontId="8" fillId="10" borderId="46" xfId="0" applyNumberFormat="1" applyFont="1" applyFill="1" applyBorder="1" applyAlignment="1">
      <alignment horizontal="center" vertical="center"/>
    </xf>
    <xf numFmtId="164" fontId="8" fillId="10" borderId="46" xfId="0" applyNumberFormat="1" applyFont="1" applyFill="1" applyBorder="1" applyAlignment="1">
      <alignment horizontal="center" vertical="center"/>
    </xf>
    <xf numFmtId="0" fontId="8" fillId="10" borderId="46" xfId="0" applyFont="1" applyFill="1" applyBorder="1" applyAlignment="1">
      <alignment horizontal="center" vertical="center"/>
    </xf>
    <xf numFmtId="10" fontId="8" fillId="10" borderId="46" xfId="0" applyNumberFormat="1" applyFont="1" applyFill="1" applyBorder="1" applyAlignment="1">
      <alignment horizontal="center" vertical="center"/>
    </xf>
    <xf numFmtId="0" fontId="8" fillId="10" borderId="47" xfId="0" applyFont="1" applyFill="1" applyBorder="1" applyAlignment="1">
      <alignment horizontal="center" vertical="center"/>
    </xf>
    <xf numFmtId="0" fontId="8" fillId="10" borderId="48" xfId="0" applyFont="1" applyFill="1" applyBorder="1" applyAlignment="1">
      <alignment horizontal="center" vertical="center"/>
    </xf>
    <xf numFmtId="14" fontId="8" fillId="11" borderId="49" xfId="0" applyNumberFormat="1" applyFont="1" applyFill="1" applyBorder="1" applyAlignment="1">
      <alignment horizontal="center" vertical="center"/>
    </xf>
    <xf numFmtId="44" fontId="8" fillId="11" borderId="49" xfId="2" applyFont="1" applyFill="1" applyBorder="1" applyAlignment="1">
      <alignment horizontal="center" vertical="center"/>
    </xf>
    <xf numFmtId="166" fontId="8" fillId="11" borderId="49" xfId="0" applyNumberFormat="1" applyFont="1" applyFill="1" applyBorder="1" applyAlignment="1">
      <alignment horizontal="center" vertical="center"/>
    </xf>
    <xf numFmtId="165" fontId="8" fillId="11" borderId="49" xfId="0" applyNumberFormat="1" applyFont="1" applyFill="1" applyBorder="1" applyAlignment="1">
      <alignment horizontal="center" vertical="center"/>
    </xf>
    <xf numFmtId="164" fontId="8" fillId="11" borderId="49" xfId="0" applyNumberFormat="1" applyFont="1" applyFill="1" applyBorder="1" applyAlignment="1">
      <alignment horizontal="center" vertical="center"/>
    </xf>
    <xf numFmtId="0" fontId="8" fillId="11" borderId="49" xfId="0" applyFont="1" applyFill="1" applyBorder="1" applyAlignment="1">
      <alignment horizontal="center" vertical="center"/>
    </xf>
    <xf numFmtId="10" fontId="8" fillId="10" borderId="49" xfId="0" applyNumberFormat="1" applyFont="1" applyFill="1" applyBorder="1" applyAlignment="1">
      <alignment horizontal="center" vertical="center"/>
    </xf>
    <xf numFmtId="0" fontId="8" fillId="10" borderId="50" xfId="0" applyFont="1" applyFill="1" applyBorder="1" applyAlignment="1">
      <alignment horizontal="center" vertical="center"/>
    </xf>
    <xf numFmtId="14" fontId="8" fillId="10" borderId="49" xfId="0" applyNumberFormat="1" applyFont="1" applyFill="1" applyBorder="1" applyAlignment="1">
      <alignment horizontal="center" vertical="center"/>
    </xf>
    <xf numFmtId="44" fontId="8" fillId="10" borderId="49" xfId="2" applyFont="1" applyFill="1" applyBorder="1" applyAlignment="1">
      <alignment horizontal="center" vertical="center"/>
    </xf>
    <xf numFmtId="166" fontId="8" fillId="10" borderId="49" xfId="0" applyNumberFormat="1" applyFont="1" applyFill="1" applyBorder="1" applyAlignment="1">
      <alignment horizontal="center" vertical="center"/>
    </xf>
    <xf numFmtId="165" fontId="8" fillId="10" borderId="49" xfId="0" applyNumberFormat="1" applyFont="1" applyFill="1" applyBorder="1" applyAlignment="1">
      <alignment horizontal="center" vertical="center"/>
    </xf>
    <xf numFmtId="164" fontId="8" fillId="10" borderId="49" xfId="0" applyNumberFormat="1" applyFont="1" applyFill="1" applyBorder="1" applyAlignment="1">
      <alignment horizontal="center" vertical="center"/>
    </xf>
    <xf numFmtId="0" fontId="8" fillId="10" borderId="49" xfId="0" applyFont="1" applyFill="1" applyBorder="1" applyAlignment="1">
      <alignment horizontal="center" vertical="center"/>
    </xf>
    <xf numFmtId="0" fontId="8" fillId="10" borderId="51" xfId="0" applyFont="1" applyFill="1" applyBorder="1" applyAlignment="1">
      <alignment horizontal="center" vertical="center"/>
    </xf>
    <xf numFmtId="0" fontId="8" fillId="10" borderId="52" xfId="0" applyFont="1" applyFill="1" applyBorder="1" applyAlignment="1">
      <alignment horizontal="center" vertical="center"/>
    </xf>
    <xf numFmtId="44" fontId="8" fillId="10" borderId="52" xfId="2" applyFont="1" applyFill="1" applyBorder="1" applyAlignment="1">
      <alignment horizontal="center" vertical="center"/>
    </xf>
    <xf numFmtId="165" fontId="8" fillId="10" borderId="52" xfId="0" applyNumberFormat="1" applyFont="1" applyFill="1" applyBorder="1" applyAlignment="1">
      <alignment horizontal="center" vertical="center"/>
    </xf>
    <xf numFmtId="164" fontId="8" fillId="10" borderId="52" xfId="0" applyNumberFormat="1" applyFont="1" applyFill="1" applyBorder="1" applyAlignment="1">
      <alignment horizontal="center" vertical="center"/>
    </xf>
    <xf numFmtId="10" fontId="8" fillId="10" borderId="52" xfId="0" applyNumberFormat="1" applyFont="1" applyFill="1" applyBorder="1" applyAlignment="1">
      <alignment horizontal="center" vertical="center"/>
    </xf>
    <xf numFmtId="0" fontId="8" fillId="10" borderId="53" xfId="0" applyFont="1" applyFill="1" applyBorder="1" applyAlignment="1">
      <alignment horizontal="center" vertical="center"/>
    </xf>
    <xf numFmtId="0" fontId="8" fillId="21" borderId="50" xfId="0" applyFont="1" applyFill="1" applyBorder="1" applyAlignment="1">
      <alignment horizontal="center" vertical="center"/>
    </xf>
    <xf numFmtId="0" fontId="8" fillId="21" borderId="48" xfId="0" applyFont="1" applyFill="1" applyBorder="1" applyAlignment="1">
      <alignment horizontal="center" vertical="center"/>
    </xf>
    <xf numFmtId="165" fontId="8" fillId="10" borderId="9" xfId="0" applyNumberFormat="1" applyFont="1" applyFill="1" applyBorder="1" applyAlignment="1">
      <alignment vertical="center"/>
    </xf>
    <xf numFmtId="164" fontId="8" fillId="10" borderId="38" xfId="0" applyNumberFormat="1" applyFont="1" applyFill="1" applyBorder="1" applyAlignment="1">
      <alignment horizontal="center" vertical="center"/>
    </xf>
    <xf numFmtId="2" fontId="22" fillId="0" borderId="0" xfId="0" applyNumberFormat="1" applyFont="1" applyAlignment="1">
      <alignment horizontal="center" vertical="center"/>
    </xf>
    <xf numFmtId="165" fontId="11" fillId="9" borderId="20" xfId="0" applyNumberFormat="1" applyFont="1" applyFill="1" applyBorder="1" applyAlignment="1">
      <alignment horizontal="center" vertical="center"/>
    </xf>
    <xf numFmtId="165" fontId="8" fillId="10" borderId="20" xfId="0" applyNumberFormat="1" applyFont="1" applyFill="1" applyBorder="1" applyAlignment="1">
      <alignment vertical="center"/>
    </xf>
    <xf numFmtId="10" fontId="8" fillId="10" borderId="20" xfId="0" applyNumberFormat="1" applyFont="1" applyFill="1" applyBorder="1" applyAlignment="1">
      <alignment vertical="center"/>
    </xf>
    <xf numFmtId="10" fontId="2" fillId="4" borderId="30" xfId="2" applyNumberFormat="1" applyFont="1" applyFill="1" applyBorder="1" applyAlignment="1">
      <alignment horizontal="center" vertical="center"/>
    </xf>
    <xf numFmtId="164" fontId="2" fillId="4" borderId="30" xfId="2" applyNumberFormat="1" applyFont="1" applyFill="1" applyBorder="1" applyAlignment="1">
      <alignment horizontal="center" vertical="center"/>
    </xf>
    <xf numFmtId="0" fontId="11" fillId="14" borderId="7" xfId="0" applyFont="1" applyFill="1" applyBorder="1" applyAlignment="1">
      <alignment horizontal="center" vertical="center"/>
    </xf>
    <xf numFmtId="0" fontId="11" fillId="14" borderId="20" xfId="0" applyFont="1" applyFill="1" applyBorder="1" applyAlignment="1">
      <alignment horizontal="center" vertical="center"/>
    </xf>
    <xf numFmtId="44" fontId="8" fillId="12" borderId="22" xfId="2" applyFont="1" applyFill="1" applyBorder="1" applyAlignment="1">
      <alignment vertical="center"/>
    </xf>
    <xf numFmtId="10" fontId="8" fillId="12" borderId="22" xfId="0" applyNumberFormat="1" applyFont="1" applyFill="1" applyBorder="1" applyAlignment="1">
      <alignment vertical="center"/>
    </xf>
    <xf numFmtId="166" fontId="8" fillId="12" borderId="22" xfId="0" applyNumberFormat="1" applyFont="1" applyFill="1" applyBorder="1" applyAlignment="1">
      <alignment vertical="center"/>
    </xf>
    <xf numFmtId="0" fontId="11" fillId="14" borderId="54" xfId="0" applyFont="1" applyFill="1" applyBorder="1" applyAlignment="1">
      <alignment horizontal="center" vertical="center"/>
    </xf>
    <xf numFmtId="44" fontId="11" fillId="14" borderId="56" xfId="2" applyFont="1" applyFill="1" applyBorder="1" applyAlignment="1">
      <alignment horizontal="center" vertical="center"/>
    </xf>
    <xf numFmtId="0" fontId="11" fillId="14" borderId="56" xfId="0" applyFont="1" applyFill="1" applyBorder="1" applyAlignment="1">
      <alignment horizontal="center" vertical="center"/>
    </xf>
    <xf numFmtId="164" fontId="11" fillId="14" borderId="56" xfId="0" applyNumberFormat="1" applyFont="1" applyFill="1" applyBorder="1" applyAlignment="1">
      <alignment horizontal="center" vertical="center"/>
    </xf>
    <xf numFmtId="10" fontId="11" fillId="14" borderId="57" xfId="0" applyNumberFormat="1" applyFont="1" applyFill="1" applyBorder="1" applyAlignment="1">
      <alignment horizontal="center" vertical="center"/>
    </xf>
    <xf numFmtId="0" fontId="11" fillId="14" borderId="58" xfId="0" applyFont="1" applyFill="1" applyBorder="1" applyAlignment="1">
      <alignment horizontal="center" vertical="center"/>
    </xf>
    <xf numFmtId="14" fontId="3" fillId="20" borderId="8" xfId="0" applyNumberFormat="1" applyFont="1" applyFill="1" applyBorder="1" applyAlignment="1">
      <alignment horizontal="center" vertical="center"/>
    </xf>
    <xf numFmtId="14" fontId="11" fillId="14" borderId="55" xfId="0" applyNumberFormat="1" applyFont="1" applyFill="1" applyBorder="1" applyAlignment="1">
      <alignment horizontal="center" vertical="center"/>
    </xf>
    <xf numFmtId="44" fontId="11" fillId="14" borderId="7" xfId="2" applyFont="1" applyFill="1" applyBorder="1" applyAlignment="1">
      <alignment horizontal="center" vertical="center"/>
    </xf>
    <xf numFmtId="10" fontId="11" fillId="14" borderId="7" xfId="0" applyNumberFormat="1" applyFont="1" applyFill="1" applyBorder="1" applyAlignment="1">
      <alignment horizontal="center" vertical="center"/>
    </xf>
    <xf numFmtId="10" fontId="3" fillId="20" borderId="8" xfId="0" applyNumberFormat="1" applyFont="1" applyFill="1" applyBorder="1" applyAlignment="1">
      <alignment horizontal="center" vertical="center"/>
    </xf>
    <xf numFmtId="0" fontId="8" fillId="22" borderId="50" xfId="0" applyFont="1" applyFill="1" applyBorder="1" applyAlignment="1">
      <alignment horizontal="center" vertical="center"/>
    </xf>
    <xf numFmtId="0" fontId="8" fillId="22" borderId="45" xfId="0" applyFont="1" applyFill="1" applyBorder="1" applyAlignment="1">
      <alignment horizontal="center" vertical="center"/>
    </xf>
    <xf numFmtId="14" fontId="8" fillId="22" borderId="46" xfId="0" applyNumberFormat="1" applyFont="1" applyFill="1" applyBorder="1" applyAlignment="1">
      <alignment horizontal="center" vertical="center"/>
    </xf>
    <xf numFmtId="44" fontId="8" fillId="22" borderId="46" xfId="2" applyFont="1" applyFill="1" applyBorder="1" applyAlignment="1">
      <alignment horizontal="center" vertical="center"/>
    </xf>
    <xf numFmtId="166" fontId="8" fillId="22" borderId="46" xfId="0" applyNumberFormat="1" applyFont="1" applyFill="1" applyBorder="1" applyAlignment="1">
      <alignment horizontal="center" vertical="center"/>
    </xf>
    <xf numFmtId="164" fontId="8" fillId="22" borderId="46" xfId="0" applyNumberFormat="1" applyFont="1" applyFill="1" applyBorder="1" applyAlignment="1">
      <alignment horizontal="center" vertical="center"/>
    </xf>
    <xf numFmtId="0" fontId="8" fillId="22" borderId="46" xfId="0" applyFont="1" applyFill="1" applyBorder="1" applyAlignment="1">
      <alignment horizontal="center" vertical="center"/>
    </xf>
    <xf numFmtId="10" fontId="8" fillId="22" borderId="46" xfId="0" applyNumberFormat="1" applyFont="1" applyFill="1" applyBorder="1" applyAlignment="1">
      <alignment horizontal="center" vertical="center"/>
    </xf>
    <xf numFmtId="0" fontId="8" fillId="22" borderId="47" xfId="0" applyFont="1" applyFill="1" applyBorder="1" applyAlignment="1">
      <alignment horizontal="center" vertical="center"/>
    </xf>
    <xf numFmtId="0" fontId="8" fillId="22" borderId="48" xfId="0" applyFont="1" applyFill="1" applyBorder="1" applyAlignment="1">
      <alignment horizontal="center" vertical="center"/>
    </xf>
    <xf numFmtId="14" fontId="8" fillId="22" borderId="49" xfId="0" applyNumberFormat="1" applyFont="1" applyFill="1" applyBorder="1" applyAlignment="1">
      <alignment horizontal="center" vertical="center"/>
    </xf>
    <xf numFmtId="44" fontId="8" fillId="22" borderId="49" xfId="2" applyFont="1" applyFill="1" applyBorder="1" applyAlignment="1">
      <alignment horizontal="center" vertical="center"/>
    </xf>
    <xf numFmtId="166" fontId="8" fillId="22" borderId="49" xfId="0" applyNumberFormat="1" applyFont="1" applyFill="1" applyBorder="1" applyAlignment="1">
      <alignment horizontal="center" vertical="center"/>
    </xf>
    <xf numFmtId="164" fontId="8" fillId="22" borderId="49" xfId="0" applyNumberFormat="1" applyFont="1" applyFill="1" applyBorder="1" applyAlignment="1">
      <alignment horizontal="center" vertical="center"/>
    </xf>
    <xf numFmtId="0" fontId="8" fillId="22" borderId="49" xfId="0" applyFont="1" applyFill="1" applyBorder="1" applyAlignment="1">
      <alignment horizontal="center" vertical="center"/>
    </xf>
    <xf numFmtId="10" fontId="8" fillId="22" borderId="49" xfId="0" applyNumberFormat="1" applyFont="1" applyFill="1" applyBorder="1" applyAlignment="1">
      <alignment horizontal="center" vertical="center"/>
    </xf>
    <xf numFmtId="0" fontId="8" fillId="22" borderId="51" xfId="0" applyFont="1" applyFill="1" applyBorder="1" applyAlignment="1">
      <alignment horizontal="center" vertical="center"/>
    </xf>
    <xf numFmtId="14" fontId="8" fillId="22" borderId="52" xfId="0" applyNumberFormat="1" applyFont="1" applyFill="1" applyBorder="1" applyAlignment="1">
      <alignment horizontal="center" vertical="center"/>
    </xf>
    <xf numFmtId="44" fontId="8" fillId="22" borderId="52" xfId="2" applyFont="1" applyFill="1" applyBorder="1" applyAlignment="1">
      <alignment horizontal="center" vertical="center"/>
    </xf>
    <xf numFmtId="0" fontId="8" fillId="22" borderId="52" xfId="0" applyFont="1" applyFill="1" applyBorder="1" applyAlignment="1">
      <alignment horizontal="center" vertical="center"/>
    </xf>
    <xf numFmtId="164" fontId="8" fillId="22" borderId="52" xfId="0" applyNumberFormat="1" applyFont="1" applyFill="1" applyBorder="1" applyAlignment="1">
      <alignment horizontal="center" vertical="center"/>
    </xf>
    <xf numFmtId="10" fontId="8" fillId="22" borderId="52" xfId="0" applyNumberFormat="1" applyFont="1" applyFill="1" applyBorder="1" applyAlignment="1">
      <alignment horizontal="center" vertical="center"/>
    </xf>
    <xf numFmtId="0" fontId="8" fillId="22" borderId="53" xfId="0" applyFont="1" applyFill="1" applyBorder="1" applyAlignment="1">
      <alignment horizontal="center" vertical="center"/>
    </xf>
    <xf numFmtId="0" fontId="8" fillId="23" borderId="50" xfId="0" applyFont="1" applyFill="1" applyBorder="1" applyAlignment="1">
      <alignment horizontal="center" vertical="center"/>
    </xf>
    <xf numFmtId="0" fontId="8" fillId="23" borderId="48" xfId="0" applyFont="1" applyFill="1" applyBorder="1" applyAlignment="1">
      <alignment horizontal="center" vertical="center"/>
    </xf>
    <xf numFmtId="14" fontId="8" fillId="24" borderId="49" xfId="0" applyNumberFormat="1" applyFont="1" applyFill="1" applyBorder="1" applyAlignment="1">
      <alignment horizontal="center" vertical="center"/>
    </xf>
    <xf numFmtId="44" fontId="8" fillId="24" borderId="49" xfId="2" applyFont="1" applyFill="1" applyBorder="1" applyAlignment="1">
      <alignment horizontal="center" vertical="center"/>
    </xf>
    <xf numFmtId="166" fontId="8" fillId="24" borderId="49" xfId="0" applyNumberFormat="1" applyFont="1" applyFill="1" applyBorder="1" applyAlignment="1">
      <alignment horizontal="center" vertical="center"/>
    </xf>
    <xf numFmtId="164" fontId="8" fillId="24" borderId="49" xfId="0" applyNumberFormat="1" applyFont="1" applyFill="1" applyBorder="1" applyAlignment="1">
      <alignment horizontal="center" vertical="center"/>
    </xf>
    <xf numFmtId="0" fontId="8" fillId="24" borderId="49" xfId="0" applyFont="1" applyFill="1" applyBorder="1" applyAlignment="1">
      <alignment horizontal="center" vertical="center"/>
    </xf>
    <xf numFmtId="10" fontId="8" fillId="23" borderId="49" xfId="0" applyNumberFormat="1" applyFont="1" applyFill="1" applyBorder="1" applyAlignment="1">
      <alignment horizontal="center" vertical="center"/>
    </xf>
    <xf numFmtId="0" fontId="8" fillId="23" borderId="51" xfId="0" applyFont="1" applyFill="1" applyBorder="1" applyAlignment="1">
      <alignment horizontal="center" vertical="center"/>
    </xf>
    <xf numFmtId="14" fontId="8" fillId="23" borderId="52" xfId="0" applyNumberFormat="1" applyFont="1" applyFill="1" applyBorder="1" applyAlignment="1">
      <alignment horizontal="center" vertical="center"/>
    </xf>
    <xf numFmtId="44" fontId="8" fillId="23" borderId="52" xfId="2" applyFont="1" applyFill="1" applyBorder="1" applyAlignment="1">
      <alignment horizontal="center" vertical="center"/>
    </xf>
    <xf numFmtId="0" fontId="8" fillId="23" borderId="52" xfId="0" applyFont="1" applyFill="1" applyBorder="1" applyAlignment="1">
      <alignment horizontal="center" vertical="center"/>
    </xf>
    <xf numFmtId="164" fontId="8" fillId="23" borderId="52" xfId="0" applyNumberFormat="1" applyFont="1" applyFill="1" applyBorder="1" applyAlignment="1">
      <alignment horizontal="center" vertical="center"/>
    </xf>
    <xf numFmtId="10" fontId="8" fillId="23" borderId="52" xfId="0" applyNumberFormat="1" applyFont="1" applyFill="1" applyBorder="1" applyAlignment="1">
      <alignment horizontal="center" vertical="center"/>
    </xf>
    <xf numFmtId="0" fontId="8" fillId="23" borderId="53" xfId="0" applyFont="1" applyFill="1" applyBorder="1" applyAlignment="1">
      <alignment horizontal="center" vertical="center"/>
    </xf>
    <xf numFmtId="0" fontId="11" fillId="9" borderId="7" xfId="0" applyFont="1" applyFill="1" applyBorder="1" applyAlignment="1">
      <alignment horizontal="center" vertical="center"/>
    </xf>
    <xf numFmtId="165" fontId="11" fillId="9" borderId="7" xfId="0" applyNumberFormat="1" applyFont="1" applyFill="1" applyBorder="1" applyAlignment="1">
      <alignment horizontal="center" vertical="center"/>
    </xf>
    <xf numFmtId="0" fontId="8" fillId="21" borderId="59" xfId="0" applyFont="1" applyFill="1" applyBorder="1" applyAlignment="1">
      <alignment horizontal="center" vertical="center"/>
    </xf>
    <xf numFmtId="14" fontId="8" fillId="11" borderId="60" xfId="0" applyNumberFormat="1" applyFont="1" applyFill="1" applyBorder="1" applyAlignment="1">
      <alignment horizontal="center" vertical="center"/>
    </xf>
    <xf numFmtId="44" fontId="8" fillId="11" borderId="60" xfId="2" applyFont="1" applyFill="1" applyBorder="1" applyAlignment="1">
      <alignment horizontal="center" vertical="center"/>
    </xf>
    <xf numFmtId="0" fontId="8" fillId="11" borderId="60" xfId="0" applyFont="1" applyFill="1" applyBorder="1" applyAlignment="1">
      <alignment horizontal="center" vertical="center"/>
    </xf>
    <xf numFmtId="165" fontId="8" fillId="11" borderId="60" xfId="0" applyNumberFormat="1" applyFont="1" applyFill="1" applyBorder="1" applyAlignment="1">
      <alignment horizontal="center" vertical="center"/>
    </xf>
    <xf numFmtId="164" fontId="8" fillId="11" borderId="60" xfId="0" applyNumberFormat="1" applyFont="1" applyFill="1" applyBorder="1" applyAlignment="1">
      <alignment horizontal="center" vertical="center"/>
    </xf>
    <xf numFmtId="10" fontId="8" fillId="10" borderId="60" xfId="0" applyNumberFormat="1" applyFont="1" applyFill="1" applyBorder="1" applyAlignment="1">
      <alignment horizontal="center" vertical="center"/>
    </xf>
    <xf numFmtId="0" fontId="8" fillId="21" borderId="61" xfId="0" applyFont="1" applyFill="1" applyBorder="1" applyAlignment="1">
      <alignment horizontal="center" vertical="center"/>
    </xf>
    <xf numFmtId="0" fontId="11" fillId="9" borderId="7" xfId="0" applyFont="1" applyFill="1" applyBorder="1" applyAlignment="1">
      <alignment vertical="center"/>
    </xf>
    <xf numFmtId="165" fontId="11" fillId="9" borderId="7" xfId="0" applyNumberFormat="1" applyFont="1" applyFill="1" applyBorder="1" applyAlignment="1">
      <alignment vertical="center"/>
    </xf>
    <xf numFmtId="44" fontId="11" fillId="9" borderId="20" xfId="2" applyFont="1" applyFill="1" applyBorder="1" applyAlignment="1">
      <alignment horizontal="center" vertical="center"/>
    </xf>
    <xf numFmtId="44" fontId="8" fillId="10" borderId="9" xfId="2" applyFont="1" applyFill="1" applyBorder="1" applyAlignment="1">
      <alignment vertical="center"/>
    </xf>
    <xf numFmtId="164" fontId="11" fillId="9" borderId="20" xfId="0" applyNumberFormat="1" applyFont="1" applyFill="1" applyBorder="1" applyAlignment="1">
      <alignment horizontal="center" vertical="center"/>
    </xf>
    <xf numFmtId="164" fontId="8" fillId="10" borderId="20" xfId="0" applyNumberFormat="1" applyFont="1" applyFill="1" applyBorder="1" applyAlignment="1">
      <alignment vertical="center"/>
    </xf>
    <xf numFmtId="164" fontId="3" fillId="19" borderId="8" xfId="0" applyNumberFormat="1" applyFont="1" applyFill="1" applyBorder="1" applyAlignment="1">
      <alignment horizontal="center" vertical="center"/>
    </xf>
    <xf numFmtId="14" fontId="11" fillId="9" borderId="9" xfId="0" applyNumberFormat="1" applyFont="1" applyFill="1" applyBorder="1" applyAlignment="1">
      <alignment horizontal="center" vertical="center"/>
    </xf>
    <xf numFmtId="14" fontId="8" fillId="10" borderId="20" xfId="0" applyNumberFormat="1" applyFont="1" applyFill="1" applyBorder="1" applyAlignment="1">
      <alignment vertical="center"/>
    </xf>
    <xf numFmtId="14" fontId="3" fillId="19" borderId="8" xfId="0" applyNumberFormat="1" applyFont="1" applyFill="1" applyBorder="1" applyAlignment="1">
      <alignment horizontal="center" vertical="center"/>
    </xf>
    <xf numFmtId="14" fontId="8" fillId="10" borderId="11" xfId="0" applyNumberFormat="1" applyFont="1" applyFill="1" applyBorder="1" applyAlignment="1">
      <alignment horizontal="center" vertical="center"/>
    </xf>
    <xf numFmtId="14" fontId="8" fillId="11" borderId="11" xfId="0" applyNumberFormat="1" applyFont="1" applyFill="1" applyBorder="1" applyAlignment="1">
      <alignment horizontal="center" vertical="center"/>
    </xf>
    <xf numFmtId="14" fontId="8" fillId="10" borderId="14" xfId="0" applyNumberFormat="1" applyFont="1" applyFill="1" applyBorder="1" applyAlignment="1">
      <alignment horizontal="center" vertical="center"/>
    </xf>
    <xf numFmtId="167" fontId="11" fillId="9" borderId="8" xfId="0" applyNumberFormat="1" applyFont="1" applyFill="1" applyBorder="1" applyAlignment="1">
      <alignment vertical="center"/>
    </xf>
    <xf numFmtId="167" fontId="3" fillId="19" borderId="8" xfId="2" applyNumberFormat="1" applyFont="1" applyFill="1" applyBorder="1" applyAlignment="1">
      <alignment horizontal="center" vertical="center"/>
    </xf>
    <xf numFmtId="167" fontId="8" fillId="10" borderId="11" xfId="2" applyNumberFormat="1" applyFont="1" applyFill="1" applyBorder="1" applyAlignment="1">
      <alignment horizontal="center" vertical="center"/>
    </xf>
    <xf numFmtId="167" fontId="8" fillId="11" borderId="11" xfId="2" applyNumberFormat="1" applyFont="1" applyFill="1" applyBorder="1" applyAlignment="1">
      <alignment horizontal="center" vertical="center"/>
    </xf>
    <xf numFmtId="167" fontId="8" fillId="10" borderId="14" xfId="2" applyNumberFormat="1" applyFont="1" applyFill="1" applyBorder="1" applyAlignment="1">
      <alignment horizontal="center" vertical="center"/>
    </xf>
    <xf numFmtId="167" fontId="8" fillId="0" borderId="0" xfId="0" applyNumberFormat="1" applyFont="1" applyAlignment="1">
      <alignment horizontal="center" vertical="center"/>
    </xf>
    <xf numFmtId="167" fontId="8" fillId="0" borderId="0" xfId="2" applyNumberFormat="1" applyFont="1" applyAlignment="1">
      <alignment horizontal="center" vertical="center"/>
    </xf>
    <xf numFmtId="44" fontId="11" fillId="9" borderId="8" xfId="2" applyFont="1" applyFill="1" applyBorder="1" applyAlignment="1">
      <alignment vertical="center"/>
    </xf>
    <xf numFmtId="44" fontId="8" fillId="10" borderId="40" xfId="2" applyFont="1" applyFill="1" applyBorder="1" applyAlignment="1">
      <alignment horizontal="center" vertical="center"/>
    </xf>
    <xf numFmtId="44" fontId="8" fillId="11" borderId="40" xfId="2" applyFont="1" applyFill="1" applyBorder="1" applyAlignment="1">
      <alignment horizontal="center" vertical="center"/>
    </xf>
    <xf numFmtId="44" fontId="8" fillId="10" borderId="41" xfId="2" applyFont="1" applyFill="1" applyBorder="1" applyAlignment="1">
      <alignment horizontal="center" vertical="center"/>
    </xf>
    <xf numFmtId="44" fontId="11" fillId="9" borderId="8" xfId="2" applyFont="1" applyFill="1" applyBorder="1" applyAlignment="1">
      <alignment horizontal="center" vertical="center"/>
    </xf>
    <xf numFmtId="167" fontId="11" fillId="9" borderId="8" xfId="0" applyNumberFormat="1" applyFont="1" applyFill="1" applyBorder="1" applyAlignment="1">
      <alignment horizontal="center" vertical="center"/>
    </xf>
    <xf numFmtId="10" fontId="2" fillId="3" borderId="28" xfId="2" applyNumberFormat="1" applyFont="1" applyFill="1" applyBorder="1" applyAlignment="1">
      <alignment horizontal="center" vertical="center"/>
    </xf>
    <xf numFmtId="164" fontId="2" fillId="3" borderId="28" xfId="2" applyNumberFormat="1" applyFont="1" applyFill="1" applyBorder="1" applyAlignment="1">
      <alignment horizontal="center" vertical="center"/>
    </xf>
    <xf numFmtId="164" fontId="8" fillId="12" borderId="20" xfId="2" applyNumberFormat="1" applyFont="1" applyFill="1" applyBorder="1" applyAlignment="1">
      <alignment vertical="center"/>
    </xf>
    <xf numFmtId="166" fontId="8" fillId="22" borderId="52" xfId="0" applyNumberFormat="1" applyFont="1" applyFill="1" applyBorder="1" applyAlignment="1">
      <alignment horizontal="center" vertical="center"/>
    </xf>
    <xf numFmtId="0" fontId="1" fillId="2" borderId="0" xfId="1" applyFill="1" applyAlignment="1">
      <alignment horizontal="right" vertical="center" wrapText="1" indent="1"/>
    </xf>
    <xf numFmtId="164" fontId="3" fillId="17" borderId="37" xfId="2" applyNumberFormat="1" applyFont="1" applyFill="1" applyBorder="1" applyAlignment="1">
      <alignment horizontal="center" vertical="center"/>
    </xf>
    <xf numFmtId="0" fontId="2" fillId="4" borderId="66" xfId="0" applyFont="1" applyFill="1" applyBorder="1" applyAlignment="1">
      <alignment horizontal="center" vertical="center"/>
    </xf>
    <xf numFmtId="0" fontId="2" fillId="4" borderId="67" xfId="0" applyFont="1" applyFill="1" applyBorder="1" applyAlignment="1">
      <alignment horizontal="center" vertical="center"/>
    </xf>
    <xf numFmtId="0" fontId="2" fillId="4" borderId="68" xfId="0" applyFont="1" applyFill="1" applyBorder="1" applyAlignment="1">
      <alignment horizontal="center" vertical="center"/>
    </xf>
    <xf numFmtId="0" fontId="2" fillId="4" borderId="69" xfId="0" applyFont="1" applyFill="1" applyBorder="1" applyAlignment="1">
      <alignment horizontal="center" vertical="center"/>
    </xf>
    <xf numFmtId="0" fontId="2" fillId="4" borderId="70" xfId="0" applyFont="1" applyFill="1" applyBorder="1" applyAlignment="1">
      <alignment horizontal="center" vertical="center"/>
    </xf>
    <xf numFmtId="0" fontId="2" fillId="4" borderId="71" xfId="0" applyFont="1" applyFill="1" applyBorder="1" applyAlignment="1">
      <alignment horizontal="center" vertical="center"/>
    </xf>
    <xf numFmtId="0" fontId="2" fillId="3" borderId="72" xfId="0" applyFont="1" applyFill="1" applyBorder="1" applyAlignment="1">
      <alignment horizontal="center" vertical="center"/>
    </xf>
    <xf numFmtId="0" fontId="2" fillId="3" borderId="73" xfId="0" applyFont="1" applyFill="1" applyBorder="1" applyAlignment="1">
      <alignment horizontal="center" vertical="center"/>
    </xf>
    <xf numFmtId="0" fontId="2" fillId="3" borderId="74" xfId="0" applyFont="1" applyFill="1" applyBorder="1" applyAlignment="1">
      <alignment horizontal="center" vertical="center"/>
    </xf>
    <xf numFmtId="0" fontId="2" fillId="3" borderId="75" xfId="0" applyFont="1" applyFill="1" applyBorder="1" applyAlignment="1">
      <alignment horizontal="center" vertical="center"/>
    </xf>
    <xf numFmtId="0" fontId="2" fillId="3" borderId="76" xfId="0" applyFont="1" applyFill="1" applyBorder="1" applyAlignment="1">
      <alignment horizontal="center" vertical="center"/>
    </xf>
    <xf numFmtId="0" fontId="2" fillId="3" borderId="77" xfId="0" applyFont="1" applyFill="1" applyBorder="1" applyAlignment="1">
      <alignment horizontal="center" vertical="center"/>
    </xf>
    <xf numFmtId="0" fontId="0" fillId="25" borderId="0" xfId="0" applyFill="1"/>
    <xf numFmtId="0" fontId="17" fillId="3" borderId="34" xfId="0" applyFont="1" applyFill="1" applyBorder="1" applyAlignment="1">
      <alignment horizontal="center" vertical="center"/>
    </xf>
    <xf numFmtId="0" fontId="17" fillId="3" borderId="0" xfId="0" applyFont="1" applyFill="1" applyAlignment="1">
      <alignment horizontal="center" vertical="center"/>
    </xf>
    <xf numFmtId="0" fontId="17" fillId="3" borderId="35" xfId="0" applyFont="1" applyFill="1" applyBorder="1" applyAlignment="1">
      <alignment horizontal="center" vertical="center"/>
    </xf>
    <xf numFmtId="0" fontId="18" fillId="15" borderId="7" xfId="0" applyFont="1" applyFill="1" applyBorder="1" applyAlignment="1">
      <alignment horizontal="center" vertical="center"/>
    </xf>
    <xf numFmtId="0" fontId="18" fillId="15" borderId="8" xfId="0" applyFont="1" applyFill="1" applyBorder="1" applyAlignment="1">
      <alignment horizontal="center" vertical="center"/>
    </xf>
    <xf numFmtId="0" fontId="16" fillId="16" borderId="7" xfId="0" applyFont="1" applyFill="1" applyBorder="1" applyAlignment="1">
      <alignment horizontal="center" vertical="center"/>
    </xf>
    <xf numFmtId="0" fontId="16" fillId="16" borderId="8" xfId="0" applyFont="1" applyFill="1" applyBorder="1" applyAlignment="1">
      <alignment horizontal="center" vertical="center"/>
    </xf>
    <xf numFmtId="0" fontId="3" fillId="0" borderId="0" xfId="0" applyFont="1" applyAlignment="1">
      <alignment horizontal="center" vertical="center"/>
    </xf>
    <xf numFmtId="0" fontId="17" fillId="4" borderId="31" xfId="0" applyFont="1" applyFill="1" applyBorder="1" applyAlignment="1">
      <alignment horizontal="center" vertical="center"/>
    </xf>
    <xf numFmtId="0" fontId="17" fillId="4" borderId="32" xfId="0" applyFont="1" applyFill="1" applyBorder="1" applyAlignment="1">
      <alignment horizontal="center" vertical="center"/>
    </xf>
    <xf numFmtId="0" fontId="17" fillId="4" borderId="33" xfId="0" applyFont="1" applyFill="1" applyBorder="1" applyAlignment="1">
      <alignment horizontal="center" vertical="center"/>
    </xf>
    <xf numFmtId="0" fontId="3" fillId="17" borderId="62" xfId="0" applyFont="1" applyFill="1" applyBorder="1" applyAlignment="1">
      <alignment horizontal="center" vertical="center"/>
    </xf>
    <xf numFmtId="0" fontId="3" fillId="17" borderId="63" xfId="0" applyFont="1" applyFill="1" applyBorder="1" applyAlignment="1">
      <alignment horizontal="center" vertical="center"/>
    </xf>
    <xf numFmtId="44" fontId="3" fillId="17" borderId="64" xfId="2" applyFont="1" applyFill="1" applyBorder="1" applyAlignment="1">
      <alignment horizontal="center" vertical="center"/>
    </xf>
    <xf numFmtId="44" fontId="3" fillId="17" borderId="65" xfId="2" applyFont="1" applyFill="1" applyBorder="1" applyAlignment="1">
      <alignment horizontal="center" vertical="center"/>
    </xf>
    <xf numFmtId="0" fontId="11" fillId="0" borderId="0" xfId="0" applyFont="1" applyAlignment="1">
      <alignment horizontal="center" vertical="center" wrapText="1"/>
    </xf>
    <xf numFmtId="0" fontId="9" fillId="4" borderId="7" xfId="0" applyFont="1" applyFill="1" applyBorder="1" applyAlignment="1">
      <alignment horizontal="center" vertical="center"/>
    </xf>
    <xf numFmtId="0" fontId="9" fillId="4" borderId="8" xfId="0" applyFont="1" applyFill="1" applyBorder="1" applyAlignment="1">
      <alignment horizontal="center" vertical="center"/>
    </xf>
    <xf numFmtId="0" fontId="9" fillId="4" borderId="9" xfId="0" applyFont="1" applyFill="1" applyBorder="1" applyAlignment="1">
      <alignment horizontal="center" vertical="center"/>
    </xf>
    <xf numFmtId="0" fontId="11" fillId="9" borderId="7" xfId="0" applyFont="1" applyFill="1" applyBorder="1" applyAlignment="1">
      <alignment horizontal="center" vertical="center"/>
    </xf>
    <xf numFmtId="0" fontId="11" fillId="9" borderId="8" xfId="0" applyFont="1" applyFill="1" applyBorder="1" applyAlignment="1">
      <alignment horizontal="center" vertical="center"/>
    </xf>
    <xf numFmtId="0" fontId="8" fillId="10" borderId="7" xfId="0" applyFont="1" applyFill="1" applyBorder="1" applyAlignment="1">
      <alignment horizontal="center" vertical="center"/>
    </xf>
    <xf numFmtId="0" fontId="8" fillId="10" borderId="8" xfId="0" applyFont="1" applyFill="1" applyBorder="1" applyAlignment="1">
      <alignment horizontal="center" vertical="center"/>
    </xf>
    <xf numFmtId="165" fontId="11" fillId="9" borderId="7" xfId="0" applyNumberFormat="1" applyFont="1" applyFill="1" applyBorder="1" applyAlignment="1">
      <alignment horizontal="center" vertical="center"/>
    </xf>
    <xf numFmtId="165" fontId="11" fillId="9" borderId="8" xfId="0" applyNumberFormat="1" applyFont="1" applyFill="1" applyBorder="1" applyAlignment="1">
      <alignment horizontal="center" vertical="center"/>
    </xf>
    <xf numFmtId="44" fontId="8" fillId="10" borderId="7" xfId="2" applyFont="1" applyFill="1" applyBorder="1" applyAlignment="1">
      <alignment horizontal="center" vertical="center"/>
    </xf>
    <xf numFmtId="44" fontId="8" fillId="10" borderId="9" xfId="2" applyFont="1" applyFill="1" applyBorder="1" applyAlignment="1">
      <alignment horizontal="center" vertical="center"/>
    </xf>
    <xf numFmtId="0" fontId="11" fillId="0" borderId="0" xfId="0" applyFont="1" applyAlignment="1">
      <alignment horizontal="center" vertical="center"/>
    </xf>
    <xf numFmtId="0" fontId="11" fillId="14" borderId="7" xfId="0" applyFont="1" applyFill="1" applyBorder="1" applyAlignment="1">
      <alignment horizontal="center" vertical="center"/>
    </xf>
    <xf numFmtId="0" fontId="11" fillId="14" borderId="9" xfId="0" applyFont="1" applyFill="1" applyBorder="1" applyAlignment="1">
      <alignment horizontal="center" vertical="center"/>
    </xf>
    <xf numFmtId="166" fontId="8" fillId="12" borderId="22" xfId="0" applyNumberFormat="1" applyFont="1" applyFill="1" applyBorder="1" applyAlignment="1">
      <alignment horizontal="center" vertical="center"/>
    </xf>
    <xf numFmtId="166" fontId="8" fillId="12" borderId="23" xfId="0" applyNumberFormat="1" applyFont="1" applyFill="1" applyBorder="1" applyAlignment="1">
      <alignment horizontal="center" vertical="center"/>
    </xf>
    <xf numFmtId="44" fontId="8" fillId="12" borderId="22" xfId="2" applyFont="1" applyFill="1" applyBorder="1" applyAlignment="1">
      <alignment horizontal="center" vertical="center"/>
    </xf>
    <xf numFmtId="44" fontId="8" fillId="12" borderId="23" xfId="2" applyFont="1" applyFill="1" applyBorder="1" applyAlignment="1">
      <alignment horizontal="center" vertical="center"/>
    </xf>
    <xf numFmtId="0" fontId="9" fillId="13" borderId="7" xfId="0" applyFont="1" applyFill="1" applyBorder="1" applyAlignment="1">
      <alignment horizontal="center" vertical="center"/>
    </xf>
    <xf numFmtId="0" fontId="9" fillId="13" borderId="8" xfId="0" applyFont="1" applyFill="1" applyBorder="1" applyAlignment="1">
      <alignment horizontal="center" vertical="center"/>
    </xf>
    <xf numFmtId="0" fontId="1" fillId="2" borderId="0" xfId="1" applyFill="1" applyAlignment="1">
      <alignment horizontal="right" vertical="center" wrapText="1" indent="1"/>
    </xf>
    <xf numFmtId="0" fontId="4" fillId="2" borderId="0" xfId="0" applyFont="1" applyFill="1" applyAlignment="1">
      <alignment horizontal="right" vertical="center" wrapText="1" indent="1"/>
    </xf>
    <xf numFmtId="0" fontId="4" fillId="2" borderId="0" xfId="0" applyFont="1" applyFill="1" applyAlignment="1">
      <alignment vertical="center" wrapText="1"/>
    </xf>
    <xf numFmtId="10" fontId="4" fillId="2" borderId="0" xfId="0" applyNumberFormat="1" applyFont="1" applyFill="1" applyAlignment="1">
      <alignment horizontal="right" vertical="center" wrapText="1" indent="1"/>
    </xf>
    <xf numFmtId="0" fontId="4" fillId="7" borderId="0" xfId="0" applyFont="1" applyFill="1" applyAlignment="1">
      <alignment horizontal="right" vertical="center" wrapText="1" indent="1"/>
    </xf>
    <xf numFmtId="0" fontId="4" fillId="8" borderId="0" xfId="0" applyFont="1" applyFill="1" applyAlignment="1">
      <alignment horizontal="right" vertical="center" wrapText="1" indent="1"/>
    </xf>
    <xf numFmtId="0" fontId="4" fillId="6" borderId="0" xfId="0" applyFont="1" applyFill="1" applyAlignment="1">
      <alignment horizontal="right" vertical="center" wrapText="1" indent="1"/>
    </xf>
    <xf numFmtId="0" fontId="4" fillId="2" borderId="0" xfId="0" applyFont="1" applyFill="1" applyAlignment="1">
      <alignment horizontal="center" vertical="center" wrapText="1"/>
    </xf>
    <xf numFmtId="0" fontId="4" fillId="5" borderId="0" xfId="0" applyFont="1" applyFill="1" applyAlignment="1">
      <alignment horizontal="right" vertical="center" wrapText="1" indent="1"/>
    </xf>
    <xf numFmtId="0" fontId="14" fillId="0" borderId="0" xfId="0" applyFont="1" applyAlignment="1">
      <alignment vertical="center" wrapText="1"/>
    </xf>
    <xf numFmtId="0" fontId="13" fillId="0" borderId="0" xfId="0" applyFont="1" applyAlignment="1">
      <alignment horizontal="center" vertical="center" wrapText="1"/>
    </xf>
  </cellXfs>
  <cellStyles count="4">
    <cellStyle name="Hiperlink" xfId="1" builtinId="8"/>
    <cellStyle name="Moeda" xfId="2" builtinId="4"/>
    <cellStyle name="Normal" xfId="0" builtinId="0"/>
    <cellStyle name="Porcentagem" xfId="3" builtinId="5"/>
  </cellStyles>
  <dxfs count="86">
    <dxf>
      <fill>
        <patternFill>
          <bgColor theme="9" tint="0.39994506668294322"/>
        </patternFill>
      </fill>
    </dxf>
    <dxf>
      <fill>
        <patternFill>
          <bgColor theme="5"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3" tint="0.79998168889431442"/>
        </patternFill>
      </fill>
    </dxf>
    <dxf>
      <fill>
        <patternFill>
          <bgColor theme="9" tint="0.39994506668294322"/>
        </patternFill>
      </fill>
    </dxf>
    <dxf>
      <fill>
        <patternFill>
          <bgColor theme="5" tint="0.39994506668294322"/>
        </patternFill>
      </fill>
    </dxf>
    <dxf>
      <fill>
        <patternFill>
          <bgColor theme="0"/>
        </patternFill>
      </fill>
    </dxf>
    <dxf>
      <fill>
        <patternFill>
          <bgColor theme="3" tint="0.7999816888943144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7" tint="0.79998168889431442"/>
        </patternFill>
      </fill>
    </dxf>
    <dxf>
      <fill>
        <patternFill>
          <bgColor theme="7" tint="0.59996337778862885"/>
        </patternFill>
      </fill>
    </dxf>
    <dxf>
      <fill>
        <patternFill>
          <bgColor theme="4"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4"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ont>
        <color rgb="FF00B050"/>
      </font>
    </dxf>
    <dxf>
      <font>
        <color rgb="FFFF0000"/>
      </font>
    </dxf>
    <dxf>
      <font>
        <color rgb="FFFF0000"/>
      </font>
    </dxf>
    <dxf>
      <font>
        <color rgb="FF00B050"/>
      </font>
    </dxf>
    <dxf>
      <fill>
        <patternFill>
          <bgColor rgb="FFA3A3FF"/>
        </patternFill>
      </fill>
    </dxf>
    <dxf>
      <fill>
        <patternFill>
          <bgColor rgb="FFCCCCFF"/>
        </patternFill>
      </fill>
    </dxf>
    <dxf>
      <fill>
        <patternFill>
          <bgColor rgb="FFB7B7FF"/>
        </patternFill>
      </fill>
    </dxf>
    <dxf>
      <fill>
        <patternFill>
          <bgColor rgb="FFCCCCFF"/>
        </patternFill>
      </fill>
    </dxf>
    <dxf>
      <fill>
        <patternFill>
          <bgColor rgb="FFB48FFF"/>
        </patternFill>
      </fill>
    </dxf>
    <dxf>
      <fill>
        <patternFill>
          <bgColor rgb="FFCCCCFF"/>
        </patternFill>
      </fill>
    </dxf>
  </dxfs>
  <tableStyles count="3" defaultTableStyle="TableStyleMedium2" defaultPivotStyle="Estilo de Tabela Dinâmica 1">
    <tableStyle name="Estilo de Tabela 1" pivot="0" count="2" xr9:uid="{7B6B9549-FE3A-4F45-A39E-FB647F28C44F}">
      <tableStyleElement type="firstColumnStripe" dxfId="85"/>
      <tableStyleElement type="secondColumnStripe" dxfId="84"/>
    </tableStyle>
    <tableStyle name="Estilo de Tabela 2" pivot="0" count="2" xr9:uid="{214B5976-4B19-4EE0-A99F-6E6A455E8BA2}">
      <tableStyleElement type="firstColumnStripe" dxfId="83"/>
      <tableStyleElement type="secondColumnStripe" dxfId="82"/>
    </tableStyle>
    <tableStyle name="Estilo de Tabela Dinâmica 1" table="0" count="2" xr9:uid="{E9180019-B2C9-472A-8C03-4A519BA11E00}">
      <tableStyleElement type="firstRowStripe" dxfId="81"/>
      <tableStyleElement type="secondRowStripe" dxfId="80"/>
    </tableStyle>
  </tableStyles>
  <colors>
    <mruColors>
      <color rgb="FF8F45C7"/>
      <color rgb="FF844BBD"/>
      <color rgb="FFB7B7FF"/>
      <color rgb="FFC9A4E4"/>
      <color rgb="FFA3A3FF"/>
      <color rgb="FFFAC2F3"/>
      <color rgb="FFB48FFF"/>
      <color rgb="FF9999FF"/>
      <color rgb="FFCCCCFF"/>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cap="all" baseline="0">
                <a:solidFill>
                  <a:schemeClr val="tx1">
                    <a:lumMod val="65000"/>
                    <a:lumOff val="35000"/>
                  </a:schemeClr>
                </a:solidFill>
                <a:latin typeface="+mn-lt"/>
                <a:ea typeface="+mn-ea"/>
                <a:cs typeface="+mn-cs"/>
              </a:defRPr>
            </a:pPr>
            <a:r>
              <a:rPr lang="pt-BR" sz="2800"/>
              <a:t>Relação carteira</a:t>
            </a:r>
          </a:p>
        </c:rich>
      </c:tx>
      <c:layout>
        <c:manualLayout>
          <c:xMode val="edge"/>
          <c:yMode val="edge"/>
          <c:x val="0.37425508860859658"/>
          <c:y val="7.3770522284806531E-2"/>
        </c:manualLayout>
      </c:layout>
      <c:overlay val="0"/>
      <c:spPr>
        <a:noFill/>
        <a:ln>
          <a:noFill/>
        </a:ln>
        <a:effectLst/>
      </c:spPr>
      <c:txPr>
        <a:bodyPr rot="0" spcFirstLastPara="1" vertOverflow="ellipsis" vert="horz" wrap="square" anchor="ctr" anchorCtr="1"/>
        <a:lstStyle/>
        <a:p>
          <a:pPr>
            <a:defRPr sz="2800" b="1" i="0" u="none" strike="noStrike" kern="1200" cap="all" baseline="0">
              <a:solidFill>
                <a:schemeClr val="tx1">
                  <a:lumMod val="65000"/>
                  <a:lumOff val="35000"/>
                </a:schemeClr>
              </a:solidFill>
              <a:latin typeface="+mn-lt"/>
              <a:ea typeface="+mn-ea"/>
              <a:cs typeface="+mn-cs"/>
            </a:defRPr>
          </a:pPr>
          <a:endParaRPr lang="pt-BR"/>
        </a:p>
      </c:txPr>
    </c:title>
    <c:autoTitleDeleted val="0"/>
    <c:plotArea>
      <c:layout/>
      <c:pieChart>
        <c:varyColors val="1"/>
        <c:ser>
          <c:idx val="0"/>
          <c:order val="0"/>
          <c:spPr>
            <a:solidFill>
              <a:srgbClr val="FFC000"/>
            </a:solidFill>
          </c:spPr>
          <c:explosion val="16"/>
          <c:dPt>
            <c:idx val="0"/>
            <c:bubble3D val="0"/>
            <c:explosion val="10"/>
            <c:spPr>
              <a:solidFill>
                <a:srgbClr val="FFC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E61A-4E61-8ED5-0FB7E2A9226C}"/>
              </c:ext>
            </c:extLst>
          </c:dPt>
          <c:dPt>
            <c:idx val="1"/>
            <c:bubble3D val="0"/>
            <c:explosion val="0"/>
            <c:spPr>
              <a:solidFill>
                <a:srgbClr val="8F45C7"/>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E61A-4E61-8ED5-0FB7E2A9226C}"/>
              </c:ext>
            </c:extLst>
          </c:dPt>
          <c:dLbls>
            <c:dLbl>
              <c:idx val="0"/>
              <c:layout>
                <c:manualLayout>
                  <c:x val="2.2222222222222119E-2"/>
                  <c:y val="-8.4875562720133283E-17"/>
                </c:manualLayout>
              </c:layout>
              <c:tx>
                <c:rich>
                  <a:bodyPr rot="0" spcFirstLastPara="1" vertOverflow="ellipsis" vert="horz" wrap="square" lIns="38100" tIns="19050" rIns="38100" bIns="19050" anchor="ctr" anchorCtr="1">
                    <a:spAutoFit/>
                  </a:bodyPr>
                  <a:lstStyle/>
                  <a:p>
                    <a:pPr>
                      <a:defRPr sz="2000" b="1" i="0" u="none" strike="noStrike" kern="1200" spc="0" baseline="0">
                        <a:solidFill>
                          <a:schemeClr val="accent1"/>
                        </a:solidFill>
                        <a:latin typeface="+mn-lt"/>
                        <a:ea typeface="+mn-ea"/>
                        <a:cs typeface="+mn-cs"/>
                      </a:defRPr>
                    </a:pPr>
                    <a:fld id="{F45F39D5-0EA0-4D7A-9B64-09F9973A8223}" type="CATEGORYNAME">
                      <a:rPr lang="en-US" sz="2000">
                        <a:solidFill>
                          <a:srgbClr val="FFC000"/>
                        </a:solidFill>
                      </a:rPr>
                      <a:pPr>
                        <a:defRPr sz="2000"/>
                      </a:pPr>
                      <a:t>[NOME DA CATEGORIA]</a:t>
                    </a:fld>
                    <a:r>
                      <a:rPr lang="en-US" sz="2000" baseline="0">
                        <a:solidFill>
                          <a:srgbClr val="FFC000"/>
                        </a:solidFill>
                      </a:rPr>
                      <a:t>
</a:t>
                    </a:r>
                    <a:fld id="{8A0694F6-8EE6-485C-B374-006B4F7088BC}" type="PERCENTAGE">
                      <a:rPr lang="en-US" sz="2000" baseline="0">
                        <a:solidFill>
                          <a:srgbClr val="FFC000"/>
                        </a:solidFill>
                      </a:rPr>
                      <a:pPr>
                        <a:defRPr sz="2000"/>
                      </a:pPr>
                      <a:t>[PORCENTAGEM]</a:t>
                    </a:fld>
                    <a:endParaRPr lang="en-US" sz="2000" baseline="0">
                      <a:solidFill>
                        <a:srgbClr val="FFC000"/>
                      </a:solidFill>
                    </a:endParaRPr>
                  </a:p>
                </c:rich>
              </c:tx>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chemeClr val="accent1"/>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E61A-4E61-8ED5-0FB7E2A9226C}"/>
                </c:ext>
              </c:extLst>
            </c:dLbl>
            <c:dLbl>
              <c:idx val="1"/>
              <c:tx>
                <c:rich>
                  <a:bodyPr rot="0" spcFirstLastPara="1" vertOverflow="ellipsis" vert="horz" wrap="square" lIns="38100" tIns="19050" rIns="38100" bIns="19050" anchor="ctr" anchorCtr="1">
                    <a:spAutoFit/>
                  </a:bodyPr>
                  <a:lstStyle/>
                  <a:p>
                    <a:pPr>
                      <a:defRPr sz="2000" b="1" i="0" u="none" strike="noStrike" kern="1200" spc="0" baseline="0">
                        <a:solidFill>
                          <a:schemeClr val="accent1"/>
                        </a:solidFill>
                        <a:latin typeface="+mn-lt"/>
                        <a:ea typeface="+mn-ea"/>
                        <a:cs typeface="+mn-cs"/>
                      </a:defRPr>
                    </a:pPr>
                    <a:fld id="{8C13C76A-8983-4B03-837A-380A16E9B2FC}" type="CATEGORYNAME">
                      <a:rPr lang="en-US" sz="2000">
                        <a:solidFill>
                          <a:srgbClr val="8F45C7"/>
                        </a:solidFill>
                      </a:rPr>
                      <a:pPr>
                        <a:defRPr sz="2000">
                          <a:solidFill>
                            <a:schemeClr val="accent1"/>
                          </a:solidFill>
                        </a:defRPr>
                      </a:pPr>
                      <a:t>[NOME DA CATEGORIA]</a:t>
                    </a:fld>
                    <a:r>
                      <a:rPr lang="en-US" sz="2000" baseline="0">
                        <a:solidFill>
                          <a:srgbClr val="8F45C7"/>
                        </a:solidFill>
                      </a:rPr>
                      <a:t>
</a:t>
                    </a:r>
                    <a:fld id="{E5677A1E-6705-432A-9F12-AD0623B7A04D}" type="PERCENTAGE">
                      <a:rPr lang="en-US" sz="2000" baseline="0">
                        <a:solidFill>
                          <a:srgbClr val="8F45C7"/>
                        </a:solidFill>
                      </a:rPr>
                      <a:pPr>
                        <a:defRPr sz="2000">
                          <a:solidFill>
                            <a:schemeClr val="accent1"/>
                          </a:solidFill>
                        </a:defRPr>
                      </a:pPr>
                      <a:t>[PORCENTAGEM]</a:t>
                    </a:fld>
                    <a:endParaRPr lang="en-US" sz="2000" baseline="0">
                      <a:solidFill>
                        <a:srgbClr val="8F45C7"/>
                      </a:solidFill>
                    </a:endParaRPr>
                  </a:p>
                </c:rich>
              </c:tx>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chemeClr val="accent1"/>
                      </a:solidFill>
                      <a:latin typeface="+mn-lt"/>
                      <a:ea typeface="+mn-ea"/>
                      <a:cs typeface="+mn-cs"/>
                    </a:defRPr>
                  </a:pPr>
                  <a:endParaRPr lang="pt-BR"/>
                </a:p>
              </c:txPr>
              <c:dLblPos val="out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61A-4E61-8ED5-0FB7E2A9226C}"/>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spc="0" baseline="0">
                    <a:solidFill>
                      <a:schemeClr val="accent1"/>
                    </a:solidFill>
                    <a:latin typeface="+mn-lt"/>
                    <a:ea typeface="+mn-ea"/>
                    <a:cs typeface="+mn-cs"/>
                  </a:defRPr>
                </a:pPr>
                <a:endParaRPr lang="pt-BR"/>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(Menu!$A$7,Menu!$A$14)</c:f>
              <c:strCache>
                <c:ptCount val="2"/>
                <c:pt idx="0">
                  <c:v>Bitcoinn</c:v>
                </c:pt>
                <c:pt idx="1">
                  <c:v>Ethereum</c:v>
                </c:pt>
              </c:strCache>
            </c:strRef>
          </c:cat>
          <c:val>
            <c:numRef>
              <c:f>(Menu!$F$8,Menu!$F$15)</c:f>
              <c:numCache>
                <c:formatCode>0.00</c:formatCode>
                <c:ptCount val="2"/>
                <c:pt idx="0">
                  <c:v>57.546617724806445</c:v>
                </c:pt>
                <c:pt idx="1">
                  <c:v>42.453382275193562</c:v>
                </c:pt>
              </c:numCache>
            </c:numRef>
          </c:val>
          <c:extLst>
            <c:ext xmlns:c16="http://schemas.microsoft.com/office/drawing/2014/chart" uri="{C3380CC4-5D6E-409C-BE32-E72D297353CC}">
              <c16:uniqueId val="{00000004-E61A-4E61-8ED5-0FB7E2A9226C}"/>
            </c:ext>
          </c:extLst>
        </c:ser>
        <c:dLbls>
          <c:dLblPos val="outEnd"/>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png"/><Relationship Id="rId1" Type="http://schemas.openxmlformats.org/officeDocument/2006/relationships/hyperlink" Target="#ETH!A1"/><Relationship Id="rId5" Type="http://schemas.openxmlformats.org/officeDocument/2006/relationships/image" Target="../media/image2.png"/><Relationship Id="rId4" Type="http://schemas.openxmlformats.org/officeDocument/2006/relationships/hyperlink" Target="#BTC!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editAs="oneCell">
    <xdr:from>
      <xdr:col>6</xdr:col>
      <xdr:colOff>192297</xdr:colOff>
      <xdr:row>13</xdr:row>
      <xdr:rowOff>12838</xdr:rowOff>
    </xdr:from>
    <xdr:to>
      <xdr:col>7</xdr:col>
      <xdr:colOff>1162050</xdr:colOff>
      <xdr:row>16</xdr:row>
      <xdr:rowOff>527053</xdr:rowOff>
    </xdr:to>
    <xdr:pic>
      <xdr:nvPicPr>
        <xdr:cNvPr id="3" name="Imagem 2" descr="Ethereum - YouTube">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6000" b="93889" l="10000" r="90000">
                      <a14:foregroundMark x1="45778" y1="76000" x2="45778" y2="76000"/>
                      <a14:foregroundMark x1="49889" y1="8556" x2="49889" y2="8556"/>
                      <a14:foregroundMark x1="49889" y1="6222" x2="49889" y2="6222"/>
                      <a14:foregroundMark x1="50111" y1="6222" x2="50111" y2="6222"/>
                      <a14:foregroundMark x1="50556" y1="6556" x2="50556" y2="6556"/>
                      <a14:foregroundMark x1="50111" y1="6556" x2="52667" y2="11333"/>
                      <a14:foregroundMark x1="51556" y1="9222" x2="54667" y2="16889"/>
                      <a14:foregroundMark x1="49889" y1="93333" x2="49889" y2="93333"/>
                      <a14:foregroundMark x1="50667" y1="93444" x2="50111" y2="93889"/>
                      <a14:backgroundMark x1="22556" y1="55000" x2="22556" y2="55778"/>
                      <a14:backgroundMark x1="23222" y1="55222" x2="22111" y2="55444"/>
                      <a14:backgroundMark x1="78333" y1="55444" x2="77667" y2="57000"/>
                    </a14:backgroundRemoval>
                  </a14:imgEffect>
                </a14:imgLayer>
              </a14:imgProps>
            </a:ext>
            <a:ext uri="{28A0092B-C50C-407E-A947-70E740481C1C}">
              <a14:useLocalDpi xmlns:a14="http://schemas.microsoft.com/office/drawing/2010/main" val="0"/>
            </a:ext>
          </a:extLst>
        </a:blip>
        <a:srcRect/>
        <a:stretch>
          <a:fillRect/>
        </a:stretch>
      </xdr:blipFill>
      <xdr:spPr bwMode="auto">
        <a:xfrm>
          <a:off x="12422397" y="5899288"/>
          <a:ext cx="2284203" cy="22858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358086</xdr:colOff>
      <xdr:row>6</xdr:row>
      <xdr:rowOff>123825</xdr:rowOff>
    </xdr:from>
    <xdr:to>
      <xdr:col>7</xdr:col>
      <xdr:colOff>996261</xdr:colOff>
      <xdr:row>9</xdr:row>
      <xdr:rowOff>304800</xdr:rowOff>
    </xdr:to>
    <xdr:pic>
      <xdr:nvPicPr>
        <xdr:cNvPr id="4" name="Imagem 3" descr="Bitcoin - Open source P2P money">
          <a:hlinkClick xmlns:r="http://schemas.openxmlformats.org/officeDocument/2006/relationships" r:id="rId4"/>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588186" y="3190875"/>
          <a:ext cx="1952625" cy="1952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1562100</xdr:colOff>
      <xdr:row>0</xdr:row>
      <xdr:rowOff>152400</xdr:rowOff>
    </xdr:from>
    <xdr:to>
      <xdr:col>7</xdr:col>
      <xdr:colOff>1276350</xdr:colOff>
      <xdr:row>0</xdr:row>
      <xdr:rowOff>657225</xdr:rowOff>
    </xdr:to>
    <xdr:sp macro="[0]!Atualizar" textlink="">
      <xdr:nvSpPr>
        <xdr:cNvPr id="2" name="Retângulo: Cantos Arredondados 1">
          <a:extLst>
            <a:ext uri="{FF2B5EF4-FFF2-40B4-BE49-F238E27FC236}">
              <a16:creationId xmlns:a16="http://schemas.microsoft.com/office/drawing/2014/main" id="{775D817D-572E-4875-1D1C-50DE8C3DA2BD}"/>
            </a:ext>
          </a:extLst>
        </xdr:cNvPr>
        <xdr:cNvSpPr/>
      </xdr:nvSpPr>
      <xdr:spPr>
        <a:xfrm>
          <a:off x="11753850" y="152400"/>
          <a:ext cx="3067050" cy="504825"/>
        </a:xfrm>
        <a:prstGeom prst="roundRect">
          <a:avLst/>
        </a:pr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tx1"/>
              </a:solidFill>
            </a:rPr>
            <a:t>Atualizar</a:t>
          </a:r>
          <a:endParaRPr lang="pt-BR" sz="1100" b="1">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2</xdr:rowOff>
    </xdr:from>
    <xdr:to>
      <xdr:col>18</xdr:col>
      <xdr:colOff>371475</xdr:colOff>
      <xdr:row>23</xdr:row>
      <xdr:rowOff>189935</xdr:rowOff>
    </xdr:to>
    <xdr:graphicFrame macro="[0]!nadie">
      <xdr:nvGraphicFramePr>
        <xdr:cNvPr id="2" name="Gráfico 1">
          <a:extLst>
            <a:ext uri="{FF2B5EF4-FFF2-40B4-BE49-F238E27FC236}">
              <a16:creationId xmlns:a16="http://schemas.microsoft.com/office/drawing/2014/main" id="{127FE208-F27A-4AED-9035-4CA6AA3389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0.01652</cdr:x>
      <cdr:y>0.02869</cdr:y>
    </cdr:from>
    <cdr:to>
      <cdr:x>0.1635</cdr:x>
      <cdr:y>0.14959</cdr:y>
    </cdr:to>
    <cdr:sp macro="" textlink="">
      <cdr:nvSpPr>
        <cdr:cNvPr id="2" name="Seta: para a Esquerda 1">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75A60F5A-DF7E-E746-D358-E02588EA172C}"/>
            </a:ext>
          </a:extLst>
        </cdr:cNvPr>
        <cdr:cNvSpPr/>
      </cdr:nvSpPr>
      <cdr:spPr>
        <a:xfrm xmlns:a="http://schemas.openxmlformats.org/drawingml/2006/main">
          <a:off x="190500" y="133349"/>
          <a:ext cx="1695450" cy="561975"/>
        </a:xfrm>
        <a:prstGeom xmlns:a="http://schemas.openxmlformats.org/drawingml/2006/main" prst="leftArrow">
          <a:avLst/>
        </a:prstGeom>
        <a:solidFill xmlns:a="http://schemas.openxmlformats.org/drawingml/2006/main">
          <a:srgbClr val="FFFF00"/>
        </a:solidFill>
        <a:ln xmlns:a="http://schemas.openxmlformats.org/drawingml/2006/main" w="28575">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pt-BR"/>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95250</xdr:colOff>
      <xdr:row>0</xdr:row>
      <xdr:rowOff>119063</xdr:rowOff>
    </xdr:from>
    <xdr:to>
      <xdr:col>2</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0DDEE56E-6F5F-4ABC-98CB-5CEDF4D8F185}"/>
            </a:ext>
          </a:extLst>
        </xdr:cNvPr>
        <xdr:cNvSpPr/>
      </xdr:nvSpPr>
      <xdr:spPr>
        <a:xfrm>
          <a:off x="95250" y="119063"/>
          <a:ext cx="1590675" cy="459260"/>
        </a:xfrm>
        <a:prstGeom prst="leftArrow">
          <a:avLst/>
        </a:prstGeom>
        <a:solidFill>
          <a:srgbClr val="FFFF00"/>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tx1"/>
              </a:solidFill>
              <a:latin typeface="Arial" panose="020B0604020202020204" pitchFamily="34" charset="0"/>
              <a:cs typeface="Arial" panose="020B0604020202020204" pitchFamily="34" charset="0"/>
            </a:rPr>
            <a:t>Voltar</a:t>
          </a:r>
          <a:endParaRPr lang="pt-BR" sz="1100" b="1">
            <a:solidFill>
              <a:schemeClr val="tx1"/>
            </a:solidFill>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95250</xdr:colOff>
      <xdr:row>0</xdr:row>
      <xdr:rowOff>119063</xdr:rowOff>
    </xdr:from>
    <xdr:to>
      <xdr:col>2</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D68259C8-A554-4F0F-9BAE-7EE7BF2AAFAB}"/>
            </a:ext>
          </a:extLst>
        </xdr:cNvPr>
        <xdr:cNvSpPr/>
      </xdr:nvSpPr>
      <xdr:spPr>
        <a:xfrm>
          <a:off x="95250" y="119063"/>
          <a:ext cx="3152775" cy="459260"/>
        </a:xfrm>
        <a:prstGeom prst="leftArrow">
          <a:avLst/>
        </a:prstGeom>
        <a:solidFill>
          <a:srgbClr val="844BBD"/>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Arial" panose="020B0604020202020204" pitchFamily="34" charset="0"/>
              <a:cs typeface="Arial" panose="020B0604020202020204" pitchFamily="34" charset="0"/>
            </a:rPr>
            <a:t>Voltar</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190500</xdr:colOff>
      <xdr:row>10</xdr:row>
      <xdr:rowOff>238125</xdr:rowOff>
    </xdr:from>
    <xdr:to>
      <xdr:col>13</xdr:col>
      <xdr:colOff>228600</xdr:colOff>
      <xdr:row>13</xdr:row>
      <xdr:rowOff>123825</xdr:rowOff>
    </xdr:to>
    <xdr:sp macro="[0]!Atualizar" textlink="">
      <xdr:nvSpPr>
        <xdr:cNvPr id="2" name="Elipse 1">
          <a:extLst>
            <a:ext uri="{FF2B5EF4-FFF2-40B4-BE49-F238E27FC236}">
              <a16:creationId xmlns:a16="http://schemas.microsoft.com/office/drawing/2014/main" id="{26DBE008-EFD7-6FBE-2F2D-EAED64B23C15}"/>
            </a:ext>
          </a:extLst>
        </xdr:cNvPr>
        <xdr:cNvSpPr/>
      </xdr:nvSpPr>
      <xdr:spPr>
        <a:xfrm>
          <a:off x="10077450" y="2333625"/>
          <a:ext cx="647700" cy="6477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95250</xdr:colOff>
      <xdr:row>0</xdr:row>
      <xdr:rowOff>119063</xdr:rowOff>
    </xdr:from>
    <xdr:to>
      <xdr:col>2</xdr:col>
      <xdr:colOff>123825</xdr:colOff>
      <xdr:row>0</xdr:row>
      <xdr:rowOff>578323</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E94446EC-F145-4872-81B5-4680A3A78110}"/>
            </a:ext>
          </a:extLst>
        </xdr:cNvPr>
        <xdr:cNvSpPr/>
      </xdr:nvSpPr>
      <xdr:spPr>
        <a:xfrm>
          <a:off x="95250" y="119063"/>
          <a:ext cx="3152775" cy="459260"/>
        </a:xfrm>
        <a:prstGeom prst="leftArrow">
          <a:avLst/>
        </a:prstGeom>
        <a:solidFill>
          <a:srgbClr val="FFFF00"/>
        </a:solid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tx1"/>
              </a:solidFill>
              <a:latin typeface="Arial" panose="020B0604020202020204" pitchFamily="34" charset="0"/>
              <a:cs typeface="Arial" panose="020B0604020202020204" pitchFamily="34" charset="0"/>
            </a:rPr>
            <a:t>Voltar</a:t>
          </a:r>
          <a:endParaRPr lang="pt-BR" sz="1100" b="1">
            <a:solidFill>
              <a:schemeClr val="tx1"/>
            </a:solidFill>
            <a:latin typeface="Arial" panose="020B0604020202020204" pitchFamily="34" charset="0"/>
            <a:cs typeface="Arial" panose="020B0604020202020204" pitchFamily="34" charset="0"/>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usd-brl" preserveFormatting="0" connectionId="2" xr16:uid="{373C2676-5040-4127-A839-5A03A5FA9D08}"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ambio" preserveFormatting="0" connectionId="3" xr16:uid="{CED2D52D-1F6C-481A-B894-1D8B4FD86B68}"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t-br" preserveFormatting="0" connectionId="1" xr16:uid="{E7767D4C-2B04-4DD3-A712-B299D30104E7}"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search?q=dollar+real&amp;client=opera-gx&amp;hs=FHW&amp;sxsrf=ALiCzsZ0JanHrsRFeYJQgHEAbMDHCFhynA%3A1654820205776&amp;ei=bY2iYsb-LrTK1sQP-r2WqAs&amp;oq=dollar&amp;gs_lcp=Cgdnd3Mtd2l6EAEYATIGCCMQJxATMgYIIxAnEBMyBAgjECcyBwgAELEDEAoyBwgAEIAEEAoyBwgAELEDEEMyBAg" preserveFormatting="0" connectionId="4" xr16:uid="{AA4ADA34-EBEA-4010-9A33-F60F63566480}" autoFormatId="16" applyNumberFormats="0" applyBorderFormats="0" applyFontFormats="1" applyPatternFormats="1" applyAlignmentFormats="0" applyWidthHeightFormats="0"/>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17" Type="http://schemas.openxmlformats.org/officeDocument/2006/relationships/hyperlink" Target="https://coingolive.com/pt-br/coins/the-open-network/" TargetMode="External"/><Relationship Id="rId299" Type="http://schemas.openxmlformats.org/officeDocument/2006/relationships/hyperlink" Target="https://coingoback.com/promocoes/1" TargetMode="External"/><Relationship Id="rId21" Type="http://schemas.openxmlformats.org/officeDocument/2006/relationships/hyperlink" Target="https://br.investing.com/economic-calendar/expectativas-de-inflao-a-5-anos-michigan-1568" TargetMode="External"/><Relationship Id="rId63" Type="http://schemas.openxmlformats.org/officeDocument/2006/relationships/hyperlink" Target="https://coingolive.com/pt-br/coins/ripple/" TargetMode="External"/><Relationship Id="rId159" Type="http://schemas.openxmlformats.org/officeDocument/2006/relationships/hyperlink" Target="https://coingolive.com/pt-br/coins/vechain/" TargetMode="External"/><Relationship Id="rId324" Type="http://schemas.openxmlformats.org/officeDocument/2006/relationships/hyperlink" Target="javascript:addFavorite('casper-network')" TargetMode="External"/><Relationship Id="rId366" Type="http://schemas.openxmlformats.org/officeDocument/2006/relationships/hyperlink" Target="https://www.google.com/search?client=opera-gx&amp;ie=UTF-8&amp;q=d%C3%B3lar" TargetMode="External"/><Relationship Id="rId170" Type="http://schemas.openxmlformats.org/officeDocument/2006/relationships/hyperlink" Target="javascript:addFavorite('fantom')" TargetMode="External"/><Relationship Id="rId226" Type="http://schemas.openxmlformats.org/officeDocument/2006/relationships/hyperlink" Target="https://coingolive.com/pt-br/coins/havven/" TargetMode="External"/><Relationship Id="rId268" Type="http://schemas.openxmlformats.org/officeDocument/2006/relationships/hyperlink" Target="https://coingolive.com/pt-br/coins/klay-token/" TargetMode="External"/><Relationship Id="rId32" Type="http://schemas.openxmlformats.org/officeDocument/2006/relationships/hyperlink" Target="https://br.investing.com/economic-calendar/cobre---posies-lquidas-de-especuladores-no-relatrio-da-cftc-1620" TargetMode="External"/><Relationship Id="rId74" Type="http://schemas.openxmlformats.org/officeDocument/2006/relationships/hyperlink" Target="javascript:addFavorite('dogecoin')" TargetMode="External"/><Relationship Id="rId128" Type="http://schemas.openxmlformats.org/officeDocument/2006/relationships/hyperlink" Target="javascript:addFavorite('lido-dao')" TargetMode="External"/><Relationship Id="rId335" Type="http://schemas.openxmlformats.org/officeDocument/2006/relationships/hyperlink" Target="https://coingolive.com/pt-br/coins/render-token/" TargetMode="External"/><Relationship Id="rId377" Type="http://schemas.openxmlformats.org/officeDocument/2006/relationships/hyperlink" Target="https://www.google.com/search?client=opera-gx&amp;ie=UTF-8&amp;q=converter+d%C3%B3lar+em+real+calculadora&amp;sa=X&amp;ved=2ahUKEwjJ7t_66In9AhXiq5UCHUGpCYAQ1QJ6BAgAEAc" TargetMode="External"/><Relationship Id="rId5" Type="http://schemas.openxmlformats.org/officeDocument/2006/relationships/hyperlink" Target="https://br.investing.com/currencies/usd-brl-bmf-futures" TargetMode="External"/><Relationship Id="rId181" Type="http://schemas.openxmlformats.org/officeDocument/2006/relationships/hyperlink" Target="https://coingolive.com/pt-br/coins/eos/" TargetMode="External"/><Relationship Id="rId237" Type="http://schemas.openxmlformats.org/officeDocument/2006/relationships/hyperlink" Target="https://coingolive.com/pt-br/coins/immutable-x/" TargetMode="External"/><Relationship Id="rId279" Type="http://schemas.openxmlformats.org/officeDocument/2006/relationships/hyperlink" Target="https://coingolive.com/pt-br/coins/optimism/" TargetMode="External"/><Relationship Id="rId43" Type="http://schemas.openxmlformats.org/officeDocument/2006/relationships/hyperlink" Target="https://br.investing.com/central-banks/federal-reserve" TargetMode="External"/><Relationship Id="rId139" Type="http://schemas.openxmlformats.org/officeDocument/2006/relationships/hyperlink" Target="https://coingolive.com/pt-br/coins/crypto-com-chain/" TargetMode="External"/><Relationship Id="rId290" Type="http://schemas.openxmlformats.org/officeDocument/2006/relationships/hyperlink" Target="javascript:addFavorite('gmx')" TargetMode="External"/><Relationship Id="rId304" Type="http://schemas.openxmlformats.org/officeDocument/2006/relationships/hyperlink" Target="https://coingolive.com/pt-br/coins/tether-gold/" TargetMode="External"/><Relationship Id="rId346" Type="http://schemas.openxmlformats.org/officeDocument/2006/relationships/hyperlink" Target="https://coingolive.com/pt-br/coins/ethereum-pow-iou/" TargetMode="External"/><Relationship Id="rId388" Type="http://schemas.openxmlformats.org/officeDocument/2006/relationships/drawing" Target="../drawings/drawing6.xml"/><Relationship Id="rId85" Type="http://schemas.openxmlformats.org/officeDocument/2006/relationships/hyperlink" Target="https://coingolive.com/pt-br/coins/solana/" TargetMode="External"/><Relationship Id="rId150" Type="http://schemas.openxmlformats.org/officeDocument/2006/relationships/hyperlink" Target="https://coingolive.com/pt-br/coins/filecoin/" TargetMode="External"/><Relationship Id="rId192" Type="http://schemas.openxmlformats.org/officeDocument/2006/relationships/hyperlink" Target="https://coingolive.com/pt-br/coins/theta-token/" TargetMode="External"/><Relationship Id="rId206" Type="http://schemas.openxmlformats.org/officeDocument/2006/relationships/hyperlink" Target="javascript:addFavorite('true-usd')" TargetMode="External"/><Relationship Id="rId248" Type="http://schemas.openxmlformats.org/officeDocument/2006/relationships/hyperlink" Target="javascript:addFavorite('bitdao')" TargetMode="External"/><Relationship Id="rId12" Type="http://schemas.openxmlformats.org/officeDocument/2006/relationships/hyperlink" Target="https://br.investing.com/economic-calendar/ipc-ncleo-56" TargetMode="External"/><Relationship Id="rId108" Type="http://schemas.openxmlformats.org/officeDocument/2006/relationships/hyperlink" Target="https://coingolive.com/pt-br/coins/cosmos/" TargetMode="External"/><Relationship Id="rId315" Type="http://schemas.openxmlformats.org/officeDocument/2006/relationships/hyperlink" Target="javascript:addFavorite('zilliqa')" TargetMode="External"/><Relationship Id="rId357" Type="http://schemas.openxmlformats.org/officeDocument/2006/relationships/hyperlink" Target="https://www.google.com/url?q=https://br.investing.com/news/forex-news/dolar-recua-frente-ao-real-em-linha-com-exterior-e-possivel-reducao-nas-tensoes-entre-governo-e-bc-1082954&amp;sa=U&amp;ved=2ahUKEwjJ7t_66In9AhXiq5UCHUGpCYAQvOMEegQIBhAI&amp;usg=AOvVaw1mNCQ423G7Gb8JlPVb2gcL" TargetMode="External"/><Relationship Id="rId54" Type="http://schemas.openxmlformats.org/officeDocument/2006/relationships/hyperlink" Target="https://coingolive.com/pt-br/coins/tether/" TargetMode="External"/><Relationship Id="rId96" Type="http://schemas.openxmlformats.org/officeDocument/2006/relationships/hyperlink" Target="https://coingolive.com/pt-br/coins/tron/" TargetMode="External"/><Relationship Id="rId161" Type="http://schemas.openxmlformats.org/officeDocument/2006/relationships/hyperlink" Target="javascript:addFavorite('internet-computer')" TargetMode="External"/><Relationship Id="rId217" Type="http://schemas.openxmlformats.org/officeDocument/2006/relationships/hyperlink" Target="https://coingolive.com/pt-br/coins/huobi-token/" TargetMode="External"/><Relationship Id="rId259" Type="http://schemas.openxmlformats.org/officeDocument/2006/relationships/hyperlink" Target="https://coingolive.com/pt-br/coins/iota/" TargetMode="External"/><Relationship Id="rId23" Type="http://schemas.openxmlformats.org/officeDocument/2006/relationships/hyperlink" Target="https://br.investing.com/economic-calendar/ndice-michigan-de-percepo-do-consumidor-320" TargetMode="External"/><Relationship Id="rId119" Type="http://schemas.openxmlformats.org/officeDocument/2006/relationships/hyperlink" Target="javascript:addFavorite('ethereum-classic')" TargetMode="External"/><Relationship Id="rId270" Type="http://schemas.openxmlformats.org/officeDocument/2006/relationships/hyperlink" Target="https://coingolive.com/pt-br/coins/trust-wallet-token/" TargetMode="External"/><Relationship Id="rId326" Type="http://schemas.openxmlformats.org/officeDocument/2006/relationships/hyperlink" Target="https://coingolive.com/pt-br/coins/casper-network/" TargetMode="External"/><Relationship Id="rId65" Type="http://schemas.openxmlformats.org/officeDocument/2006/relationships/hyperlink" Target="javascript:addFavorite('binance-usd')" TargetMode="External"/><Relationship Id="rId130" Type="http://schemas.openxmlformats.org/officeDocument/2006/relationships/hyperlink" Target="https://coingolive.com/pt-br/coins/lido-dao/" TargetMode="External"/><Relationship Id="rId368" Type="http://schemas.openxmlformats.org/officeDocument/2006/relationships/hyperlink" Target="https://www.google.com/search?client=opera-gx&amp;ie=UTF-8&amp;q=euro+real" TargetMode="External"/><Relationship Id="rId172" Type="http://schemas.openxmlformats.org/officeDocument/2006/relationships/hyperlink" Target="https://coingolive.com/pt-br/coins/fantom/" TargetMode="External"/><Relationship Id="rId228" Type="http://schemas.openxmlformats.org/officeDocument/2006/relationships/hyperlink" Target="https://coingolive.com/pt-br/coins/chiliz/" TargetMode="External"/><Relationship Id="rId281" Type="http://schemas.openxmlformats.org/officeDocument/2006/relationships/hyperlink" Target="javascript:addFavorite('oec-token')" TargetMode="External"/><Relationship Id="rId337" Type="http://schemas.openxmlformats.org/officeDocument/2006/relationships/hyperlink" Target="https://coingolive.com/pt-br/coins/loopring/" TargetMode="External"/><Relationship Id="rId34" Type="http://schemas.openxmlformats.org/officeDocument/2006/relationships/hyperlink" Target="https://br.investing.com/economic-calendar/petrleo---posies-lquidas-de-especuladores-no-relatrio-da-cftc-1653" TargetMode="External"/><Relationship Id="rId76" Type="http://schemas.openxmlformats.org/officeDocument/2006/relationships/hyperlink" Target="https://coingolive.com/pt-br/coins/dogecoin/" TargetMode="External"/><Relationship Id="rId141" Type="http://schemas.openxmlformats.org/officeDocument/2006/relationships/hyperlink" Target="https://coingolive.com/pt-br/coins/near/" TargetMode="External"/><Relationship Id="rId379" Type="http://schemas.openxmlformats.org/officeDocument/2006/relationships/hyperlink" Target="https://www.google.com/search?client=opera-gx&amp;ie=UTF-8&amp;q=d%C3%B3lar+canadense&amp;sa=X&amp;ved=2ahUKEwjJ7t_66In9AhXiq5UCHUGpCYAQ1QJ6BAgAEAg" TargetMode="External"/><Relationship Id="rId7" Type="http://schemas.openxmlformats.org/officeDocument/2006/relationships/hyperlink" Target="https://br.investing.com/currencies/usd-brl-bmf-futures?cid=1181132" TargetMode="External"/><Relationship Id="rId183" Type="http://schemas.openxmlformats.org/officeDocument/2006/relationships/hyperlink" Target="https://coingolive.com/pt-br/coins/aave/" TargetMode="External"/><Relationship Id="rId239" Type="http://schemas.openxmlformats.org/officeDocument/2006/relationships/hyperlink" Target="javascript:addFavorite('pancakeswap-token')" TargetMode="External"/><Relationship Id="rId390" Type="http://schemas.openxmlformats.org/officeDocument/2006/relationships/queryTable" Target="../queryTables/queryTable2.xml"/><Relationship Id="rId250" Type="http://schemas.openxmlformats.org/officeDocument/2006/relationships/hyperlink" Target="https://coingolive.com/pt-br/coins/bitdao/" TargetMode="External"/><Relationship Id="rId292" Type="http://schemas.openxmlformats.org/officeDocument/2006/relationships/hyperlink" Target="https://coingolive.com/pt-br/coins/gmx/" TargetMode="External"/><Relationship Id="rId306" Type="http://schemas.openxmlformats.org/officeDocument/2006/relationships/hyperlink" Target="javascript:addFavorite('baby-doge-coin')" TargetMode="External"/><Relationship Id="rId45" Type="http://schemas.openxmlformats.org/officeDocument/2006/relationships/hyperlink" Target="javascript:addFavorite('bitcoin')" TargetMode="External"/><Relationship Id="rId87" Type="http://schemas.openxmlformats.org/officeDocument/2006/relationships/hyperlink" Target="https://coingolive.com/pt-br/coins/polkadot/" TargetMode="External"/><Relationship Id="rId110" Type="http://schemas.openxmlformats.org/officeDocument/2006/relationships/hyperlink" Target="javascript:addFavorite('wrapped-bitcoin')" TargetMode="External"/><Relationship Id="rId348" Type="http://schemas.openxmlformats.org/officeDocument/2006/relationships/hyperlink" Target="https://www.google.com/?client=opera-gx&amp;output=search&amp;ie=UTF-8&amp;sa=X&amp;ved=0ahUKEwjJ7t_66In9AhXiq5UCHUGpCYAQPAgC" TargetMode="External"/><Relationship Id="rId152" Type="http://schemas.openxmlformats.org/officeDocument/2006/relationships/hyperlink" Target="javascript:addFavorite('apecoin')" TargetMode="External"/><Relationship Id="rId194" Type="http://schemas.openxmlformats.org/officeDocument/2006/relationships/hyperlink" Target="javascript:addFavorite('rocket-pool')" TargetMode="External"/><Relationship Id="rId208" Type="http://schemas.openxmlformats.org/officeDocument/2006/relationships/hyperlink" Target="https://coingolive.com/pt-br/coins/true-usd/" TargetMode="External"/><Relationship Id="rId261" Type="http://schemas.openxmlformats.org/officeDocument/2006/relationships/hyperlink" Target="https://coingolive.com/pt-br/coins/maker/" TargetMode="External"/><Relationship Id="rId14" Type="http://schemas.openxmlformats.org/officeDocument/2006/relationships/hyperlink" Target="https://br.investing.com/economic-calendar/ipc-ncleo-1226" TargetMode="External"/><Relationship Id="rId56" Type="http://schemas.openxmlformats.org/officeDocument/2006/relationships/hyperlink" Target="javascript:addFavorite('binancecoin')" TargetMode="External"/><Relationship Id="rId317" Type="http://schemas.openxmlformats.org/officeDocument/2006/relationships/hyperlink" Target="https://coingolive.com/pt-br/coins/zilliqa/" TargetMode="External"/><Relationship Id="rId359" Type="http://schemas.openxmlformats.org/officeDocument/2006/relationships/hyperlink" Target="https://www.google.com/url?q=https://www.xe.com/pt/currencyconverter/convert/%3FAmount%3D1%26From%3DUSD%26To%3DBRL&amp;sa=U&amp;ved=2ahUKEwjJ7t_66In9AhXiq5UCHUGpCYAQFnoECAQQAg&amp;usg=AOvVaw1Z9oauF-94Z8bw8T1PYDWC" TargetMode="External"/><Relationship Id="rId98" Type="http://schemas.openxmlformats.org/officeDocument/2006/relationships/hyperlink" Target="javascript:addFavorite('avalanche-2')" TargetMode="External"/><Relationship Id="rId121" Type="http://schemas.openxmlformats.org/officeDocument/2006/relationships/hyperlink" Target="https://coingolive.com/pt-br/coins/ethereum-classic/" TargetMode="External"/><Relationship Id="rId163" Type="http://schemas.openxmlformats.org/officeDocument/2006/relationships/hyperlink" Target="https://coingolive.com/pt-br/coins/internet-computer/" TargetMode="External"/><Relationship Id="rId219" Type="http://schemas.openxmlformats.org/officeDocument/2006/relationships/hyperlink" Target="https://coingolive.com/pt-br/coins/kucoin-shares/" TargetMode="External"/><Relationship Id="rId370" Type="http://schemas.openxmlformats.org/officeDocument/2006/relationships/hyperlink" Target="https://www.google.com/search?client=opera-gx&amp;ie=UTF-8&amp;q=d%C3%B3lar+hoje" TargetMode="External"/><Relationship Id="rId230" Type="http://schemas.openxmlformats.org/officeDocument/2006/relationships/hyperlink" Target="javascript:addFavorite('curve-dao-token')" TargetMode="External"/><Relationship Id="rId25" Type="http://schemas.openxmlformats.org/officeDocument/2006/relationships/hyperlink" Target="https://br.investing.com/economic-calendar/expectativas-de-inflao-michigan-389" TargetMode="External"/><Relationship Id="rId67" Type="http://schemas.openxmlformats.org/officeDocument/2006/relationships/hyperlink" Target="https://coingolive.com/pt-br/coins/binance-usd/" TargetMode="External"/><Relationship Id="rId272" Type="http://schemas.openxmlformats.org/officeDocument/2006/relationships/hyperlink" Target="javascript:addFavorite('zcash')" TargetMode="External"/><Relationship Id="rId328" Type="http://schemas.openxmlformats.org/officeDocument/2006/relationships/hyperlink" Target="https://coingolive.com/pt-br/coins/1inch/" TargetMode="External"/><Relationship Id="rId132" Type="http://schemas.openxmlformats.org/officeDocument/2006/relationships/hyperlink" Target="https://coingolive.com/pt-br/coins/stellar/" TargetMode="External"/><Relationship Id="rId174" Type="http://schemas.openxmlformats.org/officeDocument/2006/relationships/hyperlink" Target="https://coingolive.com/pt-br/coins/decentraland/" TargetMode="External"/><Relationship Id="rId381" Type="http://schemas.openxmlformats.org/officeDocument/2006/relationships/hyperlink" Target="https://www.google.com/search?q=dollar+real&amp;client=opera-gx&amp;ie=UTF-8&amp;ei=LaDlY4mkBeLX1sQPwdKmgAg&amp;start=10&amp;sa=N" TargetMode="External"/><Relationship Id="rId241" Type="http://schemas.openxmlformats.org/officeDocument/2006/relationships/hyperlink" Target="https://coingolive.com/pt-br/coins/pancakeswap-token/" TargetMode="External"/><Relationship Id="rId36" Type="http://schemas.openxmlformats.org/officeDocument/2006/relationships/hyperlink" Target="https://br.investing.com/economic-calendar/nasdaq-100---posies-lquidas-de-especuladores-no-relatrio-da-cftc-1959" TargetMode="External"/><Relationship Id="rId283" Type="http://schemas.openxmlformats.org/officeDocument/2006/relationships/hyperlink" Target="https://coingolive.com/pt-br/coins/oec-token/" TargetMode="External"/><Relationship Id="rId339" Type="http://schemas.openxmlformats.org/officeDocument/2006/relationships/hyperlink" Target="javascript:addFavorite('nexo')" TargetMode="External"/><Relationship Id="rId78" Type="http://schemas.openxmlformats.org/officeDocument/2006/relationships/hyperlink" Target="https://coingolive.com/pt-br/coins/okb/" TargetMode="External"/><Relationship Id="rId101" Type="http://schemas.openxmlformats.org/officeDocument/2006/relationships/hyperlink" Target="javascript:addFavorite('dai')" TargetMode="External"/><Relationship Id="rId143" Type="http://schemas.openxmlformats.org/officeDocument/2006/relationships/hyperlink" Target="javascript:addFavorite('hedera-hashgraph')" TargetMode="External"/><Relationship Id="rId185" Type="http://schemas.openxmlformats.org/officeDocument/2006/relationships/hyperlink" Target="javascript:addFavorite('elrond-erd-2')" TargetMode="External"/><Relationship Id="rId350" Type="http://schemas.openxmlformats.org/officeDocument/2006/relationships/hyperlink" Target="https://www.google.com/search?q=dollar+real&amp;client=opera-gx&amp;ie=UTF-8&amp;source=lnms&amp;tbm=isch&amp;sa=X&amp;ved=0ahUKEwjJ7t_66In9AhXiq5UCHUGpCYAQ_AUIBigC" TargetMode="External"/><Relationship Id="rId9" Type="http://schemas.openxmlformats.org/officeDocument/2006/relationships/hyperlink" Target="https://br.investing.com/currencies/usd-brl-bmf-futures" TargetMode="External"/><Relationship Id="rId210" Type="http://schemas.openxmlformats.org/officeDocument/2006/relationships/hyperlink" Target="https://coingolive.com/pt-br/coins/frax-share/" TargetMode="External"/><Relationship Id="rId392" Type="http://schemas.openxmlformats.org/officeDocument/2006/relationships/queryTable" Target="../queryTables/queryTable4.xml"/><Relationship Id="rId252" Type="http://schemas.openxmlformats.org/officeDocument/2006/relationships/hyperlink" Target="https://coingolive.com/pt-br/coins/ecash/" TargetMode="External"/><Relationship Id="rId294" Type="http://schemas.openxmlformats.org/officeDocument/2006/relationships/hyperlink" Target="https://coingolive.com/pt-br/coins/thorchain/" TargetMode="External"/><Relationship Id="rId308" Type="http://schemas.openxmlformats.org/officeDocument/2006/relationships/hyperlink" Target="https://coingolive.com/pt-br/coins/baby-doge-coin/" TargetMode="External"/><Relationship Id="rId47" Type="http://schemas.openxmlformats.org/officeDocument/2006/relationships/hyperlink" Target="https://coingolive.com/pt-br/coins/bitcoin/" TargetMode="External"/><Relationship Id="rId89" Type="http://schemas.openxmlformats.org/officeDocument/2006/relationships/hyperlink" Target="javascript:addFavorite('shiba-inu')" TargetMode="External"/><Relationship Id="rId112" Type="http://schemas.openxmlformats.org/officeDocument/2006/relationships/hyperlink" Target="https://coingolive.com/pt-br/coins/wrapped-bitcoin/" TargetMode="External"/><Relationship Id="rId154" Type="http://schemas.openxmlformats.org/officeDocument/2006/relationships/hyperlink" Target="https://coingolive.com/pt-br/coins/apecoin/" TargetMode="External"/><Relationship Id="rId361" Type="http://schemas.openxmlformats.org/officeDocument/2006/relationships/hyperlink" Target="https://www.google.com/url?q=https://www.bloomberg.com/quote/USDBRL:CUR&amp;sa=U&amp;ved=2ahUKEwjJ7t_66In9AhXiq5UCHUGpCYAQFnoECAIQAg&amp;usg=AOvVaw15M71Pa0_pZMrXCBTTQDdS" TargetMode="External"/><Relationship Id="rId196" Type="http://schemas.openxmlformats.org/officeDocument/2006/relationships/hyperlink" Target="https://coingolive.com/pt-br/coins/rocket-pool/" TargetMode="External"/><Relationship Id="rId200" Type="http://schemas.openxmlformats.org/officeDocument/2006/relationships/hyperlink" Target="javascript:addFavorite('tezos')" TargetMode="External"/><Relationship Id="rId382" Type="http://schemas.openxmlformats.org/officeDocument/2006/relationships/hyperlink" Target="https://www.google.com/url?q=https://support.google.com/websearch%3Fp%3Dws_settings_location%26hl%3Dpt-BR&amp;sa=U&amp;ved=0ahUKEwjJ7t_66In9AhXiq5UCHUGpCYAQty4ISA&amp;usg=AOvVaw2x3Xz5ZhSPEe-ROF-XDPEb" TargetMode="External"/><Relationship Id="rId16" Type="http://schemas.openxmlformats.org/officeDocument/2006/relationships/hyperlink" Target="https://br.investing.com/economic-calendar/ipc-733" TargetMode="External"/><Relationship Id="rId221" Type="http://schemas.openxmlformats.org/officeDocument/2006/relationships/hyperlink" Target="javascript:addFavorite('bitcoin-cash-sv')" TargetMode="External"/><Relationship Id="rId242" Type="http://schemas.openxmlformats.org/officeDocument/2006/relationships/hyperlink" Target="javascript:addFavorite('bittorrent')" TargetMode="External"/><Relationship Id="rId263" Type="http://schemas.openxmlformats.org/officeDocument/2006/relationships/hyperlink" Target="javascript:addFavorite('mina-protocol')" TargetMode="External"/><Relationship Id="rId284" Type="http://schemas.openxmlformats.org/officeDocument/2006/relationships/hyperlink" Target="javascript:addFavorite('arweave')" TargetMode="External"/><Relationship Id="rId319" Type="http://schemas.openxmlformats.org/officeDocument/2006/relationships/hyperlink" Target="https://coingolive.com/pt-br/coins/fetch-ai/" TargetMode="External"/><Relationship Id="rId37" Type="http://schemas.openxmlformats.org/officeDocument/2006/relationships/hyperlink" Target="https://br.investing.com/economic-calendar/gs-natural-posies-lquidas-de-especuladores-no-relatrio-da-cftc-1820" TargetMode="External"/><Relationship Id="rId58" Type="http://schemas.openxmlformats.org/officeDocument/2006/relationships/hyperlink" Target="https://coingolive.com/pt-br/coins/binancecoin/" TargetMode="External"/><Relationship Id="rId79" Type="http://schemas.openxmlformats.org/officeDocument/2006/relationships/hyperlink" Target="https://coingolive.com/pt-br/coins/okb/" TargetMode="External"/><Relationship Id="rId102" Type="http://schemas.openxmlformats.org/officeDocument/2006/relationships/hyperlink" Target="https://coingolive.com/pt-br/coins/dai/" TargetMode="External"/><Relationship Id="rId123" Type="http://schemas.openxmlformats.org/officeDocument/2006/relationships/hyperlink" Target="https://coingolive.com/pt-br/coins/monero/" TargetMode="External"/><Relationship Id="rId144" Type="http://schemas.openxmlformats.org/officeDocument/2006/relationships/hyperlink" Target="https://coingolive.com/pt-br/coins/hedera-hashgraph/" TargetMode="External"/><Relationship Id="rId330" Type="http://schemas.openxmlformats.org/officeDocument/2006/relationships/hyperlink" Target="javascript:addFavorite('flare-networks')" TargetMode="External"/><Relationship Id="rId90" Type="http://schemas.openxmlformats.org/officeDocument/2006/relationships/hyperlink" Target="https://coingolive.com/pt-br/coins/shiba-inu/" TargetMode="External"/><Relationship Id="rId165" Type="http://schemas.openxmlformats.org/officeDocument/2006/relationships/hyperlink" Target="https://coingolive.com/pt-br/coins/the-graph/" TargetMode="External"/><Relationship Id="rId186" Type="http://schemas.openxmlformats.org/officeDocument/2006/relationships/hyperlink" Target="https://coingolive.com/pt-br/coins/elrond-erd-2/" TargetMode="External"/><Relationship Id="rId351" Type="http://schemas.openxmlformats.org/officeDocument/2006/relationships/hyperlink" Target="https://www.google.com/search?q=dollar+real&amp;client=opera-gx&amp;ie=UTF-8&amp;source=lnms&amp;tbm=vid&amp;sa=X&amp;ved=0ahUKEwjJ7t_66In9AhXiq5UCHUGpCYAQ_AUIBygD" TargetMode="External"/><Relationship Id="rId372" Type="http://schemas.openxmlformats.org/officeDocument/2006/relationships/hyperlink" Target="https://www.google.com/search?client=opera-gx&amp;ie=UTF-8&amp;q=d%C3%B3lar+americano" TargetMode="External"/><Relationship Id="rId211" Type="http://schemas.openxmlformats.org/officeDocument/2006/relationships/hyperlink" Target="https://coingolive.com/pt-br/coins/frax-share/" TargetMode="External"/><Relationship Id="rId232" Type="http://schemas.openxmlformats.org/officeDocument/2006/relationships/hyperlink" Target="https://coingolive.com/pt-br/coins/curve-dao-token/" TargetMode="External"/><Relationship Id="rId253" Type="http://schemas.openxmlformats.org/officeDocument/2006/relationships/hyperlink" Target="https://coingolive.com/pt-br/coins/ecash/" TargetMode="External"/><Relationship Id="rId274" Type="http://schemas.openxmlformats.org/officeDocument/2006/relationships/hyperlink" Target="https://coingolive.com/pt-br/coins/zcash/" TargetMode="External"/><Relationship Id="rId295" Type="http://schemas.openxmlformats.org/officeDocument/2006/relationships/hyperlink" Target="https://coingolive.com/pt-br/coins/thorchain/" TargetMode="External"/><Relationship Id="rId309" Type="http://schemas.openxmlformats.org/officeDocument/2006/relationships/hyperlink" Target="javascript:addFavorite('whitebit')" TargetMode="External"/><Relationship Id="rId27" Type="http://schemas.openxmlformats.org/officeDocument/2006/relationships/hyperlink" Target="https://br.investing.com/economic-calendar/relatrio-wasde-1764" TargetMode="External"/><Relationship Id="rId48" Type="http://schemas.openxmlformats.org/officeDocument/2006/relationships/hyperlink" Target="https://coingoback.com/promocoes/1" TargetMode="External"/><Relationship Id="rId69" Type="http://schemas.openxmlformats.org/officeDocument/2006/relationships/hyperlink" Target="https://coingolive.com/pt-br/coins/cardano/" TargetMode="External"/><Relationship Id="rId113" Type="http://schemas.openxmlformats.org/officeDocument/2006/relationships/hyperlink" Target="javascript:addFavorite('chainlink')" TargetMode="External"/><Relationship Id="rId134" Type="http://schemas.openxmlformats.org/officeDocument/2006/relationships/hyperlink" Target="javascript:addFavorite('aptos')" TargetMode="External"/><Relationship Id="rId320" Type="http://schemas.openxmlformats.org/officeDocument/2006/relationships/hyperlink" Target="https://coingolive.com/pt-br/coins/fetch-ai/" TargetMode="External"/><Relationship Id="rId80" Type="http://schemas.openxmlformats.org/officeDocument/2006/relationships/hyperlink" Target="javascript:addFavorite('staked-ether')" TargetMode="External"/><Relationship Id="rId155" Type="http://schemas.openxmlformats.org/officeDocument/2006/relationships/hyperlink" Target="javascript:addFavorite('algorand')" TargetMode="External"/><Relationship Id="rId176" Type="http://schemas.openxmlformats.org/officeDocument/2006/relationships/hyperlink" Target="javascript:addFavorite('axie-infinity')" TargetMode="External"/><Relationship Id="rId197" Type="http://schemas.openxmlformats.org/officeDocument/2006/relationships/hyperlink" Target="javascript:addFavorite('frax')" TargetMode="External"/><Relationship Id="rId341" Type="http://schemas.openxmlformats.org/officeDocument/2006/relationships/hyperlink" Target="https://coingolive.com/pt-br/coins/nexo/" TargetMode="External"/><Relationship Id="rId362" Type="http://schemas.openxmlformats.org/officeDocument/2006/relationships/hyperlink" Target="https://www.google.com/url?q=https://www.cnbc.com/quotes/BRL%3D&amp;sa=U&amp;ved=2ahUKEwjJ7t_66In9AhXiq5UCHUGpCYAQFnoECAcQAg&amp;usg=AOvVaw3oMBIzaH5MpZTJcX5c4laj" TargetMode="External"/><Relationship Id="rId383" Type="http://schemas.openxmlformats.org/officeDocument/2006/relationships/hyperlink" Target="https://www.google.com/url?q=https://accounts.google.com/ServiceLogin%3Fcontinue%3Dhttps://www.google.com/search%253Fq%253Ddollar%252Breal%2526client%253Dopera-gx%2526hs%253DFHW%2526sxsrf%253DALiCzsZ0JanHrsRFeYJQgHEAbMDHCFhynA:1654820205776%2526ei%253DbY2iYsb-LrTK1sQP-r2WqAs%2526oq%253Ddollar%2526gs_lcp%253DCgdnd3Mtd2l6EAEYATIGCCMQJxATMgYIIxAnEBMyBAgjECcyBwgAELEDEAoyBwgAEIAEEAoyBwgAELEDEEMyBAg%26hl%3Dpt-BR&amp;sa=U&amp;ved=0ahUKEwjJ7t_66In9AhXiq5UCHUGpCYAQxs8CCEk&amp;usg=AOvVaw27RGD3v0DlEN3o82clzrg_" TargetMode="External"/><Relationship Id="rId201" Type="http://schemas.openxmlformats.org/officeDocument/2006/relationships/hyperlink" Target="https://coingolive.com/pt-br/coins/tezos/" TargetMode="External"/><Relationship Id="rId222" Type="http://schemas.openxmlformats.org/officeDocument/2006/relationships/hyperlink" Target="https://coingolive.com/pt-br/coins/bitcoin-cash-sv/" TargetMode="External"/><Relationship Id="rId243" Type="http://schemas.openxmlformats.org/officeDocument/2006/relationships/hyperlink" Target="https://coingolive.com/pt-br/coins/bittorrent/" TargetMode="External"/><Relationship Id="rId264" Type="http://schemas.openxmlformats.org/officeDocument/2006/relationships/hyperlink" Target="https://coingolive.com/pt-br/coins/mina-protocol/" TargetMode="External"/><Relationship Id="rId285" Type="http://schemas.openxmlformats.org/officeDocument/2006/relationships/hyperlink" Target="https://coingolive.com/pt-br/coins/arweave/" TargetMode="External"/><Relationship Id="rId17" Type="http://schemas.openxmlformats.org/officeDocument/2006/relationships/hyperlink" Target="https://br.investing.com/economic-calendar/ipc-sem-ajuste-sazonal-1549" TargetMode="External"/><Relationship Id="rId38" Type="http://schemas.openxmlformats.org/officeDocument/2006/relationships/hyperlink" Target="https://br.investing.com/economic-calendar/sp-500---posies-lquidas-de-especuladores-no-relatrio-da-cftc-1619" TargetMode="External"/><Relationship Id="rId59" Type="http://schemas.openxmlformats.org/officeDocument/2006/relationships/hyperlink" Target="javascript:addFavorite('usd-coin')" TargetMode="External"/><Relationship Id="rId103" Type="http://schemas.openxmlformats.org/officeDocument/2006/relationships/hyperlink" Target="https://coingolive.com/pt-br/coins/dai/" TargetMode="External"/><Relationship Id="rId124" Type="http://schemas.openxmlformats.org/officeDocument/2006/relationships/hyperlink" Target="https://coingolive.com/pt-br/coins/monero/" TargetMode="External"/><Relationship Id="rId310" Type="http://schemas.openxmlformats.org/officeDocument/2006/relationships/hyperlink" Target="https://coingolive.com/pt-br/coins/whitebit/" TargetMode="External"/><Relationship Id="rId70" Type="http://schemas.openxmlformats.org/officeDocument/2006/relationships/hyperlink" Target="https://coingolive.com/pt-br/coins/cardano/" TargetMode="External"/><Relationship Id="rId91" Type="http://schemas.openxmlformats.org/officeDocument/2006/relationships/hyperlink" Target="https://coingolive.com/pt-br/coins/shiba-inu/" TargetMode="External"/><Relationship Id="rId145" Type="http://schemas.openxmlformats.org/officeDocument/2006/relationships/hyperlink" Target="https://coingolive.com/pt-br/coins/hedera-hashgraph/" TargetMode="External"/><Relationship Id="rId166" Type="http://schemas.openxmlformats.org/officeDocument/2006/relationships/hyperlink" Target="https://coingolive.com/pt-br/coins/the-graph/" TargetMode="External"/><Relationship Id="rId187" Type="http://schemas.openxmlformats.org/officeDocument/2006/relationships/hyperlink" Target="https://coingolive.com/pt-br/coins/elrond-erd-2/" TargetMode="External"/><Relationship Id="rId331" Type="http://schemas.openxmlformats.org/officeDocument/2006/relationships/hyperlink" Target="https://coingolive.com/pt-br/coins/flare-networks/" TargetMode="External"/><Relationship Id="rId352" Type="http://schemas.openxmlformats.org/officeDocument/2006/relationships/hyperlink" Target="https://g.co/gfd" TargetMode="External"/><Relationship Id="rId373" Type="http://schemas.openxmlformats.org/officeDocument/2006/relationships/hyperlink" Target="https://www.google.com/search?client=opera-gx&amp;ie=UTF-8&amp;q=euro+hoje&amp;sa=X&amp;ved=2ahUKEwjJ7t_66In9AhXiq5UCHUGpCYAQ1QJ6BAgAEAU" TargetMode="External"/><Relationship Id="rId1" Type="http://schemas.openxmlformats.org/officeDocument/2006/relationships/hyperlink" Target="https://br.investing.com/currencies/usd-brl" TargetMode="External"/><Relationship Id="rId212" Type="http://schemas.openxmlformats.org/officeDocument/2006/relationships/hyperlink" Target="javascript:addFavorite('paxos-standard')" TargetMode="External"/><Relationship Id="rId233" Type="http://schemas.openxmlformats.org/officeDocument/2006/relationships/hyperlink" Target="javascript:addFavorite('usdd')" TargetMode="External"/><Relationship Id="rId254" Type="http://schemas.openxmlformats.org/officeDocument/2006/relationships/hyperlink" Target="javascript:addFavorite('dash')" TargetMode="External"/><Relationship Id="rId28" Type="http://schemas.openxmlformats.org/officeDocument/2006/relationships/hyperlink" Target="https://br.investing.com/economic-calendar/contagem-de-sondas-baker-hughes-1652" TargetMode="External"/><Relationship Id="rId49" Type="http://schemas.openxmlformats.org/officeDocument/2006/relationships/hyperlink" Target="javascript:addFavorite('ethereum')" TargetMode="External"/><Relationship Id="rId114" Type="http://schemas.openxmlformats.org/officeDocument/2006/relationships/hyperlink" Target="https://coingolive.com/pt-br/coins/chainlink/" TargetMode="External"/><Relationship Id="rId275" Type="http://schemas.openxmlformats.org/officeDocument/2006/relationships/hyperlink" Target="javascript:addFavorite('osmosis')" TargetMode="External"/><Relationship Id="rId296" Type="http://schemas.openxmlformats.org/officeDocument/2006/relationships/hyperlink" Target="javascript:addFavorite('pax-gold')" TargetMode="External"/><Relationship Id="rId300" Type="http://schemas.openxmlformats.org/officeDocument/2006/relationships/hyperlink" Target="javascript:addFavorite('singularitynet')" TargetMode="External"/><Relationship Id="rId60" Type="http://schemas.openxmlformats.org/officeDocument/2006/relationships/hyperlink" Target="https://coingolive.com/pt-br/coins/usd-coin/" TargetMode="External"/><Relationship Id="rId81" Type="http://schemas.openxmlformats.org/officeDocument/2006/relationships/hyperlink" Target="https://coingolive.com/pt-br/coins/staked-ether/" TargetMode="External"/><Relationship Id="rId135" Type="http://schemas.openxmlformats.org/officeDocument/2006/relationships/hyperlink" Target="https://coingolive.com/pt-br/coins/aptos/" TargetMode="External"/><Relationship Id="rId156" Type="http://schemas.openxmlformats.org/officeDocument/2006/relationships/hyperlink" Target="https://coingolive.com/pt-br/coins/algorand/" TargetMode="External"/><Relationship Id="rId177" Type="http://schemas.openxmlformats.org/officeDocument/2006/relationships/hyperlink" Target="https://coingolive.com/pt-br/coins/axie-infinity/" TargetMode="External"/><Relationship Id="rId198" Type="http://schemas.openxmlformats.org/officeDocument/2006/relationships/hyperlink" Target="https://coingolive.com/pt-br/coins/frax/" TargetMode="External"/><Relationship Id="rId321" Type="http://schemas.openxmlformats.org/officeDocument/2006/relationships/hyperlink" Target="javascript:addFavorite('convex-finance')" TargetMode="External"/><Relationship Id="rId342" Type="http://schemas.openxmlformats.org/officeDocument/2006/relationships/hyperlink" Target="javascript:addFavorite('basic-attention-token')" TargetMode="External"/><Relationship Id="rId363" Type="http://schemas.openxmlformats.org/officeDocument/2006/relationships/hyperlink" Target="https://www.google.com/url?q=https://dolarhoje.com/&amp;sa=U&amp;ved=2ahUKEwjJ7t_66In9AhXiq5UCHUGpCYAQFnoECAUQAg&amp;usg=AOvVaw381dpDvbYL44ZFBuFSqXDd" TargetMode="External"/><Relationship Id="rId384" Type="http://schemas.openxmlformats.org/officeDocument/2006/relationships/hyperlink" Target="https://www.google.com/preferences?hl=pt-BR&amp;client=opera-gx&amp;sa=X&amp;ved=0ahUKEwjJ7t_66In9AhXiq5UCHUGpCYAQv5YECEo" TargetMode="External"/><Relationship Id="rId202" Type="http://schemas.openxmlformats.org/officeDocument/2006/relationships/hyperlink" Target="https://coingolive.com/pt-br/coins/tezos/" TargetMode="External"/><Relationship Id="rId223" Type="http://schemas.openxmlformats.org/officeDocument/2006/relationships/hyperlink" Target="https://coingolive.com/pt-br/coins/bitcoin-cash-sv/" TargetMode="External"/><Relationship Id="rId244" Type="http://schemas.openxmlformats.org/officeDocument/2006/relationships/hyperlink" Target="https://coingolive.com/pt-br/coins/bittorrent/" TargetMode="External"/><Relationship Id="rId18" Type="http://schemas.openxmlformats.org/officeDocument/2006/relationships/hyperlink" Target="https://br.investing.com/economic-calendar/ipc-com-ajuste-sazonal-1889" TargetMode="External"/><Relationship Id="rId39" Type="http://schemas.openxmlformats.org/officeDocument/2006/relationships/hyperlink" Target="https://br.investing.com/economic-calendar/prata---posies-lquidas-de-especuladores-no-relatrio-da-cftc-1621" TargetMode="External"/><Relationship Id="rId265" Type="http://schemas.openxmlformats.org/officeDocument/2006/relationships/hyperlink" Target="https://coingolive.com/pt-br/coins/mina-protocol/" TargetMode="External"/><Relationship Id="rId286" Type="http://schemas.openxmlformats.org/officeDocument/2006/relationships/hyperlink" Target="https://coingolive.com/pt-br/coins/arweave/" TargetMode="External"/><Relationship Id="rId50" Type="http://schemas.openxmlformats.org/officeDocument/2006/relationships/hyperlink" Target="https://coingolive.com/pt-br/coins/ethereum/" TargetMode="External"/><Relationship Id="rId104" Type="http://schemas.openxmlformats.org/officeDocument/2006/relationships/hyperlink" Target="javascript:addFavorite('uniswap')" TargetMode="External"/><Relationship Id="rId125" Type="http://schemas.openxmlformats.org/officeDocument/2006/relationships/hyperlink" Target="javascript:addFavorite('bitcoin-cash')" TargetMode="External"/><Relationship Id="rId146" Type="http://schemas.openxmlformats.org/officeDocument/2006/relationships/hyperlink" Target="javascript:addFavorite('quant-network')" TargetMode="External"/><Relationship Id="rId167" Type="http://schemas.openxmlformats.org/officeDocument/2006/relationships/hyperlink" Target="javascript:addFavorite('the-sandbox')" TargetMode="External"/><Relationship Id="rId188" Type="http://schemas.openxmlformats.org/officeDocument/2006/relationships/hyperlink" Target="javascript:addFavorite('flow')" TargetMode="External"/><Relationship Id="rId311" Type="http://schemas.openxmlformats.org/officeDocument/2006/relationships/hyperlink" Target="https://coingolive.com/pt-br/coins/whitebit/" TargetMode="External"/><Relationship Id="rId332" Type="http://schemas.openxmlformats.org/officeDocument/2006/relationships/hyperlink" Target="https://coingolive.com/pt-br/coins/flare-networks/" TargetMode="External"/><Relationship Id="rId353" Type="http://schemas.openxmlformats.org/officeDocument/2006/relationships/hyperlink" Target="https://www.google.com/url?q=https://br.investing.com/currencies/usd-brl&amp;sa=U&amp;ved=2ahUKEwjJ7t_66In9AhXiq5UCHUGpCYAQFnoECAkQAg&amp;usg=AOvVaw217FtYwwLNaQ7sdvkMaJwH" TargetMode="External"/><Relationship Id="rId374" Type="http://schemas.openxmlformats.org/officeDocument/2006/relationships/hyperlink" Target="https://www.google.com/search?client=opera-gx&amp;ie=UTF-8&amp;q=euro+hoje" TargetMode="External"/><Relationship Id="rId71" Type="http://schemas.openxmlformats.org/officeDocument/2006/relationships/hyperlink" Target="javascript:addFavorite('matic-network')" TargetMode="External"/><Relationship Id="rId92" Type="http://schemas.openxmlformats.org/officeDocument/2006/relationships/hyperlink" Target="javascript:addFavorite('litecoin')" TargetMode="External"/><Relationship Id="rId213" Type="http://schemas.openxmlformats.org/officeDocument/2006/relationships/hyperlink" Target="https://coingolive.com/pt-br/coins/paxos-standard/" TargetMode="External"/><Relationship Id="rId234" Type="http://schemas.openxmlformats.org/officeDocument/2006/relationships/hyperlink" Target="https://coingolive.com/pt-br/coins/usdd/" TargetMode="External"/><Relationship Id="rId2" Type="http://schemas.openxmlformats.org/officeDocument/2006/relationships/hyperlink" Target="https://br.investing.com/currencies/usd-brl?cid=965081" TargetMode="External"/><Relationship Id="rId29" Type="http://schemas.openxmlformats.org/officeDocument/2006/relationships/hyperlink" Target="https://br.investing.com/economic-calendar/contagem-total-de-sondas-dos-eua-por-baker-hughes-1810" TargetMode="External"/><Relationship Id="rId255" Type="http://schemas.openxmlformats.org/officeDocument/2006/relationships/hyperlink" Target="https://coingolive.com/pt-br/coins/dash/" TargetMode="External"/><Relationship Id="rId276" Type="http://schemas.openxmlformats.org/officeDocument/2006/relationships/hyperlink" Target="https://coingolive.com/pt-br/coins/osmosis/" TargetMode="External"/><Relationship Id="rId297" Type="http://schemas.openxmlformats.org/officeDocument/2006/relationships/hyperlink" Target="https://coingolive.com/pt-br/coins/pax-gold/" TargetMode="External"/><Relationship Id="rId40" Type="http://schemas.openxmlformats.org/officeDocument/2006/relationships/hyperlink" Target="https://br.investing.com/economic-calendar/soja-posies-lquidas-de-especuladores-no-relatrio-da-cftc-1811" TargetMode="External"/><Relationship Id="rId115" Type="http://schemas.openxmlformats.org/officeDocument/2006/relationships/hyperlink" Target="https://coingolive.com/pt-br/coins/chainlink/" TargetMode="External"/><Relationship Id="rId136" Type="http://schemas.openxmlformats.org/officeDocument/2006/relationships/hyperlink" Target="https://coingolive.com/pt-br/coins/aptos/" TargetMode="External"/><Relationship Id="rId157" Type="http://schemas.openxmlformats.org/officeDocument/2006/relationships/hyperlink" Target="https://coingolive.com/pt-br/coins/algorand/" TargetMode="External"/><Relationship Id="rId178" Type="http://schemas.openxmlformats.org/officeDocument/2006/relationships/hyperlink" Target="https://coingolive.com/pt-br/coins/axie-infinity/" TargetMode="External"/><Relationship Id="rId301" Type="http://schemas.openxmlformats.org/officeDocument/2006/relationships/hyperlink" Target="https://coingolive.com/pt-br/coins/singularitynet/" TargetMode="External"/><Relationship Id="rId322" Type="http://schemas.openxmlformats.org/officeDocument/2006/relationships/hyperlink" Target="https://coingolive.com/pt-br/coins/convex-finance/" TargetMode="External"/><Relationship Id="rId343" Type="http://schemas.openxmlformats.org/officeDocument/2006/relationships/hyperlink" Target="https://coingolive.com/pt-br/coins/basic-attention-token/" TargetMode="External"/><Relationship Id="rId364" Type="http://schemas.openxmlformats.org/officeDocument/2006/relationships/hyperlink" Target="https://www.google.com/url?q=https://www.tradingview.com/symbols/USDBRL/&amp;sa=U&amp;ved=2ahUKEwjJ7t_66In9AhXiq5UCHUGpCYAQFnoECAsQAg&amp;usg=AOvVaw0eABm0Un452jsCh_sjlwKr" TargetMode="External"/><Relationship Id="rId61" Type="http://schemas.openxmlformats.org/officeDocument/2006/relationships/hyperlink" Target="https://coingolive.com/pt-br/coins/usd-coin/" TargetMode="External"/><Relationship Id="rId82" Type="http://schemas.openxmlformats.org/officeDocument/2006/relationships/hyperlink" Target="https://coingolive.com/pt-br/coins/staked-ether/" TargetMode="External"/><Relationship Id="rId199" Type="http://schemas.openxmlformats.org/officeDocument/2006/relationships/hyperlink" Target="https://coingolive.com/pt-br/coins/frax/" TargetMode="External"/><Relationship Id="rId203" Type="http://schemas.openxmlformats.org/officeDocument/2006/relationships/hyperlink" Target="javascript:addFavorite('terra-luna')" TargetMode="External"/><Relationship Id="rId385" Type="http://schemas.openxmlformats.org/officeDocument/2006/relationships/hyperlink" Target="https://www.google.com/intl/pt-BR_br/policies/privacy/" TargetMode="External"/><Relationship Id="rId19" Type="http://schemas.openxmlformats.org/officeDocument/2006/relationships/hyperlink" Target="https://br.investing.com/economic-calendar/ipc-sem-ajuste-sazonal-1888" TargetMode="External"/><Relationship Id="rId224" Type="http://schemas.openxmlformats.org/officeDocument/2006/relationships/hyperlink" Target="javascript:addFavorite('havven')" TargetMode="External"/><Relationship Id="rId245" Type="http://schemas.openxmlformats.org/officeDocument/2006/relationships/hyperlink" Target="javascript:addFavorite('neo')" TargetMode="External"/><Relationship Id="rId266" Type="http://schemas.openxmlformats.org/officeDocument/2006/relationships/hyperlink" Target="javascript:addFavorite('klay-token')" TargetMode="External"/><Relationship Id="rId287" Type="http://schemas.openxmlformats.org/officeDocument/2006/relationships/hyperlink" Target="javascript:addFavorite('tokenize-xchange')" TargetMode="External"/><Relationship Id="rId30" Type="http://schemas.openxmlformats.org/officeDocument/2006/relationships/hyperlink" Target="https://br.investing.com/economic-calendar/balano-oramentrio-federal-369" TargetMode="External"/><Relationship Id="rId105" Type="http://schemas.openxmlformats.org/officeDocument/2006/relationships/hyperlink" Target="https://coingolive.com/pt-br/coins/uniswap/" TargetMode="External"/><Relationship Id="rId126" Type="http://schemas.openxmlformats.org/officeDocument/2006/relationships/hyperlink" Target="https://coingolive.com/pt-br/coins/bitcoin-cash/" TargetMode="External"/><Relationship Id="rId147" Type="http://schemas.openxmlformats.org/officeDocument/2006/relationships/hyperlink" Target="https://coingolive.com/pt-br/coins/quant-network/" TargetMode="External"/><Relationship Id="rId168" Type="http://schemas.openxmlformats.org/officeDocument/2006/relationships/hyperlink" Target="https://coingolive.com/pt-br/coins/the-sandbox/" TargetMode="External"/><Relationship Id="rId312" Type="http://schemas.openxmlformats.org/officeDocument/2006/relationships/hyperlink" Target="javascript:addFavorite('enjincoin')" TargetMode="External"/><Relationship Id="rId333" Type="http://schemas.openxmlformats.org/officeDocument/2006/relationships/hyperlink" Target="javascript:addFavorite('render-token')" TargetMode="External"/><Relationship Id="rId354" Type="http://schemas.openxmlformats.org/officeDocument/2006/relationships/hyperlink" Target="https://www.google.com/url?q=https://economia.uol.com.br/cotacoes/cambio/&amp;sa=U&amp;ved=2ahUKEwjJ7t_66In9AhXiq5UCHUGpCYAQFnoECAoQAg&amp;usg=AOvVaw0TL_GA7gyvvX_0MDotFcIz" TargetMode="External"/><Relationship Id="rId51" Type="http://schemas.openxmlformats.org/officeDocument/2006/relationships/hyperlink" Target="https://coingolive.com/pt-br/coins/ethereum/" TargetMode="External"/><Relationship Id="rId72" Type="http://schemas.openxmlformats.org/officeDocument/2006/relationships/hyperlink" Target="https://coingolive.com/pt-br/coins/matic-network/" TargetMode="External"/><Relationship Id="rId93" Type="http://schemas.openxmlformats.org/officeDocument/2006/relationships/hyperlink" Target="https://coingolive.com/pt-br/coins/litecoin/" TargetMode="External"/><Relationship Id="rId189" Type="http://schemas.openxmlformats.org/officeDocument/2006/relationships/hyperlink" Target="https://coingolive.com/pt-br/coins/flow/" TargetMode="External"/><Relationship Id="rId375" Type="http://schemas.openxmlformats.org/officeDocument/2006/relationships/hyperlink" Target="https://www.google.com/search?client=opera-gx&amp;ie=UTF-8&amp;q=d%C3%B3lar+valor&amp;sa=X&amp;ved=2ahUKEwjJ7t_66In9AhXiq5UCHUGpCYAQ1QJ6BAgAEAY" TargetMode="External"/><Relationship Id="rId3" Type="http://schemas.openxmlformats.org/officeDocument/2006/relationships/hyperlink" Target="https://br.investing.com/currencies/usd-brl-bmf-futures?cid=1181132" TargetMode="External"/><Relationship Id="rId214" Type="http://schemas.openxmlformats.org/officeDocument/2006/relationships/hyperlink" Target="https://coingolive.com/pt-br/coins/paxos-standard/" TargetMode="External"/><Relationship Id="rId235" Type="http://schemas.openxmlformats.org/officeDocument/2006/relationships/hyperlink" Target="https://coingolive.com/pt-br/coins/usdd/" TargetMode="External"/><Relationship Id="rId256" Type="http://schemas.openxmlformats.org/officeDocument/2006/relationships/hyperlink" Target="https://coingolive.com/pt-br/coins/dash/" TargetMode="External"/><Relationship Id="rId277" Type="http://schemas.openxmlformats.org/officeDocument/2006/relationships/hyperlink" Target="https://coingolive.com/pt-br/coins/osmosis/" TargetMode="External"/><Relationship Id="rId298" Type="http://schemas.openxmlformats.org/officeDocument/2006/relationships/hyperlink" Target="https://coingolive.com/pt-br/coins/pax-gold/" TargetMode="External"/><Relationship Id="rId116" Type="http://schemas.openxmlformats.org/officeDocument/2006/relationships/hyperlink" Target="javascript:addFavorite('the-open-network')" TargetMode="External"/><Relationship Id="rId137" Type="http://schemas.openxmlformats.org/officeDocument/2006/relationships/hyperlink" Target="javascript:addFavorite('crypto-com-chain')" TargetMode="External"/><Relationship Id="rId158" Type="http://schemas.openxmlformats.org/officeDocument/2006/relationships/hyperlink" Target="javascript:addFavorite('vechain')" TargetMode="External"/><Relationship Id="rId302" Type="http://schemas.openxmlformats.org/officeDocument/2006/relationships/hyperlink" Target="https://coingolive.com/pt-br/coins/singularitynet/" TargetMode="External"/><Relationship Id="rId323" Type="http://schemas.openxmlformats.org/officeDocument/2006/relationships/hyperlink" Target="https://coingolive.com/pt-br/coins/convex-finance/" TargetMode="External"/><Relationship Id="rId344" Type="http://schemas.openxmlformats.org/officeDocument/2006/relationships/hyperlink" Target="https://coingolive.com/pt-br/coins/basic-attention-token/" TargetMode="External"/><Relationship Id="rId20" Type="http://schemas.openxmlformats.org/officeDocument/2006/relationships/hyperlink" Target="https://br.investing.com/economic-calendar/rendimento-real-890" TargetMode="External"/><Relationship Id="rId41" Type="http://schemas.openxmlformats.org/officeDocument/2006/relationships/hyperlink" Target="https://br.investing.com/economic-calendar/trigo-posies-lquidas-de-especuladores-no-relatrio-da-cftc-1812" TargetMode="External"/><Relationship Id="rId62" Type="http://schemas.openxmlformats.org/officeDocument/2006/relationships/hyperlink" Target="javascript:addFavorite('ripple')" TargetMode="External"/><Relationship Id="rId83" Type="http://schemas.openxmlformats.org/officeDocument/2006/relationships/hyperlink" Target="javascript:addFavorite('solana')" TargetMode="External"/><Relationship Id="rId179" Type="http://schemas.openxmlformats.org/officeDocument/2006/relationships/hyperlink" Target="javascript:addFavorite('eos')" TargetMode="External"/><Relationship Id="rId365" Type="http://schemas.openxmlformats.org/officeDocument/2006/relationships/hyperlink" Target="https://www.google.com/search?client=opera-gx&amp;ie=UTF-8&amp;q=d%C3%B3lar&amp;sa=X&amp;ved=2ahUKEwjJ7t_66In9AhXiq5UCHUGpCYAQ1QJ6BAgAEAE" TargetMode="External"/><Relationship Id="rId386" Type="http://schemas.openxmlformats.org/officeDocument/2006/relationships/hyperlink" Target="https://www.google.com/intl/pt-BR_br/policies/terms/" TargetMode="External"/><Relationship Id="rId190" Type="http://schemas.openxmlformats.org/officeDocument/2006/relationships/hyperlink" Target="https://coingolive.com/pt-br/coins/flow/" TargetMode="External"/><Relationship Id="rId204" Type="http://schemas.openxmlformats.org/officeDocument/2006/relationships/hyperlink" Target="https://coingolive.com/pt-br/coins/terra-luna/" TargetMode="External"/><Relationship Id="rId225" Type="http://schemas.openxmlformats.org/officeDocument/2006/relationships/hyperlink" Target="https://coingolive.com/pt-br/coins/havven/" TargetMode="External"/><Relationship Id="rId246" Type="http://schemas.openxmlformats.org/officeDocument/2006/relationships/hyperlink" Target="https://coingolive.com/pt-br/coins/neo/" TargetMode="External"/><Relationship Id="rId267" Type="http://schemas.openxmlformats.org/officeDocument/2006/relationships/hyperlink" Target="https://coingolive.com/pt-br/coins/klay-token/" TargetMode="External"/><Relationship Id="rId288" Type="http://schemas.openxmlformats.org/officeDocument/2006/relationships/hyperlink" Target="https://coingolive.com/pt-br/coins/tokenize-xchange/" TargetMode="External"/><Relationship Id="rId106" Type="http://schemas.openxmlformats.org/officeDocument/2006/relationships/hyperlink" Target="https://coingolive.com/pt-br/coins/uniswap/" TargetMode="External"/><Relationship Id="rId127" Type="http://schemas.openxmlformats.org/officeDocument/2006/relationships/hyperlink" Target="https://coingolive.com/pt-br/coins/bitcoin-cash/" TargetMode="External"/><Relationship Id="rId313" Type="http://schemas.openxmlformats.org/officeDocument/2006/relationships/hyperlink" Target="https://coingolive.com/pt-br/coins/enjincoin/" TargetMode="External"/><Relationship Id="rId10" Type="http://schemas.openxmlformats.org/officeDocument/2006/relationships/hyperlink" Target="https://br.investing.com/economic-calendar/vendas-no-varejo-416" TargetMode="External"/><Relationship Id="rId31" Type="http://schemas.openxmlformats.org/officeDocument/2006/relationships/hyperlink" Target="https://br.investing.com/economic-calendar/alumnio-posies-lquidas-de-especuladores-no-relatrio-da-cftc-1821" TargetMode="External"/><Relationship Id="rId52" Type="http://schemas.openxmlformats.org/officeDocument/2006/relationships/hyperlink" Target="https://coingoback.com/promocoes/1" TargetMode="External"/><Relationship Id="rId73" Type="http://schemas.openxmlformats.org/officeDocument/2006/relationships/hyperlink" Target="https://coingolive.com/pt-br/coins/matic-network/" TargetMode="External"/><Relationship Id="rId94" Type="http://schemas.openxmlformats.org/officeDocument/2006/relationships/hyperlink" Target="https://coingolive.com/pt-br/coins/litecoin/" TargetMode="External"/><Relationship Id="rId148" Type="http://schemas.openxmlformats.org/officeDocument/2006/relationships/hyperlink" Target="https://coingolive.com/pt-br/coins/quant-network/" TargetMode="External"/><Relationship Id="rId169" Type="http://schemas.openxmlformats.org/officeDocument/2006/relationships/hyperlink" Target="https://coingolive.com/pt-br/coins/the-sandbox/" TargetMode="External"/><Relationship Id="rId334" Type="http://schemas.openxmlformats.org/officeDocument/2006/relationships/hyperlink" Target="https://coingolive.com/pt-br/coins/render-token/" TargetMode="External"/><Relationship Id="rId355" Type="http://schemas.openxmlformats.org/officeDocument/2006/relationships/hyperlink" Target="https://www.google.com/url?q=https://www.infomoney.com.br/mercados/real-entre-farpas-como-fica-a-cotacao-do-dolar-com-a-batalha-entre-lula-e-bc/&amp;sa=U&amp;ved=2ahUKEwjJ7t_66In9AhXiq5UCHUGpCYAQvOMEegQIBhAC&amp;usg=AOvVaw00GX2daDrBZyoKyS_nKxb8" TargetMode="External"/><Relationship Id="rId376" Type="http://schemas.openxmlformats.org/officeDocument/2006/relationships/hyperlink" Target="https://www.google.com/search?client=opera-gx&amp;ie=UTF-8&amp;q=d%C3%B3lar+valor" TargetMode="External"/><Relationship Id="rId4" Type="http://schemas.openxmlformats.org/officeDocument/2006/relationships/hyperlink" Target="https://br.investing.com/currencies/usd-brl-bmf-futures?cid=1181131" TargetMode="External"/><Relationship Id="rId180" Type="http://schemas.openxmlformats.org/officeDocument/2006/relationships/hyperlink" Target="https://coingolive.com/pt-br/coins/eos/" TargetMode="External"/><Relationship Id="rId215" Type="http://schemas.openxmlformats.org/officeDocument/2006/relationships/hyperlink" Target="javascript:addFavorite('huobi-token')" TargetMode="External"/><Relationship Id="rId236" Type="http://schemas.openxmlformats.org/officeDocument/2006/relationships/hyperlink" Target="javascript:addFavorite('immutable-x')" TargetMode="External"/><Relationship Id="rId257" Type="http://schemas.openxmlformats.org/officeDocument/2006/relationships/hyperlink" Target="javascript:addFavorite('iota')" TargetMode="External"/><Relationship Id="rId278" Type="http://schemas.openxmlformats.org/officeDocument/2006/relationships/hyperlink" Target="javascript:addFavorite('optimism')" TargetMode="External"/><Relationship Id="rId303" Type="http://schemas.openxmlformats.org/officeDocument/2006/relationships/hyperlink" Target="javascript:addFavorite('tether-gold')" TargetMode="External"/><Relationship Id="rId42" Type="http://schemas.openxmlformats.org/officeDocument/2006/relationships/hyperlink" Target="https://br.investing.com/economic-calendar/brl--posies-lquidas-de-especuladores-no-relatrio-da-cftc-1814" TargetMode="External"/><Relationship Id="rId84" Type="http://schemas.openxmlformats.org/officeDocument/2006/relationships/hyperlink" Target="https://coingolive.com/pt-br/coins/solana/" TargetMode="External"/><Relationship Id="rId138" Type="http://schemas.openxmlformats.org/officeDocument/2006/relationships/hyperlink" Target="https://coingolive.com/pt-br/coins/crypto-com-chain/" TargetMode="External"/><Relationship Id="rId345" Type="http://schemas.openxmlformats.org/officeDocument/2006/relationships/hyperlink" Target="javascript:addFavorite('ethereum-pow-iou')" TargetMode="External"/><Relationship Id="rId387" Type="http://schemas.openxmlformats.org/officeDocument/2006/relationships/printerSettings" Target="../printerSettings/printerSettings4.bin"/><Relationship Id="rId191" Type="http://schemas.openxmlformats.org/officeDocument/2006/relationships/hyperlink" Target="javascript:addFavorite('theta-token')" TargetMode="External"/><Relationship Id="rId205" Type="http://schemas.openxmlformats.org/officeDocument/2006/relationships/hyperlink" Target="https://coingolive.com/pt-br/coins/terra-luna/" TargetMode="External"/><Relationship Id="rId247" Type="http://schemas.openxmlformats.org/officeDocument/2006/relationships/hyperlink" Target="https://coingolive.com/pt-br/coins/neo/" TargetMode="External"/><Relationship Id="rId107" Type="http://schemas.openxmlformats.org/officeDocument/2006/relationships/hyperlink" Target="javascript:addFavorite('cosmos')" TargetMode="External"/><Relationship Id="rId289" Type="http://schemas.openxmlformats.org/officeDocument/2006/relationships/hyperlink" Target="https://coingolive.com/pt-br/coins/tokenize-xchange/" TargetMode="External"/><Relationship Id="rId11" Type="http://schemas.openxmlformats.org/officeDocument/2006/relationships/hyperlink" Target="https://br.investing.com/economic-calendar/vendas-no-varejo-861" TargetMode="External"/><Relationship Id="rId53" Type="http://schemas.openxmlformats.org/officeDocument/2006/relationships/hyperlink" Target="javascript:addFavorite('tether')" TargetMode="External"/><Relationship Id="rId149" Type="http://schemas.openxmlformats.org/officeDocument/2006/relationships/hyperlink" Target="javascript:addFavorite('filecoin')" TargetMode="External"/><Relationship Id="rId314" Type="http://schemas.openxmlformats.org/officeDocument/2006/relationships/hyperlink" Target="https://coingolive.com/pt-br/coins/enjincoin/" TargetMode="External"/><Relationship Id="rId356" Type="http://schemas.openxmlformats.org/officeDocument/2006/relationships/hyperlink" Target="https://www.google.com/url?q=https://valor.globo.com/financas/noticia/2023/02/09/real-pode-perder-chance-de-valorizacao.ghtml&amp;sa=U&amp;ved=2ahUKEwjJ7t_66In9AhXiq5UCHUGpCYAQvOMEegQIBhAF&amp;usg=AOvVaw0rFS2I7gE_LjC5hS4bwDQx" TargetMode="External"/><Relationship Id="rId95" Type="http://schemas.openxmlformats.org/officeDocument/2006/relationships/hyperlink" Target="javascript:addFavorite('tron')" TargetMode="External"/><Relationship Id="rId160" Type="http://schemas.openxmlformats.org/officeDocument/2006/relationships/hyperlink" Target="https://coingolive.com/pt-br/coins/vechain/" TargetMode="External"/><Relationship Id="rId216" Type="http://schemas.openxmlformats.org/officeDocument/2006/relationships/hyperlink" Target="https://coingolive.com/pt-br/coins/huobi-token/" TargetMode="External"/><Relationship Id="rId258" Type="http://schemas.openxmlformats.org/officeDocument/2006/relationships/hyperlink" Target="https://coingolive.com/pt-br/coins/iota/" TargetMode="External"/><Relationship Id="rId22" Type="http://schemas.openxmlformats.org/officeDocument/2006/relationships/hyperlink" Target="https://br.investing.com/economic-calendar/confiana-do-consumidor-michigan---leitura-final-900" TargetMode="External"/><Relationship Id="rId64" Type="http://schemas.openxmlformats.org/officeDocument/2006/relationships/hyperlink" Target="https://coingolive.com/pt-br/coins/ripple/" TargetMode="External"/><Relationship Id="rId118" Type="http://schemas.openxmlformats.org/officeDocument/2006/relationships/hyperlink" Target="https://coingolive.com/pt-br/coins/the-open-network/" TargetMode="External"/><Relationship Id="rId325" Type="http://schemas.openxmlformats.org/officeDocument/2006/relationships/hyperlink" Target="https://coingolive.com/pt-br/coins/casper-network/" TargetMode="External"/><Relationship Id="rId367" Type="http://schemas.openxmlformats.org/officeDocument/2006/relationships/hyperlink" Target="https://www.google.com/search?client=opera-gx&amp;ie=UTF-8&amp;q=euro+real&amp;sa=X&amp;ved=2ahUKEwjJ7t_66In9AhXiq5UCHUGpCYAQ1QJ6BAgAEAI" TargetMode="External"/><Relationship Id="rId171" Type="http://schemas.openxmlformats.org/officeDocument/2006/relationships/hyperlink" Target="https://coingolive.com/pt-br/coins/fantom/" TargetMode="External"/><Relationship Id="rId227" Type="http://schemas.openxmlformats.org/officeDocument/2006/relationships/hyperlink" Target="javascript:addFavorite('chiliz')" TargetMode="External"/><Relationship Id="rId269" Type="http://schemas.openxmlformats.org/officeDocument/2006/relationships/hyperlink" Target="javascript:addFavorite('trust-wallet-token')" TargetMode="External"/><Relationship Id="rId33" Type="http://schemas.openxmlformats.org/officeDocument/2006/relationships/hyperlink" Target="https://br.investing.com/economic-calendar/milho-posies-lquidas-de-especuladores-no-relatrio-da-cftc-1813" TargetMode="External"/><Relationship Id="rId129" Type="http://schemas.openxmlformats.org/officeDocument/2006/relationships/hyperlink" Target="https://coingolive.com/pt-br/coins/lido-dao/" TargetMode="External"/><Relationship Id="rId280" Type="http://schemas.openxmlformats.org/officeDocument/2006/relationships/hyperlink" Target="https://coingolive.com/pt-br/coins/optimism/" TargetMode="External"/><Relationship Id="rId336" Type="http://schemas.openxmlformats.org/officeDocument/2006/relationships/hyperlink" Target="javascript:addFavorite('loopring')" TargetMode="External"/><Relationship Id="rId75" Type="http://schemas.openxmlformats.org/officeDocument/2006/relationships/hyperlink" Target="https://coingolive.com/pt-br/coins/dogecoin/" TargetMode="External"/><Relationship Id="rId140" Type="http://schemas.openxmlformats.org/officeDocument/2006/relationships/hyperlink" Target="javascript:addFavorite('near')" TargetMode="External"/><Relationship Id="rId182" Type="http://schemas.openxmlformats.org/officeDocument/2006/relationships/hyperlink" Target="javascript:addFavorite('aave')" TargetMode="External"/><Relationship Id="rId378" Type="http://schemas.openxmlformats.org/officeDocument/2006/relationships/hyperlink" Target="https://www.google.com/search?client=opera-gx&amp;ie=UTF-8&amp;q=converter+d%C3%B3lar+em+real+calculadora" TargetMode="External"/><Relationship Id="rId6" Type="http://schemas.openxmlformats.org/officeDocument/2006/relationships/hyperlink" Target="https://br.investing.com/currencies/usd-brl?cid=965081" TargetMode="External"/><Relationship Id="rId238" Type="http://schemas.openxmlformats.org/officeDocument/2006/relationships/hyperlink" Target="https://coingolive.com/pt-br/coins/immutable-x/" TargetMode="External"/><Relationship Id="rId291" Type="http://schemas.openxmlformats.org/officeDocument/2006/relationships/hyperlink" Target="https://coingolive.com/pt-br/coins/gmx/" TargetMode="External"/><Relationship Id="rId305" Type="http://schemas.openxmlformats.org/officeDocument/2006/relationships/hyperlink" Target="https://coingolive.com/pt-br/coins/tether-gold/" TargetMode="External"/><Relationship Id="rId347" Type="http://schemas.openxmlformats.org/officeDocument/2006/relationships/hyperlink" Target="https://coingolive.com/pt-br/coins/ethereum-pow-iou/" TargetMode="External"/><Relationship Id="rId44" Type="http://schemas.openxmlformats.org/officeDocument/2006/relationships/hyperlink" Target="https://br.investing.com/central-banks/central-bank-of-brazil" TargetMode="External"/><Relationship Id="rId86" Type="http://schemas.openxmlformats.org/officeDocument/2006/relationships/hyperlink" Target="javascript:addFavorite('polkadot')" TargetMode="External"/><Relationship Id="rId151" Type="http://schemas.openxmlformats.org/officeDocument/2006/relationships/hyperlink" Target="https://coingolive.com/pt-br/coins/filecoin/" TargetMode="External"/><Relationship Id="rId389" Type="http://schemas.openxmlformats.org/officeDocument/2006/relationships/queryTable" Target="../queryTables/queryTable1.xml"/><Relationship Id="rId193" Type="http://schemas.openxmlformats.org/officeDocument/2006/relationships/hyperlink" Target="https://coingolive.com/pt-br/coins/theta-token/" TargetMode="External"/><Relationship Id="rId207" Type="http://schemas.openxmlformats.org/officeDocument/2006/relationships/hyperlink" Target="https://coingolive.com/pt-br/coins/true-usd/" TargetMode="External"/><Relationship Id="rId249" Type="http://schemas.openxmlformats.org/officeDocument/2006/relationships/hyperlink" Target="https://coingolive.com/pt-br/coins/bitdao/" TargetMode="External"/><Relationship Id="rId13" Type="http://schemas.openxmlformats.org/officeDocument/2006/relationships/hyperlink" Target="https://br.investing.com/economic-calendar/ipc-ncleo-736" TargetMode="External"/><Relationship Id="rId109" Type="http://schemas.openxmlformats.org/officeDocument/2006/relationships/hyperlink" Target="https://coingolive.com/pt-br/coins/cosmos/" TargetMode="External"/><Relationship Id="rId260" Type="http://schemas.openxmlformats.org/officeDocument/2006/relationships/hyperlink" Target="javascript:addFavorite('maker')" TargetMode="External"/><Relationship Id="rId316" Type="http://schemas.openxmlformats.org/officeDocument/2006/relationships/hyperlink" Target="https://coingolive.com/pt-br/coins/zilliqa/" TargetMode="External"/><Relationship Id="rId55" Type="http://schemas.openxmlformats.org/officeDocument/2006/relationships/hyperlink" Target="https://coingolive.com/pt-br/coins/tether/" TargetMode="External"/><Relationship Id="rId97" Type="http://schemas.openxmlformats.org/officeDocument/2006/relationships/hyperlink" Target="https://coingolive.com/pt-br/coins/tron/" TargetMode="External"/><Relationship Id="rId120" Type="http://schemas.openxmlformats.org/officeDocument/2006/relationships/hyperlink" Target="https://coingolive.com/pt-br/coins/ethereum-classic/" TargetMode="External"/><Relationship Id="rId358" Type="http://schemas.openxmlformats.org/officeDocument/2006/relationships/hyperlink" Target="https://www.google.com/url?q=https://www.remessaonline.com.br/cotacao/cotacao-dolar&amp;sa=U&amp;ved=2ahUKEwjJ7t_66In9AhXiq5UCHUGpCYAQFnoECAMQAg&amp;usg=AOvVaw20iFzHM_HlgEh3h3KAMcUg" TargetMode="External"/><Relationship Id="rId162" Type="http://schemas.openxmlformats.org/officeDocument/2006/relationships/hyperlink" Target="https://coingolive.com/pt-br/coins/internet-computer/" TargetMode="External"/><Relationship Id="rId218" Type="http://schemas.openxmlformats.org/officeDocument/2006/relationships/hyperlink" Target="javascript:addFavorite('kucoin-shares')" TargetMode="External"/><Relationship Id="rId271" Type="http://schemas.openxmlformats.org/officeDocument/2006/relationships/hyperlink" Target="https://coingolive.com/pt-br/coins/trust-wallet-token/" TargetMode="External"/><Relationship Id="rId24" Type="http://schemas.openxmlformats.org/officeDocument/2006/relationships/hyperlink" Target="https://br.investing.com/economic-calendar/ndice-de-condies-atuais-michigan-901" TargetMode="External"/><Relationship Id="rId66" Type="http://schemas.openxmlformats.org/officeDocument/2006/relationships/hyperlink" Target="https://coingolive.com/pt-br/coins/binance-usd/" TargetMode="External"/><Relationship Id="rId131" Type="http://schemas.openxmlformats.org/officeDocument/2006/relationships/hyperlink" Target="javascript:addFavorite('stellar')" TargetMode="External"/><Relationship Id="rId327" Type="http://schemas.openxmlformats.org/officeDocument/2006/relationships/hyperlink" Target="javascript:addFavorite('1inch')" TargetMode="External"/><Relationship Id="rId369" Type="http://schemas.openxmlformats.org/officeDocument/2006/relationships/hyperlink" Target="https://www.google.com/search?client=opera-gx&amp;ie=UTF-8&amp;q=d%C3%B3lar+hoje&amp;sa=X&amp;ved=2ahUKEwjJ7t_66In9AhXiq5UCHUGpCYAQ1QJ6BAgAEAM" TargetMode="External"/><Relationship Id="rId173" Type="http://schemas.openxmlformats.org/officeDocument/2006/relationships/hyperlink" Target="javascript:addFavorite('decentraland')" TargetMode="External"/><Relationship Id="rId229" Type="http://schemas.openxmlformats.org/officeDocument/2006/relationships/hyperlink" Target="https://coingolive.com/pt-br/coins/chiliz/" TargetMode="External"/><Relationship Id="rId380" Type="http://schemas.openxmlformats.org/officeDocument/2006/relationships/hyperlink" Target="https://www.google.com/search?client=opera-gx&amp;ie=UTF-8&amp;q=d%C3%B3lar+canadense" TargetMode="External"/><Relationship Id="rId240" Type="http://schemas.openxmlformats.org/officeDocument/2006/relationships/hyperlink" Target="https://coingolive.com/pt-br/coins/pancakeswap-token/" TargetMode="External"/><Relationship Id="rId35" Type="http://schemas.openxmlformats.org/officeDocument/2006/relationships/hyperlink" Target="https://br.investing.com/economic-calendar/ouro---posies-lquidas-de-especuladores-no-relatrio-da-cftc-1618" TargetMode="External"/><Relationship Id="rId77" Type="http://schemas.openxmlformats.org/officeDocument/2006/relationships/hyperlink" Target="javascript:addFavorite('okb')" TargetMode="External"/><Relationship Id="rId100" Type="http://schemas.openxmlformats.org/officeDocument/2006/relationships/hyperlink" Target="https://coingolive.com/pt-br/coins/avalanche-2/" TargetMode="External"/><Relationship Id="rId282" Type="http://schemas.openxmlformats.org/officeDocument/2006/relationships/hyperlink" Target="https://coingolive.com/pt-br/coins/oec-token/" TargetMode="External"/><Relationship Id="rId338" Type="http://schemas.openxmlformats.org/officeDocument/2006/relationships/hyperlink" Target="https://coingolive.com/pt-br/coins/loopring/" TargetMode="External"/><Relationship Id="rId8" Type="http://schemas.openxmlformats.org/officeDocument/2006/relationships/hyperlink" Target="https://br.investing.com/currencies/usd-brl-bmf-futures?cid=1181131" TargetMode="External"/><Relationship Id="rId142" Type="http://schemas.openxmlformats.org/officeDocument/2006/relationships/hyperlink" Target="https://coingolive.com/pt-br/coins/near/" TargetMode="External"/><Relationship Id="rId184" Type="http://schemas.openxmlformats.org/officeDocument/2006/relationships/hyperlink" Target="https://coingolive.com/pt-br/coins/aave/" TargetMode="External"/><Relationship Id="rId391" Type="http://schemas.openxmlformats.org/officeDocument/2006/relationships/queryTable" Target="../queryTables/queryTable3.xml"/><Relationship Id="rId251" Type="http://schemas.openxmlformats.org/officeDocument/2006/relationships/hyperlink" Target="javascript:addFavorite('ecash')" TargetMode="External"/><Relationship Id="rId46" Type="http://schemas.openxmlformats.org/officeDocument/2006/relationships/hyperlink" Target="https://coingolive.com/pt-br/coins/bitcoin/" TargetMode="External"/><Relationship Id="rId293" Type="http://schemas.openxmlformats.org/officeDocument/2006/relationships/hyperlink" Target="javascript:addFavorite('thorchain')" TargetMode="External"/><Relationship Id="rId307" Type="http://schemas.openxmlformats.org/officeDocument/2006/relationships/hyperlink" Target="https://coingolive.com/pt-br/coins/baby-doge-coin/" TargetMode="External"/><Relationship Id="rId349" Type="http://schemas.openxmlformats.org/officeDocument/2006/relationships/hyperlink" Target="https://www.google.com/search?q=dollar+real&amp;client=opera-gx&amp;ie=UTF-8&amp;source=lnms&amp;tbm=nws&amp;sa=X&amp;ved=0ahUKEwjJ7t_66In9AhXiq5UCHUGpCYAQ_AUIBSgB" TargetMode="External"/><Relationship Id="rId88" Type="http://schemas.openxmlformats.org/officeDocument/2006/relationships/hyperlink" Target="https://coingolive.com/pt-br/coins/polkadot/" TargetMode="External"/><Relationship Id="rId111" Type="http://schemas.openxmlformats.org/officeDocument/2006/relationships/hyperlink" Target="https://coingolive.com/pt-br/coins/wrapped-bitcoin/" TargetMode="External"/><Relationship Id="rId153" Type="http://schemas.openxmlformats.org/officeDocument/2006/relationships/hyperlink" Target="https://coingolive.com/pt-br/coins/apecoin/" TargetMode="External"/><Relationship Id="rId195" Type="http://schemas.openxmlformats.org/officeDocument/2006/relationships/hyperlink" Target="https://coingolive.com/pt-br/coins/rocket-pool/" TargetMode="External"/><Relationship Id="rId209" Type="http://schemas.openxmlformats.org/officeDocument/2006/relationships/hyperlink" Target="javascript:addFavorite('frax-share')" TargetMode="External"/><Relationship Id="rId360" Type="http://schemas.openxmlformats.org/officeDocument/2006/relationships/hyperlink" Target="https://www.google.com/url?q=https://www.melhorcambio.com/conversor-de-moeda&amp;sa=U&amp;ved=2ahUKEwjJ7t_66In9AhXiq5UCHUGpCYAQFnoECAgQAg&amp;usg=AOvVaw0ZPiODBQg8pEgHGDvI7qrd" TargetMode="External"/><Relationship Id="rId220" Type="http://schemas.openxmlformats.org/officeDocument/2006/relationships/hyperlink" Target="https://coingolive.com/pt-br/coins/kucoin-shares/" TargetMode="External"/><Relationship Id="rId15" Type="http://schemas.openxmlformats.org/officeDocument/2006/relationships/hyperlink" Target="https://br.investing.com/economic-calendar/ipc-69" TargetMode="External"/><Relationship Id="rId57" Type="http://schemas.openxmlformats.org/officeDocument/2006/relationships/hyperlink" Target="https://coingolive.com/pt-br/coins/binancecoin/" TargetMode="External"/><Relationship Id="rId262" Type="http://schemas.openxmlformats.org/officeDocument/2006/relationships/hyperlink" Target="https://coingolive.com/pt-br/coins/maker/" TargetMode="External"/><Relationship Id="rId318" Type="http://schemas.openxmlformats.org/officeDocument/2006/relationships/hyperlink" Target="javascript:addFavorite('fetch-ai')" TargetMode="External"/><Relationship Id="rId99" Type="http://schemas.openxmlformats.org/officeDocument/2006/relationships/hyperlink" Target="https://coingolive.com/pt-br/coins/avalanche-2/" TargetMode="External"/><Relationship Id="rId122" Type="http://schemas.openxmlformats.org/officeDocument/2006/relationships/hyperlink" Target="javascript:addFavorite('monero')" TargetMode="External"/><Relationship Id="rId164" Type="http://schemas.openxmlformats.org/officeDocument/2006/relationships/hyperlink" Target="javascript:addFavorite('the-graph')" TargetMode="External"/><Relationship Id="rId371" Type="http://schemas.openxmlformats.org/officeDocument/2006/relationships/hyperlink" Target="https://www.google.com/search?client=opera-gx&amp;ie=UTF-8&amp;q=d%C3%B3lar+americano&amp;sa=X&amp;ved=2ahUKEwjJ7t_66In9AhXiq5UCHUGpCYAQ1QJ6BAgAEAQ" TargetMode="External"/><Relationship Id="rId26" Type="http://schemas.openxmlformats.org/officeDocument/2006/relationships/hyperlink" Target="https://br.investing.com/economic-calendar/ipc---cleveland-887" TargetMode="External"/><Relationship Id="rId231" Type="http://schemas.openxmlformats.org/officeDocument/2006/relationships/hyperlink" Target="https://coingolive.com/pt-br/coins/curve-dao-token/" TargetMode="External"/><Relationship Id="rId273" Type="http://schemas.openxmlformats.org/officeDocument/2006/relationships/hyperlink" Target="https://coingolive.com/pt-br/coins/zcash/" TargetMode="External"/><Relationship Id="rId329" Type="http://schemas.openxmlformats.org/officeDocument/2006/relationships/hyperlink" Target="https://coingolive.com/pt-br/coins/1inch/" TargetMode="External"/><Relationship Id="rId68" Type="http://schemas.openxmlformats.org/officeDocument/2006/relationships/hyperlink" Target="javascript:addFavorite('cardano')" TargetMode="External"/><Relationship Id="rId133" Type="http://schemas.openxmlformats.org/officeDocument/2006/relationships/hyperlink" Target="https://coingolive.com/pt-br/coins/stellar/" TargetMode="External"/><Relationship Id="rId175" Type="http://schemas.openxmlformats.org/officeDocument/2006/relationships/hyperlink" Target="https://coingolive.com/pt-br/coins/decentraland/" TargetMode="External"/><Relationship Id="rId340" Type="http://schemas.openxmlformats.org/officeDocument/2006/relationships/hyperlink" Target="https://coingolive.com/pt-br/coins/nexo/"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9888A-3BBA-41B2-8A65-079A19475020}">
  <sheetPr codeName="Planilha1"/>
  <dimension ref="A1:X60"/>
  <sheetViews>
    <sheetView tabSelected="1" zoomScaleNormal="100" workbookViewId="0">
      <selection activeCell="C7" sqref="C7"/>
    </sheetView>
  </sheetViews>
  <sheetFormatPr defaultColWidth="30.5703125" defaultRowHeight="19.5" customHeight="1" x14ac:dyDescent="0.25"/>
  <cols>
    <col min="1" max="6" width="30.5703125" style="78"/>
    <col min="7" max="8" width="19.7109375" style="78" customWidth="1"/>
    <col min="9" max="9" width="4.28515625" style="78" customWidth="1"/>
    <col min="10" max="16384" width="30.5703125" style="78"/>
  </cols>
  <sheetData>
    <row r="1" spans="1:24" ht="65.25" customHeight="1" thickBot="1" x14ac:dyDescent="0.3">
      <c r="A1" s="288" t="s">
        <v>295</v>
      </c>
      <c r="B1" s="289"/>
      <c r="C1" s="289"/>
      <c r="D1" s="289"/>
      <c r="E1" s="289"/>
      <c r="F1" s="289"/>
      <c r="G1" s="289"/>
      <c r="H1" s="289"/>
      <c r="I1" s="115"/>
      <c r="T1" s="292" t="s">
        <v>293</v>
      </c>
      <c r="U1" s="292"/>
      <c r="V1" s="292"/>
      <c r="W1" s="292"/>
    </row>
    <row r="2" spans="1:24" ht="41.25" customHeight="1" thickBot="1" x14ac:dyDescent="0.3">
      <c r="A2" s="290" t="s">
        <v>0</v>
      </c>
      <c r="B2" s="291"/>
      <c r="C2" s="291"/>
      <c r="D2" s="291"/>
      <c r="E2" s="291"/>
      <c r="F2" s="291"/>
      <c r="G2" s="291"/>
      <c r="H2" s="291"/>
      <c r="I2" s="116"/>
      <c r="T2" s="292" t="s">
        <v>4</v>
      </c>
      <c r="U2" s="292"/>
      <c r="V2" s="292" t="s">
        <v>7</v>
      </c>
      <c r="W2" s="292"/>
      <c r="X2" s="78" t="s">
        <v>307</v>
      </c>
    </row>
    <row r="3" spans="1:24" ht="53.25" customHeight="1" x14ac:dyDescent="0.25">
      <c r="A3" s="91" t="s">
        <v>306</v>
      </c>
      <c r="B3" s="91" t="s">
        <v>471</v>
      </c>
      <c r="C3" s="91" t="s">
        <v>308</v>
      </c>
      <c r="D3" s="91" t="s">
        <v>318</v>
      </c>
      <c r="E3" s="91" t="s">
        <v>302</v>
      </c>
      <c r="F3" s="91" t="s">
        <v>301</v>
      </c>
      <c r="G3" s="296" t="s">
        <v>472</v>
      </c>
      <c r="H3" s="297"/>
      <c r="I3" s="89"/>
      <c r="J3" s="87"/>
      <c r="K3" s="87"/>
      <c r="T3" s="87" t="str">
        <f>RIGHT(B8,9)</f>
        <v>21.917,00</v>
      </c>
      <c r="U3" s="87"/>
      <c r="V3" s="87" t="str">
        <f>RIGHT(B15,8)</f>
        <v>1.553,10</v>
      </c>
      <c r="W3" s="87"/>
      <c r="X3" s="80" t="str">
        <f>Config!$N$6</f>
        <v xml:space="preserve">5,29 </v>
      </c>
    </row>
    <row r="4" spans="1:24" ht="53.25" customHeight="1" thickBot="1" x14ac:dyDescent="0.3">
      <c r="A4" s="92" t="str">
        <f>X3</f>
        <v xml:space="preserve">5,29 </v>
      </c>
      <c r="B4" s="271">
        <f>C4/A4</f>
        <v>185.290847813</v>
      </c>
      <c r="C4" s="92">
        <f>C10+C17</f>
        <v>980.18858493077005</v>
      </c>
      <c r="D4" s="92">
        <f>(F4+C4)-E4</f>
        <v>-231.89141506922988</v>
      </c>
      <c r="E4" s="92">
        <f>E8+E15</f>
        <v>1455</v>
      </c>
      <c r="F4" s="92">
        <f>E10+E17</f>
        <v>242.92</v>
      </c>
      <c r="G4" s="298"/>
      <c r="H4" s="299"/>
      <c r="I4" s="90"/>
      <c r="J4" s="87"/>
      <c r="K4" s="87"/>
      <c r="T4" s="88"/>
      <c r="U4" s="87"/>
      <c r="V4" s="88"/>
      <c r="W4" s="87"/>
    </row>
    <row r="5" spans="1:24" s="59" customFormat="1" ht="14.25" customHeight="1" thickBot="1" x14ac:dyDescent="0.3">
      <c r="A5" s="69"/>
      <c r="B5" s="70"/>
      <c r="C5" s="70"/>
      <c r="D5" s="70"/>
      <c r="E5" s="70"/>
      <c r="F5" s="70"/>
      <c r="G5" s="70"/>
      <c r="H5" s="70"/>
      <c r="I5" s="71"/>
    </row>
    <row r="6" spans="1:24" ht="14.25" customHeight="1" thickBot="1" x14ac:dyDescent="0.3">
      <c r="A6" s="66"/>
      <c r="B6" s="67"/>
      <c r="C6" s="67"/>
      <c r="D6" s="67"/>
      <c r="E6" s="67"/>
      <c r="F6" s="67"/>
      <c r="G6" s="67"/>
      <c r="H6" s="67"/>
      <c r="I6" s="68"/>
    </row>
    <row r="7" spans="1:24" s="1" customFormat="1" ht="46.5" customHeight="1" thickTop="1" x14ac:dyDescent="0.25">
      <c r="A7" s="293" t="s">
        <v>1</v>
      </c>
      <c r="B7" s="76" t="s">
        <v>2</v>
      </c>
      <c r="C7" s="76" t="s">
        <v>3</v>
      </c>
      <c r="D7" s="76" t="s">
        <v>318</v>
      </c>
      <c r="E7" s="76" t="s">
        <v>302</v>
      </c>
      <c r="F7" s="76" t="s">
        <v>303</v>
      </c>
      <c r="G7" s="272"/>
      <c r="H7" s="273"/>
      <c r="I7" s="61"/>
    </row>
    <row r="8" spans="1:24" s="1" customFormat="1" ht="46.5" customHeight="1" thickBot="1" x14ac:dyDescent="0.3">
      <c r="A8" s="294"/>
      <c r="B8" s="77" t="str">
        <f>Config!D3</f>
        <v>$21.917,00</v>
      </c>
      <c r="C8" s="86">
        <f>T3*A4</f>
        <v>115940.93000000001</v>
      </c>
      <c r="D8" s="174">
        <f>BTC!H3</f>
        <v>0.17513620406729161</v>
      </c>
      <c r="E8" s="75">
        <f>BTC!E3</f>
        <v>480</v>
      </c>
      <c r="F8" s="117">
        <f>(C10*100)/C4</f>
        <v>57.546617724806445</v>
      </c>
      <c r="G8" s="274"/>
      <c r="H8" s="275"/>
      <c r="I8" s="61"/>
    </row>
    <row r="9" spans="1:24" s="1" customFormat="1" ht="46.5" customHeight="1" thickTop="1" x14ac:dyDescent="0.25">
      <c r="A9" s="294"/>
      <c r="B9" s="76" t="s">
        <v>296</v>
      </c>
      <c r="C9" s="76" t="s">
        <v>297</v>
      </c>
      <c r="D9" s="76" t="s">
        <v>352</v>
      </c>
      <c r="E9" s="76" t="s">
        <v>301</v>
      </c>
      <c r="F9" s="76" t="s">
        <v>347</v>
      </c>
      <c r="G9" s="274"/>
      <c r="H9" s="275"/>
      <c r="I9" s="61"/>
    </row>
    <row r="10" spans="1:24" s="1" customFormat="1" ht="46.5" customHeight="1" thickBot="1" x14ac:dyDescent="0.3">
      <c r="A10" s="295"/>
      <c r="B10" s="100">
        <f>BTC!A3</f>
        <v>4.8651099999999997E-3</v>
      </c>
      <c r="C10" s="75">
        <f>B10*C8</f>
        <v>564.06537795229997</v>
      </c>
      <c r="D10" s="75">
        <f>BTC!G3</f>
        <v>84.065377952299968</v>
      </c>
      <c r="E10" s="75">
        <f>BTC!F3</f>
        <v>0</v>
      </c>
      <c r="F10" s="175">
        <f>BTC!J3</f>
        <v>20280.823958333338</v>
      </c>
      <c r="G10" s="276"/>
      <c r="H10" s="277"/>
      <c r="I10" s="61"/>
    </row>
    <row r="11" spans="1:24" ht="12" customHeight="1" thickTop="1" thickBot="1" x14ac:dyDescent="0.3">
      <c r="A11" s="66"/>
      <c r="B11" s="67"/>
      <c r="C11" s="67"/>
      <c r="D11" s="67"/>
      <c r="E11" s="67"/>
      <c r="F11" s="67"/>
      <c r="G11" s="67"/>
      <c r="H11" s="67"/>
      <c r="I11" s="68"/>
    </row>
    <row r="12" spans="1:24" ht="12" customHeight="1" thickBot="1" x14ac:dyDescent="0.3">
      <c r="A12" s="69"/>
      <c r="B12" s="70"/>
      <c r="C12" s="70"/>
      <c r="D12" s="70"/>
      <c r="E12" s="70"/>
      <c r="F12" s="70"/>
      <c r="G12" s="70"/>
      <c r="H12" s="70"/>
      <c r="I12" s="71"/>
    </row>
    <row r="13" spans="1:24" ht="12" customHeight="1" thickBot="1" x14ac:dyDescent="0.3">
      <c r="A13" s="72"/>
      <c r="B13" s="73"/>
      <c r="C13" s="73"/>
      <c r="D13" s="73"/>
      <c r="E13" s="73"/>
      <c r="F13" s="73"/>
      <c r="G13" s="73"/>
      <c r="H13" s="73"/>
      <c r="I13" s="74"/>
    </row>
    <row r="14" spans="1:24" s="2" customFormat="1" ht="46.5" customHeight="1" thickTop="1" x14ac:dyDescent="0.25">
      <c r="A14" s="285" t="s">
        <v>6</v>
      </c>
      <c r="B14" s="79" t="s">
        <v>16</v>
      </c>
      <c r="C14" s="79" t="s">
        <v>17</v>
      </c>
      <c r="D14" s="79" t="s">
        <v>318</v>
      </c>
      <c r="E14" s="79" t="s">
        <v>302</v>
      </c>
      <c r="F14" s="79" t="s">
        <v>303</v>
      </c>
      <c r="G14" s="278"/>
      <c r="H14" s="279"/>
      <c r="I14" s="62"/>
    </row>
    <row r="15" spans="1:24" s="2" customFormat="1" ht="46.5" customHeight="1" thickBot="1" x14ac:dyDescent="0.3">
      <c r="A15" s="286"/>
      <c r="B15" s="84" t="str">
        <f>Config!D6</f>
        <v>$1.553,10</v>
      </c>
      <c r="C15" s="85">
        <f>V3*A4</f>
        <v>8215.8989999999994</v>
      </c>
      <c r="D15" s="266">
        <f>ETH!H3</f>
        <v>-0.32405824925285126</v>
      </c>
      <c r="E15" s="83">
        <f>ETH!E3</f>
        <v>975</v>
      </c>
      <c r="F15" s="118">
        <f>(C17*100)/C4</f>
        <v>42.453382275193562</v>
      </c>
      <c r="G15" s="280"/>
      <c r="H15" s="281"/>
      <c r="I15" s="62"/>
    </row>
    <row r="16" spans="1:24" s="2" customFormat="1" ht="46.5" customHeight="1" thickTop="1" x14ac:dyDescent="0.25">
      <c r="A16" s="286"/>
      <c r="B16" s="79" t="s">
        <v>304</v>
      </c>
      <c r="C16" s="79" t="s">
        <v>305</v>
      </c>
      <c r="D16" s="79" t="s">
        <v>352</v>
      </c>
      <c r="E16" s="79" t="s">
        <v>301</v>
      </c>
      <c r="F16" s="79" t="s">
        <v>347</v>
      </c>
      <c r="G16" s="280"/>
      <c r="H16" s="281"/>
      <c r="I16" s="62"/>
    </row>
    <row r="17" spans="1:9" s="2" customFormat="1" ht="46.5" customHeight="1" thickBot="1" x14ac:dyDescent="0.3">
      <c r="A17" s="287"/>
      <c r="B17" s="84">
        <f>ETH!A3</f>
        <v>5.0648530000000011E-2</v>
      </c>
      <c r="C17" s="85">
        <f>Menu!B17*Menu!C15</f>
        <v>416.12320697847008</v>
      </c>
      <c r="D17" s="85">
        <f>ETH!G3</f>
        <v>-315.95679302152996</v>
      </c>
      <c r="E17" s="83">
        <f>ETH!F3</f>
        <v>242.92</v>
      </c>
      <c r="F17" s="267">
        <f>ETH!K3</f>
        <v>2053.1558974358977</v>
      </c>
      <c r="G17" s="282"/>
      <c r="H17" s="283"/>
      <c r="I17" s="62"/>
    </row>
    <row r="18" spans="1:9" ht="12" customHeight="1" thickTop="1" thickBot="1" x14ac:dyDescent="0.3">
      <c r="A18" s="72"/>
      <c r="B18" s="73"/>
      <c r="C18" s="73"/>
      <c r="D18" s="73"/>
      <c r="E18" s="73"/>
      <c r="F18" s="73"/>
      <c r="G18" s="73"/>
      <c r="H18" s="73"/>
      <c r="I18" s="74"/>
    </row>
    <row r="19" spans="1:9" ht="12" customHeight="1" thickBot="1" x14ac:dyDescent="0.3">
      <c r="A19" s="69"/>
      <c r="B19" s="70"/>
      <c r="C19" s="70"/>
      <c r="D19" s="70"/>
      <c r="E19" s="70"/>
      <c r="F19" s="70"/>
      <c r="G19" s="70"/>
      <c r="H19" s="70"/>
      <c r="I19" s="71"/>
    </row>
    <row r="20" spans="1:9" ht="53.25" customHeight="1" thickBot="1" x14ac:dyDescent="0.3">
      <c r="A20" s="63"/>
      <c r="B20" s="64"/>
      <c r="C20" s="64"/>
      <c r="D20" s="64"/>
      <c r="E20" s="64"/>
      <c r="F20" s="64"/>
      <c r="G20" s="64"/>
      <c r="H20" s="64"/>
      <c r="I20" s="65"/>
    </row>
    <row r="21" spans="1:9" ht="53.25" customHeight="1" x14ac:dyDescent="0.25"/>
    <row r="22" spans="1:9" ht="53.25" customHeight="1" x14ac:dyDescent="0.25"/>
    <row r="23" spans="1:9" ht="53.25" customHeight="1" x14ac:dyDescent="0.25"/>
    <row r="24" spans="1:9" ht="53.25" customHeight="1" x14ac:dyDescent="0.25"/>
    <row r="56" spans="1:2" ht="19.5" customHeight="1" thickBot="1" x14ac:dyDescent="0.3"/>
    <row r="57" spans="1:2" s="59" customFormat="1" ht="19.5" customHeight="1" thickBot="1" x14ac:dyDescent="0.3">
      <c r="A57" s="58"/>
    </row>
    <row r="58" spans="1:2" ht="19.5" customHeight="1" x14ac:dyDescent="0.25">
      <c r="B58" s="81"/>
    </row>
    <row r="60" spans="1:2" ht="19.5" customHeight="1" x14ac:dyDescent="0.25">
      <c r="A60" s="82"/>
      <c r="B60" s="82"/>
    </row>
  </sheetData>
  <mergeCells count="9">
    <mergeCell ref="A14:A17"/>
    <mergeCell ref="A1:H1"/>
    <mergeCell ref="A2:H2"/>
    <mergeCell ref="T1:W1"/>
    <mergeCell ref="V2:W2"/>
    <mergeCell ref="A7:A10"/>
    <mergeCell ref="T2:U2"/>
    <mergeCell ref="G3:H3"/>
    <mergeCell ref="G4:H4"/>
  </mergeCells>
  <conditionalFormatting sqref="D4">
    <cfRule type="expression" dxfId="79" priority="3">
      <formula>$D$4&gt;=0</formula>
    </cfRule>
    <cfRule type="expression" dxfId="78" priority="4">
      <formula>$D$4&lt;=0</formula>
    </cfRule>
  </conditionalFormatting>
  <conditionalFormatting sqref="D15 D8 D10 D17">
    <cfRule type="expression" dxfId="77" priority="1">
      <formula>D8&lt;=0</formula>
    </cfRule>
    <cfRule type="expression" dxfId="76" priority="2">
      <formula>D8&gt;=0</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D0FE2-19AA-4D97-851E-63D8B7570E9B}">
  <dimension ref="A1:S24"/>
  <sheetViews>
    <sheetView showRowColHeaders="0" zoomScale="155" zoomScaleNormal="155" workbookViewId="0">
      <selection activeCell="S16" sqref="S16"/>
    </sheetView>
  </sheetViews>
  <sheetFormatPr defaultColWidth="0" defaultRowHeight="15" zeroHeight="1" x14ac:dyDescent="0.25"/>
  <cols>
    <col min="1" max="18" width="9.140625" customWidth="1"/>
    <col min="19" max="19" width="8.5703125" customWidth="1"/>
    <col min="20" max="16384" width="9.140625" hidden="1"/>
  </cols>
  <sheetData>
    <row r="1" spans="1:19" x14ac:dyDescent="0.25">
      <c r="A1" s="284"/>
      <c r="B1" s="284"/>
      <c r="C1" s="284"/>
      <c r="D1" s="284"/>
      <c r="E1" s="284"/>
      <c r="F1" s="284"/>
      <c r="G1" s="284"/>
      <c r="H1" s="284"/>
      <c r="I1" s="284"/>
      <c r="J1" s="284"/>
      <c r="K1" s="284"/>
      <c r="L1" s="284"/>
      <c r="M1" s="284"/>
      <c r="N1" s="284"/>
      <c r="O1" s="284"/>
      <c r="P1" s="284"/>
      <c r="Q1" s="284"/>
      <c r="R1" s="284"/>
      <c r="S1" s="284"/>
    </row>
    <row r="2" spans="1:19" x14ac:dyDescent="0.25">
      <c r="A2" s="284"/>
      <c r="B2" s="284"/>
      <c r="C2" s="284"/>
      <c r="D2" s="284"/>
      <c r="E2" s="284"/>
      <c r="F2" s="284"/>
      <c r="G2" s="284"/>
      <c r="H2" s="284"/>
      <c r="I2" s="284"/>
      <c r="J2" s="284"/>
      <c r="K2" s="284"/>
      <c r="L2" s="284"/>
      <c r="M2" s="284"/>
      <c r="N2" s="284"/>
      <c r="O2" s="284"/>
      <c r="P2" s="284"/>
      <c r="Q2" s="284"/>
      <c r="R2" s="284"/>
      <c r="S2" s="284"/>
    </row>
    <row r="3" spans="1:19" x14ac:dyDescent="0.25">
      <c r="A3" s="284"/>
      <c r="B3" s="284"/>
      <c r="C3" s="284"/>
      <c r="D3" s="284"/>
      <c r="E3" s="284"/>
      <c r="F3" s="284"/>
      <c r="G3" s="284"/>
      <c r="H3" s="284"/>
      <c r="I3" s="284"/>
      <c r="J3" s="284"/>
      <c r="K3" s="284"/>
      <c r="L3" s="284"/>
      <c r="M3" s="284"/>
      <c r="N3" s="284"/>
      <c r="O3" s="284"/>
      <c r="P3" s="284"/>
      <c r="Q3" s="284"/>
      <c r="R3" s="284"/>
      <c r="S3" s="284"/>
    </row>
    <row r="4" spans="1:19" x14ac:dyDescent="0.25">
      <c r="A4" s="284"/>
      <c r="B4" s="284"/>
      <c r="C4" s="284"/>
      <c r="D4" s="284"/>
      <c r="E4" s="284"/>
      <c r="F4" s="284"/>
      <c r="G4" s="284"/>
      <c r="H4" s="284"/>
      <c r="I4" s="284"/>
      <c r="J4" s="284"/>
      <c r="K4" s="284"/>
      <c r="L4" s="284"/>
      <c r="M4" s="284"/>
      <c r="N4" s="284"/>
      <c r="O4" s="284"/>
      <c r="P4" s="284"/>
      <c r="Q4" s="284"/>
      <c r="R4" s="284"/>
      <c r="S4" s="284"/>
    </row>
    <row r="5" spans="1:19" x14ac:dyDescent="0.25">
      <c r="A5" s="284"/>
      <c r="B5" s="284"/>
      <c r="C5" s="284"/>
      <c r="D5" s="284"/>
      <c r="E5" s="284"/>
      <c r="F5" s="284"/>
      <c r="G5" s="284"/>
      <c r="H5" s="284"/>
      <c r="I5" s="284"/>
      <c r="J5" s="284"/>
      <c r="K5" s="284"/>
      <c r="L5" s="284"/>
      <c r="M5" s="284"/>
      <c r="N5" s="284"/>
      <c r="O5" s="284"/>
      <c r="P5" s="284"/>
      <c r="Q5" s="284"/>
      <c r="R5" s="284"/>
      <c r="S5" s="284"/>
    </row>
    <row r="6" spans="1:19" x14ac:dyDescent="0.25">
      <c r="A6" s="284"/>
      <c r="B6" s="284"/>
      <c r="C6" s="284"/>
      <c r="D6" s="284"/>
      <c r="E6" s="284"/>
      <c r="F6" s="284"/>
      <c r="G6" s="284"/>
      <c r="H6" s="284"/>
      <c r="I6" s="284"/>
      <c r="J6" s="284"/>
      <c r="K6" s="284"/>
      <c r="L6" s="284"/>
      <c r="M6" s="284"/>
      <c r="N6" s="284"/>
      <c r="O6" s="284"/>
      <c r="P6" s="284"/>
      <c r="Q6" s="284"/>
      <c r="R6" s="284"/>
      <c r="S6" s="284"/>
    </row>
    <row r="7" spans="1:19" x14ac:dyDescent="0.25">
      <c r="A7" s="284"/>
      <c r="B7" s="284"/>
      <c r="C7" s="284"/>
      <c r="D7" s="284"/>
      <c r="E7" s="284"/>
      <c r="F7" s="284"/>
      <c r="G7" s="284"/>
      <c r="H7" s="284"/>
      <c r="I7" s="284"/>
      <c r="J7" s="284"/>
      <c r="K7" s="284"/>
      <c r="L7" s="284"/>
      <c r="M7" s="284"/>
      <c r="N7" s="284"/>
      <c r="O7" s="284"/>
      <c r="P7" s="284"/>
      <c r="Q7" s="284"/>
      <c r="R7" s="284"/>
      <c r="S7" s="284"/>
    </row>
    <row r="8" spans="1:19" x14ac:dyDescent="0.25">
      <c r="A8" s="284"/>
      <c r="B8" s="284"/>
      <c r="C8" s="284"/>
      <c r="D8" s="284"/>
      <c r="E8" s="284"/>
      <c r="F8" s="284"/>
      <c r="G8" s="284"/>
      <c r="H8" s="284"/>
      <c r="I8" s="284"/>
      <c r="J8" s="284"/>
      <c r="K8" s="284"/>
      <c r="L8" s="284"/>
      <c r="M8" s="284"/>
      <c r="N8" s="284"/>
      <c r="O8" s="284"/>
      <c r="P8" s="284"/>
      <c r="Q8" s="284"/>
      <c r="R8" s="284"/>
      <c r="S8" s="284"/>
    </row>
    <row r="9" spans="1:19" x14ac:dyDescent="0.25">
      <c r="A9" s="284"/>
      <c r="B9" s="284"/>
      <c r="C9" s="284"/>
      <c r="D9" s="284"/>
      <c r="E9" s="284"/>
      <c r="F9" s="284"/>
      <c r="G9" s="284"/>
      <c r="H9" s="284"/>
      <c r="I9" s="284"/>
      <c r="J9" s="284"/>
      <c r="K9" s="284"/>
      <c r="L9" s="284"/>
      <c r="M9" s="284"/>
      <c r="N9" s="284"/>
      <c r="O9" s="284"/>
      <c r="P9" s="284"/>
      <c r="Q9" s="284"/>
      <c r="R9" s="284"/>
      <c r="S9" s="284"/>
    </row>
    <row r="10" spans="1:19" x14ac:dyDescent="0.25">
      <c r="A10" s="284"/>
      <c r="B10" s="284"/>
      <c r="C10" s="284"/>
      <c r="D10" s="284"/>
      <c r="E10" s="284"/>
      <c r="F10" s="284"/>
      <c r="G10" s="284"/>
      <c r="H10" s="284"/>
      <c r="I10" s="284"/>
      <c r="J10" s="284"/>
      <c r="K10" s="284"/>
      <c r="L10" s="284"/>
      <c r="M10" s="284"/>
      <c r="N10" s="284"/>
      <c r="O10" s="284"/>
      <c r="P10" s="284"/>
      <c r="Q10" s="284"/>
      <c r="R10" s="284"/>
      <c r="S10" s="284"/>
    </row>
    <row r="11" spans="1:19" x14ac:dyDescent="0.25">
      <c r="A11" s="284"/>
      <c r="B11" s="284"/>
      <c r="C11" s="284"/>
      <c r="D11" s="284"/>
      <c r="E11" s="284"/>
      <c r="F11" s="284"/>
      <c r="G11" s="284"/>
      <c r="H11" s="284"/>
      <c r="I11" s="284"/>
      <c r="J11" s="284"/>
      <c r="K11" s="284"/>
      <c r="L11" s="284"/>
      <c r="M11" s="284"/>
      <c r="N11" s="284"/>
      <c r="O11" s="284"/>
      <c r="P11" s="284"/>
      <c r="Q11" s="284"/>
      <c r="R11" s="284"/>
      <c r="S11" s="284"/>
    </row>
    <row r="12" spans="1:19" x14ac:dyDescent="0.25">
      <c r="A12" s="284"/>
      <c r="B12" s="284"/>
      <c r="C12" s="284"/>
      <c r="D12" s="284"/>
      <c r="E12" s="284"/>
      <c r="F12" s="284"/>
      <c r="G12" s="284"/>
      <c r="H12" s="284"/>
      <c r="I12" s="284"/>
      <c r="J12" s="284"/>
      <c r="K12" s="284"/>
      <c r="L12" s="284"/>
      <c r="M12" s="284"/>
      <c r="N12" s="284"/>
      <c r="O12" s="284"/>
      <c r="P12" s="284"/>
      <c r="Q12" s="284"/>
      <c r="R12" s="284"/>
      <c r="S12" s="284"/>
    </row>
    <row r="13" spans="1:19" x14ac:dyDescent="0.25">
      <c r="A13" s="284"/>
      <c r="B13" s="284"/>
      <c r="C13" s="284"/>
      <c r="D13" s="284"/>
      <c r="E13" s="284"/>
      <c r="F13" s="284"/>
      <c r="G13" s="284"/>
      <c r="H13" s="284"/>
      <c r="I13" s="284"/>
      <c r="J13" s="284"/>
      <c r="K13" s="284"/>
      <c r="L13" s="284"/>
      <c r="M13" s="284"/>
      <c r="N13" s="284"/>
      <c r="O13" s="284"/>
      <c r="P13" s="284"/>
      <c r="Q13" s="284"/>
      <c r="R13" s="284"/>
      <c r="S13" s="284"/>
    </row>
    <row r="14" spans="1:19" x14ac:dyDescent="0.25">
      <c r="A14" s="284"/>
      <c r="B14" s="284"/>
      <c r="C14" s="284"/>
      <c r="D14" s="284"/>
      <c r="E14" s="284"/>
      <c r="F14" s="284"/>
      <c r="G14" s="284"/>
      <c r="H14" s="284"/>
      <c r="I14" s="284"/>
      <c r="J14" s="284"/>
      <c r="K14" s="284"/>
      <c r="L14" s="284"/>
      <c r="M14" s="284"/>
      <c r="N14" s="284"/>
      <c r="O14" s="284"/>
      <c r="P14" s="284"/>
      <c r="Q14" s="284"/>
      <c r="R14" s="284"/>
      <c r="S14" s="284"/>
    </row>
    <row r="15" spans="1:19" x14ac:dyDescent="0.25">
      <c r="A15" s="284"/>
      <c r="B15" s="284"/>
      <c r="C15" s="284"/>
      <c r="D15" s="284"/>
      <c r="E15" s="284"/>
      <c r="F15" s="284"/>
      <c r="G15" s="284"/>
      <c r="H15" s="284"/>
      <c r="I15" s="284"/>
      <c r="J15" s="284"/>
      <c r="K15" s="284"/>
      <c r="L15" s="284"/>
      <c r="M15" s="284"/>
      <c r="N15" s="284"/>
      <c r="O15" s="284"/>
      <c r="P15" s="284"/>
      <c r="Q15" s="284"/>
      <c r="R15" s="284"/>
      <c r="S15" s="284"/>
    </row>
    <row r="16" spans="1:19" x14ac:dyDescent="0.25">
      <c r="A16" s="284"/>
      <c r="B16" s="284"/>
      <c r="C16" s="284"/>
      <c r="D16" s="284"/>
      <c r="E16" s="284"/>
      <c r="F16" s="284"/>
      <c r="G16" s="284"/>
      <c r="H16" s="284"/>
      <c r="I16" s="284"/>
      <c r="J16" s="284"/>
      <c r="K16" s="284"/>
      <c r="L16" s="284"/>
      <c r="M16" s="284"/>
      <c r="N16" s="284"/>
      <c r="O16" s="284"/>
      <c r="P16" s="284"/>
      <c r="Q16" s="284"/>
      <c r="R16" s="284"/>
      <c r="S16" s="284"/>
    </row>
    <row r="17" spans="1:19" x14ac:dyDescent="0.25">
      <c r="A17" s="284"/>
      <c r="B17" s="284"/>
      <c r="C17" s="284"/>
      <c r="D17" s="284"/>
      <c r="E17" s="284"/>
      <c r="F17" s="284"/>
      <c r="G17" s="284"/>
      <c r="H17" s="284"/>
      <c r="I17" s="284"/>
      <c r="J17" s="284"/>
      <c r="K17" s="284"/>
      <c r="L17" s="284"/>
      <c r="M17" s="284"/>
      <c r="N17" s="284"/>
      <c r="O17" s="284"/>
      <c r="P17" s="284"/>
      <c r="Q17" s="284"/>
      <c r="R17" s="284"/>
      <c r="S17" s="284"/>
    </row>
    <row r="18" spans="1:19" x14ac:dyDescent="0.25">
      <c r="A18" s="284"/>
      <c r="B18" s="284"/>
      <c r="C18" s="284"/>
      <c r="D18" s="284"/>
      <c r="E18" s="284"/>
      <c r="F18" s="284"/>
      <c r="G18" s="284"/>
      <c r="H18" s="284"/>
      <c r="I18" s="284"/>
      <c r="J18" s="284"/>
      <c r="K18" s="284"/>
      <c r="L18" s="284"/>
      <c r="M18" s="284"/>
      <c r="N18" s="284"/>
      <c r="O18" s="284"/>
      <c r="P18" s="284"/>
      <c r="Q18" s="284"/>
      <c r="R18" s="284"/>
      <c r="S18" s="284"/>
    </row>
    <row r="19" spans="1:19" x14ac:dyDescent="0.25">
      <c r="A19" s="284"/>
      <c r="B19" s="284"/>
      <c r="C19" s="284"/>
      <c r="D19" s="284"/>
      <c r="E19" s="284"/>
      <c r="F19" s="284"/>
      <c r="G19" s="284"/>
      <c r="H19" s="284"/>
      <c r="I19" s="284"/>
      <c r="J19" s="284"/>
      <c r="K19" s="284"/>
      <c r="L19" s="284"/>
      <c r="M19" s="284"/>
      <c r="N19" s="284"/>
      <c r="O19" s="284"/>
      <c r="P19" s="284"/>
      <c r="Q19" s="284"/>
      <c r="R19" s="284"/>
      <c r="S19" s="284"/>
    </row>
    <row r="20" spans="1:19" x14ac:dyDescent="0.25">
      <c r="A20" s="284"/>
      <c r="B20" s="284"/>
      <c r="C20" s="284"/>
      <c r="D20" s="284"/>
      <c r="E20" s="284"/>
      <c r="F20" s="284"/>
      <c r="G20" s="284"/>
      <c r="H20" s="284"/>
      <c r="I20" s="284"/>
      <c r="J20" s="284"/>
      <c r="K20" s="284"/>
      <c r="L20" s="284"/>
      <c r="M20" s="284"/>
      <c r="N20" s="284"/>
      <c r="O20" s="284"/>
      <c r="P20" s="284"/>
      <c r="Q20" s="284"/>
      <c r="R20" s="284"/>
      <c r="S20" s="284"/>
    </row>
    <row r="21" spans="1:19" x14ac:dyDescent="0.25">
      <c r="A21" s="284"/>
      <c r="B21" s="284"/>
      <c r="C21" s="284"/>
      <c r="D21" s="284"/>
      <c r="E21" s="284"/>
      <c r="F21" s="284"/>
      <c r="G21" s="284"/>
      <c r="H21" s="284"/>
      <c r="I21" s="284"/>
      <c r="J21" s="284"/>
      <c r="K21" s="284"/>
      <c r="L21" s="284"/>
      <c r="M21" s="284"/>
      <c r="N21" s="284"/>
      <c r="O21" s="284"/>
      <c r="P21" s="284"/>
      <c r="Q21" s="284"/>
      <c r="R21" s="284"/>
      <c r="S21" s="284"/>
    </row>
    <row r="22" spans="1:19" x14ac:dyDescent="0.25">
      <c r="A22" s="284"/>
      <c r="B22" s="284"/>
      <c r="C22" s="284"/>
      <c r="D22" s="284"/>
      <c r="E22" s="284"/>
      <c r="F22" s="284"/>
      <c r="G22" s="284"/>
      <c r="H22" s="284"/>
      <c r="I22" s="284"/>
      <c r="J22" s="284"/>
      <c r="K22" s="284"/>
      <c r="L22" s="284"/>
      <c r="M22" s="284"/>
      <c r="N22" s="284"/>
      <c r="O22" s="284"/>
      <c r="P22" s="284"/>
      <c r="Q22" s="284"/>
      <c r="R22" s="284"/>
      <c r="S22" s="284"/>
    </row>
    <row r="23" spans="1:19" x14ac:dyDescent="0.25">
      <c r="A23" s="284"/>
      <c r="B23" s="284"/>
      <c r="C23" s="284"/>
      <c r="D23" s="284"/>
      <c r="E23" s="284"/>
      <c r="F23" s="284"/>
      <c r="G23" s="284"/>
      <c r="H23" s="284"/>
      <c r="I23" s="284"/>
      <c r="J23" s="284"/>
      <c r="K23" s="284"/>
      <c r="L23" s="284"/>
      <c r="M23" s="284"/>
      <c r="N23" s="284"/>
      <c r="O23" s="284"/>
      <c r="P23" s="284"/>
      <c r="Q23" s="284"/>
      <c r="R23" s="284"/>
      <c r="S23" s="284"/>
    </row>
    <row r="24" spans="1:19" ht="21" customHeight="1" x14ac:dyDescent="0.25">
      <c r="A24" s="284"/>
      <c r="B24" s="284"/>
      <c r="C24" s="284"/>
      <c r="D24" s="284"/>
      <c r="E24" s="284"/>
      <c r="F24" s="284"/>
      <c r="G24" s="284"/>
      <c r="H24" s="284"/>
      <c r="I24" s="284"/>
      <c r="J24" s="284"/>
      <c r="K24" s="284"/>
      <c r="L24" s="284"/>
      <c r="M24" s="284"/>
      <c r="N24" s="284"/>
      <c r="O24" s="284"/>
      <c r="P24" s="284"/>
      <c r="Q24" s="284"/>
      <c r="R24" s="284"/>
      <c r="S24" s="284"/>
    </row>
  </sheetData>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78FE5-4657-4F8E-8264-D5485B03068F}">
  <sheetPr codeName="Planilha5"/>
  <dimension ref="A1:XEX306"/>
  <sheetViews>
    <sheetView zoomScaleNormal="100" workbookViewId="0">
      <selection activeCell="J15" sqref="J15"/>
    </sheetView>
  </sheetViews>
  <sheetFormatPr defaultColWidth="17.7109375" defaultRowHeight="22.5" customHeight="1" x14ac:dyDescent="0.25"/>
  <cols>
    <col min="1" max="2" width="23.42578125" style="18" customWidth="1"/>
    <col min="3" max="3" width="17.85546875" style="110" bestFit="1" customWidth="1"/>
    <col min="4" max="4" width="23.42578125" style="110" customWidth="1"/>
    <col min="5" max="5" width="23.42578125" style="18" customWidth="1"/>
    <col min="6" max="6" width="23.42578125" style="34" customWidth="1"/>
    <col min="7" max="7" width="23.42578125" style="33" customWidth="1"/>
    <col min="8" max="8" width="23.42578125" style="18" customWidth="1"/>
    <col min="9" max="9" width="23.42578125" style="134" customWidth="1"/>
    <col min="10" max="10" width="29.7109375" style="18" customWidth="1"/>
    <col min="11" max="13" width="23.42578125" style="18" customWidth="1"/>
    <col min="14" max="14" width="26.7109375" style="18" customWidth="1"/>
    <col min="15" max="20" width="23.42578125" style="18" customWidth="1"/>
    <col min="21" max="16384" width="17.7109375" style="18"/>
  </cols>
  <sheetData>
    <row r="1" spans="1:18" s="28" customFormat="1" ht="77.25" customHeight="1" thickBot="1" x14ac:dyDescent="0.3">
      <c r="A1" s="301" t="s">
        <v>355</v>
      </c>
      <c r="B1" s="302"/>
      <c r="C1" s="302"/>
      <c r="D1" s="302"/>
      <c r="E1" s="302"/>
      <c r="F1" s="302"/>
      <c r="G1" s="302"/>
      <c r="H1" s="302"/>
      <c r="I1" s="302"/>
      <c r="J1" s="303"/>
      <c r="L1" s="125" t="str">
        <f>Menu!T3</f>
        <v>21.917,00</v>
      </c>
      <c r="M1" s="126" t="str">
        <f>Menu!X3</f>
        <v xml:space="preserve">5,29 </v>
      </c>
      <c r="N1" s="170">
        <f>L1*M1</f>
        <v>115940.93000000001</v>
      </c>
      <c r="O1" s="126"/>
      <c r="P1" s="126"/>
    </row>
    <row r="2" spans="1:18" s="32" customFormat="1" ht="35.25" customHeight="1" thickBot="1" x14ac:dyDescent="0.3">
      <c r="A2" s="304" t="s">
        <v>348</v>
      </c>
      <c r="B2" s="305"/>
      <c r="C2" s="308" t="s">
        <v>349</v>
      </c>
      <c r="D2" s="309"/>
      <c r="E2" s="171" t="s">
        <v>335</v>
      </c>
      <c r="F2" s="171" t="s">
        <v>350</v>
      </c>
      <c r="G2" s="171" t="s">
        <v>352</v>
      </c>
      <c r="H2" s="120" t="s">
        <v>351</v>
      </c>
      <c r="I2" s="127"/>
      <c r="J2" s="104" t="s">
        <v>347</v>
      </c>
    </row>
    <row r="3" spans="1:18" ht="35.25" customHeight="1" thickBot="1" x14ac:dyDescent="0.3">
      <c r="A3" s="306">
        <f>SUM(M6:M305)-SUM(R6:R305)</f>
        <v>4.8651099999999997E-3</v>
      </c>
      <c r="B3" s="307"/>
      <c r="C3" s="310">
        <f>N1*A3</f>
        <v>564.06537795229997</v>
      </c>
      <c r="D3" s="311"/>
      <c r="E3" s="168">
        <f>SUM(L6:L305)</f>
        <v>480</v>
      </c>
      <c r="F3" s="172">
        <f>SUM(Q6:Q305)</f>
        <v>0</v>
      </c>
      <c r="G3" s="172">
        <f>C3+(F3-E3)</f>
        <v>84.065377952299968</v>
      </c>
      <c r="H3" s="173">
        <f>((G3*100)/E3)/100</f>
        <v>0.17513620406729161</v>
      </c>
      <c r="I3" s="128"/>
      <c r="J3" s="169">
        <f>SUM(P6:P305)/(SUM(L6:L305)/10)</f>
        <v>20280.823958333338</v>
      </c>
      <c r="L3" s="312" t="s">
        <v>339</v>
      </c>
      <c r="M3" s="300" t="s">
        <v>340</v>
      </c>
      <c r="N3" s="300" t="s">
        <v>345</v>
      </c>
      <c r="O3" s="300" t="s">
        <v>19</v>
      </c>
      <c r="P3" s="300" t="s">
        <v>346</v>
      </c>
      <c r="Q3" s="300" t="s">
        <v>341</v>
      </c>
      <c r="R3" s="300" t="s">
        <v>342</v>
      </c>
    </row>
    <row r="4" spans="1:18" s="28" customFormat="1" ht="12" customHeight="1" thickBot="1" x14ac:dyDescent="0.3">
      <c r="A4" s="101"/>
      <c r="B4" s="102"/>
      <c r="C4" s="105"/>
      <c r="D4" s="105"/>
      <c r="E4" s="102"/>
      <c r="F4" s="102"/>
      <c r="G4" s="102"/>
      <c r="H4" s="102"/>
      <c r="I4" s="129"/>
      <c r="J4" s="103"/>
      <c r="L4" s="312"/>
      <c r="M4" s="300"/>
      <c r="N4" s="300"/>
      <c r="O4" s="300"/>
      <c r="P4" s="300"/>
      <c r="Q4" s="300"/>
      <c r="R4" s="300"/>
    </row>
    <row r="5" spans="1:18" s="32" customFormat="1" ht="35.25" customHeight="1" thickBot="1" x14ac:dyDescent="0.3">
      <c r="A5" s="29" t="s">
        <v>333</v>
      </c>
      <c r="B5" s="121" t="s">
        <v>178</v>
      </c>
      <c r="C5" s="106" t="s">
        <v>334</v>
      </c>
      <c r="D5" s="106" t="s">
        <v>335</v>
      </c>
      <c r="E5" s="30" t="s">
        <v>4</v>
      </c>
      <c r="F5" s="35" t="s">
        <v>180</v>
      </c>
      <c r="G5" s="39" t="s">
        <v>181</v>
      </c>
      <c r="H5" s="30" t="s">
        <v>182</v>
      </c>
      <c r="I5" s="130" t="s">
        <v>336</v>
      </c>
      <c r="J5" s="31" t="s">
        <v>337</v>
      </c>
      <c r="L5" s="312"/>
      <c r="M5" s="300"/>
      <c r="N5" s="300"/>
      <c r="O5" s="300"/>
      <c r="P5" s="300"/>
      <c r="Q5" s="300"/>
      <c r="R5" s="300"/>
    </row>
    <row r="6" spans="1:18" ht="22.5" customHeight="1" x14ac:dyDescent="0.25">
      <c r="A6" s="135" t="s">
        <v>338</v>
      </c>
      <c r="B6" s="136">
        <v>44725</v>
      </c>
      <c r="C6" s="137" t="s">
        <v>291</v>
      </c>
      <c r="D6" s="137">
        <v>100</v>
      </c>
      <c r="E6" s="138">
        <v>7.94E-4</v>
      </c>
      <c r="F6" s="139">
        <v>5.1100000000000003</v>
      </c>
      <c r="G6" s="140">
        <v>23528</v>
      </c>
      <c r="H6" s="141" t="s">
        <v>294</v>
      </c>
      <c r="I6" s="142">
        <f t="shared" ref="I6:I14" si="0">IF(J6="Finalizado",((($G$15*100)/G6)/100)-1,IF(J6="","",((($L$1*100)/G6)/100)-1))</f>
        <v>-6.8471608296497788E-2</v>
      </c>
      <c r="J6" s="143" t="s">
        <v>344</v>
      </c>
      <c r="L6" s="18">
        <f>IF(A6="","",IF(A6="Entrada",D6,""))</f>
        <v>100</v>
      </c>
      <c r="M6" s="18">
        <f>IF(A6="","",IF(A6="Entrada",E6,""))</f>
        <v>7.94E-4</v>
      </c>
      <c r="N6" s="18">
        <f>IF(A6="","",IF(A6="Entrada",1,""))</f>
        <v>1</v>
      </c>
      <c r="O6" s="18">
        <f>IF(N6=1,G6,"")</f>
        <v>23528</v>
      </c>
      <c r="P6" s="18">
        <f>IF(A6="","",IF(A6="Entrada",(L6/10)*O6,""))</f>
        <v>235280</v>
      </c>
      <c r="Q6" s="18" t="str">
        <f>IF(A6="","",IF(A6="Saída",D6,""))</f>
        <v/>
      </c>
      <c r="R6" s="18" t="str">
        <f>IF(A6="","",IF(A6="Saída",E6,""))</f>
        <v/>
      </c>
    </row>
    <row r="7" spans="1:18" ht="22.5" customHeight="1" x14ac:dyDescent="0.25">
      <c r="A7" s="167" t="s">
        <v>338</v>
      </c>
      <c r="B7" s="145">
        <v>44745</v>
      </c>
      <c r="C7" s="146" t="s">
        <v>291</v>
      </c>
      <c r="D7" s="146">
        <v>50</v>
      </c>
      <c r="E7" s="147">
        <v>4.8192999999999999E-4</v>
      </c>
      <c r="F7" s="148">
        <v>5.33</v>
      </c>
      <c r="G7" s="149">
        <v>19319.59</v>
      </c>
      <c r="H7" s="150" t="s">
        <v>294</v>
      </c>
      <c r="I7" s="151">
        <f t="shared" si="0"/>
        <v>0.13444436450255925</v>
      </c>
      <c r="J7" s="166" t="s">
        <v>344</v>
      </c>
      <c r="L7" s="18">
        <f t="shared" ref="L7:L73" si="1">IF(A7="","",IF(A7="Entrada",D7,""))</f>
        <v>50</v>
      </c>
      <c r="M7" s="18">
        <f t="shared" ref="M7:M73" si="2">IF(A7="","",IF(A7="Entrada",E7,""))</f>
        <v>4.8192999999999999E-4</v>
      </c>
      <c r="N7" s="18">
        <f t="shared" ref="N7:N73" si="3">IF(A7="","",IF(A7="Entrada",1,""))</f>
        <v>1</v>
      </c>
      <c r="O7" s="18">
        <f t="shared" ref="O7:O73" si="4">IF(N7=1,G7,"")</f>
        <v>19319.59</v>
      </c>
      <c r="P7" s="18">
        <f t="shared" ref="P7:P73" si="5">IF(A7="","",IF(A7="Entrada",(L7/10)*O7,""))</f>
        <v>96597.95</v>
      </c>
      <c r="Q7" s="18" t="str">
        <f t="shared" ref="Q7:Q73" si="6">IF(A7="","",IF(A7="Saída",D7,""))</f>
        <v/>
      </c>
      <c r="R7" s="18" t="str">
        <f t="shared" ref="R7:R73" si="7">IF(A7="","",IF(A7="Saída",E7,""))</f>
        <v/>
      </c>
    </row>
    <row r="8" spans="1:18" ht="22.5" customHeight="1" x14ac:dyDescent="0.25">
      <c r="A8" s="144" t="s">
        <v>338</v>
      </c>
      <c r="B8" s="153">
        <v>44764</v>
      </c>
      <c r="C8" s="154" t="s">
        <v>291</v>
      </c>
      <c r="D8" s="154">
        <v>0</v>
      </c>
      <c r="E8" s="155">
        <v>4.8277999999999998E-4</v>
      </c>
      <c r="F8" s="156" t="s">
        <v>291</v>
      </c>
      <c r="G8" s="157">
        <v>23500</v>
      </c>
      <c r="H8" s="158" t="s">
        <v>294</v>
      </c>
      <c r="I8" s="151">
        <f t="shared" si="0"/>
        <v>-6.7361702127659573E-2</v>
      </c>
      <c r="J8" s="152" t="s">
        <v>344</v>
      </c>
      <c r="L8" s="18">
        <f t="shared" si="1"/>
        <v>0</v>
      </c>
      <c r="M8" s="18">
        <f t="shared" si="2"/>
        <v>4.8277999999999998E-4</v>
      </c>
      <c r="N8" s="18">
        <f t="shared" si="3"/>
        <v>1</v>
      </c>
      <c r="O8" s="18">
        <f t="shared" si="4"/>
        <v>23500</v>
      </c>
      <c r="P8" s="18">
        <f t="shared" si="5"/>
        <v>0</v>
      </c>
      <c r="Q8" s="18" t="str">
        <f t="shared" si="6"/>
        <v/>
      </c>
      <c r="R8" s="18" t="str">
        <f t="shared" si="7"/>
        <v/>
      </c>
    </row>
    <row r="9" spans="1:18" ht="22.5" customHeight="1" x14ac:dyDescent="0.25">
      <c r="A9" s="167" t="s">
        <v>338</v>
      </c>
      <c r="B9" s="145">
        <v>44809</v>
      </c>
      <c r="C9" s="146" t="s">
        <v>291</v>
      </c>
      <c r="D9" s="146">
        <v>50</v>
      </c>
      <c r="E9" s="150">
        <v>4.8134000000000002E-4</v>
      </c>
      <c r="F9" s="148">
        <v>5.17</v>
      </c>
      <c r="G9" s="149">
        <v>19864.080000000002</v>
      </c>
      <c r="H9" s="150" t="s">
        <v>294</v>
      </c>
      <c r="I9" s="151">
        <f t="shared" si="0"/>
        <v>0.10334835542345777</v>
      </c>
      <c r="J9" s="166" t="s">
        <v>344</v>
      </c>
      <c r="L9" s="18">
        <f t="shared" si="1"/>
        <v>50</v>
      </c>
      <c r="M9" s="18">
        <f t="shared" si="2"/>
        <v>4.8134000000000002E-4</v>
      </c>
      <c r="N9" s="18">
        <f t="shared" si="3"/>
        <v>1</v>
      </c>
      <c r="O9" s="18">
        <f t="shared" si="4"/>
        <v>19864.080000000002</v>
      </c>
      <c r="P9" s="18">
        <f t="shared" si="5"/>
        <v>99320.400000000009</v>
      </c>
      <c r="Q9" s="18" t="str">
        <f t="shared" si="6"/>
        <v/>
      </c>
      <c r="R9" s="18" t="str">
        <f t="shared" si="7"/>
        <v/>
      </c>
    </row>
    <row r="10" spans="1:18" ht="22.5" customHeight="1" x14ac:dyDescent="0.25">
      <c r="A10" s="144" t="s">
        <v>338</v>
      </c>
      <c r="B10" s="153">
        <v>44815</v>
      </c>
      <c r="C10" s="154" t="s">
        <v>291</v>
      </c>
      <c r="D10" s="154">
        <v>50</v>
      </c>
      <c r="E10" s="158">
        <v>4.4055E-4</v>
      </c>
      <c r="F10" s="156">
        <v>5.15</v>
      </c>
      <c r="G10" s="157">
        <v>21820</v>
      </c>
      <c r="H10" s="158" t="s">
        <v>294</v>
      </c>
      <c r="I10" s="151">
        <f t="shared" si="0"/>
        <v>4.4454628780934424E-3</v>
      </c>
      <c r="J10" s="152" t="s">
        <v>344</v>
      </c>
      <c r="L10" s="18">
        <f t="shared" si="1"/>
        <v>50</v>
      </c>
      <c r="M10" s="18">
        <f t="shared" si="2"/>
        <v>4.4055E-4</v>
      </c>
      <c r="N10" s="18">
        <f t="shared" si="3"/>
        <v>1</v>
      </c>
      <c r="O10" s="18">
        <f t="shared" si="4"/>
        <v>21820</v>
      </c>
      <c r="P10" s="18">
        <f t="shared" si="5"/>
        <v>109100</v>
      </c>
      <c r="Q10" s="18" t="str">
        <f t="shared" si="6"/>
        <v/>
      </c>
      <c r="R10" s="18" t="str">
        <f t="shared" si="7"/>
        <v/>
      </c>
    </row>
    <row r="11" spans="1:18" ht="22.5" customHeight="1" x14ac:dyDescent="0.25">
      <c r="A11" s="167" t="s">
        <v>338</v>
      </c>
      <c r="B11" s="145">
        <v>44836</v>
      </c>
      <c r="C11" s="146" t="s">
        <v>291</v>
      </c>
      <c r="D11" s="146">
        <v>70</v>
      </c>
      <c r="E11" s="150">
        <v>6.7225E-4</v>
      </c>
      <c r="F11" s="148">
        <v>5.42</v>
      </c>
      <c r="G11" s="149">
        <v>19180.75</v>
      </c>
      <c r="H11" s="150" t="s">
        <v>294</v>
      </c>
      <c r="I11" s="151">
        <f t="shared" si="0"/>
        <v>0.14265604838184109</v>
      </c>
      <c r="J11" s="166" t="s">
        <v>344</v>
      </c>
      <c r="L11" s="18">
        <f t="shared" si="1"/>
        <v>70</v>
      </c>
      <c r="M11" s="18">
        <f t="shared" si="2"/>
        <v>6.7225E-4</v>
      </c>
      <c r="N11" s="18">
        <f t="shared" si="3"/>
        <v>1</v>
      </c>
      <c r="O11" s="18">
        <f t="shared" si="4"/>
        <v>19180.75</v>
      </c>
      <c r="P11" s="18">
        <f t="shared" si="5"/>
        <v>134265.25</v>
      </c>
      <c r="Q11" s="18" t="str">
        <f t="shared" si="6"/>
        <v/>
      </c>
      <c r="R11" s="18" t="str">
        <f t="shared" si="7"/>
        <v/>
      </c>
    </row>
    <row r="12" spans="1:18" ht="22.5" customHeight="1" x14ac:dyDescent="0.25">
      <c r="A12" s="232" t="s">
        <v>338</v>
      </c>
      <c r="B12" s="233">
        <v>44871</v>
      </c>
      <c r="C12" s="234">
        <v>0.99</v>
      </c>
      <c r="D12" s="234">
        <v>60</v>
      </c>
      <c r="E12" s="235">
        <v>4.5210999999999998E-4</v>
      </c>
      <c r="F12" s="236">
        <v>5.0199999999999996</v>
      </c>
      <c r="G12" s="237">
        <v>20885</v>
      </c>
      <c r="H12" s="235" t="s">
        <v>294</v>
      </c>
      <c r="I12" s="238">
        <f t="shared" si="0"/>
        <v>4.9413454632511344E-2</v>
      </c>
      <c r="J12" s="239" t="s">
        <v>344</v>
      </c>
      <c r="L12" s="18">
        <f t="shared" si="1"/>
        <v>60</v>
      </c>
      <c r="M12" s="18">
        <f t="shared" si="2"/>
        <v>4.5210999999999998E-4</v>
      </c>
      <c r="N12" s="18">
        <f t="shared" si="3"/>
        <v>1</v>
      </c>
      <c r="O12" s="18">
        <f t="shared" si="4"/>
        <v>20885</v>
      </c>
      <c r="P12" s="18">
        <f t="shared" si="5"/>
        <v>125310</v>
      </c>
      <c r="Q12" s="18" t="str">
        <f t="shared" si="6"/>
        <v/>
      </c>
    </row>
    <row r="13" spans="1:18" ht="22.5" customHeight="1" x14ac:dyDescent="0.25">
      <c r="A13" s="232" t="s">
        <v>338</v>
      </c>
      <c r="B13" s="233">
        <v>44899</v>
      </c>
      <c r="C13" s="234">
        <v>0.99</v>
      </c>
      <c r="D13" s="234">
        <v>50</v>
      </c>
      <c r="E13" s="235">
        <v>5.3392999999999995E-4</v>
      </c>
      <c r="F13" s="236">
        <v>5.22</v>
      </c>
      <c r="G13" s="237">
        <v>17582.66</v>
      </c>
      <c r="H13" s="235" t="s">
        <v>294</v>
      </c>
      <c r="I13" s="238">
        <f t="shared" si="0"/>
        <v>0.24651218871319802</v>
      </c>
      <c r="J13" s="239" t="s">
        <v>344</v>
      </c>
      <c r="L13" s="18">
        <f t="shared" ref="L13" si="8">IF(A13="","",IF(A13="Entrada",D13,""))</f>
        <v>50</v>
      </c>
      <c r="M13" s="18">
        <f t="shared" si="2"/>
        <v>5.3392999999999995E-4</v>
      </c>
      <c r="N13" s="18">
        <f t="shared" ref="N13" si="9">IF(A13="","",IF(A13="Entrada",1,""))</f>
        <v>1</v>
      </c>
      <c r="O13" s="18">
        <f t="shared" ref="O13" si="10">IF(N13=1,G13,"")</f>
        <v>17582.66</v>
      </c>
      <c r="P13" s="18">
        <f t="shared" ref="P13" si="11">IF(A13="","",IF(A13="Entrada",(L13/10)*O13,""))</f>
        <v>87913.3</v>
      </c>
      <c r="Q13" s="18" t="str">
        <f t="shared" ref="Q13" si="12">IF(A13="","",IF(A13="Saída",D13,""))</f>
        <v/>
      </c>
    </row>
    <row r="14" spans="1:18" ht="22.5" customHeight="1" x14ac:dyDescent="0.25">
      <c r="A14" s="232" t="s">
        <v>338</v>
      </c>
      <c r="B14" s="233">
        <v>44934</v>
      </c>
      <c r="C14" s="234">
        <v>0.99</v>
      </c>
      <c r="D14" s="234">
        <v>50</v>
      </c>
      <c r="E14" s="235">
        <v>5.2621999999999999E-4</v>
      </c>
      <c r="F14" s="236">
        <v>5.23</v>
      </c>
      <c r="G14" s="237">
        <v>17138.53</v>
      </c>
      <c r="H14" s="235" t="s">
        <v>294</v>
      </c>
      <c r="I14" s="238">
        <f t="shared" si="0"/>
        <v>0.27881446075013439</v>
      </c>
      <c r="J14" s="239" t="s">
        <v>344</v>
      </c>
      <c r="L14" s="18">
        <f t="shared" ref="L14" si="13">IF(A14="","",IF(A14="Entrada",D14,""))</f>
        <v>50</v>
      </c>
      <c r="M14" s="18">
        <f t="shared" ref="M14" si="14">IF(A14="","",IF(A14="Entrada",E14,""))</f>
        <v>5.2621999999999999E-4</v>
      </c>
      <c r="N14" s="18">
        <f t="shared" ref="N14" si="15">IF(A14="","",IF(A14="Entrada",1,""))</f>
        <v>1</v>
      </c>
      <c r="O14" s="18">
        <f t="shared" ref="O14" si="16">IF(N14=1,G14,"")</f>
        <v>17138.53</v>
      </c>
      <c r="P14" s="18">
        <f t="shared" ref="P14" si="17">IF(A14="","",IF(A14="Entrada",(L14/10)*O14,""))</f>
        <v>85692.65</v>
      </c>
      <c r="Q14" s="18" t="str">
        <f t="shared" ref="Q14" si="18">IF(A14="","",IF(A14="Saída",D14,""))</f>
        <v/>
      </c>
    </row>
    <row r="15" spans="1:18" ht="22.5" customHeight="1" thickBot="1" x14ac:dyDescent="0.3">
      <c r="A15" s="159" t="s">
        <v>343</v>
      </c>
      <c r="B15" s="160"/>
      <c r="C15" s="161"/>
      <c r="D15" s="161"/>
      <c r="E15" s="160"/>
      <c r="F15" s="162"/>
      <c r="G15" s="163"/>
      <c r="H15" s="160"/>
      <c r="I15" s="164" t="str">
        <f>IF(J15="Finalizado",(((D15*100)/SUM(D6:D11))/100)-1,IF(J15="","",""))</f>
        <v/>
      </c>
      <c r="J15" s="165"/>
      <c r="L15" s="18" t="str">
        <f t="shared" si="1"/>
        <v/>
      </c>
      <c r="M15" s="18" t="str">
        <f t="shared" si="2"/>
        <v/>
      </c>
      <c r="N15" s="18" t="str">
        <f t="shared" si="3"/>
        <v/>
      </c>
      <c r="O15" s="18" t="str">
        <f t="shared" si="4"/>
        <v/>
      </c>
      <c r="P15" s="18" t="str">
        <f t="shared" si="5"/>
        <v/>
      </c>
      <c r="Q15" s="18">
        <f t="shared" si="6"/>
        <v>0</v>
      </c>
      <c r="R15" s="18">
        <f t="shared" si="7"/>
        <v>0</v>
      </c>
    </row>
    <row r="16" spans="1:18" s="28" customFormat="1" ht="12" customHeight="1" thickBot="1" x14ac:dyDescent="0.3">
      <c r="A16" s="101"/>
      <c r="B16" s="102"/>
      <c r="C16" s="105"/>
      <c r="D16" s="105"/>
      <c r="E16" s="102"/>
      <c r="F16" s="102"/>
      <c r="G16" s="102"/>
      <c r="H16" s="102"/>
      <c r="I16" s="129"/>
      <c r="J16" s="103"/>
      <c r="L16" s="18" t="str">
        <f t="shared" si="1"/>
        <v/>
      </c>
      <c r="M16" s="18" t="str">
        <f t="shared" si="2"/>
        <v/>
      </c>
      <c r="N16" s="18" t="str">
        <f t="shared" si="3"/>
        <v/>
      </c>
      <c r="O16" s="18" t="str">
        <f t="shared" si="4"/>
        <v/>
      </c>
      <c r="P16" s="18" t="str">
        <f t="shared" si="5"/>
        <v/>
      </c>
      <c r="Q16" s="18" t="str">
        <f t="shared" si="6"/>
        <v/>
      </c>
      <c r="R16" s="18" t="str">
        <f t="shared" si="7"/>
        <v/>
      </c>
    </row>
    <row r="17" spans="1:18" ht="22.5" customHeight="1" x14ac:dyDescent="0.25">
      <c r="A17" s="135"/>
      <c r="B17" s="136"/>
      <c r="C17" s="137"/>
      <c r="D17" s="137"/>
      <c r="E17" s="138"/>
      <c r="F17" s="139"/>
      <c r="G17" s="140"/>
      <c r="H17" s="141"/>
      <c r="I17" s="142" t="str">
        <f t="shared" ref="I17:I22" si="19">IF(J17="Finalizado",((($G$15*100)/G17)/100)-1,IF(J17="","",((($L$1*100)/G17)/100)-1))</f>
        <v/>
      </c>
      <c r="J17" s="143"/>
      <c r="L17" s="18" t="str">
        <f>IF(A17="","",IF(A17="Entrada",D17,""))</f>
        <v/>
      </c>
      <c r="M17" s="18" t="str">
        <f>IF(A17="","",IF(A17="Entrada",E17,""))</f>
        <v/>
      </c>
      <c r="N17" s="18" t="str">
        <f>IF(A17="","",IF(A17="Entrada",1,""))</f>
        <v/>
      </c>
      <c r="O17" s="18" t="str">
        <f>IF(N17=1,G17,"")</f>
        <v/>
      </c>
      <c r="P17" s="18" t="str">
        <f t="shared" si="5"/>
        <v/>
      </c>
      <c r="Q17" s="18" t="str">
        <f>IF(A17="","",IF(A17="Saída",D17,""))</f>
        <v/>
      </c>
      <c r="R17" s="18" t="str">
        <f>IF(A17="","",IF(A17="Saída",E17,""))</f>
        <v/>
      </c>
    </row>
    <row r="18" spans="1:18" ht="22.5" customHeight="1" x14ac:dyDescent="0.25">
      <c r="A18" s="167"/>
      <c r="B18" s="145"/>
      <c r="C18" s="146"/>
      <c r="D18" s="146"/>
      <c r="E18" s="147"/>
      <c r="F18" s="148"/>
      <c r="G18" s="149"/>
      <c r="H18" s="150"/>
      <c r="I18" s="151" t="str">
        <f t="shared" si="19"/>
        <v/>
      </c>
      <c r="J18" s="166"/>
      <c r="L18" s="18" t="str">
        <f t="shared" ref="L18:L24" si="20">IF(A18="","",IF(A18="Entrada",D18,""))</f>
        <v/>
      </c>
      <c r="M18" s="18" t="str">
        <f t="shared" ref="M18:M24" si="21">IF(A18="","",IF(A18="Entrada",E18,""))</f>
        <v/>
      </c>
      <c r="N18" s="18" t="str">
        <f t="shared" ref="N18:N24" si="22">IF(A18="","",IF(A18="Entrada",1,""))</f>
        <v/>
      </c>
      <c r="O18" s="18" t="str">
        <f t="shared" ref="O18:O24" si="23">IF(N18=1,G18,"")</f>
        <v/>
      </c>
      <c r="P18" s="18" t="str">
        <f t="shared" si="5"/>
        <v/>
      </c>
      <c r="Q18" s="18" t="str">
        <f t="shared" ref="Q18:Q24" si="24">IF(A18="","",IF(A18="Saída",D18,""))</f>
        <v/>
      </c>
      <c r="R18" s="18" t="str">
        <f t="shared" ref="R18:R24" si="25">IF(A18="","",IF(A18="Saída",E18,""))</f>
        <v/>
      </c>
    </row>
    <row r="19" spans="1:18" ht="22.5" customHeight="1" x14ac:dyDescent="0.25">
      <c r="A19" s="144"/>
      <c r="B19" s="153"/>
      <c r="C19" s="154"/>
      <c r="D19" s="154"/>
      <c r="E19" s="155"/>
      <c r="F19" s="156"/>
      <c r="G19" s="157"/>
      <c r="H19" s="158"/>
      <c r="I19" s="151" t="str">
        <f t="shared" si="19"/>
        <v/>
      </c>
      <c r="J19" s="152"/>
      <c r="L19" s="18" t="str">
        <f t="shared" si="20"/>
        <v/>
      </c>
      <c r="M19" s="18" t="str">
        <f t="shared" si="21"/>
        <v/>
      </c>
      <c r="N19" s="18" t="str">
        <f t="shared" si="22"/>
        <v/>
      </c>
      <c r="O19" s="18" t="str">
        <f t="shared" si="23"/>
        <v/>
      </c>
      <c r="P19" s="18" t="str">
        <f t="shared" si="5"/>
        <v/>
      </c>
      <c r="Q19" s="18" t="str">
        <f t="shared" si="24"/>
        <v/>
      </c>
      <c r="R19" s="18" t="str">
        <f t="shared" si="25"/>
        <v/>
      </c>
    </row>
    <row r="20" spans="1:18" ht="22.5" customHeight="1" x14ac:dyDescent="0.25">
      <c r="A20" s="167"/>
      <c r="B20" s="145"/>
      <c r="C20" s="146"/>
      <c r="D20" s="146"/>
      <c r="E20" s="150"/>
      <c r="F20" s="148"/>
      <c r="G20" s="149"/>
      <c r="H20" s="150"/>
      <c r="I20" s="151" t="str">
        <f t="shared" si="19"/>
        <v/>
      </c>
      <c r="J20" s="166"/>
      <c r="L20" s="18" t="str">
        <f t="shared" si="20"/>
        <v/>
      </c>
      <c r="M20" s="18" t="str">
        <f t="shared" si="21"/>
        <v/>
      </c>
      <c r="N20" s="18" t="str">
        <f t="shared" si="22"/>
        <v/>
      </c>
      <c r="O20" s="18" t="str">
        <f t="shared" si="23"/>
        <v/>
      </c>
      <c r="P20" s="18" t="str">
        <f t="shared" si="5"/>
        <v/>
      </c>
      <c r="Q20" s="18" t="str">
        <f t="shared" si="24"/>
        <v/>
      </c>
      <c r="R20" s="18" t="str">
        <f t="shared" si="25"/>
        <v/>
      </c>
    </row>
    <row r="21" spans="1:18" ht="22.5" customHeight="1" x14ac:dyDescent="0.25">
      <c r="A21" s="144"/>
      <c r="B21" s="153"/>
      <c r="C21" s="154"/>
      <c r="D21" s="154"/>
      <c r="E21" s="158"/>
      <c r="F21" s="156"/>
      <c r="G21" s="157"/>
      <c r="H21" s="158"/>
      <c r="I21" s="151" t="str">
        <f t="shared" si="19"/>
        <v/>
      </c>
      <c r="J21" s="152"/>
      <c r="L21" s="18" t="str">
        <f t="shared" si="20"/>
        <v/>
      </c>
      <c r="M21" s="18" t="str">
        <f t="shared" si="21"/>
        <v/>
      </c>
      <c r="N21" s="18" t="str">
        <f t="shared" si="22"/>
        <v/>
      </c>
      <c r="O21" s="18" t="str">
        <f t="shared" si="23"/>
        <v/>
      </c>
      <c r="P21" s="18" t="str">
        <f t="shared" si="5"/>
        <v/>
      </c>
      <c r="Q21" s="18" t="str">
        <f t="shared" si="24"/>
        <v/>
      </c>
      <c r="R21" s="18" t="str">
        <f t="shared" si="25"/>
        <v/>
      </c>
    </row>
    <row r="22" spans="1:18" ht="22.5" customHeight="1" x14ac:dyDescent="0.25">
      <c r="A22" s="167"/>
      <c r="B22" s="145"/>
      <c r="C22" s="146"/>
      <c r="D22" s="146"/>
      <c r="E22" s="150"/>
      <c r="F22" s="148"/>
      <c r="G22" s="149"/>
      <c r="H22" s="150"/>
      <c r="I22" s="151" t="str">
        <f t="shared" si="19"/>
        <v/>
      </c>
      <c r="J22" s="166"/>
      <c r="L22" s="18" t="str">
        <f t="shared" si="20"/>
        <v/>
      </c>
      <c r="M22" s="18" t="str">
        <f t="shared" si="21"/>
        <v/>
      </c>
      <c r="N22" s="18" t="str">
        <f t="shared" si="22"/>
        <v/>
      </c>
      <c r="O22" s="18" t="str">
        <f t="shared" si="23"/>
        <v/>
      </c>
      <c r="P22" s="18" t="str">
        <f t="shared" si="5"/>
        <v/>
      </c>
      <c r="Q22" s="18" t="str">
        <f t="shared" si="24"/>
        <v/>
      </c>
      <c r="R22" s="18" t="str">
        <f t="shared" si="25"/>
        <v/>
      </c>
    </row>
    <row r="23" spans="1:18" ht="22.5" customHeight="1" thickBot="1" x14ac:dyDescent="0.3">
      <c r="A23" s="159"/>
      <c r="B23" s="160"/>
      <c r="C23" s="161"/>
      <c r="D23" s="161"/>
      <c r="E23" s="160"/>
      <c r="F23" s="162"/>
      <c r="G23" s="163"/>
      <c r="H23" s="160"/>
      <c r="I23" s="164" t="str">
        <f>IF(J23="Finalizado",(((D23*100)/SUM(D17:D22))/100)-1,IF(J23="","",""))</f>
        <v/>
      </c>
      <c r="J23" s="165"/>
      <c r="L23" s="18" t="str">
        <f t="shared" si="20"/>
        <v/>
      </c>
      <c r="M23" s="18" t="str">
        <f t="shared" si="21"/>
        <v/>
      </c>
      <c r="N23" s="18" t="str">
        <f t="shared" si="22"/>
        <v/>
      </c>
      <c r="O23" s="18" t="str">
        <f t="shared" si="23"/>
        <v/>
      </c>
      <c r="P23" s="18" t="str">
        <f t="shared" si="5"/>
        <v/>
      </c>
      <c r="Q23" s="18" t="str">
        <f t="shared" si="24"/>
        <v/>
      </c>
      <c r="R23" s="18" t="str">
        <f t="shared" si="25"/>
        <v/>
      </c>
    </row>
    <row r="24" spans="1:18" s="28" customFormat="1" ht="12" customHeight="1" thickBot="1" x14ac:dyDescent="0.3">
      <c r="A24" s="101"/>
      <c r="B24" s="102"/>
      <c r="C24" s="105"/>
      <c r="D24" s="105"/>
      <c r="E24" s="102"/>
      <c r="F24" s="102"/>
      <c r="G24" s="102"/>
      <c r="H24" s="102"/>
      <c r="I24" s="129"/>
      <c r="J24" s="103"/>
      <c r="L24" s="18" t="str">
        <f t="shared" si="20"/>
        <v/>
      </c>
      <c r="M24" s="18" t="str">
        <f t="shared" si="21"/>
        <v/>
      </c>
      <c r="N24" s="18" t="str">
        <f t="shared" si="22"/>
        <v/>
      </c>
      <c r="O24" s="18" t="str">
        <f t="shared" si="23"/>
        <v/>
      </c>
      <c r="P24" s="18" t="str">
        <f t="shared" si="5"/>
        <v/>
      </c>
      <c r="Q24" s="18" t="str">
        <f t="shared" si="24"/>
        <v/>
      </c>
      <c r="R24" s="18" t="str">
        <f t="shared" si="25"/>
        <v/>
      </c>
    </row>
    <row r="25" spans="1:18" ht="22.5" customHeight="1" x14ac:dyDescent="0.25">
      <c r="A25" s="22"/>
      <c r="B25" s="123"/>
      <c r="C25" s="108"/>
      <c r="D25" s="108"/>
      <c r="E25" s="23"/>
      <c r="F25" s="37"/>
      <c r="G25" s="41"/>
      <c r="H25" s="23"/>
      <c r="I25" s="132"/>
      <c r="J25" s="24"/>
      <c r="L25" s="18" t="str">
        <f t="shared" si="1"/>
        <v/>
      </c>
      <c r="M25" s="18" t="str">
        <f t="shared" si="2"/>
        <v/>
      </c>
      <c r="N25" s="18" t="str">
        <f t="shared" si="3"/>
        <v/>
      </c>
      <c r="O25" s="18" t="str">
        <f t="shared" si="4"/>
        <v/>
      </c>
      <c r="P25" s="18" t="str">
        <f t="shared" si="5"/>
        <v/>
      </c>
      <c r="Q25" s="18" t="str">
        <f t="shared" si="6"/>
        <v/>
      </c>
      <c r="R25" s="18" t="str">
        <f t="shared" si="7"/>
        <v/>
      </c>
    </row>
    <row r="26" spans="1:18" ht="22.5" customHeight="1" x14ac:dyDescent="0.25">
      <c r="A26" s="19"/>
      <c r="B26" s="122"/>
      <c r="C26" s="107"/>
      <c r="D26" s="107"/>
      <c r="E26" s="20"/>
      <c r="F26" s="36"/>
      <c r="G26" s="40"/>
      <c r="H26" s="20"/>
      <c r="I26" s="131"/>
      <c r="J26" s="21"/>
      <c r="L26" s="18" t="str">
        <f t="shared" si="1"/>
        <v/>
      </c>
      <c r="M26" s="18" t="str">
        <f t="shared" si="2"/>
        <v/>
      </c>
      <c r="N26" s="18" t="str">
        <f t="shared" si="3"/>
        <v/>
      </c>
      <c r="O26" s="18" t="str">
        <f t="shared" si="4"/>
        <v/>
      </c>
      <c r="P26" s="18" t="str">
        <f t="shared" si="5"/>
        <v/>
      </c>
      <c r="Q26" s="18" t="str">
        <f t="shared" si="6"/>
        <v/>
      </c>
      <c r="R26" s="18" t="str">
        <f t="shared" si="7"/>
        <v/>
      </c>
    </row>
    <row r="27" spans="1:18" ht="22.5" customHeight="1" x14ac:dyDescent="0.25">
      <c r="A27" s="22"/>
      <c r="B27" s="123"/>
      <c r="C27" s="108"/>
      <c r="D27" s="108"/>
      <c r="E27" s="23"/>
      <c r="F27" s="37"/>
      <c r="G27" s="41"/>
      <c r="H27" s="23"/>
      <c r="I27" s="132"/>
      <c r="J27" s="24"/>
      <c r="L27" s="18" t="str">
        <f t="shared" si="1"/>
        <v/>
      </c>
      <c r="M27" s="18" t="str">
        <f t="shared" si="2"/>
        <v/>
      </c>
      <c r="N27" s="18" t="str">
        <f t="shared" si="3"/>
        <v/>
      </c>
      <c r="O27" s="18" t="str">
        <f t="shared" si="4"/>
        <v/>
      </c>
      <c r="P27" s="18" t="str">
        <f t="shared" si="5"/>
        <v/>
      </c>
      <c r="Q27" s="18" t="str">
        <f t="shared" si="6"/>
        <v/>
      </c>
      <c r="R27" s="18" t="str">
        <f t="shared" si="7"/>
        <v/>
      </c>
    </row>
    <row r="28" spans="1:18" ht="22.5" customHeight="1" x14ac:dyDescent="0.25">
      <c r="A28" s="19"/>
      <c r="B28" s="122"/>
      <c r="C28" s="107"/>
      <c r="D28" s="107"/>
      <c r="E28" s="20"/>
      <c r="F28" s="36"/>
      <c r="G28" s="40"/>
      <c r="H28" s="20"/>
      <c r="I28" s="131"/>
      <c r="J28" s="21"/>
      <c r="L28" s="18" t="str">
        <f t="shared" si="1"/>
        <v/>
      </c>
      <c r="M28" s="18" t="str">
        <f t="shared" si="2"/>
        <v/>
      </c>
      <c r="N28" s="18" t="str">
        <f t="shared" si="3"/>
        <v/>
      </c>
      <c r="O28" s="18" t="str">
        <f t="shared" si="4"/>
        <v/>
      </c>
      <c r="P28" s="18" t="str">
        <f t="shared" si="5"/>
        <v/>
      </c>
      <c r="Q28" s="18" t="str">
        <f t="shared" si="6"/>
        <v/>
      </c>
      <c r="R28" s="18" t="str">
        <f t="shared" si="7"/>
        <v/>
      </c>
    </row>
    <row r="29" spans="1:18" ht="22.5" customHeight="1" x14ac:dyDescent="0.25">
      <c r="A29" s="22"/>
      <c r="B29" s="123"/>
      <c r="C29" s="108"/>
      <c r="D29" s="108"/>
      <c r="E29" s="23"/>
      <c r="F29" s="37"/>
      <c r="G29" s="41"/>
      <c r="H29" s="23"/>
      <c r="I29" s="132"/>
      <c r="J29" s="24"/>
      <c r="L29" s="18" t="str">
        <f t="shared" si="1"/>
        <v/>
      </c>
      <c r="M29" s="18" t="str">
        <f t="shared" si="2"/>
        <v/>
      </c>
      <c r="N29" s="18" t="str">
        <f t="shared" si="3"/>
        <v/>
      </c>
      <c r="O29" s="18" t="str">
        <f t="shared" si="4"/>
        <v/>
      </c>
      <c r="P29" s="18" t="str">
        <f t="shared" si="5"/>
        <v/>
      </c>
      <c r="Q29" s="18" t="str">
        <f t="shared" si="6"/>
        <v/>
      </c>
      <c r="R29" s="18" t="str">
        <f t="shared" si="7"/>
        <v/>
      </c>
    </row>
    <row r="30" spans="1:18" ht="22.5" customHeight="1" x14ac:dyDescent="0.25">
      <c r="A30" s="19"/>
      <c r="B30" s="122"/>
      <c r="C30" s="107"/>
      <c r="D30" s="107"/>
      <c r="E30" s="20"/>
      <c r="F30" s="36"/>
      <c r="G30" s="40"/>
      <c r="H30" s="20"/>
      <c r="I30" s="131"/>
      <c r="J30" s="21"/>
      <c r="L30" s="18" t="str">
        <f t="shared" si="1"/>
        <v/>
      </c>
      <c r="M30" s="18" t="str">
        <f t="shared" si="2"/>
        <v/>
      </c>
      <c r="N30" s="18" t="str">
        <f t="shared" si="3"/>
        <v/>
      </c>
      <c r="O30" s="18" t="str">
        <f t="shared" si="4"/>
        <v/>
      </c>
      <c r="P30" s="18" t="str">
        <f t="shared" si="5"/>
        <v/>
      </c>
      <c r="Q30" s="18" t="str">
        <f t="shared" si="6"/>
        <v/>
      </c>
      <c r="R30" s="18" t="str">
        <f t="shared" si="7"/>
        <v/>
      </c>
    </row>
    <row r="31" spans="1:18" ht="22.5" customHeight="1" x14ac:dyDescent="0.25">
      <c r="A31" s="22"/>
      <c r="B31" s="123"/>
      <c r="C31" s="108"/>
      <c r="D31" s="108"/>
      <c r="E31" s="23"/>
      <c r="F31" s="37"/>
      <c r="G31" s="41"/>
      <c r="H31" s="23"/>
      <c r="I31" s="132"/>
      <c r="J31" s="24"/>
      <c r="L31" s="18" t="str">
        <f t="shared" si="1"/>
        <v/>
      </c>
      <c r="M31" s="18" t="str">
        <f t="shared" si="2"/>
        <v/>
      </c>
      <c r="N31" s="18" t="str">
        <f t="shared" si="3"/>
        <v/>
      </c>
      <c r="O31" s="18" t="str">
        <f t="shared" si="4"/>
        <v/>
      </c>
      <c r="P31" s="18" t="str">
        <f t="shared" si="5"/>
        <v/>
      </c>
      <c r="Q31" s="18" t="str">
        <f t="shared" si="6"/>
        <v/>
      </c>
      <c r="R31" s="18" t="str">
        <f t="shared" si="7"/>
        <v/>
      </c>
    </row>
    <row r="32" spans="1:18" ht="22.5" customHeight="1" x14ac:dyDescent="0.25">
      <c r="A32" s="19"/>
      <c r="B32" s="122"/>
      <c r="C32" s="107"/>
      <c r="D32" s="107"/>
      <c r="E32" s="20"/>
      <c r="F32" s="36"/>
      <c r="G32" s="40"/>
      <c r="H32" s="20"/>
      <c r="I32" s="131"/>
      <c r="J32" s="21"/>
      <c r="L32" s="18" t="str">
        <f t="shared" si="1"/>
        <v/>
      </c>
      <c r="M32" s="18" t="str">
        <f t="shared" si="2"/>
        <v/>
      </c>
      <c r="N32" s="18" t="str">
        <f t="shared" si="3"/>
        <v/>
      </c>
      <c r="O32" s="18" t="str">
        <f t="shared" si="4"/>
        <v/>
      </c>
      <c r="P32" s="18" t="str">
        <f t="shared" si="5"/>
        <v/>
      </c>
      <c r="Q32" s="18" t="str">
        <f t="shared" si="6"/>
        <v/>
      </c>
      <c r="R32" s="18" t="str">
        <f t="shared" si="7"/>
        <v/>
      </c>
    </row>
    <row r="33" spans="1:18" ht="22.5" customHeight="1" x14ac:dyDescent="0.25">
      <c r="A33" s="22"/>
      <c r="B33" s="123"/>
      <c r="C33" s="108"/>
      <c r="D33" s="108"/>
      <c r="E33" s="23"/>
      <c r="F33" s="37"/>
      <c r="G33" s="41"/>
      <c r="H33" s="23"/>
      <c r="I33" s="132"/>
      <c r="J33" s="24"/>
      <c r="L33" s="18" t="str">
        <f t="shared" si="1"/>
        <v/>
      </c>
      <c r="M33" s="18" t="str">
        <f t="shared" si="2"/>
        <v/>
      </c>
      <c r="N33" s="18" t="str">
        <f t="shared" si="3"/>
        <v/>
      </c>
      <c r="O33" s="18" t="str">
        <f t="shared" si="4"/>
        <v/>
      </c>
      <c r="P33" s="18" t="str">
        <f t="shared" si="5"/>
        <v/>
      </c>
      <c r="Q33" s="18" t="str">
        <f t="shared" si="6"/>
        <v/>
      </c>
      <c r="R33" s="18" t="str">
        <f t="shared" si="7"/>
        <v/>
      </c>
    </row>
    <row r="34" spans="1:18" ht="22.5" customHeight="1" x14ac:dyDescent="0.25">
      <c r="A34" s="19"/>
      <c r="B34" s="122"/>
      <c r="C34" s="107"/>
      <c r="D34" s="107"/>
      <c r="E34" s="20"/>
      <c r="F34" s="36"/>
      <c r="G34" s="40"/>
      <c r="H34" s="20"/>
      <c r="I34" s="131"/>
      <c r="J34" s="21"/>
      <c r="L34" s="18" t="str">
        <f t="shared" si="1"/>
        <v/>
      </c>
      <c r="M34" s="18" t="str">
        <f t="shared" si="2"/>
        <v/>
      </c>
      <c r="N34" s="18" t="str">
        <f t="shared" si="3"/>
        <v/>
      </c>
      <c r="O34" s="18" t="str">
        <f t="shared" si="4"/>
        <v/>
      </c>
      <c r="P34" s="18" t="str">
        <f t="shared" si="5"/>
        <v/>
      </c>
      <c r="Q34" s="18" t="str">
        <f t="shared" si="6"/>
        <v/>
      </c>
      <c r="R34" s="18" t="str">
        <f t="shared" si="7"/>
        <v/>
      </c>
    </row>
    <row r="35" spans="1:18" ht="22.5" customHeight="1" x14ac:dyDescent="0.25">
      <c r="A35" s="22"/>
      <c r="B35" s="123"/>
      <c r="C35" s="108"/>
      <c r="D35" s="108"/>
      <c r="E35" s="23"/>
      <c r="F35" s="37"/>
      <c r="G35" s="41"/>
      <c r="H35" s="23"/>
      <c r="I35" s="132"/>
      <c r="J35" s="24"/>
      <c r="L35" s="18" t="str">
        <f t="shared" si="1"/>
        <v/>
      </c>
      <c r="M35" s="18" t="str">
        <f t="shared" si="2"/>
        <v/>
      </c>
      <c r="N35" s="18" t="str">
        <f t="shared" si="3"/>
        <v/>
      </c>
      <c r="O35" s="18" t="str">
        <f t="shared" si="4"/>
        <v/>
      </c>
      <c r="P35" s="18" t="str">
        <f t="shared" si="5"/>
        <v/>
      </c>
      <c r="Q35" s="18" t="str">
        <f t="shared" si="6"/>
        <v/>
      </c>
      <c r="R35" s="18" t="str">
        <f t="shared" si="7"/>
        <v/>
      </c>
    </row>
    <row r="36" spans="1:18" ht="22.5" customHeight="1" x14ac:dyDescent="0.25">
      <c r="A36" s="19"/>
      <c r="B36" s="122"/>
      <c r="C36" s="107"/>
      <c r="D36" s="107"/>
      <c r="E36" s="20"/>
      <c r="F36" s="36"/>
      <c r="G36" s="40"/>
      <c r="H36" s="20"/>
      <c r="I36" s="131"/>
      <c r="J36" s="21"/>
      <c r="L36" s="18" t="str">
        <f t="shared" si="1"/>
        <v/>
      </c>
      <c r="M36" s="18" t="str">
        <f t="shared" si="2"/>
        <v/>
      </c>
      <c r="N36" s="18" t="str">
        <f t="shared" si="3"/>
        <v/>
      </c>
      <c r="O36" s="18" t="str">
        <f t="shared" si="4"/>
        <v/>
      </c>
      <c r="P36" s="18" t="str">
        <f t="shared" si="5"/>
        <v/>
      </c>
      <c r="Q36" s="18" t="str">
        <f t="shared" si="6"/>
        <v/>
      </c>
      <c r="R36" s="18" t="str">
        <f t="shared" si="7"/>
        <v/>
      </c>
    </row>
    <row r="37" spans="1:18" ht="22.5" customHeight="1" x14ac:dyDescent="0.25">
      <c r="A37" s="22"/>
      <c r="B37" s="123"/>
      <c r="C37" s="108"/>
      <c r="D37" s="108"/>
      <c r="E37" s="23"/>
      <c r="F37" s="37"/>
      <c r="G37" s="41"/>
      <c r="H37" s="23"/>
      <c r="I37" s="132"/>
      <c r="J37" s="24"/>
      <c r="L37" s="18" t="str">
        <f t="shared" si="1"/>
        <v/>
      </c>
      <c r="M37" s="18" t="str">
        <f t="shared" si="2"/>
        <v/>
      </c>
      <c r="N37" s="18" t="str">
        <f t="shared" si="3"/>
        <v/>
      </c>
      <c r="O37" s="18" t="str">
        <f t="shared" si="4"/>
        <v/>
      </c>
      <c r="P37" s="18" t="str">
        <f t="shared" si="5"/>
        <v/>
      </c>
      <c r="Q37" s="18" t="str">
        <f t="shared" si="6"/>
        <v/>
      </c>
      <c r="R37" s="18" t="str">
        <f t="shared" si="7"/>
        <v/>
      </c>
    </row>
    <row r="38" spans="1:18" ht="22.5" customHeight="1" x14ac:dyDescent="0.25">
      <c r="A38" s="19"/>
      <c r="B38" s="122"/>
      <c r="C38" s="107"/>
      <c r="D38" s="107"/>
      <c r="E38" s="20"/>
      <c r="F38" s="36"/>
      <c r="G38" s="40"/>
      <c r="H38" s="20"/>
      <c r="I38" s="131"/>
      <c r="J38" s="21"/>
      <c r="L38" s="18" t="str">
        <f t="shared" si="1"/>
        <v/>
      </c>
      <c r="M38" s="18" t="str">
        <f t="shared" si="2"/>
        <v/>
      </c>
      <c r="N38" s="18" t="str">
        <f t="shared" si="3"/>
        <v/>
      </c>
      <c r="O38" s="18" t="str">
        <f t="shared" si="4"/>
        <v/>
      </c>
      <c r="P38" s="18" t="str">
        <f t="shared" si="5"/>
        <v/>
      </c>
      <c r="Q38" s="18" t="str">
        <f t="shared" si="6"/>
        <v/>
      </c>
      <c r="R38" s="18" t="str">
        <f t="shared" si="7"/>
        <v/>
      </c>
    </row>
    <row r="39" spans="1:18" ht="22.5" customHeight="1" x14ac:dyDescent="0.25">
      <c r="A39" s="22"/>
      <c r="B39" s="123"/>
      <c r="C39" s="108"/>
      <c r="D39" s="108"/>
      <c r="E39" s="23"/>
      <c r="F39" s="37"/>
      <c r="G39" s="41"/>
      <c r="H39" s="23"/>
      <c r="I39" s="132"/>
      <c r="J39" s="24"/>
      <c r="L39" s="18" t="str">
        <f t="shared" si="1"/>
        <v/>
      </c>
      <c r="M39" s="18" t="str">
        <f t="shared" si="2"/>
        <v/>
      </c>
      <c r="N39" s="18" t="str">
        <f t="shared" si="3"/>
        <v/>
      </c>
      <c r="O39" s="18" t="str">
        <f t="shared" si="4"/>
        <v/>
      </c>
      <c r="P39" s="18" t="str">
        <f t="shared" si="5"/>
        <v/>
      </c>
      <c r="Q39" s="18" t="str">
        <f t="shared" si="6"/>
        <v/>
      </c>
      <c r="R39" s="18" t="str">
        <f t="shared" si="7"/>
        <v/>
      </c>
    </row>
    <row r="40" spans="1:18" ht="22.5" customHeight="1" x14ac:dyDescent="0.25">
      <c r="A40" s="19"/>
      <c r="B40" s="122"/>
      <c r="C40" s="107"/>
      <c r="D40" s="107"/>
      <c r="E40" s="20"/>
      <c r="F40" s="36"/>
      <c r="G40" s="40"/>
      <c r="H40" s="20"/>
      <c r="I40" s="131"/>
      <c r="J40" s="21"/>
      <c r="L40" s="18" t="str">
        <f t="shared" si="1"/>
        <v/>
      </c>
      <c r="M40" s="18" t="str">
        <f t="shared" si="2"/>
        <v/>
      </c>
      <c r="N40" s="18" t="str">
        <f t="shared" si="3"/>
        <v/>
      </c>
      <c r="O40" s="18" t="str">
        <f t="shared" si="4"/>
        <v/>
      </c>
      <c r="P40" s="18" t="str">
        <f t="shared" si="5"/>
        <v/>
      </c>
      <c r="Q40" s="18" t="str">
        <f t="shared" si="6"/>
        <v/>
      </c>
      <c r="R40" s="18" t="str">
        <f t="shared" si="7"/>
        <v/>
      </c>
    </row>
    <row r="41" spans="1:18" ht="22.5" customHeight="1" x14ac:dyDescent="0.25">
      <c r="A41" s="22"/>
      <c r="B41" s="123"/>
      <c r="C41" s="108"/>
      <c r="D41" s="108"/>
      <c r="E41" s="23"/>
      <c r="F41" s="37"/>
      <c r="G41" s="41"/>
      <c r="H41" s="23"/>
      <c r="I41" s="132"/>
      <c r="J41" s="24"/>
      <c r="L41" s="18" t="str">
        <f t="shared" si="1"/>
        <v/>
      </c>
      <c r="M41" s="18" t="str">
        <f t="shared" si="2"/>
        <v/>
      </c>
      <c r="N41" s="18" t="str">
        <f t="shared" si="3"/>
        <v/>
      </c>
      <c r="O41" s="18" t="str">
        <f t="shared" si="4"/>
        <v/>
      </c>
      <c r="P41" s="18" t="str">
        <f t="shared" si="5"/>
        <v/>
      </c>
      <c r="Q41" s="18" t="str">
        <f t="shared" si="6"/>
        <v/>
      </c>
      <c r="R41" s="18" t="str">
        <f t="shared" si="7"/>
        <v/>
      </c>
    </row>
    <row r="42" spans="1:18" ht="22.5" customHeight="1" x14ac:dyDescent="0.25">
      <c r="A42" s="19"/>
      <c r="B42" s="122"/>
      <c r="C42" s="107"/>
      <c r="D42" s="107"/>
      <c r="E42" s="20"/>
      <c r="F42" s="36"/>
      <c r="G42" s="40"/>
      <c r="H42" s="20"/>
      <c r="I42" s="131"/>
      <c r="J42" s="21"/>
      <c r="L42" s="18" t="str">
        <f t="shared" si="1"/>
        <v/>
      </c>
      <c r="M42" s="18" t="str">
        <f t="shared" si="2"/>
        <v/>
      </c>
      <c r="N42" s="18" t="str">
        <f t="shared" si="3"/>
        <v/>
      </c>
      <c r="O42" s="18" t="str">
        <f t="shared" si="4"/>
        <v/>
      </c>
      <c r="P42" s="18" t="str">
        <f t="shared" si="5"/>
        <v/>
      </c>
      <c r="Q42" s="18" t="str">
        <f t="shared" si="6"/>
        <v/>
      </c>
      <c r="R42" s="18" t="str">
        <f t="shared" si="7"/>
        <v/>
      </c>
    </row>
    <row r="43" spans="1:18" ht="22.5" customHeight="1" x14ac:dyDescent="0.25">
      <c r="A43" s="22"/>
      <c r="B43" s="123"/>
      <c r="C43" s="108"/>
      <c r="D43" s="108"/>
      <c r="E43" s="23"/>
      <c r="F43" s="37"/>
      <c r="G43" s="41"/>
      <c r="H43" s="23"/>
      <c r="I43" s="132"/>
      <c r="J43" s="24"/>
      <c r="L43" s="18" t="str">
        <f t="shared" si="1"/>
        <v/>
      </c>
      <c r="M43" s="18" t="str">
        <f t="shared" si="2"/>
        <v/>
      </c>
      <c r="N43" s="18" t="str">
        <f t="shared" si="3"/>
        <v/>
      </c>
      <c r="O43" s="18" t="str">
        <f t="shared" si="4"/>
        <v/>
      </c>
      <c r="P43" s="18" t="str">
        <f t="shared" si="5"/>
        <v/>
      </c>
      <c r="Q43" s="18" t="str">
        <f t="shared" si="6"/>
        <v/>
      </c>
      <c r="R43" s="18" t="str">
        <f t="shared" si="7"/>
        <v/>
      </c>
    </row>
    <row r="44" spans="1:18" ht="22.5" customHeight="1" x14ac:dyDescent="0.25">
      <c r="A44" s="19"/>
      <c r="B44" s="122"/>
      <c r="C44" s="107"/>
      <c r="D44" s="107"/>
      <c r="E44" s="20"/>
      <c r="F44" s="36"/>
      <c r="G44" s="40"/>
      <c r="H44" s="20"/>
      <c r="I44" s="131"/>
      <c r="J44" s="21"/>
      <c r="L44" s="18" t="str">
        <f t="shared" si="1"/>
        <v/>
      </c>
      <c r="M44" s="18" t="str">
        <f t="shared" si="2"/>
        <v/>
      </c>
      <c r="N44" s="18" t="str">
        <f t="shared" si="3"/>
        <v/>
      </c>
      <c r="O44" s="18" t="str">
        <f t="shared" si="4"/>
        <v/>
      </c>
      <c r="P44" s="18" t="str">
        <f t="shared" si="5"/>
        <v/>
      </c>
      <c r="Q44" s="18" t="str">
        <f t="shared" si="6"/>
        <v/>
      </c>
      <c r="R44" s="18" t="str">
        <f t="shared" si="7"/>
        <v/>
      </c>
    </row>
    <row r="45" spans="1:18" ht="22.5" customHeight="1" x14ac:dyDescent="0.25">
      <c r="A45" s="22"/>
      <c r="B45" s="123"/>
      <c r="C45" s="108"/>
      <c r="D45" s="108"/>
      <c r="E45" s="23"/>
      <c r="F45" s="37"/>
      <c r="G45" s="41"/>
      <c r="H45" s="23"/>
      <c r="I45" s="132"/>
      <c r="J45" s="24"/>
      <c r="L45" s="18" t="str">
        <f t="shared" si="1"/>
        <v/>
      </c>
      <c r="M45" s="18" t="str">
        <f t="shared" si="2"/>
        <v/>
      </c>
      <c r="N45" s="18" t="str">
        <f t="shared" si="3"/>
        <v/>
      </c>
      <c r="O45" s="18" t="str">
        <f t="shared" si="4"/>
        <v/>
      </c>
      <c r="P45" s="18" t="str">
        <f t="shared" si="5"/>
        <v/>
      </c>
      <c r="Q45" s="18" t="str">
        <f t="shared" si="6"/>
        <v/>
      </c>
      <c r="R45" s="18" t="str">
        <f t="shared" si="7"/>
        <v/>
      </c>
    </row>
    <row r="46" spans="1:18" ht="22.5" customHeight="1" x14ac:dyDescent="0.25">
      <c r="A46" s="19"/>
      <c r="B46" s="122"/>
      <c r="C46" s="107"/>
      <c r="D46" s="107"/>
      <c r="E46" s="20"/>
      <c r="F46" s="36"/>
      <c r="G46" s="40"/>
      <c r="H46" s="20"/>
      <c r="I46" s="131"/>
      <c r="J46" s="21"/>
      <c r="L46" s="18" t="str">
        <f t="shared" si="1"/>
        <v/>
      </c>
      <c r="M46" s="18" t="str">
        <f t="shared" si="2"/>
        <v/>
      </c>
      <c r="N46" s="18" t="str">
        <f t="shared" si="3"/>
        <v/>
      </c>
      <c r="O46" s="18" t="str">
        <f t="shared" si="4"/>
        <v/>
      </c>
      <c r="P46" s="18" t="str">
        <f t="shared" si="5"/>
        <v/>
      </c>
      <c r="Q46" s="18" t="str">
        <f t="shared" si="6"/>
        <v/>
      </c>
      <c r="R46" s="18" t="str">
        <f t="shared" si="7"/>
        <v/>
      </c>
    </row>
    <row r="47" spans="1:18" ht="22.5" customHeight="1" x14ac:dyDescent="0.25">
      <c r="A47" s="22"/>
      <c r="B47" s="123"/>
      <c r="C47" s="108"/>
      <c r="D47" s="108"/>
      <c r="E47" s="23"/>
      <c r="F47" s="37"/>
      <c r="G47" s="41"/>
      <c r="H47" s="23"/>
      <c r="I47" s="132"/>
      <c r="J47" s="24"/>
      <c r="L47" s="18" t="str">
        <f t="shared" si="1"/>
        <v/>
      </c>
      <c r="M47" s="18" t="str">
        <f t="shared" si="2"/>
        <v/>
      </c>
      <c r="N47" s="18" t="str">
        <f t="shared" si="3"/>
        <v/>
      </c>
      <c r="O47" s="18" t="str">
        <f t="shared" si="4"/>
        <v/>
      </c>
      <c r="P47" s="18" t="str">
        <f t="shared" si="5"/>
        <v/>
      </c>
      <c r="Q47" s="18" t="str">
        <f t="shared" si="6"/>
        <v/>
      </c>
      <c r="R47" s="18" t="str">
        <f t="shared" si="7"/>
        <v/>
      </c>
    </row>
    <row r="48" spans="1:18" ht="22.5" customHeight="1" x14ac:dyDescent="0.25">
      <c r="A48" s="19"/>
      <c r="B48" s="122"/>
      <c r="C48" s="107"/>
      <c r="D48" s="107"/>
      <c r="E48" s="20"/>
      <c r="F48" s="36"/>
      <c r="G48" s="40"/>
      <c r="H48" s="20"/>
      <c r="I48" s="131"/>
      <c r="J48" s="21"/>
      <c r="L48" s="18" t="str">
        <f t="shared" si="1"/>
        <v/>
      </c>
      <c r="M48" s="18" t="str">
        <f t="shared" si="2"/>
        <v/>
      </c>
      <c r="N48" s="18" t="str">
        <f t="shared" si="3"/>
        <v/>
      </c>
      <c r="O48" s="18" t="str">
        <f t="shared" si="4"/>
        <v/>
      </c>
      <c r="P48" s="18" t="str">
        <f t="shared" si="5"/>
        <v/>
      </c>
      <c r="Q48" s="18" t="str">
        <f t="shared" si="6"/>
        <v/>
      </c>
      <c r="R48" s="18" t="str">
        <f t="shared" si="7"/>
        <v/>
      </c>
    </row>
    <row r="49" spans="1:18" ht="22.5" customHeight="1" x14ac:dyDescent="0.25">
      <c r="A49" s="22"/>
      <c r="B49" s="123"/>
      <c r="C49" s="108"/>
      <c r="D49" s="108"/>
      <c r="E49" s="23"/>
      <c r="F49" s="37"/>
      <c r="G49" s="41"/>
      <c r="H49" s="23"/>
      <c r="I49" s="132"/>
      <c r="J49" s="24"/>
      <c r="L49" s="18" t="str">
        <f t="shared" si="1"/>
        <v/>
      </c>
      <c r="M49" s="18" t="str">
        <f t="shared" si="2"/>
        <v/>
      </c>
      <c r="N49" s="18" t="str">
        <f t="shared" si="3"/>
        <v/>
      </c>
      <c r="O49" s="18" t="str">
        <f t="shared" si="4"/>
        <v/>
      </c>
      <c r="P49" s="18" t="str">
        <f t="shared" si="5"/>
        <v/>
      </c>
      <c r="Q49" s="18" t="str">
        <f t="shared" si="6"/>
        <v/>
      </c>
      <c r="R49" s="18" t="str">
        <f t="shared" si="7"/>
        <v/>
      </c>
    </row>
    <row r="50" spans="1:18" ht="22.5" customHeight="1" x14ac:dyDescent="0.25">
      <c r="A50" s="19"/>
      <c r="B50" s="122"/>
      <c r="C50" s="107"/>
      <c r="D50" s="107"/>
      <c r="E50" s="20"/>
      <c r="F50" s="36"/>
      <c r="G50" s="40"/>
      <c r="H50" s="20"/>
      <c r="I50" s="131"/>
      <c r="J50" s="21"/>
      <c r="L50" s="18" t="str">
        <f t="shared" si="1"/>
        <v/>
      </c>
      <c r="M50" s="18" t="str">
        <f t="shared" si="2"/>
        <v/>
      </c>
      <c r="N50" s="18" t="str">
        <f t="shared" si="3"/>
        <v/>
      </c>
      <c r="O50" s="18" t="str">
        <f t="shared" si="4"/>
        <v/>
      </c>
      <c r="P50" s="18" t="str">
        <f t="shared" si="5"/>
        <v/>
      </c>
      <c r="Q50" s="18" t="str">
        <f t="shared" si="6"/>
        <v/>
      </c>
      <c r="R50" s="18" t="str">
        <f t="shared" si="7"/>
        <v/>
      </c>
    </row>
    <row r="51" spans="1:18" ht="22.5" customHeight="1" x14ac:dyDescent="0.25">
      <c r="A51" s="22"/>
      <c r="B51" s="123"/>
      <c r="C51" s="108"/>
      <c r="D51" s="108"/>
      <c r="E51" s="23"/>
      <c r="F51" s="37"/>
      <c r="G51" s="41"/>
      <c r="H51" s="23"/>
      <c r="I51" s="132"/>
      <c r="J51" s="24"/>
      <c r="L51" s="18" t="str">
        <f t="shared" si="1"/>
        <v/>
      </c>
      <c r="M51" s="18" t="str">
        <f t="shared" si="2"/>
        <v/>
      </c>
      <c r="N51" s="18" t="str">
        <f t="shared" si="3"/>
        <v/>
      </c>
      <c r="O51" s="18" t="str">
        <f t="shared" si="4"/>
        <v/>
      </c>
      <c r="P51" s="18" t="str">
        <f t="shared" si="5"/>
        <v/>
      </c>
      <c r="Q51" s="18" t="str">
        <f t="shared" si="6"/>
        <v/>
      </c>
      <c r="R51" s="18" t="str">
        <f t="shared" si="7"/>
        <v/>
      </c>
    </row>
    <row r="52" spans="1:18" ht="22.5" customHeight="1" x14ac:dyDescent="0.25">
      <c r="A52" s="19"/>
      <c r="B52" s="122"/>
      <c r="C52" s="107"/>
      <c r="D52" s="107"/>
      <c r="E52" s="20"/>
      <c r="F52" s="36"/>
      <c r="G52" s="40"/>
      <c r="H52" s="20"/>
      <c r="I52" s="131"/>
      <c r="J52" s="21"/>
      <c r="L52" s="18" t="str">
        <f t="shared" si="1"/>
        <v/>
      </c>
      <c r="M52" s="18" t="str">
        <f t="shared" si="2"/>
        <v/>
      </c>
      <c r="N52" s="18" t="str">
        <f t="shared" si="3"/>
        <v/>
      </c>
      <c r="O52" s="18" t="str">
        <f t="shared" si="4"/>
        <v/>
      </c>
      <c r="P52" s="18" t="str">
        <f t="shared" si="5"/>
        <v/>
      </c>
      <c r="Q52" s="18" t="str">
        <f t="shared" si="6"/>
        <v/>
      </c>
      <c r="R52" s="18" t="str">
        <f t="shared" si="7"/>
        <v/>
      </c>
    </row>
    <row r="53" spans="1:18" ht="22.5" customHeight="1" x14ac:dyDescent="0.25">
      <c r="A53" s="22"/>
      <c r="B53" s="123"/>
      <c r="C53" s="108"/>
      <c r="D53" s="108"/>
      <c r="E53" s="23"/>
      <c r="F53" s="37"/>
      <c r="G53" s="41"/>
      <c r="H53" s="23"/>
      <c r="I53" s="132"/>
      <c r="J53" s="24"/>
      <c r="L53" s="18" t="str">
        <f t="shared" si="1"/>
        <v/>
      </c>
      <c r="M53" s="18" t="str">
        <f t="shared" si="2"/>
        <v/>
      </c>
      <c r="N53" s="18" t="str">
        <f t="shared" si="3"/>
        <v/>
      </c>
      <c r="O53" s="18" t="str">
        <f t="shared" si="4"/>
        <v/>
      </c>
      <c r="P53" s="18" t="str">
        <f t="shared" si="5"/>
        <v/>
      </c>
      <c r="Q53" s="18" t="str">
        <f t="shared" si="6"/>
        <v/>
      </c>
      <c r="R53" s="18" t="str">
        <f t="shared" si="7"/>
        <v/>
      </c>
    </row>
    <row r="54" spans="1:18" ht="22.5" customHeight="1" x14ac:dyDescent="0.25">
      <c r="A54" s="19"/>
      <c r="B54" s="122"/>
      <c r="C54" s="107"/>
      <c r="D54" s="107"/>
      <c r="E54" s="20"/>
      <c r="F54" s="36"/>
      <c r="G54" s="40"/>
      <c r="H54" s="20"/>
      <c r="I54" s="131"/>
      <c r="J54" s="21"/>
      <c r="L54" s="18" t="str">
        <f t="shared" si="1"/>
        <v/>
      </c>
      <c r="M54" s="18" t="str">
        <f t="shared" si="2"/>
        <v/>
      </c>
      <c r="N54" s="18" t="str">
        <f t="shared" si="3"/>
        <v/>
      </c>
      <c r="O54" s="18" t="str">
        <f t="shared" si="4"/>
        <v/>
      </c>
      <c r="P54" s="18" t="str">
        <f t="shared" si="5"/>
        <v/>
      </c>
      <c r="Q54" s="18" t="str">
        <f t="shared" si="6"/>
        <v/>
      </c>
      <c r="R54" s="18" t="str">
        <f t="shared" si="7"/>
        <v/>
      </c>
    </row>
    <row r="55" spans="1:18" ht="22.5" customHeight="1" x14ac:dyDescent="0.25">
      <c r="A55" s="22"/>
      <c r="B55" s="123"/>
      <c r="C55" s="108"/>
      <c r="D55" s="108"/>
      <c r="E55" s="23"/>
      <c r="F55" s="37"/>
      <c r="G55" s="41"/>
      <c r="H55" s="23"/>
      <c r="I55" s="132"/>
      <c r="J55" s="24"/>
      <c r="L55" s="18" t="str">
        <f t="shared" si="1"/>
        <v/>
      </c>
      <c r="M55" s="18" t="str">
        <f t="shared" si="2"/>
        <v/>
      </c>
      <c r="N55" s="18" t="str">
        <f t="shared" si="3"/>
        <v/>
      </c>
      <c r="O55" s="18" t="str">
        <f t="shared" si="4"/>
        <v/>
      </c>
      <c r="P55" s="18" t="str">
        <f t="shared" si="5"/>
        <v/>
      </c>
      <c r="Q55" s="18" t="str">
        <f t="shared" si="6"/>
        <v/>
      </c>
      <c r="R55" s="18" t="str">
        <f t="shared" si="7"/>
        <v/>
      </c>
    </row>
    <row r="56" spans="1:18" ht="22.5" customHeight="1" x14ac:dyDescent="0.25">
      <c r="A56" s="19"/>
      <c r="B56" s="122"/>
      <c r="C56" s="107"/>
      <c r="D56" s="107"/>
      <c r="E56" s="20"/>
      <c r="F56" s="36"/>
      <c r="G56" s="40"/>
      <c r="H56" s="20"/>
      <c r="I56" s="131"/>
      <c r="J56" s="21"/>
      <c r="L56" s="18" t="str">
        <f t="shared" si="1"/>
        <v/>
      </c>
      <c r="M56" s="18" t="str">
        <f t="shared" si="2"/>
        <v/>
      </c>
      <c r="N56" s="18" t="str">
        <f t="shared" si="3"/>
        <v/>
      </c>
      <c r="O56" s="18" t="str">
        <f t="shared" si="4"/>
        <v/>
      </c>
      <c r="P56" s="18" t="str">
        <f t="shared" si="5"/>
        <v/>
      </c>
      <c r="Q56" s="18" t="str">
        <f t="shared" si="6"/>
        <v/>
      </c>
      <c r="R56" s="18" t="str">
        <f t="shared" si="7"/>
        <v/>
      </c>
    </row>
    <row r="57" spans="1:18" ht="22.5" customHeight="1" x14ac:dyDescent="0.25">
      <c r="A57" s="22"/>
      <c r="B57" s="123"/>
      <c r="C57" s="108"/>
      <c r="D57" s="108"/>
      <c r="E57" s="23"/>
      <c r="F57" s="37"/>
      <c r="G57" s="41"/>
      <c r="H57" s="23"/>
      <c r="I57" s="132"/>
      <c r="J57" s="24"/>
      <c r="L57" s="18" t="str">
        <f t="shared" si="1"/>
        <v/>
      </c>
      <c r="M57" s="18" t="str">
        <f t="shared" si="2"/>
        <v/>
      </c>
      <c r="N57" s="18" t="str">
        <f t="shared" si="3"/>
        <v/>
      </c>
      <c r="O57" s="18" t="str">
        <f t="shared" si="4"/>
        <v/>
      </c>
      <c r="P57" s="18" t="str">
        <f t="shared" si="5"/>
        <v/>
      </c>
      <c r="Q57" s="18" t="str">
        <f t="shared" si="6"/>
        <v/>
      </c>
      <c r="R57" s="18" t="str">
        <f t="shared" si="7"/>
        <v/>
      </c>
    </row>
    <row r="58" spans="1:18" ht="22.5" customHeight="1" x14ac:dyDescent="0.25">
      <c r="A58" s="19"/>
      <c r="B58" s="122"/>
      <c r="C58" s="107"/>
      <c r="D58" s="107"/>
      <c r="E58" s="20"/>
      <c r="F58" s="36"/>
      <c r="G58" s="40"/>
      <c r="H58" s="20"/>
      <c r="I58" s="131"/>
      <c r="J58" s="21"/>
      <c r="L58" s="18" t="str">
        <f t="shared" si="1"/>
        <v/>
      </c>
      <c r="M58" s="18" t="str">
        <f t="shared" si="2"/>
        <v/>
      </c>
      <c r="N58" s="18" t="str">
        <f t="shared" si="3"/>
        <v/>
      </c>
      <c r="O58" s="18" t="str">
        <f t="shared" si="4"/>
        <v/>
      </c>
      <c r="P58" s="18" t="str">
        <f t="shared" si="5"/>
        <v/>
      </c>
      <c r="Q58" s="18" t="str">
        <f t="shared" si="6"/>
        <v/>
      </c>
      <c r="R58" s="18" t="str">
        <f t="shared" si="7"/>
        <v/>
      </c>
    </row>
    <row r="59" spans="1:18" ht="22.5" customHeight="1" x14ac:dyDescent="0.25">
      <c r="A59" s="22"/>
      <c r="B59" s="123"/>
      <c r="C59" s="108"/>
      <c r="D59" s="108"/>
      <c r="E59" s="23"/>
      <c r="F59" s="37"/>
      <c r="G59" s="41"/>
      <c r="H59" s="23"/>
      <c r="I59" s="132"/>
      <c r="J59" s="24"/>
      <c r="L59" s="18" t="str">
        <f t="shared" si="1"/>
        <v/>
      </c>
      <c r="M59" s="18" t="str">
        <f t="shared" si="2"/>
        <v/>
      </c>
      <c r="N59" s="18" t="str">
        <f t="shared" si="3"/>
        <v/>
      </c>
      <c r="O59" s="18" t="str">
        <f t="shared" si="4"/>
        <v/>
      </c>
      <c r="P59" s="18" t="str">
        <f t="shared" si="5"/>
        <v/>
      </c>
      <c r="Q59" s="18" t="str">
        <f t="shared" si="6"/>
        <v/>
      </c>
      <c r="R59" s="18" t="str">
        <f t="shared" si="7"/>
        <v/>
      </c>
    </row>
    <row r="60" spans="1:18" ht="22.5" customHeight="1" x14ac:dyDescent="0.25">
      <c r="A60" s="19"/>
      <c r="B60" s="122"/>
      <c r="C60" s="107"/>
      <c r="D60" s="107"/>
      <c r="E60" s="20"/>
      <c r="F60" s="36"/>
      <c r="G60" s="40"/>
      <c r="H60" s="20"/>
      <c r="I60" s="131"/>
      <c r="J60" s="21"/>
      <c r="L60" s="18" t="str">
        <f t="shared" si="1"/>
        <v/>
      </c>
      <c r="M60" s="18" t="str">
        <f t="shared" si="2"/>
        <v/>
      </c>
      <c r="N60" s="18" t="str">
        <f t="shared" si="3"/>
        <v/>
      </c>
      <c r="O60" s="18" t="str">
        <f t="shared" si="4"/>
        <v/>
      </c>
      <c r="P60" s="18" t="str">
        <f t="shared" si="5"/>
        <v/>
      </c>
      <c r="Q60" s="18" t="str">
        <f t="shared" si="6"/>
        <v/>
      </c>
      <c r="R60" s="18" t="str">
        <f t="shared" si="7"/>
        <v/>
      </c>
    </row>
    <row r="61" spans="1:18" ht="22.5" customHeight="1" x14ac:dyDescent="0.25">
      <c r="A61" s="22"/>
      <c r="B61" s="123"/>
      <c r="C61" s="108"/>
      <c r="D61" s="108"/>
      <c r="E61" s="23"/>
      <c r="F61" s="37"/>
      <c r="G61" s="41"/>
      <c r="H61" s="23"/>
      <c r="I61" s="132"/>
      <c r="J61" s="24"/>
      <c r="L61" s="18" t="str">
        <f t="shared" si="1"/>
        <v/>
      </c>
      <c r="M61" s="18" t="str">
        <f t="shared" si="2"/>
        <v/>
      </c>
      <c r="N61" s="18" t="str">
        <f t="shared" si="3"/>
        <v/>
      </c>
      <c r="O61" s="18" t="str">
        <f t="shared" si="4"/>
        <v/>
      </c>
      <c r="P61" s="18" t="str">
        <f t="shared" si="5"/>
        <v/>
      </c>
      <c r="Q61" s="18" t="str">
        <f t="shared" si="6"/>
        <v/>
      </c>
      <c r="R61" s="18" t="str">
        <f t="shared" si="7"/>
        <v/>
      </c>
    </row>
    <row r="62" spans="1:18" ht="22.5" customHeight="1" x14ac:dyDescent="0.25">
      <c r="A62" s="19"/>
      <c r="B62" s="122"/>
      <c r="C62" s="107"/>
      <c r="D62" s="107"/>
      <c r="E62" s="20"/>
      <c r="F62" s="36"/>
      <c r="G62" s="40"/>
      <c r="H62" s="20"/>
      <c r="I62" s="131"/>
      <c r="J62" s="21"/>
      <c r="L62" s="18" t="str">
        <f t="shared" si="1"/>
        <v/>
      </c>
      <c r="M62" s="18" t="str">
        <f t="shared" si="2"/>
        <v/>
      </c>
      <c r="N62" s="18" t="str">
        <f t="shared" si="3"/>
        <v/>
      </c>
      <c r="O62" s="18" t="str">
        <f t="shared" si="4"/>
        <v/>
      </c>
      <c r="P62" s="18" t="str">
        <f t="shared" si="5"/>
        <v/>
      </c>
      <c r="Q62" s="18" t="str">
        <f t="shared" si="6"/>
        <v/>
      </c>
      <c r="R62" s="18" t="str">
        <f t="shared" si="7"/>
        <v/>
      </c>
    </row>
    <row r="63" spans="1:18" ht="22.5" customHeight="1" x14ac:dyDescent="0.25">
      <c r="A63" s="22"/>
      <c r="B63" s="123"/>
      <c r="C63" s="108"/>
      <c r="D63" s="108"/>
      <c r="E63" s="23"/>
      <c r="F63" s="37"/>
      <c r="G63" s="41"/>
      <c r="H63" s="23"/>
      <c r="I63" s="132"/>
      <c r="J63" s="24"/>
      <c r="L63" s="18" t="str">
        <f t="shared" si="1"/>
        <v/>
      </c>
      <c r="M63" s="18" t="str">
        <f t="shared" si="2"/>
        <v/>
      </c>
      <c r="N63" s="18" t="str">
        <f t="shared" si="3"/>
        <v/>
      </c>
      <c r="O63" s="18" t="str">
        <f t="shared" si="4"/>
        <v/>
      </c>
      <c r="P63" s="18" t="str">
        <f t="shared" si="5"/>
        <v/>
      </c>
      <c r="Q63" s="18" t="str">
        <f t="shared" si="6"/>
        <v/>
      </c>
      <c r="R63" s="18" t="str">
        <f t="shared" si="7"/>
        <v/>
      </c>
    </row>
    <row r="64" spans="1:18" ht="22.5" customHeight="1" x14ac:dyDescent="0.25">
      <c r="A64" s="19"/>
      <c r="B64" s="122"/>
      <c r="C64" s="107"/>
      <c r="D64" s="107"/>
      <c r="E64" s="20"/>
      <c r="F64" s="36"/>
      <c r="G64" s="40"/>
      <c r="H64" s="20"/>
      <c r="I64" s="131"/>
      <c r="J64" s="21"/>
      <c r="L64" s="18" t="str">
        <f t="shared" si="1"/>
        <v/>
      </c>
      <c r="M64" s="18" t="str">
        <f t="shared" si="2"/>
        <v/>
      </c>
      <c r="N64" s="18" t="str">
        <f t="shared" si="3"/>
        <v/>
      </c>
      <c r="O64" s="18" t="str">
        <f t="shared" si="4"/>
        <v/>
      </c>
      <c r="P64" s="18" t="str">
        <f t="shared" si="5"/>
        <v/>
      </c>
      <c r="Q64" s="18" t="str">
        <f t="shared" si="6"/>
        <v/>
      </c>
      <c r="R64" s="18" t="str">
        <f t="shared" si="7"/>
        <v/>
      </c>
    </row>
    <row r="65" spans="1:18" ht="22.5" customHeight="1" x14ac:dyDescent="0.25">
      <c r="A65" s="22"/>
      <c r="B65" s="123"/>
      <c r="C65" s="108"/>
      <c r="D65" s="108"/>
      <c r="E65" s="23"/>
      <c r="F65" s="37"/>
      <c r="G65" s="41"/>
      <c r="H65" s="23"/>
      <c r="I65" s="132"/>
      <c r="J65" s="24"/>
      <c r="L65" s="18" t="str">
        <f t="shared" si="1"/>
        <v/>
      </c>
      <c r="M65" s="18" t="str">
        <f t="shared" si="2"/>
        <v/>
      </c>
      <c r="N65" s="18" t="str">
        <f t="shared" si="3"/>
        <v/>
      </c>
      <c r="O65" s="18" t="str">
        <f t="shared" si="4"/>
        <v/>
      </c>
      <c r="P65" s="18" t="str">
        <f t="shared" si="5"/>
        <v/>
      </c>
      <c r="Q65" s="18" t="str">
        <f t="shared" si="6"/>
        <v/>
      </c>
      <c r="R65" s="18" t="str">
        <f t="shared" si="7"/>
        <v/>
      </c>
    </row>
    <row r="66" spans="1:18" ht="22.5" customHeight="1" x14ac:dyDescent="0.25">
      <c r="A66" s="19"/>
      <c r="B66" s="122"/>
      <c r="C66" s="107"/>
      <c r="D66" s="107"/>
      <c r="E66" s="20"/>
      <c r="F66" s="36"/>
      <c r="G66" s="40"/>
      <c r="H66" s="20"/>
      <c r="I66" s="131"/>
      <c r="J66" s="21"/>
      <c r="L66" s="18" t="str">
        <f t="shared" si="1"/>
        <v/>
      </c>
      <c r="M66" s="18" t="str">
        <f t="shared" si="2"/>
        <v/>
      </c>
      <c r="N66" s="18" t="str">
        <f t="shared" si="3"/>
        <v/>
      </c>
      <c r="O66" s="18" t="str">
        <f t="shared" si="4"/>
        <v/>
      </c>
      <c r="P66" s="18" t="str">
        <f t="shared" si="5"/>
        <v/>
      </c>
      <c r="Q66" s="18" t="str">
        <f t="shared" si="6"/>
        <v/>
      </c>
      <c r="R66" s="18" t="str">
        <f t="shared" si="7"/>
        <v/>
      </c>
    </row>
    <row r="67" spans="1:18" ht="22.5" customHeight="1" x14ac:dyDescent="0.25">
      <c r="A67" s="22"/>
      <c r="B67" s="123"/>
      <c r="C67" s="108"/>
      <c r="D67" s="108"/>
      <c r="E67" s="23"/>
      <c r="F67" s="37"/>
      <c r="G67" s="41"/>
      <c r="H67" s="23"/>
      <c r="I67" s="132"/>
      <c r="J67" s="24"/>
      <c r="L67" s="18" t="str">
        <f t="shared" si="1"/>
        <v/>
      </c>
      <c r="M67" s="18" t="str">
        <f t="shared" si="2"/>
        <v/>
      </c>
      <c r="N67" s="18" t="str">
        <f t="shared" si="3"/>
        <v/>
      </c>
      <c r="O67" s="18" t="str">
        <f t="shared" si="4"/>
        <v/>
      </c>
      <c r="P67" s="18" t="str">
        <f t="shared" si="5"/>
        <v/>
      </c>
      <c r="Q67" s="18" t="str">
        <f t="shared" si="6"/>
        <v/>
      </c>
      <c r="R67" s="18" t="str">
        <f t="shared" si="7"/>
        <v/>
      </c>
    </row>
    <row r="68" spans="1:18" ht="22.5" customHeight="1" x14ac:dyDescent="0.25">
      <c r="A68" s="19"/>
      <c r="B68" s="122"/>
      <c r="C68" s="107"/>
      <c r="D68" s="107"/>
      <c r="E68" s="20"/>
      <c r="F68" s="36"/>
      <c r="G68" s="40"/>
      <c r="H68" s="20"/>
      <c r="I68" s="131"/>
      <c r="J68" s="21"/>
      <c r="L68" s="18" t="str">
        <f t="shared" si="1"/>
        <v/>
      </c>
      <c r="M68" s="18" t="str">
        <f t="shared" si="2"/>
        <v/>
      </c>
      <c r="N68" s="18" t="str">
        <f t="shared" si="3"/>
        <v/>
      </c>
      <c r="O68" s="18" t="str">
        <f t="shared" si="4"/>
        <v/>
      </c>
      <c r="P68" s="18" t="str">
        <f t="shared" si="5"/>
        <v/>
      </c>
      <c r="Q68" s="18" t="str">
        <f t="shared" si="6"/>
        <v/>
      </c>
      <c r="R68" s="18" t="str">
        <f t="shared" si="7"/>
        <v/>
      </c>
    </row>
    <row r="69" spans="1:18" ht="22.5" customHeight="1" x14ac:dyDescent="0.25">
      <c r="A69" s="22"/>
      <c r="B69" s="123"/>
      <c r="C69" s="108"/>
      <c r="D69" s="108"/>
      <c r="E69" s="23"/>
      <c r="F69" s="37"/>
      <c r="G69" s="41"/>
      <c r="H69" s="23"/>
      <c r="I69" s="132"/>
      <c r="J69" s="24"/>
      <c r="L69" s="18" t="str">
        <f t="shared" si="1"/>
        <v/>
      </c>
      <c r="M69" s="18" t="str">
        <f t="shared" si="2"/>
        <v/>
      </c>
      <c r="N69" s="18" t="str">
        <f t="shared" si="3"/>
        <v/>
      </c>
      <c r="O69" s="18" t="str">
        <f t="shared" si="4"/>
        <v/>
      </c>
      <c r="P69" s="18" t="str">
        <f t="shared" si="5"/>
        <v/>
      </c>
      <c r="Q69" s="18" t="str">
        <f t="shared" si="6"/>
        <v/>
      </c>
      <c r="R69" s="18" t="str">
        <f t="shared" si="7"/>
        <v/>
      </c>
    </row>
    <row r="70" spans="1:18" ht="22.5" customHeight="1" x14ac:dyDescent="0.25">
      <c r="A70" s="19"/>
      <c r="B70" s="122"/>
      <c r="C70" s="107"/>
      <c r="D70" s="107"/>
      <c r="E70" s="20"/>
      <c r="F70" s="36"/>
      <c r="G70" s="40"/>
      <c r="H70" s="20"/>
      <c r="I70" s="131"/>
      <c r="J70" s="21"/>
      <c r="L70" s="18" t="str">
        <f t="shared" si="1"/>
        <v/>
      </c>
      <c r="M70" s="18" t="str">
        <f t="shared" si="2"/>
        <v/>
      </c>
      <c r="N70" s="18" t="str">
        <f t="shared" si="3"/>
        <v/>
      </c>
      <c r="O70" s="18" t="str">
        <f t="shared" si="4"/>
        <v/>
      </c>
      <c r="P70" s="18" t="str">
        <f t="shared" si="5"/>
        <v/>
      </c>
      <c r="Q70" s="18" t="str">
        <f t="shared" si="6"/>
        <v/>
      </c>
      <c r="R70" s="18" t="str">
        <f t="shared" si="7"/>
        <v/>
      </c>
    </row>
    <row r="71" spans="1:18" ht="22.5" customHeight="1" x14ac:dyDescent="0.25">
      <c r="A71" s="22"/>
      <c r="B71" s="123"/>
      <c r="C71" s="108"/>
      <c r="D71" s="108"/>
      <c r="E71" s="23"/>
      <c r="F71" s="37"/>
      <c r="G71" s="41"/>
      <c r="H71" s="23"/>
      <c r="I71" s="132"/>
      <c r="J71" s="24"/>
      <c r="L71" s="18" t="str">
        <f t="shared" si="1"/>
        <v/>
      </c>
      <c r="M71" s="18" t="str">
        <f t="shared" si="2"/>
        <v/>
      </c>
      <c r="N71" s="18" t="str">
        <f t="shared" si="3"/>
        <v/>
      </c>
      <c r="O71" s="18" t="str">
        <f t="shared" si="4"/>
        <v/>
      </c>
      <c r="P71" s="18" t="str">
        <f t="shared" si="5"/>
        <v/>
      </c>
      <c r="Q71" s="18" t="str">
        <f t="shared" si="6"/>
        <v/>
      </c>
      <c r="R71" s="18" t="str">
        <f t="shared" si="7"/>
        <v/>
      </c>
    </row>
    <row r="72" spans="1:18" ht="22.5" customHeight="1" x14ac:dyDescent="0.25">
      <c r="A72" s="19"/>
      <c r="B72" s="122"/>
      <c r="C72" s="107"/>
      <c r="D72" s="107"/>
      <c r="E72" s="20"/>
      <c r="F72" s="36"/>
      <c r="G72" s="40"/>
      <c r="H72" s="20"/>
      <c r="I72" s="131"/>
      <c r="J72" s="21"/>
      <c r="L72" s="18" t="str">
        <f t="shared" si="1"/>
        <v/>
      </c>
      <c r="M72" s="18" t="str">
        <f t="shared" si="2"/>
        <v/>
      </c>
      <c r="N72" s="18" t="str">
        <f t="shared" si="3"/>
        <v/>
      </c>
      <c r="O72" s="18" t="str">
        <f t="shared" si="4"/>
        <v/>
      </c>
      <c r="P72" s="18" t="str">
        <f t="shared" si="5"/>
        <v/>
      </c>
      <c r="Q72" s="18" t="str">
        <f t="shared" si="6"/>
        <v/>
      </c>
      <c r="R72" s="18" t="str">
        <f t="shared" si="7"/>
        <v/>
      </c>
    </row>
    <row r="73" spans="1:18" ht="22.5" customHeight="1" x14ac:dyDescent="0.25">
      <c r="A73" s="22"/>
      <c r="B73" s="123"/>
      <c r="C73" s="108"/>
      <c r="D73" s="108"/>
      <c r="E73" s="23"/>
      <c r="F73" s="37"/>
      <c r="G73" s="41"/>
      <c r="H73" s="23"/>
      <c r="I73" s="132"/>
      <c r="J73" s="24"/>
      <c r="L73" s="18" t="str">
        <f t="shared" si="1"/>
        <v/>
      </c>
      <c r="M73" s="18" t="str">
        <f t="shared" si="2"/>
        <v/>
      </c>
      <c r="N73" s="18" t="str">
        <f t="shared" si="3"/>
        <v/>
      </c>
      <c r="O73" s="18" t="str">
        <f t="shared" si="4"/>
        <v/>
      </c>
      <c r="P73" s="18" t="str">
        <f t="shared" si="5"/>
        <v/>
      </c>
      <c r="Q73" s="18" t="str">
        <f t="shared" si="6"/>
        <v/>
      </c>
      <c r="R73" s="18" t="str">
        <f t="shared" si="7"/>
        <v/>
      </c>
    </row>
    <row r="74" spans="1:18" ht="22.5" customHeight="1" x14ac:dyDescent="0.25">
      <c r="A74" s="19"/>
      <c r="B74" s="122"/>
      <c r="C74" s="107"/>
      <c r="D74" s="107"/>
      <c r="E74" s="20"/>
      <c r="F74" s="36"/>
      <c r="G74" s="40"/>
      <c r="H74" s="20"/>
      <c r="I74" s="131"/>
      <c r="J74" s="21"/>
      <c r="L74" s="18" t="str">
        <f t="shared" ref="L74:L137" si="26">IF(A74="","",IF(A74="Entrada",D74,""))</f>
        <v/>
      </c>
      <c r="M74" s="18" t="str">
        <f t="shared" ref="M74:M137" si="27">IF(A74="","",IF(A74="Entrada",E74,""))</f>
        <v/>
      </c>
      <c r="N74" s="18" t="str">
        <f t="shared" ref="N74:N137" si="28">IF(A74="","",IF(A74="Entrada",1,""))</f>
        <v/>
      </c>
      <c r="O74" s="18" t="str">
        <f t="shared" ref="O74:O137" si="29">IF(N74=1,G74,"")</f>
        <v/>
      </c>
      <c r="P74" s="18" t="str">
        <f t="shared" ref="P74:P137" si="30">IF(A74="","",IF(A74="Entrada",(L74/10)*O74,""))</f>
        <v/>
      </c>
      <c r="Q74" s="18" t="str">
        <f t="shared" ref="Q74:Q137" si="31">IF(A74="","",IF(A74="Saída",D74,""))</f>
        <v/>
      </c>
      <c r="R74" s="18" t="str">
        <f t="shared" ref="R74:R137" si="32">IF(A74="","",IF(A74="Saída",E74,""))</f>
        <v/>
      </c>
    </row>
    <row r="75" spans="1:18" ht="22.5" customHeight="1" x14ac:dyDescent="0.25">
      <c r="A75" s="22"/>
      <c r="B75" s="123"/>
      <c r="C75" s="108"/>
      <c r="D75" s="108"/>
      <c r="E75" s="23"/>
      <c r="F75" s="37"/>
      <c r="G75" s="41"/>
      <c r="H75" s="23"/>
      <c r="I75" s="132"/>
      <c r="J75" s="24"/>
      <c r="L75" s="18" t="str">
        <f t="shared" si="26"/>
        <v/>
      </c>
      <c r="M75" s="18" t="str">
        <f t="shared" si="27"/>
        <v/>
      </c>
      <c r="N75" s="18" t="str">
        <f t="shared" si="28"/>
        <v/>
      </c>
      <c r="O75" s="18" t="str">
        <f t="shared" si="29"/>
        <v/>
      </c>
      <c r="P75" s="18" t="str">
        <f t="shared" si="30"/>
        <v/>
      </c>
      <c r="Q75" s="18" t="str">
        <f t="shared" si="31"/>
        <v/>
      </c>
      <c r="R75" s="18" t="str">
        <f t="shared" si="32"/>
        <v/>
      </c>
    </row>
    <row r="76" spans="1:18" ht="22.5" customHeight="1" x14ac:dyDescent="0.25">
      <c r="A76" s="19"/>
      <c r="B76" s="122"/>
      <c r="C76" s="107"/>
      <c r="D76" s="107"/>
      <c r="E76" s="20"/>
      <c r="F76" s="36"/>
      <c r="G76" s="40"/>
      <c r="H76" s="20"/>
      <c r="I76" s="131"/>
      <c r="J76" s="21"/>
      <c r="L76" s="18" t="str">
        <f t="shared" si="26"/>
        <v/>
      </c>
      <c r="M76" s="18" t="str">
        <f t="shared" si="27"/>
        <v/>
      </c>
      <c r="N76" s="18" t="str">
        <f t="shared" si="28"/>
        <v/>
      </c>
      <c r="O76" s="18" t="str">
        <f t="shared" si="29"/>
        <v/>
      </c>
      <c r="P76" s="18" t="str">
        <f t="shared" si="30"/>
        <v/>
      </c>
      <c r="Q76" s="18" t="str">
        <f t="shared" si="31"/>
        <v/>
      </c>
      <c r="R76" s="18" t="str">
        <f t="shared" si="32"/>
        <v/>
      </c>
    </row>
    <row r="77" spans="1:18" ht="22.5" customHeight="1" x14ac:dyDescent="0.25">
      <c r="A77" s="22"/>
      <c r="B77" s="123"/>
      <c r="C77" s="108"/>
      <c r="D77" s="108"/>
      <c r="E77" s="23"/>
      <c r="F77" s="37"/>
      <c r="G77" s="41"/>
      <c r="H77" s="23"/>
      <c r="I77" s="132"/>
      <c r="J77" s="24"/>
      <c r="L77" s="18" t="str">
        <f t="shared" si="26"/>
        <v/>
      </c>
      <c r="M77" s="18" t="str">
        <f t="shared" si="27"/>
        <v/>
      </c>
      <c r="N77" s="18" t="str">
        <f t="shared" si="28"/>
        <v/>
      </c>
      <c r="O77" s="18" t="str">
        <f t="shared" si="29"/>
        <v/>
      </c>
      <c r="P77" s="18" t="str">
        <f t="shared" si="30"/>
        <v/>
      </c>
      <c r="Q77" s="18" t="str">
        <f t="shared" si="31"/>
        <v/>
      </c>
      <c r="R77" s="18" t="str">
        <f t="shared" si="32"/>
        <v/>
      </c>
    </row>
    <row r="78" spans="1:18" ht="22.5" customHeight="1" x14ac:dyDescent="0.25">
      <c r="A78" s="19"/>
      <c r="B78" s="122"/>
      <c r="C78" s="107"/>
      <c r="D78" s="107"/>
      <c r="E78" s="20"/>
      <c r="F78" s="36"/>
      <c r="G78" s="40"/>
      <c r="H78" s="20"/>
      <c r="I78" s="131"/>
      <c r="J78" s="21"/>
      <c r="L78" s="18" t="str">
        <f t="shared" si="26"/>
        <v/>
      </c>
      <c r="M78" s="18" t="str">
        <f t="shared" si="27"/>
        <v/>
      </c>
      <c r="N78" s="18" t="str">
        <f t="shared" si="28"/>
        <v/>
      </c>
      <c r="O78" s="18" t="str">
        <f t="shared" si="29"/>
        <v/>
      </c>
      <c r="P78" s="18" t="str">
        <f t="shared" si="30"/>
        <v/>
      </c>
      <c r="Q78" s="18" t="str">
        <f t="shared" si="31"/>
        <v/>
      </c>
      <c r="R78" s="18" t="str">
        <f t="shared" si="32"/>
        <v/>
      </c>
    </row>
    <row r="79" spans="1:18" ht="22.5" customHeight="1" x14ac:dyDescent="0.25">
      <c r="A79" s="22"/>
      <c r="B79" s="123"/>
      <c r="C79" s="108"/>
      <c r="D79" s="108"/>
      <c r="E79" s="23"/>
      <c r="F79" s="37"/>
      <c r="G79" s="41"/>
      <c r="H79" s="23"/>
      <c r="I79" s="132"/>
      <c r="J79" s="24"/>
      <c r="L79" s="18" t="str">
        <f t="shared" si="26"/>
        <v/>
      </c>
      <c r="M79" s="18" t="str">
        <f t="shared" si="27"/>
        <v/>
      </c>
      <c r="N79" s="18" t="str">
        <f t="shared" si="28"/>
        <v/>
      </c>
      <c r="O79" s="18" t="str">
        <f t="shared" si="29"/>
        <v/>
      </c>
      <c r="P79" s="18" t="str">
        <f t="shared" si="30"/>
        <v/>
      </c>
      <c r="Q79" s="18" t="str">
        <f t="shared" si="31"/>
        <v/>
      </c>
      <c r="R79" s="18" t="str">
        <f t="shared" si="32"/>
        <v/>
      </c>
    </row>
    <row r="80" spans="1:18" ht="22.5" customHeight="1" x14ac:dyDescent="0.25">
      <c r="A80" s="19"/>
      <c r="B80" s="122"/>
      <c r="C80" s="107"/>
      <c r="D80" s="107"/>
      <c r="E80" s="20"/>
      <c r="F80" s="36"/>
      <c r="G80" s="40"/>
      <c r="H80" s="20"/>
      <c r="I80" s="131"/>
      <c r="J80" s="21"/>
      <c r="L80" s="18" t="str">
        <f t="shared" si="26"/>
        <v/>
      </c>
      <c r="M80" s="18" t="str">
        <f t="shared" si="27"/>
        <v/>
      </c>
      <c r="N80" s="18" t="str">
        <f t="shared" si="28"/>
        <v/>
      </c>
      <c r="O80" s="18" t="str">
        <f t="shared" si="29"/>
        <v/>
      </c>
      <c r="P80" s="18" t="str">
        <f t="shared" si="30"/>
        <v/>
      </c>
      <c r="Q80" s="18" t="str">
        <f t="shared" si="31"/>
        <v/>
      </c>
      <c r="R80" s="18" t="str">
        <f t="shared" si="32"/>
        <v/>
      </c>
    </row>
    <row r="81" spans="1:18" ht="22.5" customHeight="1" x14ac:dyDescent="0.25">
      <c r="A81" s="22"/>
      <c r="B81" s="123"/>
      <c r="C81" s="108"/>
      <c r="D81" s="108"/>
      <c r="E81" s="23"/>
      <c r="F81" s="37"/>
      <c r="G81" s="41"/>
      <c r="H81" s="23"/>
      <c r="I81" s="132"/>
      <c r="J81" s="24"/>
      <c r="L81" s="18" t="str">
        <f t="shared" si="26"/>
        <v/>
      </c>
      <c r="M81" s="18" t="str">
        <f t="shared" si="27"/>
        <v/>
      </c>
      <c r="N81" s="18" t="str">
        <f t="shared" si="28"/>
        <v/>
      </c>
      <c r="O81" s="18" t="str">
        <f t="shared" si="29"/>
        <v/>
      </c>
      <c r="P81" s="18" t="str">
        <f t="shared" si="30"/>
        <v/>
      </c>
      <c r="Q81" s="18" t="str">
        <f t="shared" si="31"/>
        <v/>
      </c>
      <c r="R81" s="18" t="str">
        <f t="shared" si="32"/>
        <v/>
      </c>
    </row>
    <row r="82" spans="1:18" ht="22.5" customHeight="1" x14ac:dyDescent="0.25">
      <c r="A82" s="19"/>
      <c r="B82" s="122"/>
      <c r="C82" s="107"/>
      <c r="D82" s="107"/>
      <c r="E82" s="20"/>
      <c r="F82" s="36"/>
      <c r="G82" s="40"/>
      <c r="H82" s="20"/>
      <c r="I82" s="131"/>
      <c r="J82" s="21"/>
      <c r="L82" s="18" t="str">
        <f t="shared" si="26"/>
        <v/>
      </c>
      <c r="M82" s="18" t="str">
        <f t="shared" si="27"/>
        <v/>
      </c>
      <c r="N82" s="18" t="str">
        <f t="shared" si="28"/>
        <v/>
      </c>
      <c r="O82" s="18" t="str">
        <f t="shared" si="29"/>
        <v/>
      </c>
      <c r="P82" s="18" t="str">
        <f t="shared" si="30"/>
        <v/>
      </c>
      <c r="Q82" s="18" t="str">
        <f t="shared" si="31"/>
        <v/>
      </c>
      <c r="R82" s="18" t="str">
        <f t="shared" si="32"/>
        <v/>
      </c>
    </row>
    <row r="83" spans="1:18" ht="22.5" customHeight="1" x14ac:dyDescent="0.25">
      <c r="A83" s="22"/>
      <c r="B83" s="123"/>
      <c r="C83" s="108"/>
      <c r="D83" s="108"/>
      <c r="E83" s="23"/>
      <c r="F83" s="37"/>
      <c r="G83" s="41"/>
      <c r="H83" s="23"/>
      <c r="I83" s="132"/>
      <c r="J83" s="24"/>
      <c r="L83" s="18" t="str">
        <f t="shared" si="26"/>
        <v/>
      </c>
      <c r="M83" s="18" t="str">
        <f t="shared" si="27"/>
        <v/>
      </c>
      <c r="N83" s="18" t="str">
        <f t="shared" si="28"/>
        <v/>
      </c>
      <c r="O83" s="18" t="str">
        <f t="shared" si="29"/>
        <v/>
      </c>
      <c r="P83" s="18" t="str">
        <f t="shared" si="30"/>
        <v/>
      </c>
      <c r="Q83" s="18" t="str">
        <f t="shared" si="31"/>
        <v/>
      </c>
      <c r="R83" s="18" t="str">
        <f t="shared" si="32"/>
        <v/>
      </c>
    </row>
    <row r="84" spans="1:18" ht="22.5" customHeight="1" x14ac:dyDescent="0.25">
      <c r="A84" s="19"/>
      <c r="B84" s="122"/>
      <c r="C84" s="107"/>
      <c r="D84" s="107"/>
      <c r="E84" s="20"/>
      <c r="F84" s="36"/>
      <c r="G84" s="40"/>
      <c r="H84" s="20"/>
      <c r="I84" s="131"/>
      <c r="J84" s="21"/>
      <c r="L84" s="18" t="str">
        <f t="shared" si="26"/>
        <v/>
      </c>
      <c r="M84" s="18" t="str">
        <f t="shared" si="27"/>
        <v/>
      </c>
      <c r="N84" s="18" t="str">
        <f t="shared" si="28"/>
        <v/>
      </c>
      <c r="O84" s="18" t="str">
        <f t="shared" si="29"/>
        <v/>
      </c>
      <c r="P84" s="18" t="str">
        <f t="shared" si="30"/>
        <v/>
      </c>
      <c r="Q84" s="18" t="str">
        <f t="shared" si="31"/>
        <v/>
      </c>
      <c r="R84" s="18" t="str">
        <f t="shared" si="32"/>
        <v/>
      </c>
    </row>
    <row r="85" spans="1:18" ht="22.5" customHeight="1" x14ac:dyDescent="0.25">
      <c r="A85" s="22"/>
      <c r="B85" s="123"/>
      <c r="C85" s="108"/>
      <c r="D85" s="108"/>
      <c r="E85" s="23"/>
      <c r="F85" s="37"/>
      <c r="G85" s="41"/>
      <c r="H85" s="23"/>
      <c r="I85" s="132"/>
      <c r="J85" s="24"/>
      <c r="L85" s="18" t="str">
        <f t="shared" si="26"/>
        <v/>
      </c>
      <c r="M85" s="18" t="str">
        <f t="shared" si="27"/>
        <v/>
      </c>
      <c r="N85" s="18" t="str">
        <f t="shared" si="28"/>
        <v/>
      </c>
      <c r="O85" s="18" t="str">
        <f t="shared" si="29"/>
        <v/>
      </c>
      <c r="P85" s="18" t="str">
        <f t="shared" si="30"/>
        <v/>
      </c>
      <c r="Q85" s="18" t="str">
        <f t="shared" si="31"/>
        <v/>
      </c>
      <c r="R85" s="18" t="str">
        <f t="shared" si="32"/>
        <v/>
      </c>
    </row>
    <row r="86" spans="1:18" ht="22.5" customHeight="1" x14ac:dyDescent="0.25">
      <c r="A86" s="19"/>
      <c r="B86" s="122"/>
      <c r="C86" s="107"/>
      <c r="D86" s="107"/>
      <c r="E86" s="20"/>
      <c r="F86" s="36"/>
      <c r="G86" s="40"/>
      <c r="H86" s="20"/>
      <c r="I86" s="131"/>
      <c r="J86" s="21"/>
      <c r="L86" s="18" t="str">
        <f t="shared" si="26"/>
        <v/>
      </c>
      <c r="M86" s="18" t="str">
        <f t="shared" si="27"/>
        <v/>
      </c>
      <c r="N86" s="18" t="str">
        <f t="shared" si="28"/>
        <v/>
      </c>
      <c r="O86" s="18" t="str">
        <f t="shared" si="29"/>
        <v/>
      </c>
      <c r="P86" s="18" t="str">
        <f t="shared" si="30"/>
        <v/>
      </c>
      <c r="Q86" s="18" t="str">
        <f t="shared" si="31"/>
        <v/>
      </c>
      <c r="R86" s="18" t="str">
        <f t="shared" si="32"/>
        <v/>
      </c>
    </row>
    <row r="87" spans="1:18" ht="22.5" customHeight="1" x14ac:dyDescent="0.25">
      <c r="A87" s="22"/>
      <c r="B87" s="123"/>
      <c r="C87" s="108"/>
      <c r="D87" s="108"/>
      <c r="E87" s="23"/>
      <c r="F87" s="37"/>
      <c r="G87" s="41"/>
      <c r="H87" s="23"/>
      <c r="I87" s="132"/>
      <c r="J87" s="24"/>
      <c r="L87" s="18" t="str">
        <f t="shared" si="26"/>
        <v/>
      </c>
      <c r="M87" s="18" t="str">
        <f t="shared" si="27"/>
        <v/>
      </c>
      <c r="N87" s="18" t="str">
        <f t="shared" si="28"/>
        <v/>
      </c>
      <c r="O87" s="18" t="str">
        <f t="shared" si="29"/>
        <v/>
      </c>
      <c r="P87" s="18" t="str">
        <f t="shared" si="30"/>
        <v/>
      </c>
      <c r="Q87" s="18" t="str">
        <f t="shared" si="31"/>
        <v/>
      </c>
      <c r="R87" s="18" t="str">
        <f t="shared" si="32"/>
        <v/>
      </c>
    </row>
    <row r="88" spans="1:18" ht="22.5" customHeight="1" x14ac:dyDescent="0.25">
      <c r="A88" s="19"/>
      <c r="B88" s="122"/>
      <c r="C88" s="107"/>
      <c r="D88" s="107"/>
      <c r="E88" s="20"/>
      <c r="F88" s="36"/>
      <c r="G88" s="40"/>
      <c r="H88" s="20"/>
      <c r="I88" s="131"/>
      <c r="J88" s="21"/>
      <c r="L88" s="18" t="str">
        <f t="shared" si="26"/>
        <v/>
      </c>
      <c r="M88" s="18" t="str">
        <f t="shared" si="27"/>
        <v/>
      </c>
      <c r="N88" s="18" t="str">
        <f t="shared" si="28"/>
        <v/>
      </c>
      <c r="O88" s="18" t="str">
        <f t="shared" si="29"/>
        <v/>
      </c>
      <c r="P88" s="18" t="str">
        <f t="shared" si="30"/>
        <v/>
      </c>
      <c r="Q88" s="18" t="str">
        <f t="shared" si="31"/>
        <v/>
      </c>
      <c r="R88" s="18" t="str">
        <f t="shared" si="32"/>
        <v/>
      </c>
    </row>
    <row r="89" spans="1:18" ht="22.5" customHeight="1" x14ac:dyDescent="0.25">
      <c r="A89" s="22"/>
      <c r="B89" s="123"/>
      <c r="C89" s="108"/>
      <c r="D89" s="108"/>
      <c r="E89" s="23"/>
      <c r="F89" s="37"/>
      <c r="G89" s="41"/>
      <c r="H89" s="23"/>
      <c r="I89" s="132"/>
      <c r="J89" s="24"/>
      <c r="L89" s="18" t="str">
        <f t="shared" si="26"/>
        <v/>
      </c>
      <c r="M89" s="18" t="str">
        <f t="shared" si="27"/>
        <v/>
      </c>
      <c r="N89" s="18" t="str">
        <f t="shared" si="28"/>
        <v/>
      </c>
      <c r="O89" s="18" t="str">
        <f t="shared" si="29"/>
        <v/>
      </c>
      <c r="P89" s="18" t="str">
        <f t="shared" si="30"/>
        <v/>
      </c>
      <c r="Q89" s="18" t="str">
        <f t="shared" si="31"/>
        <v/>
      </c>
      <c r="R89" s="18" t="str">
        <f t="shared" si="32"/>
        <v/>
      </c>
    </row>
    <row r="90" spans="1:18" ht="22.5" customHeight="1" x14ac:dyDescent="0.25">
      <c r="A90" s="19"/>
      <c r="B90" s="122"/>
      <c r="C90" s="107"/>
      <c r="D90" s="107"/>
      <c r="E90" s="20"/>
      <c r="F90" s="36"/>
      <c r="G90" s="40"/>
      <c r="H90" s="20"/>
      <c r="I90" s="131"/>
      <c r="J90" s="21"/>
      <c r="L90" s="18" t="str">
        <f t="shared" si="26"/>
        <v/>
      </c>
      <c r="M90" s="18" t="str">
        <f t="shared" si="27"/>
        <v/>
      </c>
      <c r="N90" s="18" t="str">
        <f t="shared" si="28"/>
        <v/>
      </c>
      <c r="O90" s="18" t="str">
        <f t="shared" si="29"/>
        <v/>
      </c>
      <c r="P90" s="18" t="str">
        <f t="shared" si="30"/>
        <v/>
      </c>
      <c r="Q90" s="18" t="str">
        <f t="shared" si="31"/>
        <v/>
      </c>
      <c r="R90" s="18" t="str">
        <f t="shared" si="32"/>
        <v/>
      </c>
    </row>
    <row r="91" spans="1:18" ht="22.5" customHeight="1" x14ac:dyDescent="0.25">
      <c r="A91" s="22"/>
      <c r="B91" s="123"/>
      <c r="C91" s="108"/>
      <c r="D91" s="108"/>
      <c r="E91" s="23"/>
      <c r="F91" s="37"/>
      <c r="G91" s="41"/>
      <c r="H91" s="23"/>
      <c r="I91" s="132"/>
      <c r="J91" s="24"/>
      <c r="L91" s="18" t="str">
        <f t="shared" si="26"/>
        <v/>
      </c>
      <c r="M91" s="18" t="str">
        <f t="shared" si="27"/>
        <v/>
      </c>
      <c r="N91" s="18" t="str">
        <f t="shared" si="28"/>
        <v/>
      </c>
      <c r="O91" s="18" t="str">
        <f t="shared" si="29"/>
        <v/>
      </c>
      <c r="P91" s="18" t="str">
        <f t="shared" si="30"/>
        <v/>
      </c>
      <c r="Q91" s="18" t="str">
        <f t="shared" si="31"/>
        <v/>
      </c>
      <c r="R91" s="18" t="str">
        <f t="shared" si="32"/>
        <v/>
      </c>
    </row>
    <row r="92" spans="1:18" ht="22.5" customHeight="1" x14ac:dyDescent="0.25">
      <c r="A92" s="19"/>
      <c r="B92" s="122"/>
      <c r="C92" s="107"/>
      <c r="D92" s="107"/>
      <c r="E92" s="20"/>
      <c r="F92" s="36"/>
      <c r="G92" s="40"/>
      <c r="H92" s="20"/>
      <c r="I92" s="131"/>
      <c r="J92" s="21"/>
      <c r="L92" s="18" t="str">
        <f t="shared" si="26"/>
        <v/>
      </c>
      <c r="M92" s="18" t="str">
        <f t="shared" si="27"/>
        <v/>
      </c>
      <c r="N92" s="18" t="str">
        <f t="shared" si="28"/>
        <v/>
      </c>
      <c r="O92" s="18" t="str">
        <f t="shared" si="29"/>
        <v/>
      </c>
      <c r="P92" s="18" t="str">
        <f t="shared" si="30"/>
        <v/>
      </c>
      <c r="Q92" s="18" t="str">
        <f t="shared" si="31"/>
        <v/>
      </c>
      <c r="R92" s="18" t="str">
        <f t="shared" si="32"/>
        <v/>
      </c>
    </row>
    <row r="93" spans="1:18" ht="22.5" customHeight="1" x14ac:dyDescent="0.25">
      <c r="A93" s="22"/>
      <c r="B93" s="123"/>
      <c r="C93" s="108"/>
      <c r="D93" s="108"/>
      <c r="E93" s="23"/>
      <c r="F93" s="37"/>
      <c r="G93" s="41"/>
      <c r="H93" s="23"/>
      <c r="I93" s="132"/>
      <c r="J93" s="24"/>
      <c r="L93" s="18" t="str">
        <f t="shared" si="26"/>
        <v/>
      </c>
      <c r="M93" s="18" t="str">
        <f t="shared" si="27"/>
        <v/>
      </c>
      <c r="N93" s="18" t="str">
        <f t="shared" si="28"/>
        <v/>
      </c>
      <c r="O93" s="18" t="str">
        <f t="shared" si="29"/>
        <v/>
      </c>
      <c r="P93" s="18" t="str">
        <f t="shared" si="30"/>
        <v/>
      </c>
      <c r="Q93" s="18" t="str">
        <f t="shared" si="31"/>
        <v/>
      </c>
      <c r="R93" s="18" t="str">
        <f t="shared" si="32"/>
        <v/>
      </c>
    </row>
    <row r="94" spans="1:18" ht="22.5" customHeight="1" x14ac:dyDescent="0.25">
      <c r="A94" s="19"/>
      <c r="B94" s="122"/>
      <c r="C94" s="107"/>
      <c r="D94" s="107"/>
      <c r="E94" s="20"/>
      <c r="F94" s="36"/>
      <c r="G94" s="40"/>
      <c r="H94" s="20"/>
      <c r="I94" s="131"/>
      <c r="J94" s="21"/>
      <c r="L94" s="18" t="str">
        <f t="shared" si="26"/>
        <v/>
      </c>
      <c r="M94" s="18" t="str">
        <f t="shared" si="27"/>
        <v/>
      </c>
      <c r="N94" s="18" t="str">
        <f t="shared" si="28"/>
        <v/>
      </c>
      <c r="O94" s="18" t="str">
        <f t="shared" si="29"/>
        <v/>
      </c>
      <c r="P94" s="18" t="str">
        <f t="shared" si="30"/>
        <v/>
      </c>
      <c r="Q94" s="18" t="str">
        <f t="shared" si="31"/>
        <v/>
      </c>
      <c r="R94" s="18" t="str">
        <f t="shared" si="32"/>
        <v/>
      </c>
    </row>
    <row r="95" spans="1:18" ht="22.5" customHeight="1" x14ac:dyDescent="0.25">
      <c r="A95" s="22"/>
      <c r="B95" s="123"/>
      <c r="C95" s="108"/>
      <c r="D95" s="108"/>
      <c r="E95" s="23"/>
      <c r="F95" s="37"/>
      <c r="G95" s="41"/>
      <c r="H95" s="23"/>
      <c r="I95" s="132"/>
      <c r="J95" s="24"/>
      <c r="L95" s="18" t="str">
        <f t="shared" si="26"/>
        <v/>
      </c>
      <c r="M95" s="18" t="str">
        <f t="shared" si="27"/>
        <v/>
      </c>
      <c r="N95" s="18" t="str">
        <f t="shared" si="28"/>
        <v/>
      </c>
      <c r="O95" s="18" t="str">
        <f t="shared" si="29"/>
        <v/>
      </c>
      <c r="P95" s="18" t="str">
        <f t="shared" si="30"/>
        <v/>
      </c>
      <c r="Q95" s="18" t="str">
        <f t="shared" si="31"/>
        <v/>
      </c>
      <c r="R95" s="18" t="str">
        <f t="shared" si="32"/>
        <v/>
      </c>
    </row>
    <row r="96" spans="1:18" ht="22.5" customHeight="1" x14ac:dyDescent="0.25">
      <c r="A96" s="19"/>
      <c r="B96" s="122"/>
      <c r="C96" s="107"/>
      <c r="D96" s="107"/>
      <c r="E96" s="20"/>
      <c r="F96" s="36"/>
      <c r="G96" s="40"/>
      <c r="H96" s="20"/>
      <c r="I96" s="131"/>
      <c r="J96" s="21"/>
      <c r="L96" s="18" t="str">
        <f t="shared" si="26"/>
        <v/>
      </c>
      <c r="M96" s="18" t="str">
        <f t="shared" si="27"/>
        <v/>
      </c>
      <c r="N96" s="18" t="str">
        <f t="shared" si="28"/>
        <v/>
      </c>
      <c r="O96" s="18" t="str">
        <f t="shared" si="29"/>
        <v/>
      </c>
      <c r="P96" s="18" t="str">
        <f t="shared" si="30"/>
        <v/>
      </c>
      <c r="Q96" s="18" t="str">
        <f t="shared" si="31"/>
        <v/>
      </c>
      <c r="R96" s="18" t="str">
        <f t="shared" si="32"/>
        <v/>
      </c>
    </row>
    <row r="97" spans="1:18" ht="22.5" customHeight="1" x14ac:dyDescent="0.25">
      <c r="A97" s="22"/>
      <c r="B97" s="123"/>
      <c r="C97" s="108"/>
      <c r="D97" s="108"/>
      <c r="E97" s="23"/>
      <c r="F97" s="37"/>
      <c r="G97" s="41"/>
      <c r="H97" s="23"/>
      <c r="I97" s="132"/>
      <c r="J97" s="24"/>
      <c r="L97" s="18" t="str">
        <f t="shared" si="26"/>
        <v/>
      </c>
      <c r="M97" s="18" t="str">
        <f t="shared" si="27"/>
        <v/>
      </c>
      <c r="N97" s="18" t="str">
        <f t="shared" si="28"/>
        <v/>
      </c>
      <c r="O97" s="18" t="str">
        <f t="shared" si="29"/>
        <v/>
      </c>
      <c r="P97" s="18" t="str">
        <f t="shared" si="30"/>
        <v/>
      </c>
      <c r="Q97" s="18" t="str">
        <f t="shared" si="31"/>
        <v/>
      </c>
      <c r="R97" s="18" t="str">
        <f t="shared" si="32"/>
        <v/>
      </c>
    </row>
    <row r="98" spans="1:18" ht="22.5" customHeight="1" x14ac:dyDescent="0.25">
      <c r="A98" s="19"/>
      <c r="B98" s="122"/>
      <c r="C98" s="107"/>
      <c r="D98" s="107"/>
      <c r="E98" s="20"/>
      <c r="F98" s="36"/>
      <c r="G98" s="40"/>
      <c r="H98" s="20"/>
      <c r="I98" s="131"/>
      <c r="J98" s="21"/>
      <c r="L98" s="18" t="str">
        <f t="shared" si="26"/>
        <v/>
      </c>
      <c r="M98" s="18" t="str">
        <f t="shared" si="27"/>
        <v/>
      </c>
      <c r="N98" s="18" t="str">
        <f t="shared" si="28"/>
        <v/>
      </c>
      <c r="O98" s="18" t="str">
        <f t="shared" si="29"/>
        <v/>
      </c>
      <c r="P98" s="18" t="str">
        <f t="shared" si="30"/>
        <v/>
      </c>
      <c r="Q98" s="18" t="str">
        <f t="shared" si="31"/>
        <v/>
      </c>
      <c r="R98" s="18" t="str">
        <f t="shared" si="32"/>
        <v/>
      </c>
    </row>
    <row r="99" spans="1:18" ht="22.5" customHeight="1" x14ac:dyDescent="0.25">
      <c r="A99" s="22"/>
      <c r="B99" s="123"/>
      <c r="C99" s="108"/>
      <c r="D99" s="108"/>
      <c r="E99" s="23"/>
      <c r="F99" s="37"/>
      <c r="G99" s="41"/>
      <c r="H99" s="23"/>
      <c r="I99" s="132"/>
      <c r="J99" s="24"/>
      <c r="L99" s="18" t="str">
        <f t="shared" si="26"/>
        <v/>
      </c>
      <c r="M99" s="18" t="str">
        <f t="shared" si="27"/>
        <v/>
      </c>
      <c r="N99" s="18" t="str">
        <f t="shared" si="28"/>
        <v/>
      </c>
      <c r="O99" s="18" t="str">
        <f t="shared" si="29"/>
        <v/>
      </c>
      <c r="P99" s="18" t="str">
        <f t="shared" si="30"/>
        <v/>
      </c>
      <c r="Q99" s="18" t="str">
        <f t="shared" si="31"/>
        <v/>
      </c>
      <c r="R99" s="18" t="str">
        <f t="shared" si="32"/>
        <v/>
      </c>
    </row>
    <row r="100" spans="1:18" ht="22.5" customHeight="1" x14ac:dyDescent="0.25">
      <c r="A100" s="19"/>
      <c r="B100" s="122"/>
      <c r="C100" s="107"/>
      <c r="D100" s="107"/>
      <c r="E100" s="20"/>
      <c r="F100" s="36"/>
      <c r="G100" s="40"/>
      <c r="H100" s="20"/>
      <c r="I100" s="131"/>
      <c r="J100" s="21"/>
      <c r="L100" s="18" t="str">
        <f t="shared" si="26"/>
        <v/>
      </c>
      <c r="M100" s="18" t="str">
        <f t="shared" si="27"/>
        <v/>
      </c>
      <c r="N100" s="18" t="str">
        <f t="shared" si="28"/>
        <v/>
      </c>
      <c r="O100" s="18" t="str">
        <f t="shared" si="29"/>
        <v/>
      </c>
      <c r="P100" s="18" t="str">
        <f t="shared" si="30"/>
        <v/>
      </c>
      <c r="Q100" s="18" t="str">
        <f t="shared" si="31"/>
        <v/>
      </c>
      <c r="R100" s="18" t="str">
        <f t="shared" si="32"/>
        <v/>
      </c>
    </row>
    <row r="101" spans="1:18" ht="22.5" customHeight="1" x14ac:dyDescent="0.25">
      <c r="A101" s="22"/>
      <c r="B101" s="123"/>
      <c r="C101" s="108"/>
      <c r="D101" s="108"/>
      <c r="E101" s="23"/>
      <c r="F101" s="37"/>
      <c r="G101" s="41"/>
      <c r="H101" s="23"/>
      <c r="I101" s="132"/>
      <c r="J101" s="24"/>
      <c r="L101" s="18" t="str">
        <f t="shared" si="26"/>
        <v/>
      </c>
      <c r="M101" s="18" t="str">
        <f t="shared" si="27"/>
        <v/>
      </c>
      <c r="N101" s="18" t="str">
        <f t="shared" si="28"/>
        <v/>
      </c>
      <c r="O101" s="18" t="str">
        <f t="shared" si="29"/>
        <v/>
      </c>
      <c r="P101" s="18" t="str">
        <f t="shared" si="30"/>
        <v/>
      </c>
      <c r="Q101" s="18" t="str">
        <f t="shared" si="31"/>
        <v/>
      </c>
      <c r="R101" s="18" t="str">
        <f t="shared" si="32"/>
        <v/>
      </c>
    </row>
    <row r="102" spans="1:18" ht="22.5" customHeight="1" x14ac:dyDescent="0.25">
      <c r="A102" s="19"/>
      <c r="B102" s="122"/>
      <c r="C102" s="107"/>
      <c r="D102" s="107"/>
      <c r="E102" s="20"/>
      <c r="F102" s="36"/>
      <c r="G102" s="40"/>
      <c r="H102" s="20"/>
      <c r="I102" s="131"/>
      <c r="J102" s="21"/>
      <c r="L102" s="18" t="str">
        <f t="shared" si="26"/>
        <v/>
      </c>
      <c r="M102" s="18" t="str">
        <f t="shared" si="27"/>
        <v/>
      </c>
      <c r="N102" s="18" t="str">
        <f t="shared" si="28"/>
        <v/>
      </c>
      <c r="O102" s="18" t="str">
        <f t="shared" si="29"/>
        <v/>
      </c>
      <c r="P102" s="18" t="str">
        <f t="shared" si="30"/>
        <v/>
      </c>
      <c r="Q102" s="18" t="str">
        <f t="shared" si="31"/>
        <v/>
      </c>
      <c r="R102" s="18" t="str">
        <f t="shared" si="32"/>
        <v/>
      </c>
    </row>
    <row r="103" spans="1:18" ht="22.5" customHeight="1" x14ac:dyDescent="0.25">
      <c r="A103" s="22"/>
      <c r="B103" s="123"/>
      <c r="C103" s="108"/>
      <c r="D103" s="108"/>
      <c r="E103" s="23"/>
      <c r="F103" s="37"/>
      <c r="G103" s="41"/>
      <c r="H103" s="23"/>
      <c r="I103" s="132"/>
      <c r="J103" s="24"/>
      <c r="L103" s="18" t="str">
        <f t="shared" si="26"/>
        <v/>
      </c>
      <c r="M103" s="18" t="str">
        <f t="shared" si="27"/>
        <v/>
      </c>
      <c r="N103" s="18" t="str">
        <f t="shared" si="28"/>
        <v/>
      </c>
      <c r="O103" s="18" t="str">
        <f t="shared" si="29"/>
        <v/>
      </c>
      <c r="P103" s="18" t="str">
        <f t="shared" si="30"/>
        <v/>
      </c>
      <c r="Q103" s="18" t="str">
        <f t="shared" si="31"/>
        <v/>
      </c>
      <c r="R103" s="18" t="str">
        <f t="shared" si="32"/>
        <v/>
      </c>
    </row>
    <row r="104" spans="1:18" ht="22.5" customHeight="1" x14ac:dyDescent="0.25">
      <c r="A104" s="19"/>
      <c r="B104" s="122"/>
      <c r="C104" s="107"/>
      <c r="D104" s="107"/>
      <c r="E104" s="20"/>
      <c r="F104" s="36"/>
      <c r="G104" s="40"/>
      <c r="H104" s="20"/>
      <c r="I104" s="131"/>
      <c r="J104" s="21"/>
      <c r="L104" s="18" t="str">
        <f t="shared" si="26"/>
        <v/>
      </c>
      <c r="M104" s="18" t="str">
        <f t="shared" si="27"/>
        <v/>
      </c>
      <c r="N104" s="18" t="str">
        <f t="shared" si="28"/>
        <v/>
      </c>
      <c r="O104" s="18" t="str">
        <f t="shared" si="29"/>
        <v/>
      </c>
      <c r="P104" s="18" t="str">
        <f t="shared" si="30"/>
        <v/>
      </c>
      <c r="Q104" s="18" t="str">
        <f t="shared" si="31"/>
        <v/>
      </c>
      <c r="R104" s="18" t="str">
        <f t="shared" si="32"/>
        <v/>
      </c>
    </row>
    <row r="105" spans="1:18" ht="22.5" customHeight="1" x14ac:dyDescent="0.25">
      <c r="A105" s="22"/>
      <c r="B105" s="123"/>
      <c r="C105" s="108"/>
      <c r="D105" s="108"/>
      <c r="E105" s="23"/>
      <c r="F105" s="37"/>
      <c r="G105" s="41"/>
      <c r="H105" s="23"/>
      <c r="I105" s="132"/>
      <c r="J105" s="24"/>
      <c r="L105" s="18" t="str">
        <f t="shared" si="26"/>
        <v/>
      </c>
      <c r="M105" s="18" t="str">
        <f t="shared" si="27"/>
        <v/>
      </c>
      <c r="N105" s="18" t="str">
        <f t="shared" si="28"/>
        <v/>
      </c>
      <c r="O105" s="18" t="str">
        <f t="shared" si="29"/>
        <v/>
      </c>
      <c r="P105" s="18" t="str">
        <f t="shared" si="30"/>
        <v/>
      </c>
      <c r="Q105" s="18" t="str">
        <f t="shared" si="31"/>
        <v/>
      </c>
      <c r="R105" s="18" t="str">
        <f t="shared" si="32"/>
        <v/>
      </c>
    </row>
    <row r="106" spans="1:18" ht="22.5" customHeight="1" x14ac:dyDescent="0.25">
      <c r="A106" s="19"/>
      <c r="B106" s="122"/>
      <c r="C106" s="107"/>
      <c r="D106" s="107"/>
      <c r="E106" s="20"/>
      <c r="F106" s="36"/>
      <c r="G106" s="40"/>
      <c r="H106" s="20"/>
      <c r="I106" s="131"/>
      <c r="J106" s="21"/>
      <c r="L106" s="18" t="str">
        <f t="shared" si="26"/>
        <v/>
      </c>
      <c r="M106" s="18" t="str">
        <f t="shared" si="27"/>
        <v/>
      </c>
      <c r="N106" s="18" t="str">
        <f t="shared" si="28"/>
        <v/>
      </c>
      <c r="O106" s="18" t="str">
        <f t="shared" si="29"/>
        <v/>
      </c>
      <c r="P106" s="18" t="str">
        <f t="shared" si="30"/>
        <v/>
      </c>
      <c r="Q106" s="18" t="str">
        <f t="shared" si="31"/>
        <v/>
      </c>
      <c r="R106" s="18" t="str">
        <f t="shared" si="32"/>
        <v/>
      </c>
    </row>
    <row r="107" spans="1:18" ht="22.5" customHeight="1" x14ac:dyDescent="0.25">
      <c r="A107" s="22"/>
      <c r="B107" s="123"/>
      <c r="C107" s="108"/>
      <c r="D107" s="108"/>
      <c r="E107" s="23"/>
      <c r="F107" s="37"/>
      <c r="G107" s="41"/>
      <c r="H107" s="23"/>
      <c r="I107" s="132"/>
      <c r="J107" s="24"/>
      <c r="L107" s="18" t="str">
        <f t="shared" si="26"/>
        <v/>
      </c>
      <c r="M107" s="18" t="str">
        <f t="shared" si="27"/>
        <v/>
      </c>
      <c r="N107" s="18" t="str">
        <f t="shared" si="28"/>
        <v/>
      </c>
      <c r="O107" s="18" t="str">
        <f t="shared" si="29"/>
        <v/>
      </c>
      <c r="P107" s="18" t="str">
        <f t="shared" si="30"/>
        <v/>
      </c>
      <c r="Q107" s="18" t="str">
        <f t="shared" si="31"/>
        <v/>
      </c>
      <c r="R107" s="18" t="str">
        <f t="shared" si="32"/>
        <v/>
      </c>
    </row>
    <row r="108" spans="1:18" ht="22.5" customHeight="1" x14ac:dyDescent="0.25">
      <c r="A108" s="19"/>
      <c r="B108" s="122"/>
      <c r="C108" s="107"/>
      <c r="D108" s="107"/>
      <c r="E108" s="20"/>
      <c r="F108" s="36"/>
      <c r="G108" s="40"/>
      <c r="H108" s="20"/>
      <c r="I108" s="131"/>
      <c r="J108" s="21"/>
      <c r="L108" s="18" t="str">
        <f t="shared" si="26"/>
        <v/>
      </c>
      <c r="M108" s="18" t="str">
        <f t="shared" si="27"/>
        <v/>
      </c>
      <c r="N108" s="18" t="str">
        <f t="shared" si="28"/>
        <v/>
      </c>
      <c r="O108" s="18" t="str">
        <f t="shared" si="29"/>
        <v/>
      </c>
      <c r="P108" s="18" t="str">
        <f t="shared" si="30"/>
        <v/>
      </c>
      <c r="Q108" s="18" t="str">
        <f t="shared" si="31"/>
        <v/>
      </c>
      <c r="R108" s="18" t="str">
        <f t="shared" si="32"/>
        <v/>
      </c>
    </row>
    <row r="109" spans="1:18" ht="22.5" customHeight="1" x14ac:dyDescent="0.25">
      <c r="A109" s="22"/>
      <c r="B109" s="123"/>
      <c r="C109" s="108"/>
      <c r="D109" s="108"/>
      <c r="E109" s="23"/>
      <c r="F109" s="37"/>
      <c r="G109" s="41"/>
      <c r="H109" s="23"/>
      <c r="I109" s="132"/>
      <c r="J109" s="24"/>
      <c r="L109" s="18" t="str">
        <f t="shared" si="26"/>
        <v/>
      </c>
      <c r="M109" s="18" t="str">
        <f t="shared" si="27"/>
        <v/>
      </c>
      <c r="N109" s="18" t="str">
        <f t="shared" si="28"/>
        <v/>
      </c>
      <c r="O109" s="18" t="str">
        <f t="shared" si="29"/>
        <v/>
      </c>
      <c r="P109" s="18" t="str">
        <f t="shared" si="30"/>
        <v/>
      </c>
      <c r="Q109" s="18" t="str">
        <f t="shared" si="31"/>
        <v/>
      </c>
      <c r="R109" s="18" t="str">
        <f t="shared" si="32"/>
        <v/>
      </c>
    </row>
    <row r="110" spans="1:18" ht="22.5" customHeight="1" x14ac:dyDescent="0.25">
      <c r="A110" s="19"/>
      <c r="B110" s="122"/>
      <c r="C110" s="107"/>
      <c r="D110" s="107"/>
      <c r="E110" s="20"/>
      <c r="F110" s="36"/>
      <c r="G110" s="40"/>
      <c r="H110" s="20"/>
      <c r="I110" s="131"/>
      <c r="J110" s="21"/>
      <c r="L110" s="18" t="str">
        <f t="shared" si="26"/>
        <v/>
      </c>
      <c r="M110" s="18" t="str">
        <f t="shared" si="27"/>
        <v/>
      </c>
      <c r="N110" s="18" t="str">
        <f t="shared" si="28"/>
        <v/>
      </c>
      <c r="O110" s="18" t="str">
        <f t="shared" si="29"/>
        <v/>
      </c>
      <c r="P110" s="18" t="str">
        <f t="shared" si="30"/>
        <v/>
      </c>
      <c r="Q110" s="18" t="str">
        <f t="shared" si="31"/>
        <v/>
      </c>
      <c r="R110" s="18" t="str">
        <f t="shared" si="32"/>
        <v/>
      </c>
    </row>
    <row r="111" spans="1:18" ht="22.5" customHeight="1" x14ac:dyDescent="0.25">
      <c r="A111" s="22"/>
      <c r="B111" s="123"/>
      <c r="C111" s="108"/>
      <c r="D111" s="108"/>
      <c r="E111" s="23"/>
      <c r="F111" s="37"/>
      <c r="G111" s="41"/>
      <c r="H111" s="23"/>
      <c r="I111" s="132"/>
      <c r="J111" s="24"/>
      <c r="L111" s="18" t="str">
        <f t="shared" si="26"/>
        <v/>
      </c>
      <c r="M111" s="18" t="str">
        <f t="shared" si="27"/>
        <v/>
      </c>
      <c r="N111" s="18" t="str">
        <f t="shared" si="28"/>
        <v/>
      </c>
      <c r="O111" s="18" t="str">
        <f t="shared" si="29"/>
        <v/>
      </c>
      <c r="P111" s="18" t="str">
        <f t="shared" si="30"/>
        <v/>
      </c>
      <c r="Q111" s="18" t="str">
        <f t="shared" si="31"/>
        <v/>
      </c>
      <c r="R111" s="18" t="str">
        <f t="shared" si="32"/>
        <v/>
      </c>
    </row>
    <row r="112" spans="1:18" ht="22.5" customHeight="1" x14ac:dyDescent="0.25">
      <c r="A112" s="19"/>
      <c r="B112" s="122"/>
      <c r="C112" s="107"/>
      <c r="D112" s="107"/>
      <c r="E112" s="20"/>
      <c r="F112" s="36"/>
      <c r="G112" s="40"/>
      <c r="H112" s="20"/>
      <c r="I112" s="131"/>
      <c r="J112" s="21"/>
      <c r="L112" s="18" t="str">
        <f t="shared" si="26"/>
        <v/>
      </c>
      <c r="M112" s="18" t="str">
        <f t="shared" si="27"/>
        <v/>
      </c>
      <c r="N112" s="18" t="str">
        <f t="shared" si="28"/>
        <v/>
      </c>
      <c r="O112" s="18" t="str">
        <f t="shared" si="29"/>
        <v/>
      </c>
      <c r="P112" s="18" t="str">
        <f t="shared" si="30"/>
        <v/>
      </c>
      <c r="Q112" s="18" t="str">
        <f t="shared" si="31"/>
        <v/>
      </c>
      <c r="R112" s="18" t="str">
        <f t="shared" si="32"/>
        <v/>
      </c>
    </row>
    <row r="113" spans="1:18" ht="22.5" customHeight="1" x14ac:dyDescent="0.25">
      <c r="A113" s="22"/>
      <c r="B113" s="123"/>
      <c r="C113" s="108"/>
      <c r="D113" s="108"/>
      <c r="E113" s="23"/>
      <c r="F113" s="37"/>
      <c r="G113" s="41"/>
      <c r="H113" s="23"/>
      <c r="I113" s="132"/>
      <c r="J113" s="24"/>
      <c r="L113" s="18" t="str">
        <f t="shared" si="26"/>
        <v/>
      </c>
      <c r="M113" s="18" t="str">
        <f t="shared" si="27"/>
        <v/>
      </c>
      <c r="N113" s="18" t="str">
        <f t="shared" si="28"/>
        <v/>
      </c>
      <c r="O113" s="18" t="str">
        <f t="shared" si="29"/>
        <v/>
      </c>
      <c r="P113" s="18" t="str">
        <f t="shared" si="30"/>
        <v/>
      </c>
      <c r="Q113" s="18" t="str">
        <f t="shared" si="31"/>
        <v/>
      </c>
      <c r="R113" s="18" t="str">
        <f t="shared" si="32"/>
        <v/>
      </c>
    </row>
    <row r="114" spans="1:18" ht="22.5" customHeight="1" x14ac:dyDescent="0.25">
      <c r="A114" s="19"/>
      <c r="B114" s="122"/>
      <c r="C114" s="107"/>
      <c r="D114" s="107"/>
      <c r="E114" s="20"/>
      <c r="F114" s="36"/>
      <c r="G114" s="40"/>
      <c r="H114" s="20"/>
      <c r="I114" s="131"/>
      <c r="J114" s="21"/>
      <c r="L114" s="18" t="str">
        <f t="shared" si="26"/>
        <v/>
      </c>
      <c r="M114" s="18" t="str">
        <f t="shared" si="27"/>
        <v/>
      </c>
      <c r="N114" s="18" t="str">
        <f t="shared" si="28"/>
        <v/>
      </c>
      <c r="O114" s="18" t="str">
        <f t="shared" si="29"/>
        <v/>
      </c>
      <c r="P114" s="18" t="str">
        <f t="shared" si="30"/>
        <v/>
      </c>
      <c r="Q114" s="18" t="str">
        <f t="shared" si="31"/>
        <v/>
      </c>
      <c r="R114" s="18" t="str">
        <f t="shared" si="32"/>
        <v/>
      </c>
    </row>
    <row r="115" spans="1:18" ht="22.5" customHeight="1" x14ac:dyDescent="0.25">
      <c r="A115" s="22"/>
      <c r="B115" s="123"/>
      <c r="C115" s="108"/>
      <c r="D115" s="108"/>
      <c r="E115" s="23"/>
      <c r="F115" s="37"/>
      <c r="G115" s="41"/>
      <c r="H115" s="23"/>
      <c r="I115" s="132"/>
      <c r="J115" s="24"/>
      <c r="L115" s="18" t="str">
        <f t="shared" si="26"/>
        <v/>
      </c>
      <c r="M115" s="18" t="str">
        <f t="shared" si="27"/>
        <v/>
      </c>
      <c r="N115" s="18" t="str">
        <f t="shared" si="28"/>
        <v/>
      </c>
      <c r="O115" s="18" t="str">
        <f t="shared" si="29"/>
        <v/>
      </c>
      <c r="P115" s="18" t="str">
        <f t="shared" si="30"/>
        <v/>
      </c>
      <c r="Q115" s="18" t="str">
        <f t="shared" si="31"/>
        <v/>
      </c>
      <c r="R115" s="18" t="str">
        <f t="shared" si="32"/>
        <v/>
      </c>
    </row>
    <row r="116" spans="1:18" ht="22.5" customHeight="1" x14ac:dyDescent="0.25">
      <c r="A116" s="19"/>
      <c r="B116" s="122"/>
      <c r="C116" s="107"/>
      <c r="D116" s="107"/>
      <c r="E116" s="20"/>
      <c r="F116" s="36"/>
      <c r="G116" s="40"/>
      <c r="H116" s="20"/>
      <c r="I116" s="131"/>
      <c r="J116" s="21"/>
      <c r="L116" s="18" t="str">
        <f t="shared" si="26"/>
        <v/>
      </c>
      <c r="M116" s="18" t="str">
        <f t="shared" si="27"/>
        <v/>
      </c>
      <c r="N116" s="18" t="str">
        <f t="shared" si="28"/>
        <v/>
      </c>
      <c r="O116" s="18" t="str">
        <f t="shared" si="29"/>
        <v/>
      </c>
      <c r="P116" s="18" t="str">
        <f t="shared" si="30"/>
        <v/>
      </c>
      <c r="Q116" s="18" t="str">
        <f t="shared" si="31"/>
        <v/>
      </c>
      <c r="R116" s="18" t="str">
        <f t="shared" si="32"/>
        <v/>
      </c>
    </row>
    <row r="117" spans="1:18" ht="22.5" customHeight="1" x14ac:dyDescent="0.25">
      <c r="A117" s="22"/>
      <c r="B117" s="123"/>
      <c r="C117" s="108"/>
      <c r="D117" s="108"/>
      <c r="E117" s="23"/>
      <c r="F117" s="37"/>
      <c r="G117" s="41"/>
      <c r="H117" s="23"/>
      <c r="I117" s="132"/>
      <c r="J117" s="24"/>
      <c r="L117" s="18" t="str">
        <f t="shared" si="26"/>
        <v/>
      </c>
      <c r="M117" s="18" t="str">
        <f t="shared" si="27"/>
        <v/>
      </c>
      <c r="N117" s="18" t="str">
        <f t="shared" si="28"/>
        <v/>
      </c>
      <c r="O117" s="18" t="str">
        <f t="shared" si="29"/>
        <v/>
      </c>
      <c r="P117" s="18" t="str">
        <f t="shared" si="30"/>
        <v/>
      </c>
      <c r="Q117" s="18" t="str">
        <f t="shared" si="31"/>
        <v/>
      </c>
      <c r="R117" s="18" t="str">
        <f t="shared" si="32"/>
        <v/>
      </c>
    </row>
    <row r="118" spans="1:18" ht="22.5" customHeight="1" x14ac:dyDescent="0.25">
      <c r="A118" s="19"/>
      <c r="B118" s="122"/>
      <c r="C118" s="107"/>
      <c r="D118" s="107"/>
      <c r="E118" s="20"/>
      <c r="F118" s="36"/>
      <c r="G118" s="40"/>
      <c r="H118" s="20"/>
      <c r="I118" s="131"/>
      <c r="J118" s="21"/>
      <c r="L118" s="18" t="str">
        <f t="shared" si="26"/>
        <v/>
      </c>
      <c r="M118" s="18" t="str">
        <f t="shared" si="27"/>
        <v/>
      </c>
      <c r="N118" s="18" t="str">
        <f t="shared" si="28"/>
        <v/>
      </c>
      <c r="O118" s="18" t="str">
        <f t="shared" si="29"/>
        <v/>
      </c>
      <c r="P118" s="18" t="str">
        <f t="shared" si="30"/>
        <v/>
      </c>
      <c r="Q118" s="18" t="str">
        <f t="shared" si="31"/>
        <v/>
      </c>
      <c r="R118" s="18" t="str">
        <f t="shared" si="32"/>
        <v/>
      </c>
    </row>
    <row r="119" spans="1:18" ht="22.5" customHeight="1" x14ac:dyDescent="0.25">
      <c r="A119" s="22"/>
      <c r="B119" s="123"/>
      <c r="C119" s="108"/>
      <c r="D119" s="108"/>
      <c r="E119" s="23"/>
      <c r="F119" s="37"/>
      <c r="G119" s="41"/>
      <c r="H119" s="23"/>
      <c r="I119" s="132"/>
      <c r="J119" s="24"/>
      <c r="L119" s="18" t="str">
        <f t="shared" si="26"/>
        <v/>
      </c>
      <c r="M119" s="18" t="str">
        <f t="shared" si="27"/>
        <v/>
      </c>
      <c r="N119" s="18" t="str">
        <f t="shared" si="28"/>
        <v/>
      </c>
      <c r="O119" s="18" t="str">
        <f t="shared" si="29"/>
        <v/>
      </c>
      <c r="P119" s="18" t="str">
        <f t="shared" si="30"/>
        <v/>
      </c>
      <c r="Q119" s="18" t="str">
        <f t="shared" si="31"/>
        <v/>
      </c>
      <c r="R119" s="18" t="str">
        <f t="shared" si="32"/>
        <v/>
      </c>
    </row>
    <row r="120" spans="1:18" ht="22.5" customHeight="1" x14ac:dyDescent="0.25">
      <c r="A120" s="19"/>
      <c r="B120" s="122"/>
      <c r="C120" s="107"/>
      <c r="D120" s="107"/>
      <c r="E120" s="20"/>
      <c r="F120" s="36"/>
      <c r="G120" s="40"/>
      <c r="H120" s="20"/>
      <c r="I120" s="131"/>
      <c r="J120" s="21"/>
      <c r="L120" s="18" t="str">
        <f t="shared" si="26"/>
        <v/>
      </c>
      <c r="M120" s="18" t="str">
        <f t="shared" si="27"/>
        <v/>
      </c>
      <c r="N120" s="18" t="str">
        <f t="shared" si="28"/>
        <v/>
      </c>
      <c r="O120" s="18" t="str">
        <f t="shared" si="29"/>
        <v/>
      </c>
      <c r="P120" s="18" t="str">
        <f t="shared" si="30"/>
        <v/>
      </c>
      <c r="Q120" s="18" t="str">
        <f t="shared" si="31"/>
        <v/>
      </c>
      <c r="R120" s="18" t="str">
        <f t="shared" si="32"/>
        <v/>
      </c>
    </row>
    <row r="121" spans="1:18" ht="22.5" customHeight="1" x14ac:dyDescent="0.25">
      <c r="A121" s="22"/>
      <c r="B121" s="123"/>
      <c r="C121" s="108"/>
      <c r="D121" s="108"/>
      <c r="E121" s="23"/>
      <c r="F121" s="37"/>
      <c r="G121" s="41"/>
      <c r="H121" s="23"/>
      <c r="I121" s="132"/>
      <c r="J121" s="24"/>
      <c r="L121" s="18" t="str">
        <f t="shared" si="26"/>
        <v/>
      </c>
      <c r="M121" s="18" t="str">
        <f t="shared" si="27"/>
        <v/>
      </c>
      <c r="N121" s="18" t="str">
        <f t="shared" si="28"/>
        <v/>
      </c>
      <c r="O121" s="18" t="str">
        <f t="shared" si="29"/>
        <v/>
      </c>
      <c r="P121" s="18" t="str">
        <f t="shared" si="30"/>
        <v/>
      </c>
      <c r="Q121" s="18" t="str">
        <f t="shared" si="31"/>
        <v/>
      </c>
      <c r="R121" s="18" t="str">
        <f t="shared" si="32"/>
        <v/>
      </c>
    </row>
    <row r="122" spans="1:18" ht="22.5" customHeight="1" x14ac:dyDescent="0.25">
      <c r="A122" s="19"/>
      <c r="B122" s="122"/>
      <c r="C122" s="107"/>
      <c r="D122" s="107"/>
      <c r="E122" s="20"/>
      <c r="F122" s="36"/>
      <c r="G122" s="40"/>
      <c r="H122" s="20"/>
      <c r="I122" s="131"/>
      <c r="J122" s="21"/>
      <c r="L122" s="18" t="str">
        <f t="shared" si="26"/>
        <v/>
      </c>
      <c r="M122" s="18" t="str">
        <f t="shared" si="27"/>
        <v/>
      </c>
      <c r="N122" s="18" t="str">
        <f t="shared" si="28"/>
        <v/>
      </c>
      <c r="O122" s="18" t="str">
        <f t="shared" si="29"/>
        <v/>
      </c>
      <c r="P122" s="18" t="str">
        <f t="shared" si="30"/>
        <v/>
      </c>
      <c r="Q122" s="18" t="str">
        <f t="shared" si="31"/>
        <v/>
      </c>
      <c r="R122" s="18" t="str">
        <f t="shared" si="32"/>
        <v/>
      </c>
    </row>
    <row r="123" spans="1:18" ht="22.5" customHeight="1" x14ac:dyDescent="0.25">
      <c r="A123" s="22"/>
      <c r="B123" s="123"/>
      <c r="C123" s="108"/>
      <c r="D123" s="108"/>
      <c r="E123" s="23"/>
      <c r="F123" s="37"/>
      <c r="G123" s="41"/>
      <c r="H123" s="23"/>
      <c r="I123" s="132"/>
      <c r="J123" s="24"/>
      <c r="L123" s="18" t="str">
        <f t="shared" si="26"/>
        <v/>
      </c>
      <c r="M123" s="18" t="str">
        <f t="shared" si="27"/>
        <v/>
      </c>
      <c r="N123" s="18" t="str">
        <f t="shared" si="28"/>
        <v/>
      </c>
      <c r="O123" s="18" t="str">
        <f t="shared" si="29"/>
        <v/>
      </c>
      <c r="P123" s="18" t="str">
        <f t="shared" si="30"/>
        <v/>
      </c>
      <c r="Q123" s="18" t="str">
        <f t="shared" si="31"/>
        <v/>
      </c>
      <c r="R123" s="18" t="str">
        <f t="shared" si="32"/>
        <v/>
      </c>
    </row>
    <row r="124" spans="1:18" ht="22.5" customHeight="1" x14ac:dyDescent="0.25">
      <c r="A124" s="19"/>
      <c r="B124" s="122"/>
      <c r="C124" s="107"/>
      <c r="D124" s="107"/>
      <c r="E124" s="20"/>
      <c r="F124" s="36"/>
      <c r="G124" s="40"/>
      <c r="H124" s="20"/>
      <c r="I124" s="131"/>
      <c r="J124" s="21"/>
      <c r="L124" s="18" t="str">
        <f t="shared" si="26"/>
        <v/>
      </c>
      <c r="M124" s="18" t="str">
        <f t="shared" si="27"/>
        <v/>
      </c>
      <c r="N124" s="18" t="str">
        <f t="shared" si="28"/>
        <v/>
      </c>
      <c r="O124" s="18" t="str">
        <f t="shared" si="29"/>
        <v/>
      </c>
      <c r="P124" s="18" t="str">
        <f t="shared" si="30"/>
        <v/>
      </c>
      <c r="Q124" s="18" t="str">
        <f t="shared" si="31"/>
        <v/>
      </c>
      <c r="R124" s="18" t="str">
        <f t="shared" si="32"/>
        <v/>
      </c>
    </row>
    <row r="125" spans="1:18" ht="22.5" customHeight="1" x14ac:dyDescent="0.25">
      <c r="A125" s="22"/>
      <c r="B125" s="123"/>
      <c r="C125" s="108"/>
      <c r="D125" s="108"/>
      <c r="E125" s="23"/>
      <c r="F125" s="37"/>
      <c r="G125" s="41"/>
      <c r="H125" s="23"/>
      <c r="I125" s="132"/>
      <c r="J125" s="24"/>
      <c r="L125" s="18" t="str">
        <f t="shared" si="26"/>
        <v/>
      </c>
      <c r="M125" s="18" t="str">
        <f t="shared" si="27"/>
        <v/>
      </c>
      <c r="N125" s="18" t="str">
        <f t="shared" si="28"/>
        <v/>
      </c>
      <c r="O125" s="18" t="str">
        <f t="shared" si="29"/>
        <v/>
      </c>
      <c r="P125" s="18" t="str">
        <f t="shared" si="30"/>
        <v/>
      </c>
      <c r="Q125" s="18" t="str">
        <f t="shared" si="31"/>
        <v/>
      </c>
      <c r="R125" s="18" t="str">
        <f t="shared" si="32"/>
        <v/>
      </c>
    </row>
    <row r="126" spans="1:18" ht="22.5" customHeight="1" x14ac:dyDescent="0.25">
      <c r="A126" s="19"/>
      <c r="B126" s="122"/>
      <c r="C126" s="107"/>
      <c r="D126" s="107"/>
      <c r="E126" s="20"/>
      <c r="F126" s="36"/>
      <c r="G126" s="40"/>
      <c r="H126" s="20"/>
      <c r="I126" s="131"/>
      <c r="J126" s="21"/>
      <c r="L126" s="18" t="str">
        <f t="shared" si="26"/>
        <v/>
      </c>
      <c r="M126" s="18" t="str">
        <f t="shared" si="27"/>
        <v/>
      </c>
      <c r="N126" s="18" t="str">
        <f t="shared" si="28"/>
        <v/>
      </c>
      <c r="O126" s="18" t="str">
        <f t="shared" si="29"/>
        <v/>
      </c>
      <c r="P126" s="18" t="str">
        <f t="shared" si="30"/>
        <v/>
      </c>
      <c r="Q126" s="18" t="str">
        <f t="shared" si="31"/>
        <v/>
      </c>
      <c r="R126" s="18" t="str">
        <f t="shared" si="32"/>
        <v/>
      </c>
    </row>
    <row r="127" spans="1:18" ht="22.5" customHeight="1" x14ac:dyDescent="0.25">
      <c r="A127" s="22"/>
      <c r="B127" s="123"/>
      <c r="C127" s="108"/>
      <c r="D127" s="108"/>
      <c r="E127" s="23"/>
      <c r="F127" s="37"/>
      <c r="G127" s="41"/>
      <c r="H127" s="23"/>
      <c r="I127" s="132"/>
      <c r="J127" s="24"/>
      <c r="L127" s="18" t="str">
        <f t="shared" si="26"/>
        <v/>
      </c>
      <c r="M127" s="18" t="str">
        <f t="shared" si="27"/>
        <v/>
      </c>
      <c r="N127" s="18" t="str">
        <f t="shared" si="28"/>
        <v/>
      </c>
      <c r="O127" s="18" t="str">
        <f t="shared" si="29"/>
        <v/>
      </c>
      <c r="P127" s="18" t="str">
        <f t="shared" si="30"/>
        <v/>
      </c>
      <c r="Q127" s="18" t="str">
        <f t="shared" si="31"/>
        <v/>
      </c>
      <c r="R127" s="18" t="str">
        <f t="shared" si="32"/>
        <v/>
      </c>
    </row>
    <row r="128" spans="1:18" ht="22.5" customHeight="1" x14ac:dyDescent="0.25">
      <c r="A128" s="19"/>
      <c r="B128" s="122"/>
      <c r="C128" s="107"/>
      <c r="D128" s="107"/>
      <c r="E128" s="20"/>
      <c r="F128" s="36"/>
      <c r="G128" s="40"/>
      <c r="H128" s="20"/>
      <c r="I128" s="131"/>
      <c r="J128" s="21"/>
      <c r="L128" s="18" t="str">
        <f t="shared" si="26"/>
        <v/>
      </c>
      <c r="M128" s="18" t="str">
        <f t="shared" si="27"/>
        <v/>
      </c>
      <c r="N128" s="18" t="str">
        <f t="shared" si="28"/>
        <v/>
      </c>
      <c r="O128" s="18" t="str">
        <f t="shared" si="29"/>
        <v/>
      </c>
      <c r="P128" s="18" t="str">
        <f t="shared" si="30"/>
        <v/>
      </c>
      <c r="Q128" s="18" t="str">
        <f t="shared" si="31"/>
        <v/>
      </c>
      <c r="R128" s="18" t="str">
        <f t="shared" si="32"/>
        <v/>
      </c>
    </row>
    <row r="129" spans="1:18" ht="22.5" customHeight="1" x14ac:dyDescent="0.25">
      <c r="A129" s="22"/>
      <c r="B129" s="123"/>
      <c r="C129" s="108"/>
      <c r="D129" s="108"/>
      <c r="E129" s="23"/>
      <c r="F129" s="37"/>
      <c r="G129" s="41"/>
      <c r="H129" s="23"/>
      <c r="I129" s="132"/>
      <c r="J129" s="24"/>
      <c r="L129" s="18" t="str">
        <f t="shared" si="26"/>
        <v/>
      </c>
      <c r="M129" s="18" t="str">
        <f t="shared" si="27"/>
        <v/>
      </c>
      <c r="N129" s="18" t="str">
        <f t="shared" si="28"/>
        <v/>
      </c>
      <c r="O129" s="18" t="str">
        <f t="shared" si="29"/>
        <v/>
      </c>
      <c r="P129" s="18" t="str">
        <f t="shared" si="30"/>
        <v/>
      </c>
      <c r="Q129" s="18" t="str">
        <f t="shared" si="31"/>
        <v/>
      </c>
      <c r="R129" s="18" t="str">
        <f t="shared" si="32"/>
        <v/>
      </c>
    </row>
    <row r="130" spans="1:18" ht="22.5" customHeight="1" x14ac:dyDescent="0.25">
      <c r="A130" s="19"/>
      <c r="B130" s="122"/>
      <c r="C130" s="107"/>
      <c r="D130" s="107"/>
      <c r="E130" s="20"/>
      <c r="F130" s="36"/>
      <c r="G130" s="40"/>
      <c r="H130" s="20"/>
      <c r="I130" s="131"/>
      <c r="J130" s="21"/>
      <c r="L130" s="18" t="str">
        <f t="shared" si="26"/>
        <v/>
      </c>
      <c r="M130" s="18" t="str">
        <f t="shared" si="27"/>
        <v/>
      </c>
      <c r="N130" s="18" t="str">
        <f t="shared" si="28"/>
        <v/>
      </c>
      <c r="O130" s="18" t="str">
        <f t="shared" si="29"/>
        <v/>
      </c>
      <c r="P130" s="18" t="str">
        <f t="shared" si="30"/>
        <v/>
      </c>
      <c r="Q130" s="18" t="str">
        <f t="shared" si="31"/>
        <v/>
      </c>
      <c r="R130" s="18" t="str">
        <f t="shared" si="32"/>
        <v/>
      </c>
    </row>
    <row r="131" spans="1:18" ht="22.5" customHeight="1" x14ac:dyDescent="0.25">
      <c r="A131" s="22"/>
      <c r="B131" s="123"/>
      <c r="C131" s="108"/>
      <c r="D131" s="108"/>
      <c r="E131" s="23"/>
      <c r="F131" s="37"/>
      <c r="G131" s="41"/>
      <c r="H131" s="23"/>
      <c r="I131" s="132"/>
      <c r="J131" s="24"/>
      <c r="L131" s="18" t="str">
        <f t="shared" si="26"/>
        <v/>
      </c>
      <c r="M131" s="18" t="str">
        <f t="shared" si="27"/>
        <v/>
      </c>
      <c r="N131" s="18" t="str">
        <f t="shared" si="28"/>
        <v/>
      </c>
      <c r="O131" s="18" t="str">
        <f t="shared" si="29"/>
        <v/>
      </c>
      <c r="P131" s="18" t="str">
        <f t="shared" si="30"/>
        <v/>
      </c>
      <c r="Q131" s="18" t="str">
        <f t="shared" si="31"/>
        <v/>
      </c>
      <c r="R131" s="18" t="str">
        <f t="shared" si="32"/>
        <v/>
      </c>
    </row>
    <row r="132" spans="1:18" ht="22.5" customHeight="1" x14ac:dyDescent="0.25">
      <c r="A132" s="19"/>
      <c r="B132" s="122"/>
      <c r="C132" s="107"/>
      <c r="D132" s="107"/>
      <c r="E132" s="20"/>
      <c r="F132" s="36"/>
      <c r="G132" s="40"/>
      <c r="H132" s="20"/>
      <c r="I132" s="131"/>
      <c r="J132" s="21"/>
      <c r="L132" s="18" t="str">
        <f t="shared" si="26"/>
        <v/>
      </c>
      <c r="M132" s="18" t="str">
        <f t="shared" si="27"/>
        <v/>
      </c>
      <c r="N132" s="18" t="str">
        <f t="shared" si="28"/>
        <v/>
      </c>
      <c r="O132" s="18" t="str">
        <f t="shared" si="29"/>
        <v/>
      </c>
      <c r="P132" s="18" t="str">
        <f t="shared" si="30"/>
        <v/>
      </c>
      <c r="Q132" s="18" t="str">
        <f t="shared" si="31"/>
        <v/>
      </c>
      <c r="R132" s="18" t="str">
        <f t="shared" si="32"/>
        <v/>
      </c>
    </row>
    <row r="133" spans="1:18" ht="22.5" customHeight="1" x14ac:dyDescent="0.25">
      <c r="A133" s="22"/>
      <c r="B133" s="123"/>
      <c r="C133" s="108"/>
      <c r="D133" s="108"/>
      <c r="E133" s="23"/>
      <c r="F133" s="37"/>
      <c r="G133" s="41"/>
      <c r="H133" s="23"/>
      <c r="I133" s="132"/>
      <c r="J133" s="24"/>
      <c r="L133" s="18" t="str">
        <f t="shared" si="26"/>
        <v/>
      </c>
      <c r="M133" s="18" t="str">
        <f t="shared" si="27"/>
        <v/>
      </c>
      <c r="N133" s="18" t="str">
        <f t="shared" si="28"/>
        <v/>
      </c>
      <c r="O133" s="18" t="str">
        <f t="shared" si="29"/>
        <v/>
      </c>
      <c r="P133" s="18" t="str">
        <f t="shared" si="30"/>
        <v/>
      </c>
      <c r="Q133" s="18" t="str">
        <f t="shared" si="31"/>
        <v/>
      </c>
      <c r="R133" s="18" t="str">
        <f t="shared" si="32"/>
        <v/>
      </c>
    </row>
    <row r="134" spans="1:18" ht="22.5" customHeight="1" x14ac:dyDescent="0.25">
      <c r="A134" s="19"/>
      <c r="B134" s="122"/>
      <c r="C134" s="107"/>
      <c r="D134" s="107"/>
      <c r="E134" s="20"/>
      <c r="F134" s="36"/>
      <c r="G134" s="40"/>
      <c r="H134" s="20"/>
      <c r="I134" s="131"/>
      <c r="J134" s="21"/>
      <c r="L134" s="18" t="str">
        <f t="shared" si="26"/>
        <v/>
      </c>
      <c r="M134" s="18" t="str">
        <f t="shared" si="27"/>
        <v/>
      </c>
      <c r="N134" s="18" t="str">
        <f t="shared" si="28"/>
        <v/>
      </c>
      <c r="O134" s="18" t="str">
        <f t="shared" si="29"/>
        <v/>
      </c>
      <c r="P134" s="18" t="str">
        <f t="shared" si="30"/>
        <v/>
      </c>
      <c r="Q134" s="18" t="str">
        <f t="shared" si="31"/>
        <v/>
      </c>
      <c r="R134" s="18" t="str">
        <f t="shared" si="32"/>
        <v/>
      </c>
    </row>
    <row r="135" spans="1:18" ht="22.5" customHeight="1" x14ac:dyDescent="0.25">
      <c r="A135" s="22"/>
      <c r="B135" s="123"/>
      <c r="C135" s="108"/>
      <c r="D135" s="108"/>
      <c r="E135" s="23"/>
      <c r="F135" s="37"/>
      <c r="G135" s="41"/>
      <c r="H135" s="23"/>
      <c r="I135" s="132"/>
      <c r="J135" s="24"/>
      <c r="L135" s="18" t="str">
        <f t="shared" si="26"/>
        <v/>
      </c>
      <c r="M135" s="18" t="str">
        <f t="shared" si="27"/>
        <v/>
      </c>
      <c r="N135" s="18" t="str">
        <f t="shared" si="28"/>
        <v/>
      </c>
      <c r="O135" s="18" t="str">
        <f t="shared" si="29"/>
        <v/>
      </c>
      <c r="P135" s="18" t="str">
        <f t="shared" si="30"/>
        <v/>
      </c>
      <c r="Q135" s="18" t="str">
        <f t="shared" si="31"/>
        <v/>
      </c>
      <c r="R135" s="18" t="str">
        <f t="shared" si="32"/>
        <v/>
      </c>
    </row>
    <row r="136" spans="1:18" ht="22.5" customHeight="1" x14ac:dyDescent="0.25">
      <c r="A136" s="19"/>
      <c r="B136" s="122"/>
      <c r="C136" s="107"/>
      <c r="D136" s="107"/>
      <c r="E136" s="20"/>
      <c r="F136" s="36"/>
      <c r="G136" s="40"/>
      <c r="H136" s="20"/>
      <c r="I136" s="131"/>
      <c r="J136" s="21"/>
      <c r="L136" s="18" t="str">
        <f t="shared" si="26"/>
        <v/>
      </c>
      <c r="M136" s="18" t="str">
        <f t="shared" si="27"/>
        <v/>
      </c>
      <c r="N136" s="18" t="str">
        <f t="shared" si="28"/>
        <v/>
      </c>
      <c r="O136" s="18" t="str">
        <f t="shared" si="29"/>
        <v/>
      </c>
      <c r="P136" s="18" t="str">
        <f t="shared" si="30"/>
        <v/>
      </c>
      <c r="Q136" s="18" t="str">
        <f t="shared" si="31"/>
        <v/>
      </c>
      <c r="R136" s="18" t="str">
        <f t="shared" si="32"/>
        <v/>
      </c>
    </row>
    <row r="137" spans="1:18" ht="22.5" customHeight="1" x14ac:dyDescent="0.25">
      <c r="A137" s="22"/>
      <c r="B137" s="123"/>
      <c r="C137" s="108"/>
      <c r="D137" s="108"/>
      <c r="E137" s="23"/>
      <c r="F137" s="37"/>
      <c r="G137" s="41"/>
      <c r="H137" s="23"/>
      <c r="I137" s="132"/>
      <c r="J137" s="24"/>
      <c r="L137" s="18" t="str">
        <f t="shared" si="26"/>
        <v/>
      </c>
      <c r="M137" s="18" t="str">
        <f t="shared" si="27"/>
        <v/>
      </c>
      <c r="N137" s="18" t="str">
        <f t="shared" si="28"/>
        <v/>
      </c>
      <c r="O137" s="18" t="str">
        <f t="shared" si="29"/>
        <v/>
      </c>
      <c r="P137" s="18" t="str">
        <f t="shared" si="30"/>
        <v/>
      </c>
      <c r="Q137" s="18" t="str">
        <f t="shared" si="31"/>
        <v/>
      </c>
      <c r="R137" s="18" t="str">
        <f t="shared" si="32"/>
        <v/>
      </c>
    </row>
    <row r="138" spans="1:18" ht="22.5" customHeight="1" x14ac:dyDescent="0.25">
      <c r="A138" s="19"/>
      <c r="B138" s="122"/>
      <c r="C138" s="107"/>
      <c r="D138" s="107"/>
      <c r="E138" s="20"/>
      <c r="F138" s="36"/>
      <c r="G138" s="40"/>
      <c r="H138" s="20"/>
      <c r="I138" s="131"/>
      <c r="J138" s="21"/>
      <c r="L138" s="18" t="str">
        <f t="shared" ref="L138:L201" si="33">IF(A138="","",IF(A138="Entrada",D138,""))</f>
        <v/>
      </c>
      <c r="M138" s="18" t="str">
        <f t="shared" ref="M138:M201" si="34">IF(A138="","",IF(A138="Entrada",E138,""))</f>
        <v/>
      </c>
      <c r="N138" s="18" t="str">
        <f t="shared" ref="N138:N201" si="35">IF(A138="","",IF(A138="Entrada",1,""))</f>
        <v/>
      </c>
      <c r="O138" s="18" t="str">
        <f t="shared" ref="O138:O201" si="36">IF(N138=1,G138,"")</f>
        <v/>
      </c>
      <c r="P138" s="18" t="str">
        <f t="shared" ref="P138:P201" si="37">IF(A138="","",IF(A138="Entrada",(L138/10)*O138,""))</f>
        <v/>
      </c>
      <c r="Q138" s="18" t="str">
        <f t="shared" ref="Q138:Q201" si="38">IF(A138="","",IF(A138="Saída",D138,""))</f>
        <v/>
      </c>
      <c r="R138" s="18" t="str">
        <f t="shared" ref="R138:R201" si="39">IF(A138="","",IF(A138="Saída",E138,""))</f>
        <v/>
      </c>
    </row>
    <row r="139" spans="1:18" ht="22.5" customHeight="1" x14ac:dyDescent="0.25">
      <c r="A139" s="22"/>
      <c r="B139" s="123"/>
      <c r="C139" s="108"/>
      <c r="D139" s="108"/>
      <c r="E139" s="23"/>
      <c r="F139" s="37"/>
      <c r="G139" s="41"/>
      <c r="H139" s="23"/>
      <c r="I139" s="132"/>
      <c r="J139" s="24"/>
      <c r="L139" s="18" t="str">
        <f t="shared" si="33"/>
        <v/>
      </c>
      <c r="M139" s="18" t="str">
        <f t="shared" si="34"/>
        <v/>
      </c>
      <c r="N139" s="18" t="str">
        <f t="shared" si="35"/>
        <v/>
      </c>
      <c r="O139" s="18" t="str">
        <f t="shared" si="36"/>
        <v/>
      </c>
      <c r="P139" s="18" t="str">
        <f t="shared" si="37"/>
        <v/>
      </c>
      <c r="Q139" s="18" t="str">
        <f t="shared" si="38"/>
        <v/>
      </c>
      <c r="R139" s="18" t="str">
        <f t="shared" si="39"/>
        <v/>
      </c>
    </row>
    <row r="140" spans="1:18" ht="22.5" customHeight="1" x14ac:dyDescent="0.25">
      <c r="A140" s="19"/>
      <c r="B140" s="122"/>
      <c r="C140" s="107"/>
      <c r="D140" s="107"/>
      <c r="E140" s="20"/>
      <c r="F140" s="36"/>
      <c r="G140" s="40"/>
      <c r="H140" s="20"/>
      <c r="I140" s="131"/>
      <c r="J140" s="21"/>
      <c r="L140" s="18" t="str">
        <f t="shared" si="33"/>
        <v/>
      </c>
      <c r="M140" s="18" t="str">
        <f t="shared" si="34"/>
        <v/>
      </c>
      <c r="N140" s="18" t="str">
        <f t="shared" si="35"/>
        <v/>
      </c>
      <c r="O140" s="18" t="str">
        <f t="shared" si="36"/>
        <v/>
      </c>
      <c r="P140" s="18" t="str">
        <f t="shared" si="37"/>
        <v/>
      </c>
      <c r="Q140" s="18" t="str">
        <f t="shared" si="38"/>
        <v/>
      </c>
      <c r="R140" s="18" t="str">
        <f t="shared" si="39"/>
        <v/>
      </c>
    </row>
    <row r="141" spans="1:18" ht="22.5" customHeight="1" x14ac:dyDescent="0.25">
      <c r="A141" s="22"/>
      <c r="B141" s="123"/>
      <c r="C141" s="108"/>
      <c r="D141" s="108"/>
      <c r="E141" s="23"/>
      <c r="F141" s="37"/>
      <c r="G141" s="41"/>
      <c r="H141" s="23"/>
      <c r="I141" s="132"/>
      <c r="J141" s="24"/>
      <c r="L141" s="18" t="str">
        <f t="shared" si="33"/>
        <v/>
      </c>
      <c r="M141" s="18" t="str">
        <f t="shared" si="34"/>
        <v/>
      </c>
      <c r="N141" s="18" t="str">
        <f t="shared" si="35"/>
        <v/>
      </c>
      <c r="O141" s="18" t="str">
        <f t="shared" si="36"/>
        <v/>
      </c>
      <c r="P141" s="18" t="str">
        <f t="shared" si="37"/>
        <v/>
      </c>
      <c r="Q141" s="18" t="str">
        <f t="shared" si="38"/>
        <v/>
      </c>
      <c r="R141" s="18" t="str">
        <f t="shared" si="39"/>
        <v/>
      </c>
    </row>
    <row r="142" spans="1:18" ht="22.5" customHeight="1" x14ac:dyDescent="0.25">
      <c r="A142" s="19"/>
      <c r="B142" s="122"/>
      <c r="C142" s="107"/>
      <c r="D142" s="107"/>
      <c r="E142" s="20"/>
      <c r="F142" s="36"/>
      <c r="G142" s="40"/>
      <c r="H142" s="20"/>
      <c r="I142" s="131"/>
      <c r="J142" s="21"/>
      <c r="L142" s="18" t="str">
        <f t="shared" si="33"/>
        <v/>
      </c>
      <c r="M142" s="18" t="str">
        <f t="shared" si="34"/>
        <v/>
      </c>
      <c r="N142" s="18" t="str">
        <f t="shared" si="35"/>
        <v/>
      </c>
      <c r="O142" s="18" t="str">
        <f t="shared" si="36"/>
        <v/>
      </c>
      <c r="P142" s="18" t="str">
        <f t="shared" si="37"/>
        <v/>
      </c>
      <c r="Q142" s="18" t="str">
        <f t="shared" si="38"/>
        <v/>
      </c>
      <c r="R142" s="18" t="str">
        <f t="shared" si="39"/>
        <v/>
      </c>
    </row>
    <row r="143" spans="1:18" ht="22.5" customHeight="1" x14ac:dyDescent="0.25">
      <c r="A143" s="22"/>
      <c r="B143" s="123"/>
      <c r="C143" s="108"/>
      <c r="D143" s="108"/>
      <c r="E143" s="23"/>
      <c r="F143" s="37"/>
      <c r="G143" s="41"/>
      <c r="H143" s="23"/>
      <c r="I143" s="132"/>
      <c r="J143" s="24"/>
      <c r="L143" s="18" t="str">
        <f t="shared" si="33"/>
        <v/>
      </c>
      <c r="M143" s="18" t="str">
        <f t="shared" si="34"/>
        <v/>
      </c>
      <c r="N143" s="18" t="str">
        <f t="shared" si="35"/>
        <v/>
      </c>
      <c r="O143" s="18" t="str">
        <f t="shared" si="36"/>
        <v/>
      </c>
      <c r="P143" s="18" t="str">
        <f t="shared" si="37"/>
        <v/>
      </c>
      <c r="Q143" s="18" t="str">
        <f t="shared" si="38"/>
        <v/>
      </c>
      <c r="R143" s="18" t="str">
        <f t="shared" si="39"/>
        <v/>
      </c>
    </row>
    <row r="144" spans="1:18" ht="22.5" customHeight="1" x14ac:dyDescent="0.25">
      <c r="A144" s="19"/>
      <c r="B144" s="122"/>
      <c r="C144" s="107"/>
      <c r="D144" s="107"/>
      <c r="E144" s="20"/>
      <c r="F144" s="36"/>
      <c r="G144" s="40"/>
      <c r="H144" s="20"/>
      <c r="I144" s="131"/>
      <c r="J144" s="21"/>
      <c r="L144" s="18" t="str">
        <f t="shared" si="33"/>
        <v/>
      </c>
      <c r="M144" s="18" t="str">
        <f t="shared" si="34"/>
        <v/>
      </c>
      <c r="N144" s="18" t="str">
        <f t="shared" si="35"/>
        <v/>
      </c>
      <c r="O144" s="18" t="str">
        <f t="shared" si="36"/>
        <v/>
      </c>
      <c r="P144" s="18" t="str">
        <f t="shared" si="37"/>
        <v/>
      </c>
      <c r="Q144" s="18" t="str">
        <f t="shared" si="38"/>
        <v/>
      </c>
      <c r="R144" s="18" t="str">
        <f t="shared" si="39"/>
        <v/>
      </c>
    </row>
    <row r="145" spans="1:18" ht="22.5" customHeight="1" x14ac:dyDescent="0.25">
      <c r="A145" s="22"/>
      <c r="B145" s="123"/>
      <c r="C145" s="108"/>
      <c r="D145" s="108"/>
      <c r="E145" s="23"/>
      <c r="F145" s="37"/>
      <c r="G145" s="41"/>
      <c r="H145" s="23"/>
      <c r="I145" s="132"/>
      <c r="J145" s="24"/>
      <c r="L145" s="18" t="str">
        <f t="shared" si="33"/>
        <v/>
      </c>
      <c r="M145" s="18" t="str">
        <f t="shared" si="34"/>
        <v/>
      </c>
      <c r="N145" s="18" t="str">
        <f t="shared" si="35"/>
        <v/>
      </c>
      <c r="O145" s="18" t="str">
        <f t="shared" si="36"/>
        <v/>
      </c>
      <c r="P145" s="18" t="str">
        <f t="shared" si="37"/>
        <v/>
      </c>
      <c r="Q145" s="18" t="str">
        <f t="shared" si="38"/>
        <v/>
      </c>
      <c r="R145" s="18" t="str">
        <f t="shared" si="39"/>
        <v/>
      </c>
    </row>
    <row r="146" spans="1:18" ht="22.5" customHeight="1" x14ac:dyDescent="0.25">
      <c r="A146" s="19"/>
      <c r="B146" s="122"/>
      <c r="C146" s="107"/>
      <c r="D146" s="107"/>
      <c r="E146" s="20"/>
      <c r="F146" s="36"/>
      <c r="G146" s="40"/>
      <c r="H146" s="20"/>
      <c r="I146" s="131"/>
      <c r="J146" s="21"/>
      <c r="L146" s="18" t="str">
        <f t="shared" si="33"/>
        <v/>
      </c>
      <c r="M146" s="18" t="str">
        <f t="shared" si="34"/>
        <v/>
      </c>
      <c r="N146" s="18" t="str">
        <f t="shared" si="35"/>
        <v/>
      </c>
      <c r="O146" s="18" t="str">
        <f t="shared" si="36"/>
        <v/>
      </c>
      <c r="P146" s="18" t="str">
        <f t="shared" si="37"/>
        <v/>
      </c>
      <c r="Q146" s="18" t="str">
        <f t="shared" si="38"/>
        <v/>
      </c>
      <c r="R146" s="18" t="str">
        <f t="shared" si="39"/>
        <v/>
      </c>
    </row>
    <row r="147" spans="1:18" ht="22.5" customHeight="1" x14ac:dyDescent="0.25">
      <c r="A147" s="22"/>
      <c r="B147" s="123"/>
      <c r="C147" s="108"/>
      <c r="D147" s="108"/>
      <c r="E147" s="23"/>
      <c r="F147" s="37"/>
      <c r="G147" s="41"/>
      <c r="H147" s="23"/>
      <c r="I147" s="132"/>
      <c r="J147" s="24"/>
      <c r="L147" s="18" t="str">
        <f t="shared" si="33"/>
        <v/>
      </c>
      <c r="M147" s="18" t="str">
        <f t="shared" si="34"/>
        <v/>
      </c>
      <c r="N147" s="18" t="str">
        <f t="shared" si="35"/>
        <v/>
      </c>
      <c r="O147" s="18" t="str">
        <f t="shared" si="36"/>
        <v/>
      </c>
      <c r="P147" s="18" t="str">
        <f t="shared" si="37"/>
        <v/>
      </c>
      <c r="Q147" s="18" t="str">
        <f t="shared" si="38"/>
        <v/>
      </c>
      <c r="R147" s="18" t="str">
        <f t="shared" si="39"/>
        <v/>
      </c>
    </row>
    <row r="148" spans="1:18" ht="22.5" customHeight="1" x14ac:dyDescent="0.25">
      <c r="A148" s="19"/>
      <c r="B148" s="122"/>
      <c r="C148" s="107"/>
      <c r="D148" s="107"/>
      <c r="E148" s="20"/>
      <c r="F148" s="36"/>
      <c r="G148" s="40"/>
      <c r="H148" s="20"/>
      <c r="I148" s="131"/>
      <c r="J148" s="21"/>
      <c r="L148" s="18" t="str">
        <f t="shared" si="33"/>
        <v/>
      </c>
      <c r="M148" s="18" t="str">
        <f t="shared" si="34"/>
        <v/>
      </c>
      <c r="N148" s="18" t="str">
        <f t="shared" si="35"/>
        <v/>
      </c>
      <c r="O148" s="18" t="str">
        <f t="shared" si="36"/>
        <v/>
      </c>
      <c r="P148" s="18" t="str">
        <f t="shared" si="37"/>
        <v/>
      </c>
      <c r="Q148" s="18" t="str">
        <f t="shared" si="38"/>
        <v/>
      </c>
      <c r="R148" s="18" t="str">
        <f t="shared" si="39"/>
        <v/>
      </c>
    </row>
    <row r="149" spans="1:18" ht="22.5" customHeight="1" x14ac:dyDescent="0.25">
      <c r="A149" s="22"/>
      <c r="B149" s="123"/>
      <c r="C149" s="108"/>
      <c r="D149" s="108"/>
      <c r="E149" s="23"/>
      <c r="F149" s="37"/>
      <c r="G149" s="41"/>
      <c r="H149" s="23"/>
      <c r="I149" s="132"/>
      <c r="J149" s="24"/>
      <c r="L149" s="18" t="str">
        <f t="shared" si="33"/>
        <v/>
      </c>
      <c r="M149" s="18" t="str">
        <f t="shared" si="34"/>
        <v/>
      </c>
      <c r="N149" s="18" t="str">
        <f t="shared" si="35"/>
        <v/>
      </c>
      <c r="O149" s="18" t="str">
        <f t="shared" si="36"/>
        <v/>
      </c>
      <c r="P149" s="18" t="str">
        <f t="shared" si="37"/>
        <v/>
      </c>
      <c r="Q149" s="18" t="str">
        <f t="shared" si="38"/>
        <v/>
      </c>
      <c r="R149" s="18" t="str">
        <f t="shared" si="39"/>
        <v/>
      </c>
    </row>
    <row r="150" spans="1:18" ht="22.5" customHeight="1" x14ac:dyDescent="0.25">
      <c r="A150" s="19"/>
      <c r="B150" s="122"/>
      <c r="C150" s="107"/>
      <c r="D150" s="107"/>
      <c r="E150" s="20"/>
      <c r="F150" s="36"/>
      <c r="G150" s="40"/>
      <c r="H150" s="20"/>
      <c r="I150" s="131"/>
      <c r="J150" s="21"/>
      <c r="L150" s="18" t="str">
        <f t="shared" si="33"/>
        <v/>
      </c>
      <c r="M150" s="18" t="str">
        <f t="shared" si="34"/>
        <v/>
      </c>
      <c r="N150" s="18" t="str">
        <f t="shared" si="35"/>
        <v/>
      </c>
      <c r="O150" s="18" t="str">
        <f t="shared" si="36"/>
        <v/>
      </c>
      <c r="P150" s="18" t="str">
        <f t="shared" si="37"/>
        <v/>
      </c>
      <c r="Q150" s="18" t="str">
        <f t="shared" si="38"/>
        <v/>
      </c>
      <c r="R150" s="18" t="str">
        <f t="shared" si="39"/>
        <v/>
      </c>
    </row>
    <row r="151" spans="1:18" ht="22.5" customHeight="1" x14ac:dyDescent="0.25">
      <c r="A151" s="22"/>
      <c r="B151" s="123"/>
      <c r="C151" s="108"/>
      <c r="D151" s="108"/>
      <c r="E151" s="23"/>
      <c r="F151" s="37"/>
      <c r="G151" s="41"/>
      <c r="H151" s="23"/>
      <c r="I151" s="132"/>
      <c r="J151" s="24"/>
      <c r="L151" s="18" t="str">
        <f t="shared" si="33"/>
        <v/>
      </c>
      <c r="M151" s="18" t="str">
        <f t="shared" si="34"/>
        <v/>
      </c>
      <c r="N151" s="18" t="str">
        <f t="shared" si="35"/>
        <v/>
      </c>
      <c r="O151" s="18" t="str">
        <f t="shared" si="36"/>
        <v/>
      </c>
      <c r="P151" s="18" t="str">
        <f t="shared" si="37"/>
        <v/>
      </c>
      <c r="Q151" s="18" t="str">
        <f t="shared" si="38"/>
        <v/>
      </c>
      <c r="R151" s="18" t="str">
        <f t="shared" si="39"/>
        <v/>
      </c>
    </row>
    <row r="152" spans="1:18" ht="22.5" customHeight="1" x14ac:dyDescent="0.25">
      <c r="A152" s="19"/>
      <c r="B152" s="122"/>
      <c r="C152" s="107"/>
      <c r="D152" s="107"/>
      <c r="E152" s="20"/>
      <c r="F152" s="36"/>
      <c r="G152" s="40"/>
      <c r="H152" s="20"/>
      <c r="I152" s="131"/>
      <c r="J152" s="21"/>
      <c r="L152" s="18" t="str">
        <f t="shared" si="33"/>
        <v/>
      </c>
      <c r="M152" s="18" t="str">
        <f t="shared" si="34"/>
        <v/>
      </c>
      <c r="N152" s="18" t="str">
        <f t="shared" si="35"/>
        <v/>
      </c>
      <c r="O152" s="18" t="str">
        <f t="shared" si="36"/>
        <v/>
      </c>
      <c r="P152" s="18" t="str">
        <f t="shared" si="37"/>
        <v/>
      </c>
      <c r="Q152" s="18" t="str">
        <f t="shared" si="38"/>
        <v/>
      </c>
      <c r="R152" s="18" t="str">
        <f t="shared" si="39"/>
        <v/>
      </c>
    </row>
    <row r="153" spans="1:18" ht="22.5" customHeight="1" x14ac:dyDescent="0.25">
      <c r="A153" s="22"/>
      <c r="B153" s="123"/>
      <c r="C153" s="108"/>
      <c r="D153" s="108"/>
      <c r="E153" s="23"/>
      <c r="F153" s="37"/>
      <c r="G153" s="41"/>
      <c r="H153" s="23"/>
      <c r="I153" s="132"/>
      <c r="J153" s="24"/>
      <c r="L153" s="18" t="str">
        <f t="shared" si="33"/>
        <v/>
      </c>
      <c r="M153" s="18" t="str">
        <f t="shared" si="34"/>
        <v/>
      </c>
      <c r="N153" s="18" t="str">
        <f t="shared" si="35"/>
        <v/>
      </c>
      <c r="O153" s="18" t="str">
        <f t="shared" si="36"/>
        <v/>
      </c>
      <c r="P153" s="18" t="str">
        <f t="shared" si="37"/>
        <v/>
      </c>
      <c r="Q153" s="18" t="str">
        <f t="shared" si="38"/>
        <v/>
      </c>
      <c r="R153" s="18" t="str">
        <f t="shared" si="39"/>
        <v/>
      </c>
    </row>
    <row r="154" spans="1:18" ht="22.5" customHeight="1" x14ac:dyDescent="0.25">
      <c r="A154" s="19"/>
      <c r="B154" s="122"/>
      <c r="C154" s="107"/>
      <c r="D154" s="107"/>
      <c r="E154" s="20"/>
      <c r="F154" s="36"/>
      <c r="G154" s="40"/>
      <c r="H154" s="20"/>
      <c r="I154" s="131"/>
      <c r="J154" s="21"/>
      <c r="L154" s="18" t="str">
        <f t="shared" si="33"/>
        <v/>
      </c>
      <c r="M154" s="18" t="str">
        <f t="shared" si="34"/>
        <v/>
      </c>
      <c r="N154" s="18" t="str">
        <f t="shared" si="35"/>
        <v/>
      </c>
      <c r="O154" s="18" t="str">
        <f t="shared" si="36"/>
        <v/>
      </c>
      <c r="P154" s="18" t="str">
        <f t="shared" si="37"/>
        <v/>
      </c>
      <c r="Q154" s="18" t="str">
        <f t="shared" si="38"/>
        <v/>
      </c>
      <c r="R154" s="18" t="str">
        <f t="shared" si="39"/>
        <v/>
      </c>
    </row>
    <row r="155" spans="1:18" ht="22.5" customHeight="1" x14ac:dyDescent="0.25">
      <c r="A155" s="22"/>
      <c r="B155" s="123"/>
      <c r="C155" s="108"/>
      <c r="D155" s="108"/>
      <c r="E155" s="23"/>
      <c r="F155" s="37"/>
      <c r="G155" s="41"/>
      <c r="H155" s="23"/>
      <c r="I155" s="132"/>
      <c r="J155" s="24"/>
      <c r="L155" s="18" t="str">
        <f t="shared" si="33"/>
        <v/>
      </c>
      <c r="M155" s="18" t="str">
        <f t="shared" si="34"/>
        <v/>
      </c>
      <c r="N155" s="18" t="str">
        <f t="shared" si="35"/>
        <v/>
      </c>
      <c r="O155" s="18" t="str">
        <f t="shared" si="36"/>
        <v/>
      </c>
      <c r="P155" s="18" t="str">
        <f t="shared" si="37"/>
        <v/>
      </c>
      <c r="Q155" s="18" t="str">
        <f t="shared" si="38"/>
        <v/>
      </c>
      <c r="R155" s="18" t="str">
        <f t="shared" si="39"/>
        <v/>
      </c>
    </row>
    <row r="156" spans="1:18" ht="22.5" customHeight="1" x14ac:dyDescent="0.25">
      <c r="A156" s="19"/>
      <c r="B156" s="122"/>
      <c r="C156" s="107"/>
      <c r="D156" s="107"/>
      <c r="E156" s="20"/>
      <c r="F156" s="36"/>
      <c r="G156" s="40"/>
      <c r="H156" s="20"/>
      <c r="I156" s="131"/>
      <c r="J156" s="21"/>
      <c r="L156" s="18" t="str">
        <f t="shared" si="33"/>
        <v/>
      </c>
      <c r="M156" s="18" t="str">
        <f t="shared" si="34"/>
        <v/>
      </c>
      <c r="N156" s="18" t="str">
        <f t="shared" si="35"/>
        <v/>
      </c>
      <c r="O156" s="18" t="str">
        <f t="shared" si="36"/>
        <v/>
      </c>
      <c r="P156" s="18" t="str">
        <f t="shared" si="37"/>
        <v/>
      </c>
      <c r="Q156" s="18" t="str">
        <f t="shared" si="38"/>
        <v/>
      </c>
      <c r="R156" s="18" t="str">
        <f t="shared" si="39"/>
        <v/>
      </c>
    </row>
    <row r="157" spans="1:18" ht="22.5" customHeight="1" x14ac:dyDescent="0.25">
      <c r="A157" s="22"/>
      <c r="B157" s="123"/>
      <c r="C157" s="108"/>
      <c r="D157" s="108"/>
      <c r="E157" s="23"/>
      <c r="F157" s="37"/>
      <c r="G157" s="41"/>
      <c r="H157" s="23"/>
      <c r="I157" s="132"/>
      <c r="J157" s="24"/>
      <c r="L157" s="18" t="str">
        <f t="shared" si="33"/>
        <v/>
      </c>
      <c r="M157" s="18" t="str">
        <f t="shared" si="34"/>
        <v/>
      </c>
      <c r="N157" s="18" t="str">
        <f t="shared" si="35"/>
        <v/>
      </c>
      <c r="O157" s="18" t="str">
        <f t="shared" si="36"/>
        <v/>
      </c>
      <c r="P157" s="18" t="str">
        <f t="shared" si="37"/>
        <v/>
      </c>
      <c r="Q157" s="18" t="str">
        <f t="shared" si="38"/>
        <v/>
      </c>
      <c r="R157" s="18" t="str">
        <f t="shared" si="39"/>
        <v/>
      </c>
    </row>
    <row r="158" spans="1:18" ht="22.5" customHeight="1" x14ac:dyDescent="0.25">
      <c r="A158" s="19"/>
      <c r="B158" s="122"/>
      <c r="C158" s="107"/>
      <c r="D158" s="107"/>
      <c r="E158" s="20"/>
      <c r="F158" s="36"/>
      <c r="G158" s="40"/>
      <c r="H158" s="20"/>
      <c r="I158" s="131"/>
      <c r="J158" s="21"/>
      <c r="L158" s="18" t="str">
        <f t="shared" si="33"/>
        <v/>
      </c>
      <c r="M158" s="18" t="str">
        <f t="shared" si="34"/>
        <v/>
      </c>
      <c r="N158" s="18" t="str">
        <f t="shared" si="35"/>
        <v/>
      </c>
      <c r="O158" s="18" t="str">
        <f t="shared" si="36"/>
        <v/>
      </c>
      <c r="P158" s="18" t="str">
        <f t="shared" si="37"/>
        <v/>
      </c>
      <c r="Q158" s="18" t="str">
        <f t="shared" si="38"/>
        <v/>
      </c>
      <c r="R158" s="18" t="str">
        <f t="shared" si="39"/>
        <v/>
      </c>
    </row>
    <row r="159" spans="1:18" ht="22.5" customHeight="1" x14ac:dyDescent="0.25">
      <c r="A159" s="22"/>
      <c r="B159" s="123"/>
      <c r="C159" s="108"/>
      <c r="D159" s="108"/>
      <c r="E159" s="23"/>
      <c r="F159" s="37"/>
      <c r="G159" s="41"/>
      <c r="H159" s="23"/>
      <c r="I159" s="132"/>
      <c r="J159" s="24"/>
      <c r="L159" s="18" t="str">
        <f t="shared" si="33"/>
        <v/>
      </c>
      <c r="M159" s="18" t="str">
        <f t="shared" si="34"/>
        <v/>
      </c>
      <c r="N159" s="18" t="str">
        <f t="shared" si="35"/>
        <v/>
      </c>
      <c r="O159" s="18" t="str">
        <f t="shared" si="36"/>
        <v/>
      </c>
      <c r="P159" s="18" t="str">
        <f t="shared" si="37"/>
        <v/>
      </c>
      <c r="Q159" s="18" t="str">
        <f t="shared" si="38"/>
        <v/>
      </c>
      <c r="R159" s="18" t="str">
        <f t="shared" si="39"/>
        <v/>
      </c>
    </row>
    <row r="160" spans="1:18" ht="22.5" customHeight="1" x14ac:dyDescent="0.25">
      <c r="A160" s="19"/>
      <c r="B160" s="122"/>
      <c r="C160" s="107"/>
      <c r="D160" s="107"/>
      <c r="E160" s="20"/>
      <c r="F160" s="36"/>
      <c r="G160" s="40"/>
      <c r="H160" s="20"/>
      <c r="I160" s="131"/>
      <c r="J160" s="21"/>
      <c r="L160" s="18" t="str">
        <f t="shared" si="33"/>
        <v/>
      </c>
      <c r="M160" s="18" t="str">
        <f t="shared" si="34"/>
        <v/>
      </c>
      <c r="N160" s="18" t="str">
        <f t="shared" si="35"/>
        <v/>
      </c>
      <c r="O160" s="18" t="str">
        <f t="shared" si="36"/>
        <v/>
      </c>
      <c r="P160" s="18" t="str">
        <f t="shared" si="37"/>
        <v/>
      </c>
      <c r="Q160" s="18" t="str">
        <f t="shared" si="38"/>
        <v/>
      </c>
      <c r="R160" s="18" t="str">
        <f t="shared" si="39"/>
        <v/>
      </c>
    </row>
    <row r="161" spans="1:18" ht="22.5" customHeight="1" x14ac:dyDescent="0.25">
      <c r="A161" s="22"/>
      <c r="B161" s="123"/>
      <c r="C161" s="108"/>
      <c r="D161" s="108"/>
      <c r="E161" s="23"/>
      <c r="F161" s="37"/>
      <c r="G161" s="41"/>
      <c r="H161" s="23"/>
      <c r="I161" s="132"/>
      <c r="J161" s="24"/>
      <c r="L161" s="18" t="str">
        <f t="shared" si="33"/>
        <v/>
      </c>
      <c r="M161" s="18" t="str">
        <f t="shared" si="34"/>
        <v/>
      </c>
      <c r="N161" s="18" t="str">
        <f t="shared" si="35"/>
        <v/>
      </c>
      <c r="O161" s="18" t="str">
        <f t="shared" si="36"/>
        <v/>
      </c>
      <c r="P161" s="18" t="str">
        <f t="shared" si="37"/>
        <v/>
      </c>
      <c r="Q161" s="18" t="str">
        <f t="shared" si="38"/>
        <v/>
      </c>
      <c r="R161" s="18" t="str">
        <f t="shared" si="39"/>
        <v/>
      </c>
    </row>
    <row r="162" spans="1:18" ht="22.5" customHeight="1" x14ac:dyDescent="0.25">
      <c r="A162" s="19"/>
      <c r="B162" s="122"/>
      <c r="C162" s="107"/>
      <c r="D162" s="107"/>
      <c r="E162" s="20"/>
      <c r="F162" s="36"/>
      <c r="G162" s="40"/>
      <c r="H162" s="20"/>
      <c r="I162" s="131"/>
      <c r="J162" s="21"/>
      <c r="L162" s="18" t="str">
        <f t="shared" si="33"/>
        <v/>
      </c>
      <c r="M162" s="18" t="str">
        <f t="shared" si="34"/>
        <v/>
      </c>
      <c r="N162" s="18" t="str">
        <f t="shared" si="35"/>
        <v/>
      </c>
      <c r="O162" s="18" t="str">
        <f t="shared" si="36"/>
        <v/>
      </c>
      <c r="P162" s="18" t="str">
        <f t="shared" si="37"/>
        <v/>
      </c>
      <c r="Q162" s="18" t="str">
        <f t="shared" si="38"/>
        <v/>
      </c>
      <c r="R162" s="18" t="str">
        <f t="shared" si="39"/>
        <v/>
      </c>
    </row>
    <row r="163" spans="1:18" ht="22.5" customHeight="1" x14ac:dyDescent="0.25">
      <c r="A163" s="22"/>
      <c r="B163" s="123"/>
      <c r="C163" s="108"/>
      <c r="D163" s="108"/>
      <c r="E163" s="23"/>
      <c r="F163" s="37"/>
      <c r="G163" s="41"/>
      <c r="H163" s="23"/>
      <c r="I163" s="132"/>
      <c r="J163" s="24"/>
      <c r="L163" s="18" t="str">
        <f t="shared" si="33"/>
        <v/>
      </c>
      <c r="M163" s="18" t="str">
        <f t="shared" si="34"/>
        <v/>
      </c>
      <c r="N163" s="18" t="str">
        <f t="shared" si="35"/>
        <v/>
      </c>
      <c r="O163" s="18" t="str">
        <f t="shared" si="36"/>
        <v/>
      </c>
      <c r="P163" s="18" t="str">
        <f t="shared" si="37"/>
        <v/>
      </c>
      <c r="Q163" s="18" t="str">
        <f t="shared" si="38"/>
        <v/>
      </c>
      <c r="R163" s="18" t="str">
        <f t="shared" si="39"/>
        <v/>
      </c>
    </row>
    <row r="164" spans="1:18" ht="22.5" customHeight="1" x14ac:dyDescent="0.25">
      <c r="A164" s="19"/>
      <c r="B164" s="122"/>
      <c r="C164" s="107"/>
      <c r="D164" s="107"/>
      <c r="E164" s="20"/>
      <c r="F164" s="36"/>
      <c r="G164" s="40"/>
      <c r="H164" s="20"/>
      <c r="I164" s="131"/>
      <c r="J164" s="21"/>
      <c r="L164" s="18" t="str">
        <f t="shared" si="33"/>
        <v/>
      </c>
      <c r="M164" s="18" t="str">
        <f t="shared" si="34"/>
        <v/>
      </c>
      <c r="N164" s="18" t="str">
        <f t="shared" si="35"/>
        <v/>
      </c>
      <c r="O164" s="18" t="str">
        <f t="shared" si="36"/>
        <v/>
      </c>
      <c r="P164" s="18" t="str">
        <f t="shared" si="37"/>
        <v/>
      </c>
      <c r="Q164" s="18" t="str">
        <f t="shared" si="38"/>
        <v/>
      </c>
      <c r="R164" s="18" t="str">
        <f t="shared" si="39"/>
        <v/>
      </c>
    </row>
    <row r="165" spans="1:18" ht="22.5" customHeight="1" x14ac:dyDescent="0.25">
      <c r="A165" s="22"/>
      <c r="B165" s="123"/>
      <c r="C165" s="108"/>
      <c r="D165" s="108"/>
      <c r="E165" s="23"/>
      <c r="F165" s="37"/>
      <c r="G165" s="41"/>
      <c r="H165" s="23"/>
      <c r="I165" s="132"/>
      <c r="J165" s="24"/>
      <c r="L165" s="18" t="str">
        <f t="shared" si="33"/>
        <v/>
      </c>
      <c r="M165" s="18" t="str">
        <f t="shared" si="34"/>
        <v/>
      </c>
      <c r="N165" s="18" t="str">
        <f t="shared" si="35"/>
        <v/>
      </c>
      <c r="O165" s="18" t="str">
        <f t="shared" si="36"/>
        <v/>
      </c>
      <c r="P165" s="18" t="str">
        <f t="shared" si="37"/>
        <v/>
      </c>
      <c r="Q165" s="18" t="str">
        <f t="shared" si="38"/>
        <v/>
      </c>
      <c r="R165" s="18" t="str">
        <f t="shared" si="39"/>
        <v/>
      </c>
    </row>
    <row r="166" spans="1:18" ht="22.5" customHeight="1" x14ac:dyDescent="0.25">
      <c r="A166" s="19"/>
      <c r="B166" s="122"/>
      <c r="C166" s="107"/>
      <c r="D166" s="107"/>
      <c r="E166" s="20"/>
      <c r="F166" s="36"/>
      <c r="G166" s="40"/>
      <c r="H166" s="20"/>
      <c r="I166" s="131"/>
      <c r="J166" s="21"/>
      <c r="L166" s="18" t="str">
        <f t="shared" si="33"/>
        <v/>
      </c>
      <c r="M166" s="18" t="str">
        <f t="shared" si="34"/>
        <v/>
      </c>
      <c r="N166" s="18" t="str">
        <f t="shared" si="35"/>
        <v/>
      </c>
      <c r="O166" s="18" t="str">
        <f t="shared" si="36"/>
        <v/>
      </c>
      <c r="P166" s="18" t="str">
        <f t="shared" si="37"/>
        <v/>
      </c>
      <c r="Q166" s="18" t="str">
        <f t="shared" si="38"/>
        <v/>
      </c>
      <c r="R166" s="18" t="str">
        <f t="shared" si="39"/>
        <v/>
      </c>
    </row>
    <row r="167" spans="1:18" ht="22.5" customHeight="1" x14ac:dyDescent="0.25">
      <c r="A167" s="22"/>
      <c r="B167" s="123"/>
      <c r="C167" s="108"/>
      <c r="D167" s="108"/>
      <c r="E167" s="23"/>
      <c r="F167" s="37"/>
      <c r="G167" s="41"/>
      <c r="H167" s="23"/>
      <c r="I167" s="132"/>
      <c r="J167" s="24"/>
      <c r="L167" s="18" t="str">
        <f t="shared" si="33"/>
        <v/>
      </c>
      <c r="M167" s="18" t="str">
        <f t="shared" si="34"/>
        <v/>
      </c>
      <c r="N167" s="18" t="str">
        <f t="shared" si="35"/>
        <v/>
      </c>
      <c r="O167" s="18" t="str">
        <f t="shared" si="36"/>
        <v/>
      </c>
      <c r="P167" s="18" t="str">
        <f t="shared" si="37"/>
        <v/>
      </c>
      <c r="Q167" s="18" t="str">
        <f t="shared" si="38"/>
        <v/>
      </c>
      <c r="R167" s="18" t="str">
        <f t="shared" si="39"/>
        <v/>
      </c>
    </row>
    <row r="168" spans="1:18" ht="22.5" customHeight="1" x14ac:dyDescent="0.25">
      <c r="A168" s="19"/>
      <c r="B168" s="122"/>
      <c r="C168" s="107"/>
      <c r="D168" s="107"/>
      <c r="E168" s="20"/>
      <c r="F168" s="36"/>
      <c r="G168" s="40"/>
      <c r="H168" s="20"/>
      <c r="I168" s="131"/>
      <c r="J168" s="21"/>
      <c r="L168" s="18" t="str">
        <f t="shared" si="33"/>
        <v/>
      </c>
      <c r="M168" s="18" t="str">
        <f t="shared" si="34"/>
        <v/>
      </c>
      <c r="N168" s="18" t="str">
        <f t="shared" si="35"/>
        <v/>
      </c>
      <c r="O168" s="18" t="str">
        <f t="shared" si="36"/>
        <v/>
      </c>
      <c r="P168" s="18" t="str">
        <f t="shared" si="37"/>
        <v/>
      </c>
      <c r="Q168" s="18" t="str">
        <f t="shared" si="38"/>
        <v/>
      </c>
      <c r="R168" s="18" t="str">
        <f t="shared" si="39"/>
        <v/>
      </c>
    </row>
    <row r="169" spans="1:18" ht="22.5" customHeight="1" x14ac:dyDescent="0.25">
      <c r="A169" s="22"/>
      <c r="B169" s="123"/>
      <c r="C169" s="108"/>
      <c r="D169" s="108"/>
      <c r="E169" s="23"/>
      <c r="F169" s="37"/>
      <c r="G169" s="41"/>
      <c r="H169" s="23"/>
      <c r="I169" s="132"/>
      <c r="J169" s="24"/>
      <c r="L169" s="18" t="str">
        <f t="shared" si="33"/>
        <v/>
      </c>
      <c r="M169" s="18" t="str">
        <f t="shared" si="34"/>
        <v/>
      </c>
      <c r="N169" s="18" t="str">
        <f t="shared" si="35"/>
        <v/>
      </c>
      <c r="O169" s="18" t="str">
        <f t="shared" si="36"/>
        <v/>
      </c>
      <c r="P169" s="18" t="str">
        <f t="shared" si="37"/>
        <v/>
      </c>
      <c r="Q169" s="18" t="str">
        <f t="shared" si="38"/>
        <v/>
      </c>
      <c r="R169" s="18" t="str">
        <f t="shared" si="39"/>
        <v/>
      </c>
    </row>
    <row r="170" spans="1:18" ht="22.5" customHeight="1" x14ac:dyDescent="0.25">
      <c r="A170" s="19"/>
      <c r="B170" s="122"/>
      <c r="C170" s="107"/>
      <c r="D170" s="107"/>
      <c r="E170" s="20"/>
      <c r="F170" s="36"/>
      <c r="G170" s="40"/>
      <c r="H170" s="20"/>
      <c r="I170" s="131"/>
      <c r="J170" s="21"/>
      <c r="L170" s="18" t="str">
        <f t="shared" si="33"/>
        <v/>
      </c>
      <c r="M170" s="18" t="str">
        <f t="shared" si="34"/>
        <v/>
      </c>
      <c r="N170" s="18" t="str">
        <f t="shared" si="35"/>
        <v/>
      </c>
      <c r="O170" s="18" t="str">
        <f t="shared" si="36"/>
        <v/>
      </c>
      <c r="P170" s="18" t="str">
        <f t="shared" si="37"/>
        <v/>
      </c>
      <c r="Q170" s="18" t="str">
        <f t="shared" si="38"/>
        <v/>
      </c>
      <c r="R170" s="18" t="str">
        <f t="shared" si="39"/>
        <v/>
      </c>
    </row>
    <row r="171" spans="1:18" ht="22.5" customHeight="1" x14ac:dyDescent="0.25">
      <c r="A171" s="22"/>
      <c r="B171" s="123"/>
      <c r="C171" s="108"/>
      <c r="D171" s="108"/>
      <c r="E171" s="23"/>
      <c r="F171" s="37"/>
      <c r="G171" s="41"/>
      <c r="H171" s="23"/>
      <c r="I171" s="132"/>
      <c r="J171" s="24"/>
      <c r="L171" s="18" t="str">
        <f t="shared" si="33"/>
        <v/>
      </c>
      <c r="M171" s="18" t="str">
        <f t="shared" si="34"/>
        <v/>
      </c>
      <c r="N171" s="18" t="str">
        <f t="shared" si="35"/>
        <v/>
      </c>
      <c r="O171" s="18" t="str">
        <f t="shared" si="36"/>
        <v/>
      </c>
      <c r="P171" s="18" t="str">
        <f t="shared" si="37"/>
        <v/>
      </c>
      <c r="Q171" s="18" t="str">
        <f t="shared" si="38"/>
        <v/>
      </c>
      <c r="R171" s="18" t="str">
        <f t="shared" si="39"/>
        <v/>
      </c>
    </row>
    <row r="172" spans="1:18" ht="22.5" customHeight="1" x14ac:dyDescent="0.25">
      <c r="A172" s="19"/>
      <c r="B172" s="122"/>
      <c r="C172" s="107"/>
      <c r="D172" s="107"/>
      <c r="E172" s="20"/>
      <c r="F172" s="36"/>
      <c r="G172" s="40"/>
      <c r="H172" s="20"/>
      <c r="I172" s="131"/>
      <c r="J172" s="21"/>
      <c r="L172" s="18" t="str">
        <f t="shared" si="33"/>
        <v/>
      </c>
      <c r="M172" s="18" t="str">
        <f t="shared" si="34"/>
        <v/>
      </c>
      <c r="N172" s="18" t="str">
        <f t="shared" si="35"/>
        <v/>
      </c>
      <c r="O172" s="18" t="str">
        <f t="shared" si="36"/>
        <v/>
      </c>
      <c r="P172" s="18" t="str">
        <f t="shared" si="37"/>
        <v/>
      </c>
      <c r="Q172" s="18" t="str">
        <f t="shared" si="38"/>
        <v/>
      </c>
      <c r="R172" s="18" t="str">
        <f t="shared" si="39"/>
        <v/>
      </c>
    </row>
    <row r="173" spans="1:18" ht="22.5" customHeight="1" x14ac:dyDescent="0.25">
      <c r="A173" s="22"/>
      <c r="B173" s="123"/>
      <c r="C173" s="108"/>
      <c r="D173" s="108"/>
      <c r="E173" s="23"/>
      <c r="F173" s="37"/>
      <c r="G173" s="41"/>
      <c r="H173" s="23"/>
      <c r="I173" s="132"/>
      <c r="J173" s="24"/>
      <c r="L173" s="18" t="str">
        <f t="shared" si="33"/>
        <v/>
      </c>
      <c r="M173" s="18" t="str">
        <f t="shared" si="34"/>
        <v/>
      </c>
      <c r="N173" s="18" t="str">
        <f t="shared" si="35"/>
        <v/>
      </c>
      <c r="O173" s="18" t="str">
        <f t="shared" si="36"/>
        <v/>
      </c>
      <c r="P173" s="18" t="str">
        <f t="shared" si="37"/>
        <v/>
      </c>
      <c r="Q173" s="18" t="str">
        <f t="shared" si="38"/>
        <v/>
      </c>
      <c r="R173" s="18" t="str">
        <f t="shared" si="39"/>
        <v/>
      </c>
    </row>
    <row r="174" spans="1:18" ht="22.5" customHeight="1" x14ac:dyDescent="0.25">
      <c r="A174" s="19"/>
      <c r="B174" s="122"/>
      <c r="C174" s="107"/>
      <c r="D174" s="107"/>
      <c r="E174" s="20"/>
      <c r="F174" s="36"/>
      <c r="G174" s="40"/>
      <c r="H174" s="20"/>
      <c r="I174" s="131"/>
      <c r="J174" s="21"/>
      <c r="L174" s="18" t="str">
        <f t="shared" si="33"/>
        <v/>
      </c>
      <c r="M174" s="18" t="str">
        <f t="shared" si="34"/>
        <v/>
      </c>
      <c r="N174" s="18" t="str">
        <f t="shared" si="35"/>
        <v/>
      </c>
      <c r="O174" s="18" t="str">
        <f t="shared" si="36"/>
        <v/>
      </c>
      <c r="P174" s="18" t="str">
        <f t="shared" si="37"/>
        <v/>
      </c>
      <c r="Q174" s="18" t="str">
        <f t="shared" si="38"/>
        <v/>
      </c>
      <c r="R174" s="18" t="str">
        <f t="shared" si="39"/>
        <v/>
      </c>
    </row>
    <row r="175" spans="1:18" ht="22.5" customHeight="1" x14ac:dyDescent="0.25">
      <c r="A175" s="22"/>
      <c r="B175" s="123"/>
      <c r="C175" s="108"/>
      <c r="D175" s="108"/>
      <c r="E175" s="23"/>
      <c r="F175" s="37"/>
      <c r="G175" s="41"/>
      <c r="H175" s="23"/>
      <c r="I175" s="132"/>
      <c r="J175" s="24"/>
      <c r="L175" s="18" t="str">
        <f t="shared" si="33"/>
        <v/>
      </c>
      <c r="M175" s="18" t="str">
        <f t="shared" si="34"/>
        <v/>
      </c>
      <c r="N175" s="18" t="str">
        <f t="shared" si="35"/>
        <v/>
      </c>
      <c r="O175" s="18" t="str">
        <f t="shared" si="36"/>
        <v/>
      </c>
      <c r="P175" s="18" t="str">
        <f t="shared" si="37"/>
        <v/>
      </c>
      <c r="Q175" s="18" t="str">
        <f t="shared" si="38"/>
        <v/>
      </c>
      <c r="R175" s="18" t="str">
        <f t="shared" si="39"/>
        <v/>
      </c>
    </row>
    <row r="176" spans="1:18" ht="22.5" customHeight="1" x14ac:dyDescent="0.25">
      <c r="A176" s="19"/>
      <c r="B176" s="122"/>
      <c r="C176" s="107"/>
      <c r="D176" s="107"/>
      <c r="E176" s="20"/>
      <c r="F176" s="36"/>
      <c r="G176" s="40"/>
      <c r="H176" s="20"/>
      <c r="I176" s="131"/>
      <c r="J176" s="21"/>
      <c r="L176" s="18" t="str">
        <f t="shared" si="33"/>
        <v/>
      </c>
      <c r="M176" s="18" t="str">
        <f t="shared" si="34"/>
        <v/>
      </c>
      <c r="N176" s="18" t="str">
        <f t="shared" si="35"/>
        <v/>
      </c>
      <c r="O176" s="18" t="str">
        <f t="shared" si="36"/>
        <v/>
      </c>
      <c r="P176" s="18" t="str">
        <f t="shared" si="37"/>
        <v/>
      </c>
      <c r="Q176" s="18" t="str">
        <f t="shared" si="38"/>
        <v/>
      </c>
      <c r="R176" s="18" t="str">
        <f t="shared" si="39"/>
        <v/>
      </c>
    </row>
    <row r="177" spans="1:18" ht="22.5" customHeight="1" x14ac:dyDescent="0.25">
      <c r="A177" s="22"/>
      <c r="B177" s="123"/>
      <c r="C177" s="108"/>
      <c r="D177" s="108"/>
      <c r="E177" s="23"/>
      <c r="F177" s="37"/>
      <c r="G177" s="41"/>
      <c r="H177" s="23"/>
      <c r="I177" s="132"/>
      <c r="J177" s="24"/>
      <c r="L177" s="18" t="str">
        <f t="shared" si="33"/>
        <v/>
      </c>
      <c r="M177" s="18" t="str">
        <f t="shared" si="34"/>
        <v/>
      </c>
      <c r="N177" s="18" t="str">
        <f t="shared" si="35"/>
        <v/>
      </c>
      <c r="O177" s="18" t="str">
        <f t="shared" si="36"/>
        <v/>
      </c>
      <c r="P177" s="18" t="str">
        <f t="shared" si="37"/>
        <v/>
      </c>
      <c r="Q177" s="18" t="str">
        <f t="shared" si="38"/>
        <v/>
      </c>
      <c r="R177" s="18" t="str">
        <f t="shared" si="39"/>
        <v/>
      </c>
    </row>
    <row r="178" spans="1:18" ht="22.5" customHeight="1" x14ac:dyDescent="0.25">
      <c r="A178" s="19"/>
      <c r="B178" s="122"/>
      <c r="C178" s="107"/>
      <c r="D178" s="107"/>
      <c r="E178" s="20"/>
      <c r="F178" s="36"/>
      <c r="G178" s="40"/>
      <c r="H178" s="20"/>
      <c r="I178" s="131"/>
      <c r="J178" s="21"/>
      <c r="L178" s="18" t="str">
        <f t="shared" si="33"/>
        <v/>
      </c>
      <c r="M178" s="18" t="str">
        <f t="shared" si="34"/>
        <v/>
      </c>
      <c r="N178" s="18" t="str">
        <f t="shared" si="35"/>
        <v/>
      </c>
      <c r="O178" s="18" t="str">
        <f t="shared" si="36"/>
        <v/>
      </c>
      <c r="P178" s="18" t="str">
        <f t="shared" si="37"/>
        <v/>
      </c>
      <c r="Q178" s="18" t="str">
        <f t="shared" si="38"/>
        <v/>
      </c>
      <c r="R178" s="18" t="str">
        <f t="shared" si="39"/>
        <v/>
      </c>
    </row>
    <row r="179" spans="1:18" ht="22.5" customHeight="1" x14ac:dyDescent="0.25">
      <c r="A179" s="22"/>
      <c r="B179" s="123"/>
      <c r="C179" s="108"/>
      <c r="D179" s="108"/>
      <c r="E179" s="23"/>
      <c r="F179" s="37"/>
      <c r="G179" s="41"/>
      <c r="H179" s="23"/>
      <c r="I179" s="132"/>
      <c r="J179" s="24"/>
      <c r="L179" s="18" t="str">
        <f t="shared" si="33"/>
        <v/>
      </c>
      <c r="M179" s="18" t="str">
        <f t="shared" si="34"/>
        <v/>
      </c>
      <c r="N179" s="18" t="str">
        <f t="shared" si="35"/>
        <v/>
      </c>
      <c r="O179" s="18" t="str">
        <f t="shared" si="36"/>
        <v/>
      </c>
      <c r="P179" s="18" t="str">
        <f t="shared" si="37"/>
        <v/>
      </c>
      <c r="Q179" s="18" t="str">
        <f t="shared" si="38"/>
        <v/>
      </c>
      <c r="R179" s="18" t="str">
        <f t="shared" si="39"/>
        <v/>
      </c>
    </row>
    <row r="180" spans="1:18" ht="22.5" customHeight="1" x14ac:dyDescent="0.25">
      <c r="A180" s="19"/>
      <c r="B180" s="122"/>
      <c r="C180" s="107"/>
      <c r="D180" s="107"/>
      <c r="E180" s="20"/>
      <c r="F180" s="36"/>
      <c r="G180" s="40"/>
      <c r="H180" s="20"/>
      <c r="I180" s="131"/>
      <c r="J180" s="21"/>
      <c r="L180" s="18" t="str">
        <f t="shared" si="33"/>
        <v/>
      </c>
      <c r="M180" s="18" t="str">
        <f t="shared" si="34"/>
        <v/>
      </c>
      <c r="N180" s="18" t="str">
        <f t="shared" si="35"/>
        <v/>
      </c>
      <c r="O180" s="18" t="str">
        <f t="shared" si="36"/>
        <v/>
      </c>
      <c r="P180" s="18" t="str">
        <f t="shared" si="37"/>
        <v/>
      </c>
      <c r="Q180" s="18" t="str">
        <f t="shared" si="38"/>
        <v/>
      </c>
      <c r="R180" s="18" t="str">
        <f t="shared" si="39"/>
        <v/>
      </c>
    </row>
    <row r="181" spans="1:18" ht="22.5" customHeight="1" x14ac:dyDescent="0.25">
      <c r="A181" s="22"/>
      <c r="B181" s="123"/>
      <c r="C181" s="108"/>
      <c r="D181" s="108"/>
      <c r="E181" s="23"/>
      <c r="F181" s="37"/>
      <c r="G181" s="41"/>
      <c r="H181" s="23"/>
      <c r="I181" s="132"/>
      <c r="J181" s="24"/>
      <c r="L181" s="18" t="str">
        <f t="shared" si="33"/>
        <v/>
      </c>
      <c r="M181" s="18" t="str">
        <f t="shared" si="34"/>
        <v/>
      </c>
      <c r="N181" s="18" t="str">
        <f t="shared" si="35"/>
        <v/>
      </c>
      <c r="O181" s="18" t="str">
        <f t="shared" si="36"/>
        <v/>
      </c>
      <c r="P181" s="18" t="str">
        <f t="shared" si="37"/>
        <v/>
      </c>
      <c r="Q181" s="18" t="str">
        <f t="shared" si="38"/>
        <v/>
      </c>
      <c r="R181" s="18" t="str">
        <f t="shared" si="39"/>
        <v/>
      </c>
    </row>
    <row r="182" spans="1:18" ht="22.5" customHeight="1" x14ac:dyDescent="0.25">
      <c r="A182" s="19"/>
      <c r="B182" s="122"/>
      <c r="C182" s="107"/>
      <c r="D182" s="107"/>
      <c r="E182" s="20"/>
      <c r="F182" s="36"/>
      <c r="G182" s="40"/>
      <c r="H182" s="20"/>
      <c r="I182" s="131"/>
      <c r="J182" s="21"/>
      <c r="L182" s="18" t="str">
        <f t="shared" si="33"/>
        <v/>
      </c>
      <c r="M182" s="18" t="str">
        <f t="shared" si="34"/>
        <v/>
      </c>
      <c r="N182" s="18" t="str">
        <f t="shared" si="35"/>
        <v/>
      </c>
      <c r="O182" s="18" t="str">
        <f t="shared" si="36"/>
        <v/>
      </c>
      <c r="P182" s="18" t="str">
        <f t="shared" si="37"/>
        <v/>
      </c>
      <c r="Q182" s="18" t="str">
        <f t="shared" si="38"/>
        <v/>
      </c>
      <c r="R182" s="18" t="str">
        <f t="shared" si="39"/>
        <v/>
      </c>
    </row>
    <row r="183" spans="1:18" ht="22.5" customHeight="1" x14ac:dyDescent="0.25">
      <c r="A183" s="22"/>
      <c r="B183" s="123"/>
      <c r="C183" s="108"/>
      <c r="D183" s="108"/>
      <c r="E183" s="23"/>
      <c r="F183" s="37"/>
      <c r="G183" s="41"/>
      <c r="H183" s="23"/>
      <c r="I183" s="132"/>
      <c r="J183" s="24"/>
      <c r="L183" s="18" t="str">
        <f t="shared" si="33"/>
        <v/>
      </c>
      <c r="M183" s="18" t="str">
        <f t="shared" si="34"/>
        <v/>
      </c>
      <c r="N183" s="18" t="str">
        <f t="shared" si="35"/>
        <v/>
      </c>
      <c r="O183" s="18" t="str">
        <f t="shared" si="36"/>
        <v/>
      </c>
      <c r="P183" s="18" t="str">
        <f t="shared" si="37"/>
        <v/>
      </c>
      <c r="Q183" s="18" t="str">
        <f t="shared" si="38"/>
        <v/>
      </c>
      <c r="R183" s="18" t="str">
        <f t="shared" si="39"/>
        <v/>
      </c>
    </row>
    <row r="184" spans="1:18" ht="22.5" customHeight="1" x14ac:dyDescent="0.25">
      <c r="A184" s="19"/>
      <c r="B184" s="122"/>
      <c r="C184" s="107"/>
      <c r="D184" s="107"/>
      <c r="E184" s="20"/>
      <c r="F184" s="36"/>
      <c r="G184" s="40"/>
      <c r="H184" s="20"/>
      <c r="I184" s="131"/>
      <c r="J184" s="21"/>
      <c r="L184" s="18" t="str">
        <f t="shared" si="33"/>
        <v/>
      </c>
      <c r="M184" s="18" t="str">
        <f t="shared" si="34"/>
        <v/>
      </c>
      <c r="N184" s="18" t="str">
        <f t="shared" si="35"/>
        <v/>
      </c>
      <c r="O184" s="18" t="str">
        <f t="shared" si="36"/>
        <v/>
      </c>
      <c r="P184" s="18" t="str">
        <f t="shared" si="37"/>
        <v/>
      </c>
      <c r="Q184" s="18" t="str">
        <f t="shared" si="38"/>
        <v/>
      </c>
      <c r="R184" s="18" t="str">
        <f t="shared" si="39"/>
        <v/>
      </c>
    </row>
    <row r="185" spans="1:18" ht="22.5" customHeight="1" x14ac:dyDescent="0.25">
      <c r="A185" s="22"/>
      <c r="B185" s="123"/>
      <c r="C185" s="108"/>
      <c r="D185" s="108"/>
      <c r="E185" s="23"/>
      <c r="F185" s="37"/>
      <c r="G185" s="41"/>
      <c r="H185" s="23"/>
      <c r="I185" s="132"/>
      <c r="J185" s="24"/>
      <c r="L185" s="18" t="str">
        <f t="shared" si="33"/>
        <v/>
      </c>
      <c r="M185" s="18" t="str">
        <f t="shared" si="34"/>
        <v/>
      </c>
      <c r="N185" s="18" t="str">
        <f t="shared" si="35"/>
        <v/>
      </c>
      <c r="O185" s="18" t="str">
        <f t="shared" si="36"/>
        <v/>
      </c>
      <c r="P185" s="18" t="str">
        <f t="shared" si="37"/>
        <v/>
      </c>
      <c r="Q185" s="18" t="str">
        <f t="shared" si="38"/>
        <v/>
      </c>
      <c r="R185" s="18" t="str">
        <f t="shared" si="39"/>
        <v/>
      </c>
    </row>
    <row r="186" spans="1:18" ht="22.5" customHeight="1" x14ac:dyDescent="0.25">
      <c r="A186" s="19"/>
      <c r="B186" s="122"/>
      <c r="C186" s="107"/>
      <c r="D186" s="107"/>
      <c r="E186" s="20"/>
      <c r="F186" s="36"/>
      <c r="G186" s="40"/>
      <c r="H186" s="20"/>
      <c r="I186" s="131"/>
      <c r="J186" s="21"/>
      <c r="L186" s="18" t="str">
        <f t="shared" si="33"/>
        <v/>
      </c>
      <c r="M186" s="18" t="str">
        <f t="shared" si="34"/>
        <v/>
      </c>
      <c r="N186" s="18" t="str">
        <f t="shared" si="35"/>
        <v/>
      </c>
      <c r="O186" s="18" t="str">
        <f t="shared" si="36"/>
        <v/>
      </c>
      <c r="P186" s="18" t="str">
        <f t="shared" si="37"/>
        <v/>
      </c>
      <c r="Q186" s="18" t="str">
        <f t="shared" si="38"/>
        <v/>
      </c>
      <c r="R186" s="18" t="str">
        <f t="shared" si="39"/>
        <v/>
      </c>
    </row>
    <row r="187" spans="1:18" ht="22.5" customHeight="1" x14ac:dyDescent="0.25">
      <c r="A187" s="22"/>
      <c r="B187" s="123"/>
      <c r="C187" s="108"/>
      <c r="D187" s="108"/>
      <c r="E187" s="23"/>
      <c r="F187" s="37"/>
      <c r="G187" s="41"/>
      <c r="H187" s="23"/>
      <c r="I187" s="132"/>
      <c r="J187" s="24"/>
      <c r="L187" s="18" t="str">
        <f t="shared" si="33"/>
        <v/>
      </c>
      <c r="M187" s="18" t="str">
        <f t="shared" si="34"/>
        <v/>
      </c>
      <c r="N187" s="18" t="str">
        <f t="shared" si="35"/>
        <v/>
      </c>
      <c r="O187" s="18" t="str">
        <f t="shared" si="36"/>
        <v/>
      </c>
      <c r="P187" s="18" t="str">
        <f t="shared" si="37"/>
        <v/>
      </c>
      <c r="Q187" s="18" t="str">
        <f t="shared" si="38"/>
        <v/>
      </c>
      <c r="R187" s="18" t="str">
        <f t="shared" si="39"/>
        <v/>
      </c>
    </row>
    <row r="188" spans="1:18" ht="22.5" customHeight="1" x14ac:dyDescent="0.25">
      <c r="A188" s="19"/>
      <c r="B188" s="122"/>
      <c r="C188" s="107"/>
      <c r="D188" s="107"/>
      <c r="E188" s="20"/>
      <c r="F188" s="36"/>
      <c r="G188" s="40"/>
      <c r="H188" s="20"/>
      <c r="I188" s="131"/>
      <c r="J188" s="21"/>
      <c r="L188" s="18" t="str">
        <f t="shared" si="33"/>
        <v/>
      </c>
      <c r="M188" s="18" t="str">
        <f t="shared" si="34"/>
        <v/>
      </c>
      <c r="N188" s="18" t="str">
        <f t="shared" si="35"/>
        <v/>
      </c>
      <c r="O188" s="18" t="str">
        <f t="shared" si="36"/>
        <v/>
      </c>
      <c r="P188" s="18" t="str">
        <f t="shared" si="37"/>
        <v/>
      </c>
      <c r="Q188" s="18" t="str">
        <f t="shared" si="38"/>
        <v/>
      </c>
      <c r="R188" s="18" t="str">
        <f t="shared" si="39"/>
        <v/>
      </c>
    </row>
    <row r="189" spans="1:18" ht="22.5" customHeight="1" x14ac:dyDescent="0.25">
      <c r="A189" s="22"/>
      <c r="B189" s="123"/>
      <c r="C189" s="108"/>
      <c r="D189" s="108"/>
      <c r="E189" s="23"/>
      <c r="F189" s="37"/>
      <c r="G189" s="41"/>
      <c r="H189" s="23"/>
      <c r="I189" s="132"/>
      <c r="J189" s="24"/>
      <c r="L189" s="18" t="str">
        <f t="shared" si="33"/>
        <v/>
      </c>
      <c r="M189" s="18" t="str">
        <f t="shared" si="34"/>
        <v/>
      </c>
      <c r="N189" s="18" t="str">
        <f t="shared" si="35"/>
        <v/>
      </c>
      <c r="O189" s="18" t="str">
        <f t="shared" si="36"/>
        <v/>
      </c>
      <c r="P189" s="18" t="str">
        <f t="shared" si="37"/>
        <v/>
      </c>
      <c r="Q189" s="18" t="str">
        <f t="shared" si="38"/>
        <v/>
      </c>
      <c r="R189" s="18" t="str">
        <f t="shared" si="39"/>
        <v/>
      </c>
    </row>
    <row r="190" spans="1:18" ht="22.5" customHeight="1" x14ac:dyDescent="0.25">
      <c r="A190" s="19"/>
      <c r="B190" s="122"/>
      <c r="C190" s="107"/>
      <c r="D190" s="107"/>
      <c r="E190" s="20"/>
      <c r="F190" s="36"/>
      <c r="G190" s="40"/>
      <c r="H190" s="20"/>
      <c r="I190" s="131"/>
      <c r="J190" s="21"/>
      <c r="L190" s="18" t="str">
        <f t="shared" si="33"/>
        <v/>
      </c>
      <c r="M190" s="18" t="str">
        <f t="shared" si="34"/>
        <v/>
      </c>
      <c r="N190" s="18" t="str">
        <f t="shared" si="35"/>
        <v/>
      </c>
      <c r="O190" s="18" t="str">
        <f t="shared" si="36"/>
        <v/>
      </c>
      <c r="P190" s="18" t="str">
        <f t="shared" si="37"/>
        <v/>
      </c>
      <c r="Q190" s="18" t="str">
        <f t="shared" si="38"/>
        <v/>
      </c>
      <c r="R190" s="18" t="str">
        <f t="shared" si="39"/>
        <v/>
      </c>
    </row>
    <row r="191" spans="1:18" ht="22.5" customHeight="1" x14ac:dyDescent="0.25">
      <c r="A191" s="22"/>
      <c r="B191" s="123"/>
      <c r="C191" s="108"/>
      <c r="D191" s="108"/>
      <c r="E191" s="23"/>
      <c r="F191" s="37"/>
      <c r="G191" s="41"/>
      <c r="H191" s="23"/>
      <c r="I191" s="132"/>
      <c r="J191" s="24"/>
      <c r="L191" s="18" t="str">
        <f t="shared" si="33"/>
        <v/>
      </c>
      <c r="M191" s="18" t="str">
        <f t="shared" si="34"/>
        <v/>
      </c>
      <c r="N191" s="18" t="str">
        <f t="shared" si="35"/>
        <v/>
      </c>
      <c r="O191" s="18" t="str">
        <f t="shared" si="36"/>
        <v/>
      </c>
      <c r="P191" s="18" t="str">
        <f t="shared" si="37"/>
        <v/>
      </c>
      <c r="Q191" s="18" t="str">
        <f t="shared" si="38"/>
        <v/>
      </c>
      <c r="R191" s="18" t="str">
        <f t="shared" si="39"/>
        <v/>
      </c>
    </row>
    <row r="192" spans="1:18" ht="22.5" customHeight="1" x14ac:dyDescent="0.25">
      <c r="A192" s="19"/>
      <c r="B192" s="122"/>
      <c r="C192" s="107"/>
      <c r="D192" s="107"/>
      <c r="E192" s="20"/>
      <c r="F192" s="36"/>
      <c r="G192" s="40"/>
      <c r="H192" s="20"/>
      <c r="I192" s="131"/>
      <c r="J192" s="21"/>
      <c r="L192" s="18" t="str">
        <f t="shared" si="33"/>
        <v/>
      </c>
      <c r="M192" s="18" t="str">
        <f t="shared" si="34"/>
        <v/>
      </c>
      <c r="N192" s="18" t="str">
        <f t="shared" si="35"/>
        <v/>
      </c>
      <c r="O192" s="18" t="str">
        <f t="shared" si="36"/>
        <v/>
      </c>
      <c r="P192" s="18" t="str">
        <f t="shared" si="37"/>
        <v/>
      </c>
      <c r="Q192" s="18" t="str">
        <f t="shared" si="38"/>
        <v/>
      </c>
      <c r="R192" s="18" t="str">
        <f t="shared" si="39"/>
        <v/>
      </c>
    </row>
    <row r="193" spans="1:18" ht="22.5" customHeight="1" x14ac:dyDescent="0.25">
      <c r="A193" s="22"/>
      <c r="B193" s="123"/>
      <c r="C193" s="108"/>
      <c r="D193" s="108"/>
      <c r="E193" s="23"/>
      <c r="F193" s="37"/>
      <c r="G193" s="41"/>
      <c r="H193" s="23"/>
      <c r="I193" s="132"/>
      <c r="J193" s="24"/>
      <c r="L193" s="18" t="str">
        <f t="shared" si="33"/>
        <v/>
      </c>
      <c r="M193" s="18" t="str">
        <f t="shared" si="34"/>
        <v/>
      </c>
      <c r="N193" s="18" t="str">
        <f t="shared" si="35"/>
        <v/>
      </c>
      <c r="O193" s="18" t="str">
        <f t="shared" si="36"/>
        <v/>
      </c>
      <c r="P193" s="18" t="str">
        <f t="shared" si="37"/>
        <v/>
      </c>
      <c r="Q193" s="18" t="str">
        <f t="shared" si="38"/>
        <v/>
      </c>
      <c r="R193" s="18" t="str">
        <f t="shared" si="39"/>
        <v/>
      </c>
    </row>
    <row r="194" spans="1:18" ht="22.5" customHeight="1" x14ac:dyDescent="0.25">
      <c r="A194" s="19"/>
      <c r="B194" s="122"/>
      <c r="C194" s="107"/>
      <c r="D194" s="107"/>
      <c r="E194" s="20"/>
      <c r="F194" s="36"/>
      <c r="G194" s="40"/>
      <c r="H194" s="20"/>
      <c r="I194" s="131"/>
      <c r="J194" s="21"/>
      <c r="L194" s="18" t="str">
        <f t="shared" si="33"/>
        <v/>
      </c>
      <c r="M194" s="18" t="str">
        <f t="shared" si="34"/>
        <v/>
      </c>
      <c r="N194" s="18" t="str">
        <f t="shared" si="35"/>
        <v/>
      </c>
      <c r="O194" s="18" t="str">
        <f t="shared" si="36"/>
        <v/>
      </c>
      <c r="P194" s="18" t="str">
        <f t="shared" si="37"/>
        <v/>
      </c>
      <c r="Q194" s="18" t="str">
        <f t="shared" si="38"/>
        <v/>
      </c>
      <c r="R194" s="18" t="str">
        <f t="shared" si="39"/>
        <v/>
      </c>
    </row>
    <row r="195" spans="1:18" ht="22.5" customHeight="1" x14ac:dyDescent="0.25">
      <c r="A195" s="22"/>
      <c r="B195" s="123"/>
      <c r="C195" s="108"/>
      <c r="D195" s="108"/>
      <c r="E195" s="23"/>
      <c r="F195" s="37"/>
      <c r="G195" s="41"/>
      <c r="H195" s="23"/>
      <c r="I195" s="132"/>
      <c r="J195" s="24"/>
      <c r="L195" s="18" t="str">
        <f t="shared" si="33"/>
        <v/>
      </c>
      <c r="M195" s="18" t="str">
        <f t="shared" si="34"/>
        <v/>
      </c>
      <c r="N195" s="18" t="str">
        <f t="shared" si="35"/>
        <v/>
      </c>
      <c r="O195" s="18" t="str">
        <f t="shared" si="36"/>
        <v/>
      </c>
      <c r="P195" s="18" t="str">
        <f t="shared" si="37"/>
        <v/>
      </c>
      <c r="Q195" s="18" t="str">
        <f t="shared" si="38"/>
        <v/>
      </c>
      <c r="R195" s="18" t="str">
        <f t="shared" si="39"/>
        <v/>
      </c>
    </row>
    <row r="196" spans="1:18" ht="22.5" customHeight="1" x14ac:dyDescent="0.25">
      <c r="A196" s="19"/>
      <c r="B196" s="122"/>
      <c r="C196" s="107"/>
      <c r="D196" s="107"/>
      <c r="E196" s="20"/>
      <c r="F196" s="36"/>
      <c r="G196" s="40"/>
      <c r="H196" s="20"/>
      <c r="I196" s="131"/>
      <c r="J196" s="21"/>
      <c r="L196" s="18" t="str">
        <f t="shared" si="33"/>
        <v/>
      </c>
      <c r="M196" s="18" t="str">
        <f t="shared" si="34"/>
        <v/>
      </c>
      <c r="N196" s="18" t="str">
        <f t="shared" si="35"/>
        <v/>
      </c>
      <c r="O196" s="18" t="str">
        <f t="shared" si="36"/>
        <v/>
      </c>
      <c r="P196" s="18" t="str">
        <f t="shared" si="37"/>
        <v/>
      </c>
      <c r="Q196" s="18" t="str">
        <f t="shared" si="38"/>
        <v/>
      </c>
      <c r="R196" s="18" t="str">
        <f t="shared" si="39"/>
        <v/>
      </c>
    </row>
    <row r="197" spans="1:18" ht="22.5" customHeight="1" x14ac:dyDescent="0.25">
      <c r="A197" s="22"/>
      <c r="B197" s="123"/>
      <c r="C197" s="108"/>
      <c r="D197" s="108"/>
      <c r="E197" s="23"/>
      <c r="F197" s="37"/>
      <c r="G197" s="41"/>
      <c r="H197" s="23"/>
      <c r="I197" s="132"/>
      <c r="J197" s="24"/>
      <c r="L197" s="18" t="str">
        <f t="shared" si="33"/>
        <v/>
      </c>
      <c r="M197" s="18" t="str">
        <f t="shared" si="34"/>
        <v/>
      </c>
      <c r="N197" s="18" t="str">
        <f t="shared" si="35"/>
        <v/>
      </c>
      <c r="O197" s="18" t="str">
        <f t="shared" si="36"/>
        <v/>
      </c>
      <c r="P197" s="18" t="str">
        <f t="shared" si="37"/>
        <v/>
      </c>
      <c r="Q197" s="18" t="str">
        <f t="shared" si="38"/>
        <v/>
      </c>
      <c r="R197" s="18" t="str">
        <f t="shared" si="39"/>
        <v/>
      </c>
    </row>
    <row r="198" spans="1:18" ht="22.5" customHeight="1" x14ac:dyDescent="0.25">
      <c r="A198" s="19"/>
      <c r="B198" s="122"/>
      <c r="C198" s="107"/>
      <c r="D198" s="107"/>
      <c r="E198" s="20"/>
      <c r="F198" s="36"/>
      <c r="G198" s="40"/>
      <c r="H198" s="20"/>
      <c r="I198" s="131"/>
      <c r="J198" s="21"/>
      <c r="L198" s="18" t="str">
        <f t="shared" si="33"/>
        <v/>
      </c>
      <c r="M198" s="18" t="str">
        <f t="shared" si="34"/>
        <v/>
      </c>
      <c r="N198" s="18" t="str">
        <f t="shared" si="35"/>
        <v/>
      </c>
      <c r="O198" s="18" t="str">
        <f t="shared" si="36"/>
        <v/>
      </c>
      <c r="P198" s="18" t="str">
        <f t="shared" si="37"/>
        <v/>
      </c>
      <c r="Q198" s="18" t="str">
        <f t="shared" si="38"/>
        <v/>
      </c>
      <c r="R198" s="18" t="str">
        <f t="shared" si="39"/>
        <v/>
      </c>
    </row>
    <row r="199" spans="1:18" ht="22.5" customHeight="1" x14ac:dyDescent="0.25">
      <c r="A199" s="22"/>
      <c r="B199" s="123"/>
      <c r="C199" s="108"/>
      <c r="D199" s="108"/>
      <c r="E199" s="23"/>
      <c r="F199" s="37"/>
      <c r="G199" s="41"/>
      <c r="H199" s="23"/>
      <c r="I199" s="132"/>
      <c r="J199" s="24"/>
      <c r="L199" s="18" t="str">
        <f t="shared" si="33"/>
        <v/>
      </c>
      <c r="M199" s="18" t="str">
        <f t="shared" si="34"/>
        <v/>
      </c>
      <c r="N199" s="18" t="str">
        <f t="shared" si="35"/>
        <v/>
      </c>
      <c r="O199" s="18" t="str">
        <f t="shared" si="36"/>
        <v/>
      </c>
      <c r="P199" s="18" t="str">
        <f t="shared" si="37"/>
        <v/>
      </c>
      <c r="Q199" s="18" t="str">
        <f t="shared" si="38"/>
        <v/>
      </c>
      <c r="R199" s="18" t="str">
        <f t="shared" si="39"/>
        <v/>
      </c>
    </row>
    <row r="200" spans="1:18" ht="22.5" customHeight="1" x14ac:dyDescent="0.25">
      <c r="A200" s="19"/>
      <c r="B200" s="122"/>
      <c r="C200" s="107"/>
      <c r="D200" s="107"/>
      <c r="E200" s="20"/>
      <c r="F200" s="36"/>
      <c r="G200" s="40"/>
      <c r="H200" s="20"/>
      <c r="I200" s="131"/>
      <c r="J200" s="21"/>
      <c r="L200" s="18" t="str">
        <f t="shared" si="33"/>
        <v/>
      </c>
      <c r="M200" s="18" t="str">
        <f t="shared" si="34"/>
        <v/>
      </c>
      <c r="N200" s="18" t="str">
        <f t="shared" si="35"/>
        <v/>
      </c>
      <c r="O200" s="18" t="str">
        <f t="shared" si="36"/>
        <v/>
      </c>
      <c r="P200" s="18" t="str">
        <f t="shared" si="37"/>
        <v/>
      </c>
      <c r="Q200" s="18" t="str">
        <f t="shared" si="38"/>
        <v/>
      </c>
      <c r="R200" s="18" t="str">
        <f t="shared" si="39"/>
        <v/>
      </c>
    </row>
    <row r="201" spans="1:18" ht="22.5" customHeight="1" x14ac:dyDescent="0.25">
      <c r="A201" s="22"/>
      <c r="B201" s="123"/>
      <c r="C201" s="108"/>
      <c r="D201" s="108"/>
      <c r="E201" s="23"/>
      <c r="F201" s="37"/>
      <c r="G201" s="41"/>
      <c r="H201" s="23"/>
      <c r="I201" s="132"/>
      <c r="J201" s="24"/>
      <c r="L201" s="18" t="str">
        <f t="shared" si="33"/>
        <v/>
      </c>
      <c r="M201" s="18" t="str">
        <f t="shared" si="34"/>
        <v/>
      </c>
      <c r="N201" s="18" t="str">
        <f t="shared" si="35"/>
        <v/>
      </c>
      <c r="O201" s="18" t="str">
        <f t="shared" si="36"/>
        <v/>
      </c>
      <c r="P201" s="18" t="str">
        <f t="shared" si="37"/>
        <v/>
      </c>
      <c r="Q201" s="18" t="str">
        <f t="shared" si="38"/>
        <v/>
      </c>
      <c r="R201" s="18" t="str">
        <f t="shared" si="39"/>
        <v/>
      </c>
    </row>
    <row r="202" spans="1:18" ht="22.5" customHeight="1" x14ac:dyDescent="0.25">
      <c r="A202" s="19"/>
      <c r="B202" s="122"/>
      <c r="C202" s="107"/>
      <c r="D202" s="107"/>
      <c r="E202" s="20"/>
      <c r="F202" s="36"/>
      <c r="G202" s="40"/>
      <c r="H202" s="20"/>
      <c r="I202" s="131"/>
      <c r="J202" s="21"/>
      <c r="L202" s="18" t="str">
        <f t="shared" ref="L202:L265" si="40">IF(A202="","",IF(A202="Entrada",D202,""))</f>
        <v/>
      </c>
      <c r="M202" s="18" t="str">
        <f t="shared" ref="M202:M265" si="41">IF(A202="","",IF(A202="Entrada",E202,""))</f>
        <v/>
      </c>
      <c r="N202" s="18" t="str">
        <f t="shared" ref="N202:N265" si="42">IF(A202="","",IF(A202="Entrada",1,""))</f>
        <v/>
      </c>
      <c r="O202" s="18" t="str">
        <f t="shared" ref="O202:O265" si="43">IF(N202=1,G202,"")</f>
        <v/>
      </c>
      <c r="P202" s="18" t="str">
        <f t="shared" ref="P202:P265" si="44">IF(A202="","",IF(A202="Entrada",(L202/10)*O202,""))</f>
        <v/>
      </c>
      <c r="Q202" s="18" t="str">
        <f t="shared" ref="Q202:Q265" si="45">IF(A202="","",IF(A202="Saída",D202,""))</f>
        <v/>
      </c>
      <c r="R202" s="18" t="str">
        <f t="shared" ref="R202:R265" si="46">IF(A202="","",IF(A202="Saída",E202,""))</f>
        <v/>
      </c>
    </row>
    <row r="203" spans="1:18" ht="22.5" customHeight="1" x14ac:dyDescent="0.25">
      <c r="A203" s="22"/>
      <c r="B203" s="123"/>
      <c r="C203" s="108"/>
      <c r="D203" s="108"/>
      <c r="E203" s="23"/>
      <c r="F203" s="37"/>
      <c r="G203" s="41"/>
      <c r="H203" s="23"/>
      <c r="I203" s="132"/>
      <c r="J203" s="24"/>
      <c r="L203" s="18" t="str">
        <f t="shared" si="40"/>
        <v/>
      </c>
      <c r="M203" s="18" t="str">
        <f t="shared" si="41"/>
        <v/>
      </c>
      <c r="N203" s="18" t="str">
        <f t="shared" si="42"/>
        <v/>
      </c>
      <c r="O203" s="18" t="str">
        <f t="shared" si="43"/>
        <v/>
      </c>
      <c r="P203" s="18" t="str">
        <f t="shared" si="44"/>
        <v/>
      </c>
      <c r="Q203" s="18" t="str">
        <f t="shared" si="45"/>
        <v/>
      </c>
      <c r="R203" s="18" t="str">
        <f t="shared" si="46"/>
        <v/>
      </c>
    </row>
    <row r="204" spans="1:18" ht="22.5" customHeight="1" x14ac:dyDescent="0.25">
      <c r="A204" s="19"/>
      <c r="B204" s="122"/>
      <c r="C204" s="107"/>
      <c r="D204" s="107"/>
      <c r="E204" s="20"/>
      <c r="F204" s="36"/>
      <c r="G204" s="40"/>
      <c r="H204" s="20"/>
      <c r="I204" s="131"/>
      <c r="J204" s="21"/>
      <c r="L204" s="18" t="str">
        <f t="shared" si="40"/>
        <v/>
      </c>
      <c r="M204" s="18" t="str">
        <f t="shared" si="41"/>
        <v/>
      </c>
      <c r="N204" s="18" t="str">
        <f t="shared" si="42"/>
        <v/>
      </c>
      <c r="O204" s="18" t="str">
        <f t="shared" si="43"/>
        <v/>
      </c>
      <c r="P204" s="18" t="str">
        <f t="shared" si="44"/>
        <v/>
      </c>
      <c r="Q204" s="18" t="str">
        <f t="shared" si="45"/>
        <v/>
      </c>
      <c r="R204" s="18" t="str">
        <f t="shared" si="46"/>
        <v/>
      </c>
    </row>
    <row r="205" spans="1:18" ht="22.5" customHeight="1" x14ac:dyDescent="0.25">
      <c r="A205" s="22"/>
      <c r="B205" s="123"/>
      <c r="C205" s="108"/>
      <c r="D205" s="108"/>
      <c r="E205" s="23"/>
      <c r="F205" s="37"/>
      <c r="G205" s="41"/>
      <c r="H205" s="23"/>
      <c r="I205" s="132"/>
      <c r="J205" s="24"/>
      <c r="L205" s="18" t="str">
        <f t="shared" si="40"/>
        <v/>
      </c>
      <c r="M205" s="18" t="str">
        <f t="shared" si="41"/>
        <v/>
      </c>
      <c r="N205" s="18" t="str">
        <f t="shared" si="42"/>
        <v/>
      </c>
      <c r="O205" s="18" t="str">
        <f t="shared" si="43"/>
        <v/>
      </c>
      <c r="P205" s="18" t="str">
        <f t="shared" si="44"/>
        <v/>
      </c>
      <c r="Q205" s="18" t="str">
        <f t="shared" si="45"/>
        <v/>
      </c>
      <c r="R205" s="18" t="str">
        <f t="shared" si="46"/>
        <v/>
      </c>
    </row>
    <row r="206" spans="1:18" ht="22.5" customHeight="1" x14ac:dyDescent="0.25">
      <c r="A206" s="19"/>
      <c r="B206" s="122"/>
      <c r="C206" s="107"/>
      <c r="D206" s="107"/>
      <c r="E206" s="20"/>
      <c r="F206" s="36"/>
      <c r="G206" s="40"/>
      <c r="H206" s="20"/>
      <c r="I206" s="131"/>
      <c r="J206" s="21"/>
      <c r="L206" s="18" t="str">
        <f t="shared" si="40"/>
        <v/>
      </c>
      <c r="M206" s="18" t="str">
        <f t="shared" si="41"/>
        <v/>
      </c>
      <c r="N206" s="18" t="str">
        <f t="shared" si="42"/>
        <v/>
      </c>
      <c r="O206" s="18" t="str">
        <f t="shared" si="43"/>
        <v/>
      </c>
      <c r="P206" s="18" t="str">
        <f t="shared" si="44"/>
        <v/>
      </c>
      <c r="Q206" s="18" t="str">
        <f t="shared" si="45"/>
        <v/>
      </c>
      <c r="R206" s="18" t="str">
        <f t="shared" si="46"/>
        <v/>
      </c>
    </row>
    <row r="207" spans="1:18" ht="22.5" customHeight="1" x14ac:dyDescent="0.25">
      <c r="A207" s="22"/>
      <c r="B207" s="123"/>
      <c r="C207" s="108"/>
      <c r="D207" s="108"/>
      <c r="E207" s="23"/>
      <c r="F207" s="37"/>
      <c r="G207" s="41"/>
      <c r="H207" s="23"/>
      <c r="I207" s="132"/>
      <c r="J207" s="24"/>
      <c r="L207" s="18" t="str">
        <f t="shared" si="40"/>
        <v/>
      </c>
      <c r="M207" s="18" t="str">
        <f t="shared" si="41"/>
        <v/>
      </c>
      <c r="N207" s="18" t="str">
        <f t="shared" si="42"/>
        <v/>
      </c>
      <c r="O207" s="18" t="str">
        <f t="shared" si="43"/>
        <v/>
      </c>
      <c r="P207" s="18" t="str">
        <f t="shared" si="44"/>
        <v/>
      </c>
      <c r="Q207" s="18" t="str">
        <f t="shared" si="45"/>
        <v/>
      </c>
      <c r="R207" s="18" t="str">
        <f t="shared" si="46"/>
        <v/>
      </c>
    </row>
    <row r="208" spans="1:18" ht="22.5" customHeight="1" x14ac:dyDescent="0.25">
      <c r="A208" s="19"/>
      <c r="B208" s="122"/>
      <c r="C208" s="107"/>
      <c r="D208" s="107"/>
      <c r="E208" s="20"/>
      <c r="F208" s="36"/>
      <c r="G208" s="40"/>
      <c r="H208" s="20"/>
      <c r="I208" s="131"/>
      <c r="J208" s="21"/>
      <c r="L208" s="18" t="str">
        <f t="shared" si="40"/>
        <v/>
      </c>
      <c r="M208" s="18" t="str">
        <f t="shared" si="41"/>
        <v/>
      </c>
      <c r="N208" s="18" t="str">
        <f t="shared" si="42"/>
        <v/>
      </c>
      <c r="O208" s="18" t="str">
        <f t="shared" si="43"/>
        <v/>
      </c>
      <c r="P208" s="18" t="str">
        <f t="shared" si="44"/>
        <v/>
      </c>
      <c r="Q208" s="18" t="str">
        <f t="shared" si="45"/>
        <v/>
      </c>
      <c r="R208" s="18" t="str">
        <f t="shared" si="46"/>
        <v/>
      </c>
    </row>
    <row r="209" spans="1:18" ht="22.5" customHeight="1" x14ac:dyDescent="0.25">
      <c r="A209" s="22"/>
      <c r="B209" s="123"/>
      <c r="C209" s="108"/>
      <c r="D209" s="108"/>
      <c r="E209" s="23"/>
      <c r="F209" s="37"/>
      <c r="G209" s="41"/>
      <c r="H209" s="23"/>
      <c r="I209" s="132"/>
      <c r="J209" s="24"/>
      <c r="L209" s="18" t="str">
        <f t="shared" si="40"/>
        <v/>
      </c>
      <c r="M209" s="18" t="str">
        <f t="shared" si="41"/>
        <v/>
      </c>
      <c r="N209" s="18" t="str">
        <f t="shared" si="42"/>
        <v/>
      </c>
      <c r="O209" s="18" t="str">
        <f t="shared" si="43"/>
        <v/>
      </c>
      <c r="P209" s="18" t="str">
        <f t="shared" si="44"/>
        <v/>
      </c>
      <c r="Q209" s="18" t="str">
        <f t="shared" si="45"/>
        <v/>
      </c>
      <c r="R209" s="18" t="str">
        <f t="shared" si="46"/>
        <v/>
      </c>
    </row>
    <row r="210" spans="1:18" ht="22.5" customHeight="1" x14ac:dyDescent="0.25">
      <c r="A210" s="19"/>
      <c r="B210" s="122"/>
      <c r="C210" s="107"/>
      <c r="D210" s="107"/>
      <c r="E210" s="20"/>
      <c r="F210" s="36"/>
      <c r="G210" s="40"/>
      <c r="H210" s="20"/>
      <c r="I210" s="131"/>
      <c r="J210" s="21"/>
      <c r="L210" s="18" t="str">
        <f t="shared" si="40"/>
        <v/>
      </c>
      <c r="M210" s="18" t="str">
        <f t="shared" si="41"/>
        <v/>
      </c>
      <c r="N210" s="18" t="str">
        <f t="shared" si="42"/>
        <v/>
      </c>
      <c r="O210" s="18" t="str">
        <f t="shared" si="43"/>
        <v/>
      </c>
      <c r="P210" s="18" t="str">
        <f t="shared" si="44"/>
        <v/>
      </c>
      <c r="Q210" s="18" t="str">
        <f t="shared" si="45"/>
        <v/>
      </c>
      <c r="R210" s="18" t="str">
        <f t="shared" si="46"/>
        <v/>
      </c>
    </row>
    <row r="211" spans="1:18" ht="22.5" customHeight="1" x14ac:dyDescent="0.25">
      <c r="A211" s="22"/>
      <c r="B211" s="123"/>
      <c r="C211" s="108"/>
      <c r="D211" s="108"/>
      <c r="E211" s="23"/>
      <c r="F211" s="37"/>
      <c r="G211" s="41"/>
      <c r="H211" s="23"/>
      <c r="I211" s="132"/>
      <c r="J211" s="24"/>
      <c r="L211" s="18" t="str">
        <f t="shared" si="40"/>
        <v/>
      </c>
      <c r="M211" s="18" t="str">
        <f t="shared" si="41"/>
        <v/>
      </c>
      <c r="N211" s="18" t="str">
        <f t="shared" si="42"/>
        <v/>
      </c>
      <c r="O211" s="18" t="str">
        <f t="shared" si="43"/>
        <v/>
      </c>
      <c r="P211" s="18" t="str">
        <f t="shared" si="44"/>
        <v/>
      </c>
      <c r="Q211" s="18" t="str">
        <f t="shared" si="45"/>
        <v/>
      </c>
      <c r="R211" s="18" t="str">
        <f t="shared" si="46"/>
        <v/>
      </c>
    </row>
    <row r="212" spans="1:18" ht="22.5" customHeight="1" x14ac:dyDescent="0.25">
      <c r="A212" s="19"/>
      <c r="B212" s="122"/>
      <c r="C212" s="107"/>
      <c r="D212" s="107"/>
      <c r="E212" s="20"/>
      <c r="F212" s="36"/>
      <c r="G212" s="40"/>
      <c r="H212" s="20"/>
      <c r="I212" s="131"/>
      <c r="J212" s="21"/>
      <c r="L212" s="18" t="str">
        <f t="shared" si="40"/>
        <v/>
      </c>
      <c r="M212" s="18" t="str">
        <f t="shared" si="41"/>
        <v/>
      </c>
      <c r="N212" s="18" t="str">
        <f t="shared" si="42"/>
        <v/>
      </c>
      <c r="O212" s="18" t="str">
        <f t="shared" si="43"/>
        <v/>
      </c>
      <c r="P212" s="18" t="str">
        <f t="shared" si="44"/>
        <v/>
      </c>
      <c r="Q212" s="18" t="str">
        <f t="shared" si="45"/>
        <v/>
      </c>
      <c r="R212" s="18" t="str">
        <f t="shared" si="46"/>
        <v/>
      </c>
    </row>
    <row r="213" spans="1:18" ht="22.5" customHeight="1" x14ac:dyDescent="0.25">
      <c r="A213" s="22"/>
      <c r="B213" s="123"/>
      <c r="C213" s="108"/>
      <c r="D213" s="108"/>
      <c r="E213" s="23"/>
      <c r="F213" s="37"/>
      <c r="G213" s="41"/>
      <c r="H213" s="23"/>
      <c r="I213" s="132"/>
      <c r="J213" s="24"/>
      <c r="L213" s="18" t="str">
        <f t="shared" si="40"/>
        <v/>
      </c>
      <c r="M213" s="18" t="str">
        <f t="shared" si="41"/>
        <v/>
      </c>
      <c r="N213" s="18" t="str">
        <f t="shared" si="42"/>
        <v/>
      </c>
      <c r="O213" s="18" t="str">
        <f t="shared" si="43"/>
        <v/>
      </c>
      <c r="P213" s="18" t="str">
        <f t="shared" si="44"/>
        <v/>
      </c>
      <c r="Q213" s="18" t="str">
        <f t="shared" si="45"/>
        <v/>
      </c>
      <c r="R213" s="18" t="str">
        <f t="shared" si="46"/>
        <v/>
      </c>
    </row>
    <row r="214" spans="1:18" ht="22.5" customHeight="1" x14ac:dyDescent="0.25">
      <c r="A214" s="19"/>
      <c r="B214" s="122"/>
      <c r="C214" s="107"/>
      <c r="D214" s="107"/>
      <c r="E214" s="20"/>
      <c r="F214" s="36"/>
      <c r="G214" s="40"/>
      <c r="H214" s="20"/>
      <c r="I214" s="131"/>
      <c r="J214" s="21"/>
      <c r="L214" s="18" t="str">
        <f t="shared" si="40"/>
        <v/>
      </c>
      <c r="M214" s="18" t="str">
        <f t="shared" si="41"/>
        <v/>
      </c>
      <c r="N214" s="18" t="str">
        <f t="shared" si="42"/>
        <v/>
      </c>
      <c r="O214" s="18" t="str">
        <f t="shared" si="43"/>
        <v/>
      </c>
      <c r="P214" s="18" t="str">
        <f t="shared" si="44"/>
        <v/>
      </c>
      <c r="Q214" s="18" t="str">
        <f t="shared" si="45"/>
        <v/>
      </c>
      <c r="R214" s="18" t="str">
        <f t="shared" si="46"/>
        <v/>
      </c>
    </row>
    <row r="215" spans="1:18" ht="22.5" customHeight="1" x14ac:dyDescent="0.25">
      <c r="A215" s="22"/>
      <c r="B215" s="123"/>
      <c r="C215" s="108"/>
      <c r="D215" s="108"/>
      <c r="E215" s="23"/>
      <c r="F215" s="37"/>
      <c r="G215" s="41"/>
      <c r="H215" s="23"/>
      <c r="I215" s="132"/>
      <c r="J215" s="24"/>
      <c r="L215" s="18" t="str">
        <f t="shared" si="40"/>
        <v/>
      </c>
      <c r="M215" s="18" t="str">
        <f t="shared" si="41"/>
        <v/>
      </c>
      <c r="N215" s="18" t="str">
        <f t="shared" si="42"/>
        <v/>
      </c>
      <c r="O215" s="18" t="str">
        <f t="shared" si="43"/>
        <v/>
      </c>
      <c r="P215" s="18" t="str">
        <f t="shared" si="44"/>
        <v/>
      </c>
      <c r="Q215" s="18" t="str">
        <f t="shared" si="45"/>
        <v/>
      </c>
      <c r="R215" s="18" t="str">
        <f t="shared" si="46"/>
        <v/>
      </c>
    </row>
    <row r="216" spans="1:18" ht="22.5" customHeight="1" x14ac:dyDescent="0.25">
      <c r="A216" s="19"/>
      <c r="B216" s="122"/>
      <c r="C216" s="107"/>
      <c r="D216" s="107"/>
      <c r="E216" s="20"/>
      <c r="F216" s="36"/>
      <c r="G216" s="40"/>
      <c r="H216" s="20"/>
      <c r="I216" s="131"/>
      <c r="J216" s="21"/>
      <c r="L216" s="18" t="str">
        <f t="shared" si="40"/>
        <v/>
      </c>
      <c r="M216" s="18" t="str">
        <f t="shared" si="41"/>
        <v/>
      </c>
      <c r="N216" s="18" t="str">
        <f t="shared" si="42"/>
        <v/>
      </c>
      <c r="O216" s="18" t="str">
        <f t="shared" si="43"/>
        <v/>
      </c>
      <c r="P216" s="18" t="str">
        <f t="shared" si="44"/>
        <v/>
      </c>
      <c r="Q216" s="18" t="str">
        <f t="shared" si="45"/>
        <v/>
      </c>
      <c r="R216" s="18" t="str">
        <f t="shared" si="46"/>
        <v/>
      </c>
    </row>
    <row r="217" spans="1:18" ht="22.5" customHeight="1" x14ac:dyDescent="0.25">
      <c r="A217" s="22"/>
      <c r="B217" s="123"/>
      <c r="C217" s="108"/>
      <c r="D217" s="108"/>
      <c r="E217" s="23"/>
      <c r="F217" s="37"/>
      <c r="G217" s="41"/>
      <c r="H217" s="23"/>
      <c r="I217" s="132"/>
      <c r="J217" s="24"/>
      <c r="L217" s="18" t="str">
        <f t="shared" si="40"/>
        <v/>
      </c>
      <c r="M217" s="18" t="str">
        <f t="shared" si="41"/>
        <v/>
      </c>
      <c r="N217" s="18" t="str">
        <f t="shared" si="42"/>
        <v/>
      </c>
      <c r="O217" s="18" t="str">
        <f t="shared" si="43"/>
        <v/>
      </c>
      <c r="P217" s="18" t="str">
        <f t="shared" si="44"/>
        <v/>
      </c>
      <c r="Q217" s="18" t="str">
        <f t="shared" si="45"/>
        <v/>
      </c>
      <c r="R217" s="18" t="str">
        <f t="shared" si="46"/>
        <v/>
      </c>
    </row>
    <row r="218" spans="1:18" ht="22.5" customHeight="1" x14ac:dyDescent="0.25">
      <c r="A218" s="19"/>
      <c r="B218" s="122"/>
      <c r="C218" s="107"/>
      <c r="D218" s="107"/>
      <c r="E218" s="20"/>
      <c r="F218" s="36"/>
      <c r="G218" s="40"/>
      <c r="H218" s="20"/>
      <c r="I218" s="131"/>
      <c r="J218" s="21"/>
      <c r="L218" s="18" t="str">
        <f t="shared" si="40"/>
        <v/>
      </c>
      <c r="M218" s="18" t="str">
        <f t="shared" si="41"/>
        <v/>
      </c>
      <c r="N218" s="18" t="str">
        <f t="shared" si="42"/>
        <v/>
      </c>
      <c r="O218" s="18" t="str">
        <f t="shared" si="43"/>
        <v/>
      </c>
      <c r="P218" s="18" t="str">
        <f t="shared" si="44"/>
        <v/>
      </c>
      <c r="Q218" s="18" t="str">
        <f t="shared" si="45"/>
        <v/>
      </c>
      <c r="R218" s="18" t="str">
        <f t="shared" si="46"/>
        <v/>
      </c>
    </row>
    <row r="219" spans="1:18" ht="22.5" customHeight="1" x14ac:dyDescent="0.25">
      <c r="A219" s="22"/>
      <c r="B219" s="123"/>
      <c r="C219" s="108"/>
      <c r="D219" s="108"/>
      <c r="E219" s="23"/>
      <c r="F219" s="37"/>
      <c r="G219" s="41"/>
      <c r="H219" s="23"/>
      <c r="I219" s="132"/>
      <c r="J219" s="24"/>
      <c r="L219" s="18" t="str">
        <f t="shared" si="40"/>
        <v/>
      </c>
      <c r="M219" s="18" t="str">
        <f t="shared" si="41"/>
        <v/>
      </c>
      <c r="N219" s="18" t="str">
        <f t="shared" si="42"/>
        <v/>
      </c>
      <c r="O219" s="18" t="str">
        <f t="shared" si="43"/>
        <v/>
      </c>
      <c r="P219" s="18" t="str">
        <f t="shared" si="44"/>
        <v/>
      </c>
      <c r="Q219" s="18" t="str">
        <f t="shared" si="45"/>
        <v/>
      </c>
      <c r="R219" s="18" t="str">
        <f t="shared" si="46"/>
        <v/>
      </c>
    </row>
    <row r="220" spans="1:18" ht="22.5" customHeight="1" x14ac:dyDescent="0.25">
      <c r="A220" s="19"/>
      <c r="B220" s="122"/>
      <c r="C220" s="107"/>
      <c r="D220" s="107"/>
      <c r="E220" s="20"/>
      <c r="F220" s="36"/>
      <c r="G220" s="40"/>
      <c r="H220" s="20"/>
      <c r="I220" s="131"/>
      <c r="J220" s="21"/>
      <c r="L220" s="18" t="str">
        <f t="shared" si="40"/>
        <v/>
      </c>
      <c r="M220" s="18" t="str">
        <f t="shared" si="41"/>
        <v/>
      </c>
      <c r="N220" s="18" t="str">
        <f t="shared" si="42"/>
        <v/>
      </c>
      <c r="O220" s="18" t="str">
        <f t="shared" si="43"/>
        <v/>
      </c>
      <c r="P220" s="18" t="str">
        <f t="shared" si="44"/>
        <v/>
      </c>
      <c r="Q220" s="18" t="str">
        <f t="shared" si="45"/>
        <v/>
      </c>
      <c r="R220" s="18" t="str">
        <f t="shared" si="46"/>
        <v/>
      </c>
    </row>
    <row r="221" spans="1:18" ht="22.5" customHeight="1" x14ac:dyDescent="0.25">
      <c r="A221" s="22"/>
      <c r="B221" s="123"/>
      <c r="C221" s="108"/>
      <c r="D221" s="108"/>
      <c r="E221" s="23"/>
      <c r="F221" s="37"/>
      <c r="G221" s="41"/>
      <c r="H221" s="23"/>
      <c r="I221" s="132"/>
      <c r="J221" s="24"/>
      <c r="L221" s="18" t="str">
        <f t="shared" si="40"/>
        <v/>
      </c>
      <c r="M221" s="18" t="str">
        <f t="shared" si="41"/>
        <v/>
      </c>
      <c r="N221" s="18" t="str">
        <f t="shared" si="42"/>
        <v/>
      </c>
      <c r="O221" s="18" t="str">
        <f t="shared" si="43"/>
        <v/>
      </c>
      <c r="P221" s="18" t="str">
        <f t="shared" si="44"/>
        <v/>
      </c>
      <c r="Q221" s="18" t="str">
        <f t="shared" si="45"/>
        <v/>
      </c>
      <c r="R221" s="18" t="str">
        <f t="shared" si="46"/>
        <v/>
      </c>
    </row>
    <row r="222" spans="1:18" ht="22.5" customHeight="1" x14ac:dyDescent="0.25">
      <c r="A222" s="19"/>
      <c r="B222" s="122"/>
      <c r="C222" s="107"/>
      <c r="D222" s="107"/>
      <c r="E222" s="20"/>
      <c r="F222" s="36"/>
      <c r="G222" s="40"/>
      <c r="H222" s="20"/>
      <c r="I222" s="131"/>
      <c r="J222" s="21"/>
      <c r="L222" s="18" t="str">
        <f t="shared" si="40"/>
        <v/>
      </c>
      <c r="M222" s="18" t="str">
        <f t="shared" si="41"/>
        <v/>
      </c>
      <c r="N222" s="18" t="str">
        <f t="shared" si="42"/>
        <v/>
      </c>
      <c r="O222" s="18" t="str">
        <f t="shared" si="43"/>
        <v/>
      </c>
      <c r="P222" s="18" t="str">
        <f t="shared" si="44"/>
        <v/>
      </c>
      <c r="Q222" s="18" t="str">
        <f t="shared" si="45"/>
        <v/>
      </c>
      <c r="R222" s="18" t="str">
        <f t="shared" si="46"/>
        <v/>
      </c>
    </row>
    <row r="223" spans="1:18" ht="22.5" customHeight="1" x14ac:dyDescent="0.25">
      <c r="A223" s="22"/>
      <c r="B223" s="123"/>
      <c r="C223" s="108"/>
      <c r="D223" s="108"/>
      <c r="E223" s="23"/>
      <c r="F223" s="37"/>
      <c r="G223" s="41"/>
      <c r="H223" s="23"/>
      <c r="I223" s="132"/>
      <c r="J223" s="24"/>
      <c r="L223" s="18" t="str">
        <f t="shared" si="40"/>
        <v/>
      </c>
      <c r="M223" s="18" t="str">
        <f t="shared" si="41"/>
        <v/>
      </c>
      <c r="N223" s="18" t="str">
        <f t="shared" si="42"/>
        <v/>
      </c>
      <c r="O223" s="18" t="str">
        <f t="shared" si="43"/>
        <v/>
      </c>
      <c r="P223" s="18" t="str">
        <f t="shared" si="44"/>
        <v/>
      </c>
      <c r="Q223" s="18" t="str">
        <f t="shared" si="45"/>
        <v/>
      </c>
      <c r="R223" s="18" t="str">
        <f t="shared" si="46"/>
        <v/>
      </c>
    </row>
    <row r="224" spans="1:18" ht="22.5" customHeight="1" x14ac:dyDescent="0.25">
      <c r="A224" s="19"/>
      <c r="B224" s="122"/>
      <c r="C224" s="107"/>
      <c r="D224" s="107"/>
      <c r="E224" s="20"/>
      <c r="F224" s="36"/>
      <c r="G224" s="40"/>
      <c r="H224" s="20"/>
      <c r="I224" s="131"/>
      <c r="J224" s="21"/>
      <c r="L224" s="18" t="str">
        <f t="shared" si="40"/>
        <v/>
      </c>
      <c r="M224" s="18" t="str">
        <f t="shared" si="41"/>
        <v/>
      </c>
      <c r="N224" s="18" t="str">
        <f t="shared" si="42"/>
        <v/>
      </c>
      <c r="O224" s="18" t="str">
        <f t="shared" si="43"/>
        <v/>
      </c>
      <c r="P224" s="18" t="str">
        <f t="shared" si="44"/>
        <v/>
      </c>
      <c r="Q224" s="18" t="str">
        <f t="shared" si="45"/>
        <v/>
      </c>
      <c r="R224" s="18" t="str">
        <f t="shared" si="46"/>
        <v/>
      </c>
    </row>
    <row r="225" spans="1:18" ht="22.5" customHeight="1" x14ac:dyDescent="0.25">
      <c r="A225" s="22"/>
      <c r="B225" s="123"/>
      <c r="C225" s="108"/>
      <c r="D225" s="108"/>
      <c r="E225" s="23"/>
      <c r="F225" s="37"/>
      <c r="G225" s="41"/>
      <c r="H225" s="23"/>
      <c r="I225" s="132"/>
      <c r="J225" s="24"/>
      <c r="L225" s="18" t="str">
        <f t="shared" si="40"/>
        <v/>
      </c>
      <c r="M225" s="18" t="str">
        <f t="shared" si="41"/>
        <v/>
      </c>
      <c r="N225" s="18" t="str">
        <f t="shared" si="42"/>
        <v/>
      </c>
      <c r="O225" s="18" t="str">
        <f t="shared" si="43"/>
        <v/>
      </c>
      <c r="P225" s="18" t="str">
        <f t="shared" si="44"/>
        <v/>
      </c>
      <c r="Q225" s="18" t="str">
        <f t="shared" si="45"/>
        <v/>
      </c>
      <c r="R225" s="18" t="str">
        <f t="shared" si="46"/>
        <v/>
      </c>
    </row>
    <row r="226" spans="1:18" ht="22.5" customHeight="1" x14ac:dyDescent="0.25">
      <c r="A226" s="19"/>
      <c r="B226" s="122"/>
      <c r="C226" s="107"/>
      <c r="D226" s="107"/>
      <c r="E226" s="20"/>
      <c r="F226" s="36"/>
      <c r="G226" s="40"/>
      <c r="H226" s="20"/>
      <c r="I226" s="131"/>
      <c r="J226" s="21"/>
      <c r="L226" s="18" t="str">
        <f t="shared" si="40"/>
        <v/>
      </c>
      <c r="M226" s="18" t="str">
        <f t="shared" si="41"/>
        <v/>
      </c>
      <c r="N226" s="18" t="str">
        <f t="shared" si="42"/>
        <v/>
      </c>
      <c r="O226" s="18" t="str">
        <f t="shared" si="43"/>
        <v/>
      </c>
      <c r="P226" s="18" t="str">
        <f t="shared" si="44"/>
        <v/>
      </c>
      <c r="Q226" s="18" t="str">
        <f t="shared" si="45"/>
        <v/>
      </c>
      <c r="R226" s="18" t="str">
        <f t="shared" si="46"/>
        <v/>
      </c>
    </row>
    <row r="227" spans="1:18" ht="22.5" customHeight="1" x14ac:dyDescent="0.25">
      <c r="A227" s="22"/>
      <c r="B227" s="123"/>
      <c r="C227" s="108"/>
      <c r="D227" s="108"/>
      <c r="E227" s="23"/>
      <c r="F227" s="37"/>
      <c r="G227" s="41"/>
      <c r="H227" s="23"/>
      <c r="I227" s="132"/>
      <c r="J227" s="24"/>
      <c r="L227" s="18" t="str">
        <f t="shared" si="40"/>
        <v/>
      </c>
      <c r="M227" s="18" t="str">
        <f t="shared" si="41"/>
        <v/>
      </c>
      <c r="N227" s="18" t="str">
        <f t="shared" si="42"/>
        <v/>
      </c>
      <c r="O227" s="18" t="str">
        <f t="shared" si="43"/>
        <v/>
      </c>
      <c r="P227" s="18" t="str">
        <f t="shared" si="44"/>
        <v/>
      </c>
      <c r="Q227" s="18" t="str">
        <f t="shared" si="45"/>
        <v/>
      </c>
      <c r="R227" s="18" t="str">
        <f t="shared" si="46"/>
        <v/>
      </c>
    </row>
    <row r="228" spans="1:18" ht="22.5" customHeight="1" x14ac:dyDescent="0.25">
      <c r="A228" s="19"/>
      <c r="B228" s="122"/>
      <c r="C228" s="107"/>
      <c r="D228" s="107"/>
      <c r="E228" s="20"/>
      <c r="F228" s="36"/>
      <c r="G228" s="40"/>
      <c r="H228" s="20"/>
      <c r="I228" s="131"/>
      <c r="J228" s="21"/>
      <c r="L228" s="18" t="str">
        <f t="shared" si="40"/>
        <v/>
      </c>
      <c r="M228" s="18" t="str">
        <f t="shared" si="41"/>
        <v/>
      </c>
      <c r="N228" s="18" t="str">
        <f t="shared" si="42"/>
        <v/>
      </c>
      <c r="O228" s="18" t="str">
        <f t="shared" si="43"/>
        <v/>
      </c>
      <c r="P228" s="18" t="str">
        <f t="shared" si="44"/>
        <v/>
      </c>
      <c r="Q228" s="18" t="str">
        <f t="shared" si="45"/>
        <v/>
      </c>
      <c r="R228" s="18" t="str">
        <f t="shared" si="46"/>
        <v/>
      </c>
    </row>
    <row r="229" spans="1:18" ht="22.5" customHeight="1" x14ac:dyDescent="0.25">
      <c r="A229" s="22"/>
      <c r="B229" s="123"/>
      <c r="C229" s="108"/>
      <c r="D229" s="108"/>
      <c r="E229" s="23"/>
      <c r="F229" s="37"/>
      <c r="G229" s="41"/>
      <c r="H229" s="23"/>
      <c r="I229" s="132"/>
      <c r="J229" s="24"/>
      <c r="L229" s="18" t="str">
        <f t="shared" si="40"/>
        <v/>
      </c>
      <c r="M229" s="18" t="str">
        <f t="shared" si="41"/>
        <v/>
      </c>
      <c r="N229" s="18" t="str">
        <f t="shared" si="42"/>
        <v/>
      </c>
      <c r="O229" s="18" t="str">
        <f t="shared" si="43"/>
        <v/>
      </c>
      <c r="P229" s="18" t="str">
        <f t="shared" si="44"/>
        <v/>
      </c>
      <c r="Q229" s="18" t="str">
        <f t="shared" si="45"/>
        <v/>
      </c>
      <c r="R229" s="18" t="str">
        <f t="shared" si="46"/>
        <v/>
      </c>
    </row>
    <row r="230" spans="1:18" ht="22.5" customHeight="1" x14ac:dyDescent="0.25">
      <c r="A230" s="19"/>
      <c r="B230" s="122"/>
      <c r="C230" s="107"/>
      <c r="D230" s="107"/>
      <c r="E230" s="20"/>
      <c r="F230" s="36"/>
      <c r="G230" s="40"/>
      <c r="H230" s="20"/>
      <c r="I230" s="131"/>
      <c r="J230" s="21"/>
      <c r="L230" s="18" t="str">
        <f t="shared" si="40"/>
        <v/>
      </c>
      <c r="M230" s="18" t="str">
        <f t="shared" si="41"/>
        <v/>
      </c>
      <c r="N230" s="18" t="str">
        <f t="shared" si="42"/>
        <v/>
      </c>
      <c r="O230" s="18" t="str">
        <f t="shared" si="43"/>
        <v/>
      </c>
      <c r="P230" s="18" t="str">
        <f t="shared" si="44"/>
        <v/>
      </c>
      <c r="Q230" s="18" t="str">
        <f t="shared" si="45"/>
        <v/>
      </c>
      <c r="R230" s="18" t="str">
        <f t="shared" si="46"/>
        <v/>
      </c>
    </row>
    <row r="231" spans="1:18" ht="22.5" customHeight="1" x14ac:dyDescent="0.25">
      <c r="A231" s="22"/>
      <c r="B231" s="123"/>
      <c r="C231" s="108"/>
      <c r="D231" s="108"/>
      <c r="E231" s="23"/>
      <c r="F231" s="37"/>
      <c r="G231" s="41"/>
      <c r="H231" s="23"/>
      <c r="I231" s="132"/>
      <c r="J231" s="24"/>
      <c r="L231" s="18" t="str">
        <f t="shared" si="40"/>
        <v/>
      </c>
      <c r="M231" s="18" t="str">
        <f t="shared" si="41"/>
        <v/>
      </c>
      <c r="N231" s="18" t="str">
        <f t="shared" si="42"/>
        <v/>
      </c>
      <c r="O231" s="18" t="str">
        <f t="shared" si="43"/>
        <v/>
      </c>
      <c r="P231" s="18" t="str">
        <f t="shared" si="44"/>
        <v/>
      </c>
      <c r="Q231" s="18" t="str">
        <f t="shared" si="45"/>
        <v/>
      </c>
      <c r="R231" s="18" t="str">
        <f t="shared" si="46"/>
        <v/>
      </c>
    </row>
    <row r="232" spans="1:18" ht="22.5" customHeight="1" x14ac:dyDescent="0.25">
      <c r="A232" s="19"/>
      <c r="B232" s="122"/>
      <c r="C232" s="107"/>
      <c r="D232" s="107"/>
      <c r="E232" s="20"/>
      <c r="F232" s="36"/>
      <c r="G232" s="40"/>
      <c r="H232" s="20"/>
      <c r="I232" s="131"/>
      <c r="J232" s="21"/>
      <c r="L232" s="18" t="str">
        <f t="shared" si="40"/>
        <v/>
      </c>
      <c r="M232" s="18" t="str">
        <f t="shared" si="41"/>
        <v/>
      </c>
      <c r="N232" s="18" t="str">
        <f t="shared" si="42"/>
        <v/>
      </c>
      <c r="O232" s="18" t="str">
        <f t="shared" si="43"/>
        <v/>
      </c>
      <c r="P232" s="18" t="str">
        <f t="shared" si="44"/>
        <v/>
      </c>
      <c r="Q232" s="18" t="str">
        <f t="shared" si="45"/>
        <v/>
      </c>
      <c r="R232" s="18" t="str">
        <f t="shared" si="46"/>
        <v/>
      </c>
    </row>
    <row r="233" spans="1:18" ht="22.5" customHeight="1" x14ac:dyDescent="0.25">
      <c r="A233" s="22"/>
      <c r="B233" s="123"/>
      <c r="C233" s="108"/>
      <c r="D233" s="108"/>
      <c r="E233" s="23"/>
      <c r="F233" s="37"/>
      <c r="G233" s="41"/>
      <c r="H233" s="23"/>
      <c r="I233" s="132"/>
      <c r="J233" s="24"/>
      <c r="L233" s="18" t="str">
        <f t="shared" si="40"/>
        <v/>
      </c>
      <c r="M233" s="18" t="str">
        <f t="shared" si="41"/>
        <v/>
      </c>
      <c r="N233" s="18" t="str">
        <f t="shared" si="42"/>
        <v/>
      </c>
      <c r="O233" s="18" t="str">
        <f t="shared" si="43"/>
        <v/>
      </c>
      <c r="P233" s="18" t="str">
        <f t="shared" si="44"/>
        <v/>
      </c>
      <c r="Q233" s="18" t="str">
        <f t="shared" si="45"/>
        <v/>
      </c>
      <c r="R233" s="18" t="str">
        <f t="shared" si="46"/>
        <v/>
      </c>
    </row>
    <row r="234" spans="1:18" ht="22.5" customHeight="1" x14ac:dyDescent="0.25">
      <c r="A234" s="19"/>
      <c r="B234" s="122"/>
      <c r="C234" s="107"/>
      <c r="D234" s="107"/>
      <c r="E234" s="20"/>
      <c r="F234" s="36"/>
      <c r="G234" s="40"/>
      <c r="H234" s="20"/>
      <c r="I234" s="131"/>
      <c r="J234" s="21"/>
      <c r="L234" s="18" t="str">
        <f t="shared" si="40"/>
        <v/>
      </c>
      <c r="M234" s="18" t="str">
        <f t="shared" si="41"/>
        <v/>
      </c>
      <c r="N234" s="18" t="str">
        <f t="shared" si="42"/>
        <v/>
      </c>
      <c r="O234" s="18" t="str">
        <f t="shared" si="43"/>
        <v/>
      </c>
      <c r="P234" s="18" t="str">
        <f t="shared" si="44"/>
        <v/>
      </c>
      <c r="Q234" s="18" t="str">
        <f t="shared" si="45"/>
        <v/>
      </c>
      <c r="R234" s="18" t="str">
        <f t="shared" si="46"/>
        <v/>
      </c>
    </row>
    <row r="235" spans="1:18" ht="22.5" customHeight="1" x14ac:dyDescent="0.25">
      <c r="A235" s="22"/>
      <c r="B235" s="123"/>
      <c r="C235" s="108"/>
      <c r="D235" s="108"/>
      <c r="E235" s="23"/>
      <c r="F235" s="37"/>
      <c r="G235" s="41"/>
      <c r="H235" s="23"/>
      <c r="I235" s="132"/>
      <c r="J235" s="24"/>
      <c r="L235" s="18" t="str">
        <f t="shared" si="40"/>
        <v/>
      </c>
      <c r="M235" s="18" t="str">
        <f t="shared" si="41"/>
        <v/>
      </c>
      <c r="N235" s="18" t="str">
        <f t="shared" si="42"/>
        <v/>
      </c>
      <c r="O235" s="18" t="str">
        <f t="shared" si="43"/>
        <v/>
      </c>
      <c r="P235" s="18" t="str">
        <f t="shared" si="44"/>
        <v/>
      </c>
      <c r="Q235" s="18" t="str">
        <f t="shared" si="45"/>
        <v/>
      </c>
      <c r="R235" s="18" t="str">
        <f t="shared" si="46"/>
        <v/>
      </c>
    </row>
    <row r="236" spans="1:18" ht="22.5" customHeight="1" x14ac:dyDescent="0.25">
      <c r="A236" s="19"/>
      <c r="B236" s="122"/>
      <c r="C236" s="107"/>
      <c r="D236" s="107"/>
      <c r="E236" s="20"/>
      <c r="F236" s="36"/>
      <c r="G236" s="40"/>
      <c r="H236" s="20"/>
      <c r="I236" s="131"/>
      <c r="J236" s="21"/>
      <c r="L236" s="18" t="str">
        <f t="shared" si="40"/>
        <v/>
      </c>
      <c r="M236" s="18" t="str">
        <f t="shared" si="41"/>
        <v/>
      </c>
      <c r="N236" s="18" t="str">
        <f t="shared" si="42"/>
        <v/>
      </c>
      <c r="O236" s="18" t="str">
        <f t="shared" si="43"/>
        <v/>
      </c>
      <c r="P236" s="18" t="str">
        <f t="shared" si="44"/>
        <v/>
      </c>
      <c r="Q236" s="18" t="str">
        <f t="shared" si="45"/>
        <v/>
      </c>
      <c r="R236" s="18" t="str">
        <f t="shared" si="46"/>
        <v/>
      </c>
    </row>
    <row r="237" spans="1:18" ht="22.5" customHeight="1" x14ac:dyDescent="0.25">
      <c r="A237" s="22"/>
      <c r="B237" s="123"/>
      <c r="C237" s="108"/>
      <c r="D237" s="108"/>
      <c r="E237" s="23"/>
      <c r="F237" s="37"/>
      <c r="G237" s="41"/>
      <c r="H237" s="23"/>
      <c r="I237" s="132"/>
      <c r="J237" s="24"/>
      <c r="L237" s="18" t="str">
        <f t="shared" si="40"/>
        <v/>
      </c>
      <c r="M237" s="18" t="str">
        <f t="shared" si="41"/>
        <v/>
      </c>
      <c r="N237" s="18" t="str">
        <f t="shared" si="42"/>
        <v/>
      </c>
      <c r="O237" s="18" t="str">
        <f t="shared" si="43"/>
        <v/>
      </c>
      <c r="P237" s="18" t="str">
        <f t="shared" si="44"/>
        <v/>
      </c>
      <c r="Q237" s="18" t="str">
        <f t="shared" si="45"/>
        <v/>
      </c>
      <c r="R237" s="18" t="str">
        <f t="shared" si="46"/>
        <v/>
      </c>
    </row>
    <row r="238" spans="1:18" ht="22.5" customHeight="1" x14ac:dyDescent="0.25">
      <c r="A238" s="19"/>
      <c r="B238" s="122"/>
      <c r="C238" s="107"/>
      <c r="D238" s="107"/>
      <c r="E238" s="20"/>
      <c r="F238" s="36"/>
      <c r="G238" s="40"/>
      <c r="H238" s="20"/>
      <c r="I238" s="131"/>
      <c r="J238" s="21"/>
      <c r="L238" s="18" t="str">
        <f t="shared" si="40"/>
        <v/>
      </c>
      <c r="M238" s="18" t="str">
        <f t="shared" si="41"/>
        <v/>
      </c>
      <c r="N238" s="18" t="str">
        <f t="shared" si="42"/>
        <v/>
      </c>
      <c r="O238" s="18" t="str">
        <f t="shared" si="43"/>
        <v/>
      </c>
      <c r="P238" s="18" t="str">
        <f t="shared" si="44"/>
        <v/>
      </c>
      <c r="Q238" s="18" t="str">
        <f t="shared" si="45"/>
        <v/>
      </c>
      <c r="R238" s="18" t="str">
        <f t="shared" si="46"/>
        <v/>
      </c>
    </row>
    <row r="239" spans="1:18" ht="22.5" customHeight="1" x14ac:dyDescent="0.25">
      <c r="A239" s="22"/>
      <c r="B239" s="123"/>
      <c r="C239" s="108"/>
      <c r="D239" s="108"/>
      <c r="E239" s="23"/>
      <c r="F239" s="37"/>
      <c r="G239" s="41"/>
      <c r="H239" s="23"/>
      <c r="I239" s="132"/>
      <c r="J239" s="24"/>
      <c r="L239" s="18" t="str">
        <f t="shared" si="40"/>
        <v/>
      </c>
      <c r="M239" s="18" t="str">
        <f t="shared" si="41"/>
        <v/>
      </c>
      <c r="N239" s="18" t="str">
        <f t="shared" si="42"/>
        <v/>
      </c>
      <c r="O239" s="18" t="str">
        <f t="shared" si="43"/>
        <v/>
      </c>
      <c r="P239" s="18" t="str">
        <f t="shared" si="44"/>
        <v/>
      </c>
      <c r="Q239" s="18" t="str">
        <f t="shared" si="45"/>
        <v/>
      </c>
      <c r="R239" s="18" t="str">
        <f t="shared" si="46"/>
        <v/>
      </c>
    </row>
    <row r="240" spans="1:18" ht="22.5" customHeight="1" x14ac:dyDescent="0.25">
      <c r="A240" s="19"/>
      <c r="B240" s="122"/>
      <c r="C240" s="107"/>
      <c r="D240" s="107"/>
      <c r="E240" s="20"/>
      <c r="F240" s="36"/>
      <c r="G240" s="40"/>
      <c r="H240" s="20"/>
      <c r="I240" s="131"/>
      <c r="J240" s="21"/>
      <c r="L240" s="18" t="str">
        <f t="shared" si="40"/>
        <v/>
      </c>
      <c r="M240" s="18" t="str">
        <f t="shared" si="41"/>
        <v/>
      </c>
      <c r="N240" s="18" t="str">
        <f t="shared" si="42"/>
        <v/>
      </c>
      <c r="O240" s="18" t="str">
        <f t="shared" si="43"/>
        <v/>
      </c>
      <c r="P240" s="18" t="str">
        <f t="shared" si="44"/>
        <v/>
      </c>
      <c r="Q240" s="18" t="str">
        <f t="shared" si="45"/>
        <v/>
      </c>
      <c r="R240" s="18" t="str">
        <f t="shared" si="46"/>
        <v/>
      </c>
    </row>
    <row r="241" spans="1:18" ht="22.5" customHeight="1" x14ac:dyDescent="0.25">
      <c r="A241" s="22"/>
      <c r="B241" s="123"/>
      <c r="C241" s="108"/>
      <c r="D241" s="108"/>
      <c r="E241" s="23"/>
      <c r="F241" s="37"/>
      <c r="G241" s="41"/>
      <c r="H241" s="23"/>
      <c r="I241" s="132"/>
      <c r="J241" s="24"/>
      <c r="L241" s="18" t="str">
        <f t="shared" si="40"/>
        <v/>
      </c>
      <c r="M241" s="18" t="str">
        <f t="shared" si="41"/>
        <v/>
      </c>
      <c r="N241" s="18" t="str">
        <f t="shared" si="42"/>
        <v/>
      </c>
      <c r="O241" s="18" t="str">
        <f t="shared" si="43"/>
        <v/>
      </c>
      <c r="P241" s="18" t="str">
        <f t="shared" si="44"/>
        <v/>
      </c>
      <c r="Q241" s="18" t="str">
        <f t="shared" si="45"/>
        <v/>
      </c>
      <c r="R241" s="18" t="str">
        <f t="shared" si="46"/>
        <v/>
      </c>
    </row>
    <row r="242" spans="1:18" ht="22.5" customHeight="1" x14ac:dyDescent="0.25">
      <c r="A242" s="19"/>
      <c r="B242" s="122"/>
      <c r="C242" s="107"/>
      <c r="D242" s="107"/>
      <c r="E242" s="20"/>
      <c r="F242" s="36"/>
      <c r="G242" s="40"/>
      <c r="H242" s="20"/>
      <c r="I242" s="131"/>
      <c r="J242" s="21"/>
      <c r="L242" s="18" t="str">
        <f t="shared" si="40"/>
        <v/>
      </c>
      <c r="M242" s="18" t="str">
        <f t="shared" si="41"/>
        <v/>
      </c>
      <c r="N242" s="18" t="str">
        <f t="shared" si="42"/>
        <v/>
      </c>
      <c r="O242" s="18" t="str">
        <f t="shared" si="43"/>
        <v/>
      </c>
      <c r="P242" s="18" t="str">
        <f t="shared" si="44"/>
        <v/>
      </c>
      <c r="Q242" s="18" t="str">
        <f t="shared" si="45"/>
        <v/>
      </c>
      <c r="R242" s="18" t="str">
        <f t="shared" si="46"/>
        <v/>
      </c>
    </row>
    <row r="243" spans="1:18" ht="22.5" customHeight="1" x14ac:dyDescent="0.25">
      <c r="A243" s="22"/>
      <c r="B243" s="123"/>
      <c r="C243" s="108"/>
      <c r="D243" s="108"/>
      <c r="E243" s="23"/>
      <c r="F243" s="37"/>
      <c r="G243" s="41"/>
      <c r="H243" s="23"/>
      <c r="I243" s="132"/>
      <c r="J243" s="24"/>
      <c r="L243" s="18" t="str">
        <f t="shared" si="40"/>
        <v/>
      </c>
      <c r="M243" s="18" t="str">
        <f t="shared" si="41"/>
        <v/>
      </c>
      <c r="N243" s="18" t="str">
        <f t="shared" si="42"/>
        <v/>
      </c>
      <c r="O243" s="18" t="str">
        <f t="shared" si="43"/>
        <v/>
      </c>
      <c r="P243" s="18" t="str">
        <f t="shared" si="44"/>
        <v/>
      </c>
      <c r="Q243" s="18" t="str">
        <f t="shared" si="45"/>
        <v/>
      </c>
      <c r="R243" s="18" t="str">
        <f t="shared" si="46"/>
        <v/>
      </c>
    </row>
    <row r="244" spans="1:18" ht="22.5" customHeight="1" x14ac:dyDescent="0.25">
      <c r="A244" s="19"/>
      <c r="B244" s="122"/>
      <c r="C244" s="107"/>
      <c r="D244" s="107"/>
      <c r="E244" s="20"/>
      <c r="F244" s="36"/>
      <c r="G244" s="40"/>
      <c r="H244" s="20"/>
      <c r="I244" s="131"/>
      <c r="J244" s="21"/>
      <c r="L244" s="18" t="str">
        <f t="shared" si="40"/>
        <v/>
      </c>
      <c r="M244" s="18" t="str">
        <f t="shared" si="41"/>
        <v/>
      </c>
      <c r="N244" s="18" t="str">
        <f t="shared" si="42"/>
        <v/>
      </c>
      <c r="O244" s="18" t="str">
        <f t="shared" si="43"/>
        <v/>
      </c>
      <c r="P244" s="18" t="str">
        <f t="shared" si="44"/>
        <v/>
      </c>
      <c r="Q244" s="18" t="str">
        <f t="shared" si="45"/>
        <v/>
      </c>
      <c r="R244" s="18" t="str">
        <f t="shared" si="46"/>
        <v/>
      </c>
    </row>
    <row r="245" spans="1:18" ht="22.5" customHeight="1" x14ac:dyDescent="0.25">
      <c r="A245" s="22"/>
      <c r="B245" s="123"/>
      <c r="C245" s="108"/>
      <c r="D245" s="108"/>
      <c r="E245" s="23"/>
      <c r="F245" s="37"/>
      <c r="G245" s="41"/>
      <c r="H245" s="23"/>
      <c r="I245" s="132"/>
      <c r="J245" s="24"/>
      <c r="L245" s="18" t="str">
        <f t="shared" si="40"/>
        <v/>
      </c>
      <c r="M245" s="18" t="str">
        <f t="shared" si="41"/>
        <v/>
      </c>
      <c r="N245" s="18" t="str">
        <f t="shared" si="42"/>
        <v/>
      </c>
      <c r="O245" s="18" t="str">
        <f t="shared" si="43"/>
        <v/>
      </c>
      <c r="P245" s="18" t="str">
        <f t="shared" si="44"/>
        <v/>
      </c>
      <c r="Q245" s="18" t="str">
        <f t="shared" si="45"/>
        <v/>
      </c>
      <c r="R245" s="18" t="str">
        <f t="shared" si="46"/>
        <v/>
      </c>
    </row>
    <row r="246" spans="1:18" ht="22.5" customHeight="1" x14ac:dyDescent="0.25">
      <c r="A246" s="19"/>
      <c r="B246" s="122"/>
      <c r="C246" s="107"/>
      <c r="D246" s="107"/>
      <c r="E246" s="20"/>
      <c r="F246" s="36"/>
      <c r="G246" s="40"/>
      <c r="H246" s="20"/>
      <c r="I246" s="131"/>
      <c r="J246" s="21"/>
      <c r="L246" s="18" t="str">
        <f t="shared" si="40"/>
        <v/>
      </c>
      <c r="M246" s="18" t="str">
        <f t="shared" si="41"/>
        <v/>
      </c>
      <c r="N246" s="18" t="str">
        <f t="shared" si="42"/>
        <v/>
      </c>
      <c r="O246" s="18" t="str">
        <f t="shared" si="43"/>
        <v/>
      </c>
      <c r="P246" s="18" t="str">
        <f t="shared" si="44"/>
        <v/>
      </c>
      <c r="Q246" s="18" t="str">
        <f t="shared" si="45"/>
        <v/>
      </c>
      <c r="R246" s="18" t="str">
        <f t="shared" si="46"/>
        <v/>
      </c>
    </row>
    <row r="247" spans="1:18" ht="22.5" customHeight="1" x14ac:dyDescent="0.25">
      <c r="A247" s="22"/>
      <c r="B247" s="123"/>
      <c r="C247" s="108"/>
      <c r="D247" s="108"/>
      <c r="E247" s="23"/>
      <c r="F247" s="37"/>
      <c r="G247" s="41"/>
      <c r="H247" s="23"/>
      <c r="I247" s="132"/>
      <c r="J247" s="24"/>
      <c r="L247" s="18" t="str">
        <f t="shared" si="40"/>
        <v/>
      </c>
      <c r="M247" s="18" t="str">
        <f t="shared" si="41"/>
        <v/>
      </c>
      <c r="N247" s="18" t="str">
        <f t="shared" si="42"/>
        <v/>
      </c>
      <c r="O247" s="18" t="str">
        <f t="shared" si="43"/>
        <v/>
      </c>
      <c r="P247" s="18" t="str">
        <f t="shared" si="44"/>
        <v/>
      </c>
      <c r="Q247" s="18" t="str">
        <f t="shared" si="45"/>
        <v/>
      </c>
      <c r="R247" s="18" t="str">
        <f t="shared" si="46"/>
        <v/>
      </c>
    </row>
    <row r="248" spans="1:18" ht="22.5" customHeight="1" x14ac:dyDescent="0.25">
      <c r="A248" s="19"/>
      <c r="B248" s="122"/>
      <c r="C248" s="107"/>
      <c r="D248" s="107"/>
      <c r="E248" s="20"/>
      <c r="F248" s="36"/>
      <c r="G248" s="40"/>
      <c r="H248" s="20"/>
      <c r="I248" s="131"/>
      <c r="J248" s="21"/>
      <c r="L248" s="18" t="str">
        <f t="shared" si="40"/>
        <v/>
      </c>
      <c r="M248" s="18" t="str">
        <f t="shared" si="41"/>
        <v/>
      </c>
      <c r="N248" s="18" t="str">
        <f t="shared" si="42"/>
        <v/>
      </c>
      <c r="O248" s="18" t="str">
        <f t="shared" si="43"/>
        <v/>
      </c>
      <c r="P248" s="18" t="str">
        <f t="shared" si="44"/>
        <v/>
      </c>
      <c r="Q248" s="18" t="str">
        <f t="shared" si="45"/>
        <v/>
      </c>
      <c r="R248" s="18" t="str">
        <f t="shared" si="46"/>
        <v/>
      </c>
    </row>
    <row r="249" spans="1:18" ht="22.5" customHeight="1" x14ac:dyDescent="0.25">
      <c r="A249" s="22"/>
      <c r="B249" s="123"/>
      <c r="C249" s="108"/>
      <c r="D249" s="108"/>
      <c r="E249" s="23"/>
      <c r="F249" s="37"/>
      <c r="G249" s="41"/>
      <c r="H249" s="23"/>
      <c r="I249" s="132"/>
      <c r="J249" s="24"/>
      <c r="L249" s="18" t="str">
        <f t="shared" si="40"/>
        <v/>
      </c>
      <c r="M249" s="18" t="str">
        <f t="shared" si="41"/>
        <v/>
      </c>
      <c r="N249" s="18" t="str">
        <f t="shared" si="42"/>
        <v/>
      </c>
      <c r="O249" s="18" t="str">
        <f t="shared" si="43"/>
        <v/>
      </c>
      <c r="P249" s="18" t="str">
        <f t="shared" si="44"/>
        <v/>
      </c>
      <c r="Q249" s="18" t="str">
        <f t="shared" si="45"/>
        <v/>
      </c>
      <c r="R249" s="18" t="str">
        <f t="shared" si="46"/>
        <v/>
      </c>
    </row>
    <row r="250" spans="1:18" ht="22.5" customHeight="1" x14ac:dyDescent="0.25">
      <c r="A250" s="19"/>
      <c r="B250" s="122"/>
      <c r="C250" s="107"/>
      <c r="D250" s="107"/>
      <c r="E250" s="20"/>
      <c r="F250" s="36"/>
      <c r="G250" s="40"/>
      <c r="H250" s="20"/>
      <c r="I250" s="131"/>
      <c r="J250" s="21"/>
      <c r="L250" s="18" t="str">
        <f t="shared" si="40"/>
        <v/>
      </c>
      <c r="M250" s="18" t="str">
        <f t="shared" si="41"/>
        <v/>
      </c>
      <c r="N250" s="18" t="str">
        <f t="shared" si="42"/>
        <v/>
      </c>
      <c r="O250" s="18" t="str">
        <f t="shared" si="43"/>
        <v/>
      </c>
      <c r="P250" s="18" t="str">
        <f t="shared" si="44"/>
        <v/>
      </c>
      <c r="Q250" s="18" t="str">
        <f t="shared" si="45"/>
        <v/>
      </c>
      <c r="R250" s="18" t="str">
        <f t="shared" si="46"/>
        <v/>
      </c>
    </row>
    <row r="251" spans="1:18" ht="22.5" customHeight="1" x14ac:dyDescent="0.25">
      <c r="A251" s="22"/>
      <c r="B251" s="123"/>
      <c r="C251" s="108"/>
      <c r="D251" s="108"/>
      <c r="E251" s="23"/>
      <c r="F251" s="37"/>
      <c r="G251" s="41"/>
      <c r="H251" s="23"/>
      <c r="I251" s="132"/>
      <c r="J251" s="24"/>
      <c r="L251" s="18" t="str">
        <f t="shared" si="40"/>
        <v/>
      </c>
      <c r="M251" s="18" t="str">
        <f t="shared" si="41"/>
        <v/>
      </c>
      <c r="N251" s="18" t="str">
        <f t="shared" si="42"/>
        <v/>
      </c>
      <c r="O251" s="18" t="str">
        <f t="shared" si="43"/>
        <v/>
      </c>
      <c r="P251" s="18" t="str">
        <f t="shared" si="44"/>
        <v/>
      </c>
      <c r="Q251" s="18" t="str">
        <f t="shared" si="45"/>
        <v/>
      </c>
      <c r="R251" s="18" t="str">
        <f t="shared" si="46"/>
        <v/>
      </c>
    </row>
    <row r="252" spans="1:18" ht="22.5" customHeight="1" x14ac:dyDescent="0.25">
      <c r="A252" s="19"/>
      <c r="B252" s="122"/>
      <c r="C252" s="107"/>
      <c r="D252" s="107"/>
      <c r="E252" s="20"/>
      <c r="F252" s="36"/>
      <c r="G252" s="40"/>
      <c r="H252" s="20"/>
      <c r="I252" s="131"/>
      <c r="J252" s="21"/>
      <c r="L252" s="18" t="str">
        <f t="shared" si="40"/>
        <v/>
      </c>
      <c r="M252" s="18" t="str">
        <f t="shared" si="41"/>
        <v/>
      </c>
      <c r="N252" s="18" t="str">
        <f t="shared" si="42"/>
        <v/>
      </c>
      <c r="O252" s="18" t="str">
        <f t="shared" si="43"/>
        <v/>
      </c>
      <c r="P252" s="18" t="str">
        <f t="shared" si="44"/>
        <v/>
      </c>
      <c r="Q252" s="18" t="str">
        <f t="shared" si="45"/>
        <v/>
      </c>
      <c r="R252" s="18" t="str">
        <f t="shared" si="46"/>
        <v/>
      </c>
    </row>
    <row r="253" spans="1:18" ht="22.5" customHeight="1" x14ac:dyDescent="0.25">
      <c r="A253" s="22"/>
      <c r="B253" s="123"/>
      <c r="C253" s="108"/>
      <c r="D253" s="108"/>
      <c r="E253" s="23"/>
      <c r="F253" s="37"/>
      <c r="G253" s="41"/>
      <c r="H253" s="23"/>
      <c r="I253" s="132"/>
      <c r="J253" s="24"/>
      <c r="L253" s="18" t="str">
        <f t="shared" si="40"/>
        <v/>
      </c>
      <c r="M253" s="18" t="str">
        <f t="shared" si="41"/>
        <v/>
      </c>
      <c r="N253" s="18" t="str">
        <f t="shared" si="42"/>
        <v/>
      </c>
      <c r="O253" s="18" t="str">
        <f t="shared" si="43"/>
        <v/>
      </c>
      <c r="P253" s="18" t="str">
        <f t="shared" si="44"/>
        <v/>
      </c>
      <c r="Q253" s="18" t="str">
        <f t="shared" si="45"/>
        <v/>
      </c>
      <c r="R253" s="18" t="str">
        <f t="shared" si="46"/>
        <v/>
      </c>
    </row>
    <row r="254" spans="1:18" ht="22.5" customHeight="1" x14ac:dyDescent="0.25">
      <c r="A254" s="19"/>
      <c r="B254" s="122"/>
      <c r="C254" s="107"/>
      <c r="D254" s="107"/>
      <c r="E254" s="20"/>
      <c r="F254" s="36"/>
      <c r="G254" s="40"/>
      <c r="H254" s="20"/>
      <c r="I254" s="131"/>
      <c r="J254" s="21"/>
      <c r="L254" s="18" t="str">
        <f t="shared" si="40"/>
        <v/>
      </c>
      <c r="M254" s="18" t="str">
        <f t="shared" si="41"/>
        <v/>
      </c>
      <c r="N254" s="18" t="str">
        <f t="shared" si="42"/>
        <v/>
      </c>
      <c r="O254" s="18" t="str">
        <f t="shared" si="43"/>
        <v/>
      </c>
      <c r="P254" s="18" t="str">
        <f t="shared" si="44"/>
        <v/>
      </c>
      <c r="Q254" s="18" t="str">
        <f t="shared" si="45"/>
        <v/>
      </c>
      <c r="R254" s="18" t="str">
        <f t="shared" si="46"/>
        <v/>
      </c>
    </row>
    <row r="255" spans="1:18" ht="22.5" customHeight="1" x14ac:dyDescent="0.25">
      <c r="A255" s="22"/>
      <c r="B255" s="123"/>
      <c r="C255" s="108"/>
      <c r="D255" s="108"/>
      <c r="E255" s="23"/>
      <c r="F255" s="37"/>
      <c r="G255" s="41"/>
      <c r="H255" s="23"/>
      <c r="I255" s="132"/>
      <c r="J255" s="24"/>
      <c r="L255" s="18" t="str">
        <f t="shared" si="40"/>
        <v/>
      </c>
      <c r="M255" s="18" t="str">
        <f t="shared" si="41"/>
        <v/>
      </c>
      <c r="N255" s="18" t="str">
        <f t="shared" si="42"/>
        <v/>
      </c>
      <c r="O255" s="18" t="str">
        <f t="shared" si="43"/>
        <v/>
      </c>
      <c r="P255" s="18" t="str">
        <f t="shared" si="44"/>
        <v/>
      </c>
      <c r="Q255" s="18" t="str">
        <f t="shared" si="45"/>
        <v/>
      </c>
      <c r="R255" s="18" t="str">
        <f t="shared" si="46"/>
        <v/>
      </c>
    </row>
    <row r="256" spans="1:18" ht="22.5" customHeight="1" x14ac:dyDescent="0.25">
      <c r="A256" s="19"/>
      <c r="B256" s="122"/>
      <c r="C256" s="107"/>
      <c r="D256" s="107"/>
      <c r="E256" s="20"/>
      <c r="F256" s="36"/>
      <c r="G256" s="40"/>
      <c r="H256" s="20"/>
      <c r="I256" s="131"/>
      <c r="J256" s="21"/>
      <c r="L256" s="18" t="str">
        <f t="shared" si="40"/>
        <v/>
      </c>
      <c r="M256" s="18" t="str">
        <f t="shared" si="41"/>
        <v/>
      </c>
      <c r="N256" s="18" t="str">
        <f t="shared" si="42"/>
        <v/>
      </c>
      <c r="O256" s="18" t="str">
        <f t="shared" si="43"/>
        <v/>
      </c>
      <c r="P256" s="18" t="str">
        <f t="shared" si="44"/>
        <v/>
      </c>
      <c r="Q256" s="18" t="str">
        <f t="shared" si="45"/>
        <v/>
      </c>
      <c r="R256" s="18" t="str">
        <f t="shared" si="46"/>
        <v/>
      </c>
    </row>
    <row r="257" spans="1:18" ht="22.5" customHeight="1" x14ac:dyDescent="0.25">
      <c r="A257" s="22"/>
      <c r="B257" s="123"/>
      <c r="C257" s="108"/>
      <c r="D257" s="108"/>
      <c r="E257" s="23"/>
      <c r="F257" s="37"/>
      <c r="G257" s="41"/>
      <c r="H257" s="23"/>
      <c r="I257" s="132"/>
      <c r="J257" s="24"/>
      <c r="L257" s="18" t="str">
        <f t="shared" si="40"/>
        <v/>
      </c>
      <c r="M257" s="18" t="str">
        <f t="shared" si="41"/>
        <v/>
      </c>
      <c r="N257" s="18" t="str">
        <f t="shared" si="42"/>
        <v/>
      </c>
      <c r="O257" s="18" t="str">
        <f t="shared" si="43"/>
        <v/>
      </c>
      <c r="P257" s="18" t="str">
        <f t="shared" si="44"/>
        <v/>
      </c>
      <c r="Q257" s="18" t="str">
        <f t="shared" si="45"/>
        <v/>
      </c>
      <c r="R257" s="18" t="str">
        <f t="shared" si="46"/>
        <v/>
      </c>
    </row>
    <row r="258" spans="1:18" ht="22.5" customHeight="1" x14ac:dyDescent="0.25">
      <c r="A258" s="19"/>
      <c r="B258" s="122"/>
      <c r="C258" s="107"/>
      <c r="D258" s="107"/>
      <c r="E258" s="20"/>
      <c r="F258" s="36"/>
      <c r="G258" s="40"/>
      <c r="H258" s="20"/>
      <c r="I258" s="131"/>
      <c r="J258" s="21"/>
      <c r="L258" s="18" t="str">
        <f t="shared" si="40"/>
        <v/>
      </c>
      <c r="M258" s="18" t="str">
        <f t="shared" si="41"/>
        <v/>
      </c>
      <c r="N258" s="18" t="str">
        <f t="shared" si="42"/>
        <v/>
      </c>
      <c r="O258" s="18" t="str">
        <f t="shared" si="43"/>
        <v/>
      </c>
      <c r="P258" s="18" t="str">
        <f t="shared" si="44"/>
        <v/>
      </c>
      <c r="Q258" s="18" t="str">
        <f t="shared" si="45"/>
        <v/>
      </c>
      <c r="R258" s="18" t="str">
        <f t="shared" si="46"/>
        <v/>
      </c>
    </row>
    <row r="259" spans="1:18" ht="22.5" customHeight="1" x14ac:dyDescent="0.25">
      <c r="A259" s="22"/>
      <c r="B259" s="123"/>
      <c r="C259" s="108"/>
      <c r="D259" s="108"/>
      <c r="E259" s="23"/>
      <c r="F259" s="37"/>
      <c r="G259" s="41"/>
      <c r="H259" s="23"/>
      <c r="I259" s="132"/>
      <c r="J259" s="24"/>
      <c r="L259" s="18" t="str">
        <f t="shared" si="40"/>
        <v/>
      </c>
      <c r="M259" s="18" t="str">
        <f t="shared" si="41"/>
        <v/>
      </c>
      <c r="N259" s="18" t="str">
        <f t="shared" si="42"/>
        <v/>
      </c>
      <c r="O259" s="18" t="str">
        <f t="shared" si="43"/>
        <v/>
      </c>
      <c r="P259" s="18" t="str">
        <f t="shared" si="44"/>
        <v/>
      </c>
      <c r="Q259" s="18" t="str">
        <f t="shared" si="45"/>
        <v/>
      </c>
      <c r="R259" s="18" t="str">
        <f t="shared" si="46"/>
        <v/>
      </c>
    </row>
    <row r="260" spans="1:18" ht="22.5" customHeight="1" x14ac:dyDescent="0.25">
      <c r="A260" s="19"/>
      <c r="B260" s="122"/>
      <c r="C260" s="107"/>
      <c r="D260" s="107"/>
      <c r="E260" s="20"/>
      <c r="F260" s="36"/>
      <c r="G260" s="40"/>
      <c r="H260" s="20"/>
      <c r="I260" s="131"/>
      <c r="J260" s="21"/>
      <c r="L260" s="18" t="str">
        <f t="shared" si="40"/>
        <v/>
      </c>
      <c r="M260" s="18" t="str">
        <f t="shared" si="41"/>
        <v/>
      </c>
      <c r="N260" s="18" t="str">
        <f t="shared" si="42"/>
        <v/>
      </c>
      <c r="O260" s="18" t="str">
        <f t="shared" si="43"/>
        <v/>
      </c>
      <c r="P260" s="18" t="str">
        <f t="shared" si="44"/>
        <v/>
      </c>
      <c r="Q260" s="18" t="str">
        <f t="shared" si="45"/>
        <v/>
      </c>
      <c r="R260" s="18" t="str">
        <f t="shared" si="46"/>
        <v/>
      </c>
    </row>
    <row r="261" spans="1:18" ht="22.5" customHeight="1" x14ac:dyDescent="0.25">
      <c r="A261" s="22"/>
      <c r="B261" s="123"/>
      <c r="C261" s="108"/>
      <c r="D261" s="108"/>
      <c r="E261" s="23"/>
      <c r="F261" s="37"/>
      <c r="G261" s="41"/>
      <c r="H261" s="23"/>
      <c r="I261" s="132"/>
      <c r="J261" s="24"/>
      <c r="L261" s="18" t="str">
        <f t="shared" si="40"/>
        <v/>
      </c>
      <c r="M261" s="18" t="str">
        <f t="shared" si="41"/>
        <v/>
      </c>
      <c r="N261" s="18" t="str">
        <f t="shared" si="42"/>
        <v/>
      </c>
      <c r="O261" s="18" t="str">
        <f t="shared" si="43"/>
        <v/>
      </c>
      <c r="P261" s="18" t="str">
        <f t="shared" si="44"/>
        <v/>
      </c>
      <c r="Q261" s="18" t="str">
        <f t="shared" si="45"/>
        <v/>
      </c>
      <c r="R261" s="18" t="str">
        <f t="shared" si="46"/>
        <v/>
      </c>
    </row>
    <row r="262" spans="1:18" ht="22.5" customHeight="1" x14ac:dyDescent="0.25">
      <c r="A262" s="19"/>
      <c r="B262" s="122"/>
      <c r="C262" s="107"/>
      <c r="D262" s="107"/>
      <c r="E262" s="20"/>
      <c r="F262" s="36"/>
      <c r="G262" s="40"/>
      <c r="H262" s="20"/>
      <c r="I262" s="131"/>
      <c r="J262" s="21"/>
      <c r="L262" s="18" t="str">
        <f t="shared" si="40"/>
        <v/>
      </c>
      <c r="M262" s="18" t="str">
        <f t="shared" si="41"/>
        <v/>
      </c>
      <c r="N262" s="18" t="str">
        <f t="shared" si="42"/>
        <v/>
      </c>
      <c r="O262" s="18" t="str">
        <f t="shared" si="43"/>
        <v/>
      </c>
      <c r="P262" s="18" t="str">
        <f t="shared" si="44"/>
        <v/>
      </c>
      <c r="Q262" s="18" t="str">
        <f t="shared" si="45"/>
        <v/>
      </c>
      <c r="R262" s="18" t="str">
        <f t="shared" si="46"/>
        <v/>
      </c>
    </row>
    <row r="263" spans="1:18" ht="22.5" customHeight="1" x14ac:dyDescent="0.25">
      <c r="A263" s="22"/>
      <c r="B263" s="123"/>
      <c r="C263" s="108"/>
      <c r="D263" s="108"/>
      <c r="E263" s="23"/>
      <c r="F263" s="37"/>
      <c r="G263" s="41"/>
      <c r="H263" s="23"/>
      <c r="I263" s="132"/>
      <c r="J263" s="24"/>
      <c r="L263" s="18" t="str">
        <f t="shared" si="40"/>
        <v/>
      </c>
      <c r="M263" s="18" t="str">
        <f t="shared" si="41"/>
        <v/>
      </c>
      <c r="N263" s="18" t="str">
        <f t="shared" si="42"/>
        <v/>
      </c>
      <c r="O263" s="18" t="str">
        <f t="shared" si="43"/>
        <v/>
      </c>
      <c r="P263" s="18" t="str">
        <f t="shared" si="44"/>
        <v/>
      </c>
      <c r="Q263" s="18" t="str">
        <f t="shared" si="45"/>
        <v/>
      </c>
      <c r="R263" s="18" t="str">
        <f t="shared" si="46"/>
        <v/>
      </c>
    </row>
    <row r="264" spans="1:18" ht="22.5" customHeight="1" x14ac:dyDescent="0.25">
      <c r="A264" s="19"/>
      <c r="B264" s="122"/>
      <c r="C264" s="107"/>
      <c r="D264" s="107"/>
      <c r="E264" s="20"/>
      <c r="F264" s="36"/>
      <c r="G264" s="40"/>
      <c r="H264" s="20"/>
      <c r="I264" s="131"/>
      <c r="J264" s="21"/>
      <c r="L264" s="18" t="str">
        <f t="shared" si="40"/>
        <v/>
      </c>
      <c r="M264" s="18" t="str">
        <f t="shared" si="41"/>
        <v/>
      </c>
      <c r="N264" s="18" t="str">
        <f t="shared" si="42"/>
        <v/>
      </c>
      <c r="O264" s="18" t="str">
        <f t="shared" si="43"/>
        <v/>
      </c>
      <c r="P264" s="18" t="str">
        <f t="shared" si="44"/>
        <v/>
      </c>
      <c r="Q264" s="18" t="str">
        <f t="shared" si="45"/>
        <v/>
      </c>
      <c r="R264" s="18" t="str">
        <f t="shared" si="46"/>
        <v/>
      </c>
    </row>
    <row r="265" spans="1:18" ht="22.5" customHeight="1" x14ac:dyDescent="0.25">
      <c r="A265" s="22"/>
      <c r="B265" s="123"/>
      <c r="C265" s="108"/>
      <c r="D265" s="108"/>
      <c r="E265" s="23"/>
      <c r="F265" s="37"/>
      <c r="G265" s="41"/>
      <c r="H265" s="23"/>
      <c r="I265" s="132"/>
      <c r="J265" s="24"/>
      <c r="L265" s="18" t="str">
        <f t="shared" si="40"/>
        <v/>
      </c>
      <c r="M265" s="18" t="str">
        <f t="shared" si="41"/>
        <v/>
      </c>
      <c r="N265" s="18" t="str">
        <f t="shared" si="42"/>
        <v/>
      </c>
      <c r="O265" s="18" t="str">
        <f t="shared" si="43"/>
        <v/>
      </c>
      <c r="P265" s="18" t="str">
        <f t="shared" si="44"/>
        <v/>
      </c>
      <c r="Q265" s="18" t="str">
        <f t="shared" si="45"/>
        <v/>
      </c>
      <c r="R265" s="18" t="str">
        <f t="shared" si="46"/>
        <v/>
      </c>
    </row>
    <row r="266" spans="1:18" ht="22.5" customHeight="1" x14ac:dyDescent="0.25">
      <c r="A266" s="19"/>
      <c r="B266" s="122"/>
      <c r="C266" s="107"/>
      <c r="D266" s="107"/>
      <c r="E266" s="20"/>
      <c r="F266" s="36"/>
      <c r="G266" s="40"/>
      <c r="H266" s="20"/>
      <c r="I266" s="131"/>
      <c r="J266" s="21"/>
      <c r="L266" s="18" t="str">
        <f t="shared" ref="L266:L305" si="47">IF(A266="","",IF(A266="Entrada",D266,""))</f>
        <v/>
      </c>
      <c r="M266" s="18" t="str">
        <f t="shared" ref="M266:M305" si="48">IF(A266="","",IF(A266="Entrada",E266,""))</f>
        <v/>
      </c>
      <c r="N266" s="18" t="str">
        <f t="shared" ref="N266:N305" si="49">IF(A266="","",IF(A266="Entrada",1,""))</f>
        <v/>
      </c>
      <c r="O266" s="18" t="str">
        <f t="shared" ref="O266:O305" si="50">IF(N266=1,G266,"")</f>
        <v/>
      </c>
      <c r="P266" s="18" t="str">
        <f t="shared" ref="P266:P305" si="51">IF(A266="","",IF(A266="Entrada",(L266/10)*O266,""))</f>
        <v/>
      </c>
      <c r="Q266" s="18" t="str">
        <f t="shared" ref="Q266:Q305" si="52">IF(A266="","",IF(A266="Saída",D266,""))</f>
        <v/>
      </c>
      <c r="R266" s="18" t="str">
        <f t="shared" ref="R266:R305" si="53">IF(A266="","",IF(A266="Saída",E266,""))</f>
        <v/>
      </c>
    </row>
    <row r="267" spans="1:18" ht="22.5" customHeight="1" x14ac:dyDescent="0.25">
      <c r="A267" s="22"/>
      <c r="B267" s="123"/>
      <c r="C267" s="108"/>
      <c r="D267" s="108"/>
      <c r="E267" s="23"/>
      <c r="F267" s="37"/>
      <c r="G267" s="41"/>
      <c r="H267" s="23"/>
      <c r="I267" s="132"/>
      <c r="J267" s="24"/>
      <c r="L267" s="18" t="str">
        <f t="shared" si="47"/>
        <v/>
      </c>
      <c r="M267" s="18" t="str">
        <f t="shared" si="48"/>
        <v/>
      </c>
      <c r="N267" s="18" t="str">
        <f t="shared" si="49"/>
        <v/>
      </c>
      <c r="O267" s="18" t="str">
        <f t="shared" si="50"/>
        <v/>
      </c>
      <c r="P267" s="18" t="str">
        <f t="shared" si="51"/>
        <v/>
      </c>
      <c r="Q267" s="18" t="str">
        <f t="shared" si="52"/>
        <v/>
      </c>
      <c r="R267" s="18" t="str">
        <f t="shared" si="53"/>
        <v/>
      </c>
    </row>
    <row r="268" spans="1:18" ht="22.5" customHeight="1" x14ac:dyDescent="0.25">
      <c r="A268" s="19"/>
      <c r="B268" s="122"/>
      <c r="C268" s="107"/>
      <c r="D268" s="107"/>
      <c r="E268" s="20"/>
      <c r="F268" s="36"/>
      <c r="G268" s="40"/>
      <c r="H268" s="20"/>
      <c r="I268" s="131"/>
      <c r="J268" s="21"/>
      <c r="L268" s="18" t="str">
        <f t="shared" si="47"/>
        <v/>
      </c>
      <c r="M268" s="18" t="str">
        <f t="shared" si="48"/>
        <v/>
      </c>
      <c r="N268" s="18" t="str">
        <f t="shared" si="49"/>
        <v/>
      </c>
      <c r="O268" s="18" t="str">
        <f t="shared" si="50"/>
        <v/>
      </c>
      <c r="P268" s="18" t="str">
        <f t="shared" si="51"/>
        <v/>
      </c>
      <c r="Q268" s="18" t="str">
        <f t="shared" si="52"/>
        <v/>
      </c>
      <c r="R268" s="18" t="str">
        <f t="shared" si="53"/>
        <v/>
      </c>
    </row>
    <row r="269" spans="1:18" ht="22.5" customHeight="1" x14ac:dyDescent="0.25">
      <c r="A269" s="22"/>
      <c r="B269" s="123"/>
      <c r="C269" s="108"/>
      <c r="D269" s="108"/>
      <c r="E269" s="23"/>
      <c r="F269" s="37"/>
      <c r="G269" s="41"/>
      <c r="H269" s="23"/>
      <c r="I269" s="132"/>
      <c r="J269" s="24"/>
      <c r="L269" s="18" t="str">
        <f t="shared" si="47"/>
        <v/>
      </c>
      <c r="M269" s="18" t="str">
        <f t="shared" si="48"/>
        <v/>
      </c>
      <c r="N269" s="18" t="str">
        <f t="shared" si="49"/>
        <v/>
      </c>
      <c r="O269" s="18" t="str">
        <f t="shared" si="50"/>
        <v/>
      </c>
      <c r="P269" s="18" t="str">
        <f t="shared" si="51"/>
        <v/>
      </c>
      <c r="Q269" s="18" t="str">
        <f t="shared" si="52"/>
        <v/>
      </c>
      <c r="R269" s="18" t="str">
        <f t="shared" si="53"/>
        <v/>
      </c>
    </row>
    <row r="270" spans="1:18" ht="22.5" customHeight="1" x14ac:dyDescent="0.25">
      <c r="A270" s="19"/>
      <c r="B270" s="122"/>
      <c r="C270" s="107"/>
      <c r="D270" s="107"/>
      <c r="E270" s="20"/>
      <c r="F270" s="36"/>
      <c r="G270" s="40"/>
      <c r="H270" s="20"/>
      <c r="I270" s="131"/>
      <c r="J270" s="21"/>
      <c r="L270" s="18" t="str">
        <f t="shared" si="47"/>
        <v/>
      </c>
      <c r="M270" s="18" t="str">
        <f t="shared" si="48"/>
        <v/>
      </c>
      <c r="N270" s="18" t="str">
        <f t="shared" si="49"/>
        <v/>
      </c>
      <c r="O270" s="18" t="str">
        <f t="shared" si="50"/>
        <v/>
      </c>
      <c r="P270" s="18" t="str">
        <f t="shared" si="51"/>
        <v/>
      </c>
      <c r="Q270" s="18" t="str">
        <f t="shared" si="52"/>
        <v/>
      </c>
      <c r="R270" s="18" t="str">
        <f t="shared" si="53"/>
        <v/>
      </c>
    </row>
    <row r="271" spans="1:18" ht="22.5" customHeight="1" x14ac:dyDescent="0.25">
      <c r="A271" s="22"/>
      <c r="B271" s="123"/>
      <c r="C271" s="108"/>
      <c r="D271" s="108"/>
      <c r="E271" s="23"/>
      <c r="F271" s="37"/>
      <c r="G271" s="41"/>
      <c r="H271" s="23"/>
      <c r="I271" s="132"/>
      <c r="J271" s="24"/>
      <c r="L271" s="18" t="str">
        <f t="shared" si="47"/>
        <v/>
      </c>
      <c r="M271" s="18" t="str">
        <f t="shared" si="48"/>
        <v/>
      </c>
      <c r="N271" s="18" t="str">
        <f t="shared" si="49"/>
        <v/>
      </c>
      <c r="O271" s="18" t="str">
        <f t="shared" si="50"/>
        <v/>
      </c>
      <c r="P271" s="18" t="str">
        <f t="shared" si="51"/>
        <v/>
      </c>
      <c r="Q271" s="18" t="str">
        <f t="shared" si="52"/>
        <v/>
      </c>
      <c r="R271" s="18" t="str">
        <f t="shared" si="53"/>
        <v/>
      </c>
    </row>
    <row r="272" spans="1:18" ht="22.5" customHeight="1" x14ac:dyDescent="0.25">
      <c r="A272" s="19"/>
      <c r="B272" s="122"/>
      <c r="C272" s="107"/>
      <c r="D272" s="107"/>
      <c r="E272" s="20"/>
      <c r="F272" s="36"/>
      <c r="G272" s="40"/>
      <c r="H272" s="20"/>
      <c r="I272" s="131"/>
      <c r="J272" s="21"/>
      <c r="L272" s="18" t="str">
        <f t="shared" si="47"/>
        <v/>
      </c>
      <c r="M272" s="18" t="str">
        <f t="shared" si="48"/>
        <v/>
      </c>
      <c r="N272" s="18" t="str">
        <f t="shared" si="49"/>
        <v/>
      </c>
      <c r="O272" s="18" t="str">
        <f t="shared" si="50"/>
        <v/>
      </c>
      <c r="P272" s="18" t="str">
        <f t="shared" si="51"/>
        <v/>
      </c>
      <c r="Q272" s="18" t="str">
        <f t="shared" si="52"/>
        <v/>
      </c>
      <c r="R272" s="18" t="str">
        <f t="shared" si="53"/>
        <v/>
      </c>
    </row>
    <row r="273" spans="1:18" ht="22.5" customHeight="1" x14ac:dyDescent="0.25">
      <c r="A273" s="22"/>
      <c r="B273" s="123"/>
      <c r="C273" s="108"/>
      <c r="D273" s="108"/>
      <c r="E273" s="23"/>
      <c r="F273" s="37"/>
      <c r="G273" s="41"/>
      <c r="H273" s="23"/>
      <c r="I273" s="132"/>
      <c r="J273" s="24"/>
      <c r="L273" s="18" t="str">
        <f t="shared" si="47"/>
        <v/>
      </c>
      <c r="M273" s="18" t="str">
        <f t="shared" si="48"/>
        <v/>
      </c>
      <c r="N273" s="18" t="str">
        <f t="shared" si="49"/>
        <v/>
      </c>
      <c r="O273" s="18" t="str">
        <f t="shared" si="50"/>
        <v/>
      </c>
      <c r="P273" s="18" t="str">
        <f t="shared" si="51"/>
        <v/>
      </c>
      <c r="Q273" s="18" t="str">
        <f t="shared" si="52"/>
        <v/>
      </c>
      <c r="R273" s="18" t="str">
        <f t="shared" si="53"/>
        <v/>
      </c>
    </row>
    <row r="274" spans="1:18" ht="22.5" customHeight="1" x14ac:dyDescent="0.25">
      <c r="A274" s="19"/>
      <c r="B274" s="122"/>
      <c r="C274" s="107"/>
      <c r="D274" s="107"/>
      <c r="E274" s="20"/>
      <c r="F274" s="36"/>
      <c r="G274" s="40"/>
      <c r="H274" s="20"/>
      <c r="I274" s="131"/>
      <c r="J274" s="21"/>
      <c r="L274" s="18" t="str">
        <f t="shared" si="47"/>
        <v/>
      </c>
      <c r="M274" s="18" t="str">
        <f t="shared" si="48"/>
        <v/>
      </c>
      <c r="N274" s="18" t="str">
        <f t="shared" si="49"/>
        <v/>
      </c>
      <c r="O274" s="18" t="str">
        <f t="shared" si="50"/>
        <v/>
      </c>
      <c r="P274" s="18" t="str">
        <f t="shared" si="51"/>
        <v/>
      </c>
      <c r="Q274" s="18" t="str">
        <f t="shared" si="52"/>
        <v/>
      </c>
      <c r="R274" s="18" t="str">
        <f t="shared" si="53"/>
        <v/>
      </c>
    </row>
    <row r="275" spans="1:18" ht="22.5" customHeight="1" x14ac:dyDescent="0.25">
      <c r="A275" s="22"/>
      <c r="B275" s="123"/>
      <c r="C275" s="108"/>
      <c r="D275" s="108"/>
      <c r="E275" s="23"/>
      <c r="F275" s="37"/>
      <c r="G275" s="41"/>
      <c r="H275" s="23"/>
      <c r="I275" s="132"/>
      <c r="J275" s="24"/>
      <c r="L275" s="18" t="str">
        <f t="shared" si="47"/>
        <v/>
      </c>
      <c r="M275" s="18" t="str">
        <f t="shared" si="48"/>
        <v/>
      </c>
      <c r="N275" s="18" t="str">
        <f t="shared" si="49"/>
        <v/>
      </c>
      <c r="O275" s="18" t="str">
        <f t="shared" si="50"/>
        <v/>
      </c>
      <c r="P275" s="18" t="str">
        <f t="shared" si="51"/>
        <v/>
      </c>
      <c r="Q275" s="18" t="str">
        <f t="shared" si="52"/>
        <v/>
      </c>
      <c r="R275" s="18" t="str">
        <f t="shared" si="53"/>
        <v/>
      </c>
    </row>
    <row r="276" spans="1:18" ht="22.5" customHeight="1" x14ac:dyDescent="0.25">
      <c r="A276" s="19"/>
      <c r="B276" s="122"/>
      <c r="C276" s="107"/>
      <c r="D276" s="107"/>
      <c r="E276" s="20"/>
      <c r="F276" s="36"/>
      <c r="G276" s="40"/>
      <c r="H276" s="20"/>
      <c r="I276" s="131"/>
      <c r="J276" s="21"/>
      <c r="L276" s="18" t="str">
        <f t="shared" si="47"/>
        <v/>
      </c>
      <c r="M276" s="18" t="str">
        <f t="shared" si="48"/>
        <v/>
      </c>
      <c r="N276" s="18" t="str">
        <f t="shared" si="49"/>
        <v/>
      </c>
      <c r="O276" s="18" t="str">
        <f t="shared" si="50"/>
        <v/>
      </c>
      <c r="P276" s="18" t="str">
        <f t="shared" si="51"/>
        <v/>
      </c>
      <c r="Q276" s="18" t="str">
        <f t="shared" si="52"/>
        <v/>
      </c>
      <c r="R276" s="18" t="str">
        <f t="shared" si="53"/>
        <v/>
      </c>
    </row>
    <row r="277" spans="1:18" ht="22.5" customHeight="1" x14ac:dyDescent="0.25">
      <c r="A277" s="22"/>
      <c r="B277" s="123"/>
      <c r="C277" s="108"/>
      <c r="D277" s="108"/>
      <c r="E277" s="23"/>
      <c r="F277" s="37"/>
      <c r="G277" s="41"/>
      <c r="H277" s="23"/>
      <c r="I277" s="132"/>
      <c r="J277" s="24"/>
      <c r="L277" s="18" t="str">
        <f t="shared" si="47"/>
        <v/>
      </c>
      <c r="M277" s="18" t="str">
        <f t="shared" si="48"/>
        <v/>
      </c>
      <c r="N277" s="18" t="str">
        <f t="shared" si="49"/>
        <v/>
      </c>
      <c r="O277" s="18" t="str">
        <f t="shared" si="50"/>
        <v/>
      </c>
      <c r="P277" s="18" t="str">
        <f t="shared" si="51"/>
        <v/>
      </c>
      <c r="Q277" s="18" t="str">
        <f t="shared" si="52"/>
        <v/>
      </c>
      <c r="R277" s="18" t="str">
        <f t="shared" si="53"/>
        <v/>
      </c>
    </row>
    <row r="278" spans="1:18" ht="22.5" customHeight="1" x14ac:dyDescent="0.25">
      <c r="A278" s="19"/>
      <c r="B278" s="122"/>
      <c r="C278" s="107"/>
      <c r="D278" s="107"/>
      <c r="E278" s="20"/>
      <c r="F278" s="36"/>
      <c r="G278" s="40"/>
      <c r="H278" s="20"/>
      <c r="I278" s="131"/>
      <c r="J278" s="21"/>
      <c r="L278" s="18" t="str">
        <f t="shared" si="47"/>
        <v/>
      </c>
      <c r="M278" s="18" t="str">
        <f t="shared" si="48"/>
        <v/>
      </c>
      <c r="N278" s="18" t="str">
        <f t="shared" si="49"/>
        <v/>
      </c>
      <c r="O278" s="18" t="str">
        <f t="shared" si="50"/>
        <v/>
      </c>
      <c r="P278" s="18" t="str">
        <f t="shared" si="51"/>
        <v/>
      </c>
      <c r="Q278" s="18" t="str">
        <f t="shared" si="52"/>
        <v/>
      </c>
      <c r="R278" s="18" t="str">
        <f t="shared" si="53"/>
        <v/>
      </c>
    </row>
    <row r="279" spans="1:18" ht="22.5" customHeight="1" x14ac:dyDescent="0.25">
      <c r="A279" s="22"/>
      <c r="B279" s="123"/>
      <c r="C279" s="108"/>
      <c r="D279" s="108"/>
      <c r="E279" s="23"/>
      <c r="F279" s="37"/>
      <c r="G279" s="41"/>
      <c r="H279" s="23"/>
      <c r="I279" s="132"/>
      <c r="J279" s="24"/>
      <c r="L279" s="18" t="str">
        <f t="shared" si="47"/>
        <v/>
      </c>
      <c r="M279" s="18" t="str">
        <f t="shared" si="48"/>
        <v/>
      </c>
      <c r="N279" s="18" t="str">
        <f t="shared" si="49"/>
        <v/>
      </c>
      <c r="O279" s="18" t="str">
        <f t="shared" si="50"/>
        <v/>
      </c>
      <c r="P279" s="18" t="str">
        <f t="shared" si="51"/>
        <v/>
      </c>
      <c r="Q279" s="18" t="str">
        <f t="shared" si="52"/>
        <v/>
      </c>
      <c r="R279" s="18" t="str">
        <f t="shared" si="53"/>
        <v/>
      </c>
    </row>
    <row r="280" spans="1:18" ht="22.5" customHeight="1" x14ac:dyDescent="0.25">
      <c r="A280" s="19"/>
      <c r="B280" s="122"/>
      <c r="C280" s="107"/>
      <c r="D280" s="107"/>
      <c r="E280" s="20"/>
      <c r="F280" s="36"/>
      <c r="G280" s="40"/>
      <c r="H280" s="20"/>
      <c r="I280" s="131"/>
      <c r="J280" s="21"/>
      <c r="L280" s="18" t="str">
        <f t="shared" si="47"/>
        <v/>
      </c>
      <c r="M280" s="18" t="str">
        <f t="shared" si="48"/>
        <v/>
      </c>
      <c r="N280" s="18" t="str">
        <f t="shared" si="49"/>
        <v/>
      </c>
      <c r="O280" s="18" t="str">
        <f t="shared" si="50"/>
        <v/>
      </c>
      <c r="P280" s="18" t="str">
        <f t="shared" si="51"/>
        <v/>
      </c>
      <c r="Q280" s="18" t="str">
        <f t="shared" si="52"/>
        <v/>
      </c>
      <c r="R280" s="18" t="str">
        <f t="shared" si="53"/>
        <v/>
      </c>
    </row>
    <row r="281" spans="1:18" ht="22.5" customHeight="1" x14ac:dyDescent="0.25">
      <c r="A281" s="22"/>
      <c r="B281" s="123"/>
      <c r="C281" s="108"/>
      <c r="D281" s="108"/>
      <c r="E281" s="23"/>
      <c r="F281" s="37"/>
      <c r="G281" s="41"/>
      <c r="H281" s="23"/>
      <c r="I281" s="132"/>
      <c r="J281" s="24"/>
      <c r="L281" s="18" t="str">
        <f t="shared" si="47"/>
        <v/>
      </c>
      <c r="M281" s="18" t="str">
        <f t="shared" si="48"/>
        <v/>
      </c>
      <c r="N281" s="18" t="str">
        <f t="shared" si="49"/>
        <v/>
      </c>
      <c r="O281" s="18" t="str">
        <f t="shared" si="50"/>
        <v/>
      </c>
      <c r="P281" s="18" t="str">
        <f t="shared" si="51"/>
        <v/>
      </c>
      <c r="Q281" s="18" t="str">
        <f t="shared" si="52"/>
        <v/>
      </c>
      <c r="R281" s="18" t="str">
        <f t="shared" si="53"/>
        <v/>
      </c>
    </row>
    <row r="282" spans="1:18" ht="22.5" customHeight="1" x14ac:dyDescent="0.25">
      <c r="A282" s="19"/>
      <c r="B282" s="122"/>
      <c r="C282" s="107"/>
      <c r="D282" s="107"/>
      <c r="E282" s="20"/>
      <c r="F282" s="36"/>
      <c r="G282" s="40"/>
      <c r="H282" s="20"/>
      <c r="I282" s="131"/>
      <c r="J282" s="21"/>
      <c r="L282" s="18" t="str">
        <f t="shared" si="47"/>
        <v/>
      </c>
      <c r="M282" s="18" t="str">
        <f t="shared" si="48"/>
        <v/>
      </c>
      <c r="N282" s="18" t="str">
        <f t="shared" si="49"/>
        <v/>
      </c>
      <c r="O282" s="18" t="str">
        <f t="shared" si="50"/>
        <v/>
      </c>
      <c r="P282" s="18" t="str">
        <f t="shared" si="51"/>
        <v/>
      </c>
      <c r="Q282" s="18" t="str">
        <f t="shared" si="52"/>
        <v/>
      </c>
      <c r="R282" s="18" t="str">
        <f t="shared" si="53"/>
        <v/>
      </c>
    </row>
    <row r="283" spans="1:18" ht="22.5" customHeight="1" x14ac:dyDescent="0.25">
      <c r="A283" s="22"/>
      <c r="B283" s="123"/>
      <c r="C283" s="108"/>
      <c r="D283" s="108"/>
      <c r="E283" s="23"/>
      <c r="F283" s="37"/>
      <c r="G283" s="41"/>
      <c r="H283" s="23"/>
      <c r="I283" s="132"/>
      <c r="J283" s="24"/>
      <c r="L283" s="18" t="str">
        <f t="shared" si="47"/>
        <v/>
      </c>
      <c r="M283" s="18" t="str">
        <f t="shared" si="48"/>
        <v/>
      </c>
      <c r="N283" s="18" t="str">
        <f t="shared" si="49"/>
        <v/>
      </c>
      <c r="O283" s="18" t="str">
        <f t="shared" si="50"/>
        <v/>
      </c>
      <c r="P283" s="18" t="str">
        <f t="shared" si="51"/>
        <v/>
      </c>
      <c r="Q283" s="18" t="str">
        <f t="shared" si="52"/>
        <v/>
      </c>
      <c r="R283" s="18" t="str">
        <f t="shared" si="53"/>
        <v/>
      </c>
    </row>
    <row r="284" spans="1:18" ht="22.5" customHeight="1" x14ac:dyDescent="0.25">
      <c r="A284" s="19"/>
      <c r="B284" s="122"/>
      <c r="C284" s="107"/>
      <c r="D284" s="107"/>
      <c r="E284" s="20"/>
      <c r="F284" s="36"/>
      <c r="G284" s="40"/>
      <c r="H284" s="20"/>
      <c r="I284" s="131"/>
      <c r="J284" s="21"/>
      <c r="L284" s="18" t="str">
        <f t="shared" si="47"/>
        <v/>
      </c>
      <c r="M284" s="18" t="str">
        <f t="shared" si="48"/>
        <v/>
      </c>
      <c r="N284" s="18" t="str">
        <f t="shared" si="49"/>
        <v/>
      </c>
      <c r="O284" s="18" t="str">
        <f t="shared" si="50"/>
        <v/>
      </c>
      <c r="P284" s="18" t="str">
        <f t="shared" si="51"/>
        <v/>
      </c>
      <c r="Q284" s="18" t="str">
        <f t="shared" si="52"/>
        <v/>
      </c>
      <c r="R284" s="18" t="str">
        <f t="shared" si="53"/>
        <v/>
      </c>
    </row>
    <row r="285" spans="1:18" ht="22.5" customHeight="1" x14ac:dyDescent="0.25">
      <c r="A285" s="22"/>
      <c r="B285" s="123"/>
      <c r="C285" s="108"/>
      <c r="D285" s="108"/>
      <c r="E285" s="23"/>
      <c r="F285" s="37"/>
      <c r="G285" s="41"/>
      <c r="H285" s="23"/>
      <c r="I285" s="132"/>
      <c r="J285" s="24"/>
      <c r="L285" s="18" t="str">
        <f t="shared" si="47"/>
        <v/>
      </c>
      <c r="M285" s="18" t="str">
        <f t="shared" si="48"/>
        <v/>
      </c>
      <c r="N285" s="18" t="str">
        <f t="shared" si="49"/>
        <v/>
      </c>
      <c r="O285" s="18" t="str">
        <f t="shared" si="50"/>
        <v/>
      </c>
      <c r="P285" s="18" t="str">
        <f t="shared" si="51"/>
        <v/>
      </c>
      <c r="Q285" s="18" t="str">
        <f t="shared" si="52"/>
        <v/>
      </c>
      <c r="R285" s="18" t="str">
        <f t="shared" si="53"/>
        <v/>
      </c>
    </row>
    <row r="286" spans="1:18" ht="22.5" customHeight="1" x14ac:dyDescent="0.25">
      <c r="A286" s="19"/>
      <c r="B286" s="122"/>
      <c r="C286" s="107"/>
      <c r="D286" s="107"/>
      <c r="E286" s="20"/>
      <c r="F286" s="36"/>
      <c r="G286" s="40"/>
      <c r="H286" s="20"/>
      <c r="I286" s="131"/>
      <c r="J286" s="21"/>
      <c r="L286" s="18" t="str">
        <f t="shared" si="47"/>
        <v/>
      </c>
      <c r="M286" s="18" t="str">
        <f t="shared" si="48"/>
        <v/>
      </c>
      <c r="N286" s="18" t="str">
        <f t="shared" si="49"/>
        <v/>
      </c>
      <c r="O286" s="18" t="str">
        <f t="shared" si="50"/>
        <v/>
      </c>
      <c r="P286" s="18" t="str">
        <f t="shared" si="51"/>
        <v/>
      </c>
      <c r="Q286" s="18" t="str">
        <f t="shared" si="52"/>
        <v/>
      </c>
      <c r="R286" s="18" t="str">
        <f t="shared" si="53"/>
        <v/>
      </c>
    </row>
    <row r="287" spans="1:18" ht="22.5" customHeight="1" x14ac:dyDescent="0.25">
      <c r="A287" s="22"/>
      <c r="B287" s="123"/>
      <c r="C287" s="108"/>
      <c r="D287" s="108"/>
      <c r="E287" s="23"/>
      <c r="F287" s="37"/>
      <c r="G287" s="41"/>
      <c r="H287" s="23"/>
      <c r="I287" s="132"/>
      <c r="J287" s="24"/>
      <c r="L287" s="18" t="str">
        <f t="shared" si="47"/>
        <v/>
      </c>
      <c r="M287" s="18" t="str">
        <f t="shared" si="48"/>
        <v/>
      </c>
      <c r="N287" s="18" t="str">
        <f t="shared" si="49"/>
        <v/>
      </c>
      <c r="O287" s="18" t="str">
        <f t="shared" si="50"/>
        <v/>
      </c>
      <c r="P287" s="18" t="str">
        <f t="shared" si="51"/>
        <v/>
      </c>
      <c r="Q287" s="18" t="str">
        <f t="shared" si="52"/>
        <v/>
      </c>
      <c r="R287" s="18" t="str">
        <f t="shared" si="53"/>
        <v/>
      </c>
    </row>
    <row r="288" spans="1:18" ht="22.5" customHeight="1" x14ac:dyDescent="0.25">
      <c r="A288" s="19"/>
      <c r="B288" s="122"/>
      <c r="C288" s="107"/>
      <c r="D288" s="107"/>
      <c r="E288" s="20"/>
      <c r="F288" s="36"/>
      <c r="G288" s="40"/>
      <c r="H288" s="20"/>
      <c r="I288" s="131"/>
      <c r="J288" s="21"/>
      <c r="L288" s="18" t="str">
        <f t="shared" si="47"/>
        <v/>
      </c>
      <c r="M288" s="18" t="str">
        <f t="shared" si="48"/>
        <v/>
      </c>
      <c r="N288" s="18" t="str">
        <f t="shared" si="49"/>
        <v/>
      </c>
      <c r="O288" s="18" t="str">
        <f t="shared" si="50"/>
        <v/>
      </c>
      <c r="P288" s="18" t="str">
        <f t="shared" si="51"/>
        <v/>
      </c>
      <c r="Q288" s="18" t="str">
        <f t="shared" si="52"/>
        <v/>
      </c>
      <c r="R288" s="18" t="str">
        <f t="shared" si="53"/>
        <v/>
      </c>
    </row>
    <row r="289" spans="1:18" ht="22.5" customHeight="1" x14ac:dyDescent="0.25">
      <c r="A289" s="22"/>
      <c r="B289" s="123"/>
      <c r="C289" s="108"/>
      <c r="D289" s="108"/>
      <c r="E289" s="23"/>
      <c r="F289" s="37"/>
      <c r="G289" s="41"/>
      <c r="H289" s="23"/>
      <c r="I289" s="132"/>
      <c r="J289" s="24"/>
      <c r="L289" s="18" t="str">
        <f t="shared" si="47"/>
        <v/>
      </c>
      <c r="M289" s="18" t="str">
        <f t="shared" si="48"/>
        <v/>
      </c>
      <c r="N289" s="18" t="str">
        <f t="shared" si="49"/>
        <v/>
      </c>
      <c r="O289" s="18" t="str">
        <f t="shared" si="50"/>
        <v/>
      </c>
      <c r="P289" s="18" t="str">
        <f t="shared" si="51"/>
        <v/>
      </c>
      <c r="Q289" s="18" t="str">
        <f t="shared" si="52"/>
        <v/>
      </c>
      <c r="R289" s="18" t="str">
        <f t="shared" si="53"/>
        <v/>
      </c>
    </row>
    <row r="290" spans="1:18" ht="22.5" customHeight="1" x14ac:dyDescent="0.25">
      <c r="A290" s="19"/>
      <c r="B290" s="122"/>
      <c r="C290" s="107"/>
      <c r="D290" s="107"/>
      <c r="E290" s="20"/>
      <c r="F290" s="36"/>
      <c r="G290" s="40"/>
      <c r="H290" s="20"/>
      <c r="I290" s="131"/>
      <c r="J290" s="21"/>
      <c r="L290" s="18" t="str">
        <f t="shared" si="47"/>
        <v/>
      </c>
      <c r="M290" s="18" t="str">
        <f t="shared" si="48"/>
        <v/>
      </c>
      <c r="N290" s="18" t="str">
        <f t="shared" si="49"/>
        <v/>
      </c>
      <c r="O290" s="18" t="str">
        <f t="shared" si="50"/>
        <v/>
      </c>
      <c r="P290" s="18" t="str">
        <f t="shared" si="51"/>
        <v/>
      </c>
      <c r="Q290" s="18" t="str">
        <f t="shared" si="52"/>
        <v/>
      </c>
      <c r="R290" s="18" t="str">
        <f t="shared" si="53"/>
        <v/>
      </c>
    </row>
    <row r="291" spans="1:18" ht="22.5" customHeight="1" x14ac:dyDescent="0.25">
      <c r="A291" s="22"/>
      <c r="B291" s="123"/>
      <c r="C291" s="108"/>
      <c r="D291" s="108"/>
      <c r="E291" s="23"/>
      <c r="F291" s="37"/>
      <c r="G291" s="41"/>
      <c r="H291" s="23"/>
      <c r="I291" s="132"/>
      <c r="J291" s="24"/>
      <c r="L291" s="18" t="str">
        <f t="shared" si="47"/>
        <v/>
      </c>
      <c r="M291" s="18" t="str">
        <f t="shared" si="48"/>
        <v/>
      </c>
      <c r="N291" s="18" t="str">
        <f t="shared" si="49"/>
        <v/>
      </c>
      <c r="O291" s="18" t="str">
        <f t="shared" si="50"/>
        <v/>
      </c>
      <c r="P291" s="18" t="str">
        <f t="shared" si="51"/>
        <v/>
      </c>
      <c r="Q291" s="18" t="str">
        <f t="shared" si="52"/>
        <v/>
      </c>
      <c r="R291" s="18" t="str">
        <f t="shared" si="53"/>
        <v/>
      </c>
    </row>
    <row r="292" spans="1:18" ht="22.5" customHeight="1" x14ac:dyDescent="0.25">
      <c r="A292" s="19"/>
      <c r="B292" s="122"/>
      <c r="C292" s="107"/>
      <c r="D292" s="107"/>
      <c r="E292" s="20"/>
      <c r="F292" s="36"/>
      <c r="G292" s="40"/>
      <c r="H292" s="20"/>
      <c r="I292" s="131"/>
      <c r="J292" s="21"/>
      <c r="L292" s="18" t="str">
        <f t="shared" si="47"/>
        <v/>
      </c>
      <c r="M292" s="18" t="str">
        <f t="shared" si="48"/>
        <v/>
      </c>
      <c r="N292" s="18" t="str">
        <f t="shared" si="49"/>
        <v/>
      </c>
      <c r="O292" s="18" t="str">
        <f t="shared" si="50"/>
        <v/>
      </c>
      <c r="P292" s="18" t="str">
        <f t="shared" si="51"/>
        <v/>
      </c>
      <c r="Q292" s="18" t="str">
        <f t="shared" si="52"/>
        <v/>
      </c>
      <c r="R292" s="18" t="str">
        <f t="shared" si="53"/>
        <v/>
      </c>
    </row>
    <row r="293" spans="1:18" ht="22.5" customHeight="1" x14ac:dyDescent="0.25">
      <c r="A293" s="22"/>
      <c r="B293" s="123"/>
      <c r="C293" s="108"/>
      <c r="D293" s="108"/>
      <c r="E293" s="23"/>
      <c r="F293" s="37"/>
      <c r="G293" s="41"/>
      <c r="H293" s="23"/>
      <c r="I293" s="132"/>
      <c r="J293" s="24"/>
      <c r="L293" s="18" t="str">
        <f t="shared" si="47"/>
        <v/>
      </c>
      <c r="M293" s="18" t="str">
        <f t="shared" si="48"/>
        <v/>
      </c>
      <c r="N293" s="18" t="str">
        <f t="shared" si="49"/>
        <v/>
      </c>
      <c r="O293" s="18" t="str">
        <f t="shared" si="50"/>
        <v/>
      </c>
      <c r="P293" s="18" t="str">
        <f t="shared" si="51"/>
        <v/>
      </c>
      <c r="Q293" s="18" t="str">
        <f t="shared" si="52"/>
        <v/>
      </c>
      <c r="R293" s="18" t="str">
        <f t="shared" si="53"/>
        <v/>
      </c>
    </row>
    <row r="294" spans="1:18" ht="22.5" customHeight="1" x14ac:dyDescent="0.25">
      <c r="A294" s="19"/>
      <c r="B294" s="122"/>
      <c r="C294" s="107"/>
      <c r="D294" s="107"/>
      <c r="E294" s="20"/>
      <c r="F294" s="36"/>
      <c r="G294" s="40"/>
      <c r="H294" s="20"/>
      <c r="I294" s="131"/>
      <c r="J294" s="21"/>
      <c r="L294" s="18" t="str">
        <f t="shared" si="47"/>
        <v/>
      </c>
      <c r="M294" s="18" t="str">
        <f t="shared" si="48"/>
        <v/>
      </c>
      <c r="N294" s="18" t="str">
        <f t="shared" si="49"/>
        <v/>
      </c>
      <c r="O294" s="18" t="str">
        <f t="shared" si="50"/>
        <v/>
      </c>
      <c r="P294" s="18" t="str">
        <f t="shared" si="51"/>
        <v/>
      </c>
      <c r="Q294" s="18" t="str">
        <f t="shared" si="52"/>
        <v/>
      </c>
      <c r="R294" s="18" t="str">
        <f t="shared" si="53"/>
        <v/>
      </c>
    </row>
    <row r="295" spans="1:18" ht="22.5" customHeight="1" x14ac:dyDescent="0.25">
      <c r="A295" s="22"/>
      <c r="B295" s="123"/>
      <c r="C295" s="108"/>
      <c r="D295" s="108"/>
      <c r="E295" s="23"/>
      <c r="F295" s="37"/>
      <c r="G295" s="41"/>
      <c r="H295" s="23"/>
      <c r="I295" s="132"/>
      <c r="J295" s="24"/>
      <c r="L295" s="18" t="str">
        <f t="shared" si="47"/>
        <v/>
      </c>
      <c r="M295" s="18" t="str">
        <f t="shared" si="48"/>
        <v/>
      </c>
      <c r="N295" s="18" t="str">
        <f t="shared" si="49"/>
        <v/>
      </c>
      <c r="O295" s="18" t="str">
        <f t="shared" si="50"/>
        <v/>
      </c>
      <c r="P295" s="18" t="str">
        <f t="shared" si="51"/>
        <v/>
      </c>
      <c r="Q295" s="18" t="str">
        <f t="shared" si="52"/>
        <v/>
      </c>
      <c r="R295" s="18" t="str">
        <f t="shared" si="53"/>
        <v/>
      </c>
    </row>
    <row r="296" spans="1:18" ht="22.5" customHeight="1" x14ac:dyDescent="0.25">
      <c r="A296" s="19"/>
      <c r="B296" s="122"/>
      <c r="C296" s="107"/>
      <c r="D296" s="107"/>
      <c r="E296" s="20"/>
      <c r="F296" s="36"/>
      <c r="G296" s="40"/>
      <c r="H296" s="20"/>
      <c r="I296" s="131"/>
      <c r="J296" s="21"/>
      <c r="L296" s="18" t="str">
        <f t="shared" si="47"/>
        <v/>
      </c>
      <c r="M296" s="18" t="str">
        <f t="shared" si="48"/>
        <v/>
      </c>
      <c r="N296" s="18" t="str">
        <f t="shared" si="49"/>
        <v/>
      </c>
      <c r="O296" s="18" t="str">
        <f t="shared" si="50"/>
        <v/>
      </c>
      <c r="P296" s="18" t="str">
        <f t="shared" si="51"/>
        <v/>
      </c>
      <c r="Q296" s="18" t="str">
        <f t="shared" si="52"/>
        <v/>
      </c>
      <c r="R296" s="18" t="str">
        <f t="shared" si="53"/>
        <v/>
      </c>
    </row>
    <row r="297" spans="1:18" ht="22.5" customHeight="1" x14ac:dyDescent="0.25">
      <c r="A297" s="22"/>
      <c r="B297" s="123"/>
      <c r="C297" s="108"/>
      <c r="D297" s="108"/>
      <c r="E297" s="23"/>
      <c r="F297" s="37"/>
      <c r="G297" s="41"/>
      <c r="H297" s="23"/>
      <c r="I297" s="132"/>
      <c r="J297" s="24"/>
      <c r="L297" s="18" t="str">
        <f t="shared" si="47"/>
        <v/>
      </c>
      <c r="M297" s="18" t="str">
        <f t="shared" si="48"/>
        <v/>
      </c>
      <c r="N297" s="18" t="str">
        <f t="shared" si="49"/>
        <v/>
      </c>
      <c r="O297" s="18" t="str">
        <f t="shared" si="50"/>
        <v/>
      </c>
      <c r="P297" s="18" t="str">
        <f t="shared" si="51"/>
        <v/>
      </c>
      <c r="Q297" s="18" t="str">
        <f t="shared" si="52"/>
        <v/>
      </c>
      <c r="R297" s="18" t="str">
        <f t="shared" si="53"/>
        <v/>
      </c>
    </row>
    <row r="298" spans="1:18" ht="22.5" customHeight="1" x14ac:dyDescent="0.25">
      <c r="A298" s="19"/>
      <c r="B298" s="122"/>
      <c r="C298" s="107"/>
      <c r="D298" s="107"/>
      <c r="E298" s="20"/>
      <c r="F298" s="36"/>
      <c r="G298" s="40"/>
      <c r="H298" s="20"/>
      <c r="I298" s="131"/>
      <c r="J298" s="21"/>
      <c r="L298" s="18" t="str">
        <f t="shared" si="47"/>
        <v/>
      </c>
      <c r="M298" s="18" t="str">
        <f t="shared" si="48"/>
        <v/>
      </c>
      <c r="N298" s="18" t="str">
        <f t="shared" si="49"/>
        <v/>
      </c>
      <c r="O298" s="18" t="str">
        <f t="shared" si="50"/>
        <v/>
      </c>
      <c r="P298" s="18" t="str">
        <f t="shared" si="51"/>
        <v/>
      </c>
      <c r="Q298" s="18" t="str">
        <f t="shared" si="52"/>
        <v/>
      </c>
      <c r="R298" s="18" t="str">
        <f t="shared" si="53"/>
        <v/>
      </c>
    </row>
    <row r="299" spans="1:18" ht="22.5" customHeight="1" x14ac:dyDescent="0.25">
      <c r="A299" s="22"/>
      <c r="B299" s="123"/>
      <c r="C299" s="108"/>
      <c r="D299" s="108"/>
      <c r="E299" s="23"/>
      <c r="F299" s="37"/>
      <c r="G299" s="41"/>
      <c r="H299" s="23"/>
      <c r="I299" s="132"/>
      <c r="J299" s="24"/>
      <c r="L299" s="18" t="str">
        <f t="shared" si="47"/>
        <v/>
      </c>
      <c r="M299" s="18" t="str">
        <f t="shared" si="48"/>
        <v/>
      </c>
      <c r="N299" s="18" t="str">
        <f t="shared" si="49"/>
        <v/>
      </c>
      <c r="O299" s="18" t="str">
        <f t="shared" si="50"/>
        <v/>
      </c>
      <c r="P299" s="18" t="str">
        <f t="shared" si="51"/>
        <v/>
      </c>
      <c r="Q299" s="18" t="str">
        <f t="shared" si="52"/>
        <v/>
      </c>
      <c r="R299" s="18" t="str">
        <f t="shared" si="53"/>
        <v/>
      </c>
    </row>
    <row r="300" spans="1:18" ht="22.5" customHeight="1" x14ac:dyDescent="0.25">
      <c r="A300" s="19"/>
      <c r="B300" s="122"/>
      <c r="C300" s="107"/>
      <c r="D300" s="107"/>
      <c r="E300" s="20"/>
      <c r="F300" s="36"/>
      <c r="G300" s="40"/>
      <c r="H300" s="20"/>
      <c r="I300" s="131"/>
      <c r="J300" s="21"/>
      <c r="L300" s="18" t="str">
        <f t="shared" si="47"/>
        <v/>
      </c>
      <c r="M300" s="18" t="str">
        <f t="shared" si="48"/>
        <v/>
      </c>
      <c r="N300" s="18" t="str">
        <f t="shared" si="49"/>
        <v/>
      </c>
      <c r="O300" s="18" t="str">
        <f t="shared" si="50"/>
        <v/>
      </c>
      <c r="P300" s="18" t="str">
        <f t="shared" si="51"/>
        <v/>
      </c>
      <c r="Q300" s="18" t="str">
        <f t="shared" si="52"/>
        <v/>
      </c>
      <c r="R300" s="18" t="str">
        <f t="shared" si="53"/>
        <v/>
      </c>
    </row>
    <row r="301" spans="1:18" ht="22.5" customHeight="1" x14ac:dyDescent="0.25">
      <c r="A301" s="22"/>
      <c r="B301" s="123"/>
      <c r="C301" s="108"/>
      <c r="D301" s="108"/>
      <c r="E301" s="23"/>
      <c r="F301" s="37"/>
      <c r="G301" s="41"/>
      <c r="H301" s="23"/>
      <c r="I301" s="132"/>
      <c r="J301" s="24"/>
      <c r="L301" s="18" t="str">
        <f t="shared" si="47"/>
        <v/>
      </c>
      <c r="M301" s="18" t="str">
        <f t="shared" si="48"/>
        <v/>
      </c>
      <c r="N301" s="18" t="str">
        <f t="shared" si="49"/>
        <v/>
      </c>
      <c r="O301" s="18" t="str">
        <f t="shared" si="50"/>
        <v/>
      </c>
      <c r="P301" s="18" t="str">
        <f t="shared" si="51"/>
        <v/>
      </c>
      <c r="Q301" s="18" t="str">
        <f t="shared" si="52"/>
        <v/>
      </c>
      <c r="R301" s="18" t="str">
        <f t="shared" si="53"/>
        <v/>
      </c>
    </row>
    <row r="302" spans="1:18" ht="22.5" customHeight="1" x14ac:dyDescent="0.25">
      <c r="A302" s="19"/>
      <c r="B302" s="122"/>
      <c r="C302" s="107"/>
      <c r="D302" s="107"/>
      <c r="E302" s="20"/>
      <c r="F302" s="36"/>
      <c r="G302" s="40"/>
      <c r="H302" s="20"/>
      <c r="I302" s="131"/>
      <c r="J302" s="21"/>
      <c r="L302" s="18" t="str">
        <f t="shared" si="47"/>
        <v/>
      </c>
      <c r="M302" s="18" t="str">
        <f t="shared" si="48"/>
        <v/>
      </c>
      <c r="N302" s="18" t="str">
        <f t="shared" si="49"/>
        <v/>
      </c>
      <c r="O302" s="18" t="str">
        <f t="shared" si="50"/>
        <v/>
      </c>
      <c r="P302" s="18" t="str">
        <f t="shared" si="51"/>
        <v/>
      </c>
      <c r="Q302" s="18" t="str">
        <f t="shared" si="52"/>
        <v/>
      </c>
      <c r="R302" s="18" t="str">
        <f t="shared" si="53"/>
        <v/>
      </c>
    </row>
    <row r="303" spans="1:18" ht="22.5" customHeight="1" x14ac:dyDescent="0.25">
      <c r="A303" s="22"/>
      <c r="B303" s="123"/>
      <c r="C303" s="108"/>
      <c r="D303" s="108"/>
      <c r="E303" s="23"/>
      <c r="F303" s="37"/>
      <c r="G303" s="41"/>
      <c r="H303" s="23"/>
      <c r="I303" s="132"/>
      <c r="J303" s="24"/>
      <c r="L303" s="18" t="str">
        <f t="shared" si="47"/>
        <v/>
      </c>
      <c r="M303" s="18" t="str">
        <f t="shared" si="48"/>
        <v/>
      </c>
      <c r="N303" s="18" t="str">
        <f t="shared" si="49"/>
        <v/>
      </c>
      <c r="O303" s="18" t="str">
        <f t="shared" si="50"/>
        <v/>
      </c>
      <c r="P303" s="18" t="str">
        <f t="shared" si="51"/>
        <v/>
      </c>
      <c r="Q303" s="18" t="str">
        <f t="shared" si="52"/>
        <v/>
      </c>
      <c r="R303" s="18" t="str">
        <f t="shared" si="53"/>
        <v/>
      </c>
    </row>
    <row r="304" spans="1:18" ht="22.5" customHeight="1" x14ac:dyDescent="0.25">
      <c r="A304" s="19"/>
      <c r="B304" s="122"/>
      <c r="C304" s="107"/>
      <c r="D304" s="107"/>
      <c r="E304" s="20"/>
      <c r="F304" s="36"/>
      <c r="G304" s="40"/>
      <c r="H304" s="20"/>
      <c r="I304" s="131"/>
      <c r="J304" s="21"/>
      <c r="L304" s="18" t="str">
        <f t="shared" si="47"/>
        <v/>
      </c>
      <c r="M304" s="18" t="str">
        <f t="shared" si="48"/>
        <v/>
      </c>
      <c r="N304" s="18" t="str">
        <f t="shared" si="49"/>
        <v/>
      </c>
      <c r="O304" s="18" t="str">
        <f t="shared" si="50"/>
        <v/>
      </c>
      <c r="P304" s="18" t="str">
        <f t="shared" si="51"/>
        <v/>
      </c>
      <c r="Q304" s="18" t="str">
        <f t="shared" si="52"/>
        <v/>
      </c>
      <c r="R304" s="18" t="str">
        <f t="shared" si="53"/>
        <v/>
      </c>
    </row>
    <row r="305" spans="1:16378" ht="22.5" customHeight="1" thickBot="1" x14ac:dyDescent="0.3">
      <c r="A305" s="25"/>
      <c r="B305" s="124"/>
      <c r="C305" s="109"/>
      <c r="D305" s="109"/>
      <c r="E305" s="26"/>
      <c r="F305" s="38"/>
      <c r="G305" s="42"/>
      <c r="H305" s="26"/>
      <c r="I305" s="133"/>
      <c r="J305" s="27"/>
      <c r="L305" s="18" t="str">
        <f t="shared" si="47"/>
        <v/>
      </c>
      <c r="M305" s="18" t="str">
        <f t="shared" si="48"/>
        <v/>
      </c>
      <c r="N305" s="18" t="str">
        <f t="shared" si="49"/>
        <v/>
      </c>
      <c r="O305" s="18" t="str">
        <f t="shared" si="50"/>
        <v/>
      </c>
      <c r="P305" s="18" t="str">
        <f t="shared" si="51"/>
        <v/>
      </c>
      <c r="Q305" s="18" t="str">
        <f t="shared" si="52"/>
        <v/>
      </c>
      <c r="R305" s="18" t="str">
        <f t="shared" si="53"/>
        <v/>
      </c>
    </row>
    <row r="306" spans="1:16378" ht="22.5" customHeight="1" x14ac:dyDescent="0.25">
      <c r="A306" s="18">
        <v>0</v>
      </c>
      <c r="B306" s="18">
        <v>0</v>
      </c>
      <c r="C306" s="110">
        <v>0</v>
      </c>
      <c r="D306" s="18">
        <v>0</v>
      </c>
      <c r="E306" s="18">
        <v>0</v>
      </c>
      <c r="F306" s="18">
        <v>0</v>
      </c>
      <c r="G306" s="18">
        <v>0</v>
      </c>
      <c r="H306" s="18">
        <v>0</v>
      </c>
      <c r="I306" s="18">
        <v>0</v>
      </c>
      <c r="J306" s="18">
        <v>0</v>
      </c>
      <c r="K306" s="18">
        <v>0</v>
      </c>
      <c r="L306" s="18">
        <v>0</v>
      </c>
      <c r="M306" s="18">
        <v>0</v>
      </c>
      <c r="N306" s="18">
        <v>0</v>
      </c>
      <c r="O306" s="18">
        <v>0</v>
      </c>
      <c r="P306" s="18">
        <v>0</v>
      </c>
      <c r="Q306" s="18">
        <v>0</v>
      </c>
      <c r="R306" s="18">
        <v>0</v>
      </c>
      <c r="S306" s="18">
        <v>0</v>
      </c>
      <c r="T306" s="18">
        <v>0</v>
      </c>
      <c r="U306" s="18">
        <v>0</v>
      </c>
      <c r="V306" s="18">
        <v>0</v>
      </c>
      <c r="W306" s="18">
        <v>0</v>
      </c>
      <c r="X306" s="18">
        <v>0</v>
      </c>
      <c r="Y306" s="18">
        <v>0</v>
      </c>
      <c r="Z306" s="18">
        <v>0</v>
      </c>
      <c r="AA306" s="18">
        <v>0</v>
      </c>
      <c r="AB306" s="18">
        <v>0</v>
      </c>
      <c r="AC306" s="18">
        <v>0</v>
      </c>
      <c r="AD306" s="18">
        <v>0</v>
      </c>
      <c r="AE306" s="18">
        <v>0</v>
      </c>
      <c r="AF306" s="18">
        <v>0</v>
      </c>
      <c r="AG306" s="18">
        <v>0</v>
      </c>
      <c r="AH306" s="18">
        <v>0</v>
      </c>
      <c r="AI306" s="18">
        <v>0</v>
      </c>
      <c r="AJ306" s="18">
        <v>0</v>
      </c>
      <c r="AK306" s="18">
        <v>0</v>
      </c>
      <c r="AL306" s="18">
        <v>0</v>
      </c>
      <c r="AM306" s="18">
        <v>0</v>
      </c>
      <c r="AN306" s="18">
        <v>0</v>
      </c>
      <c r="AO306" s="18">
        <v>0</v>
      </c>
      <c r="AP306" s="18">
        <v>0</v>
      </c>
      <c r="AQ306" s="18">
        <v>0</v>
      </c>
      <c r="AR306" s="18">
        <v>0</v>
      </c>
      <c r="AS306" s="18">
        <v>0</v>
      </c>
      <c r="AT306" s="18">
        <v>0</v>
      </c>
      <c r="AU306" s="18">
        <v>0</v>
      </c>
      <c r="AV306" s="18">
        <v>0</v>
      </c>
      <c r="AW306" s="18">
        <v>0</v>
      </c>
      <c r="AX306" s="18">
        <v>0</v>
      </c>
      <c r="AY306" s="18">
        <v>0</v>
      </c>
      <c r="AZ306" s="18">
        <v>0</v>
      </c>
      <c r="BA306" s="18">
        <v>0</v>
      </c>
      <c r="BB306" s="18">
        <v>0</v>
      </c>
      <c r="BC306" s="18">
        <v>0</v>
      </c>
      <c r="BD306" s="18">
        <v>0</v>
      </c>
      <c r="BE306" s="18">
        <v>0</v>
      </c>
      <c r="BF306" s="18">
        <v>0</v>
      </c>
      <c r="BG306" s="18">
        <v>0</v>
      </c>
      <c r="BH306" s="18">
        <v>0</v>
      </c>
      <c r="BI306" s="18">
        <v>0</v>
      </c>
      <c r="BJ306" s="18">
        <v>0</v>
      </c>
      <c r="BK306" s="18">
        <v>0</v>
      </c>
      <c r="BL306" s="18">
        <v>0</v>
      </c>
      <c r="BM306" s="18">
        <v>0</v>
      </c>
      <c r="BN306" s="18">
        <v>0</v>
      </c>
      <c r="BO306" s="18">
        <v>0</v>
      </c>
      <c r="BP306" s="18">
        <v>0</v>
      </c>
      <c r="BQ306" s="18">
        <v>0</v>
      </c>
      <c r="BR306" s="18">
        <v>0</v>
      </c>
      <c r="BS306" s="18">
        <v>0</v>
      </c>
      <c r="BT306" s="18">
        <v>0</v>
      </c>
      <c r="BU306" s="18">
        <v>0</v>
      </c>
      <c r="BV306" s="18">
        <v>0</v>
      </c>
      <c r="BW306" s="18">
        <v>0</v>
      </c>
      <c r="BX306" s="18">
        <v>0</v>
      </c>
      <c r="BY306" s="18">
        <v>0</v>
      </c>
      <c r="BZ306" s="18">
        <v>0</v>
      </c>
      <c r="CA306" s="18">
        <v>0</v>
      </c>
      <c r="CB306" s="18">
        <v>0</v>
      </c>
      <c r="CC306" s="18">
        <v>0</v>
      </c>
      <c r="CD306" s="18">
        <v>0</v>
      </c>
      <c r="CE306" s="18">
        <v>0</v>
      </c>
      <c r="CF306" s="18">
        <v>0</v>
      </c>
      <c r="CG306" s="18">
        <v>0</v>
      </c>
      <c r="CH306" s="18">
        <v>0</v>
      </c>
      <c r="CI306" s="18">
        <v>0</v>
      </c>
      <c r="CJ306" s="18">
        <v>0</v>
      </c>
      <c r="CK306" s="18">
        <v>0</v>
      </c>
      <c r="CL306" s="18">
        <v>0</v>
      </c>
      <c r="CM306" s="18">
        <v>0</v>
      </c>
      <c r="CN306" s="18">
        <v>0</v>
      </c>
      <c r="CO306" s="18">
        <v>0</v>
      </c>
      <c r="CP306" s="18">
        <v>0</v>
      </c>
      <c r="CQ306" s="18">
        <v>0</v>
      </c>
      <c r="CR306" s="18">
        <v>0</v>
      </c>
      <c r="CS306" s="18">
        <v>0</v>
      </c>
      <c r="CT306" s="18">
        <v>0</v>
      </c>
      <c r="CU306" s="18">
        <v>0</v>
      </c>
      <c r="CV306" s="18">
        <v>0</v>
      </c>
      <c r="CW306" s="18">
        <v>0</v>
      </c>
      <c r="CX306" s="18">
        <v>0</v>
      </c>
      <c r="CY306" s="18">
        <v>0</v>
      </c>
      <c r="CZ306" s="18">
        <v>0</v>
      </c>
      <c r="DA306" s="18">
        <v>0</v>
      </c>
      <c r="DB306" s="18">
        <v>0</v>
      </c>
      <c r="DC306" s="18">
        <v>0</v>
      </c>
      <c r="DD306" s="18">
        <v>0</v>
      </c>
      <c r="DE306" s="18">
        <v>0</v>
      </c>
      <c r="DF306" s="18">
        <v>0</v>
      </c>
      <c r="DG306" s="18">
        <v>0</v>
      </c>
      <c r="DH306" s="18">
        <v>0</v>
      </c>
      <c r="DI306" s="18">
        <v>0</v>
      </c>
      <c r="DJ306" s="18">
        <v>0</v>
      </c>
      <c r="DK306" s="18">
        <v>0</v>
      </c>
      <c r="DL306" s="18">
        <v>0</v>
      </c>
      <c r="DM306" s="18">
        <v>0</v>
      </c>
      <c r="DN306" s="18">
        <v>0</v>
      </c>
      <c r="DO306" s="18">
        <v>0</v>
      </c>
      <c r="DP306" s="18">
        <v>0</v>
      </c>
      <c r="DQ306" s="18">
        <v>0</v>
      </c>
      <c r="DR306" s="18">
        <v>0</v>
      </c>
      <c r="DS306" s="18">
        <v>0</v>
      </c>
      <c r="DT306" s="18">
        <v>0</v>
      </c>
      <c r="DU306" s="18">
        <v>0</v>
      </c>
      <c r="DV306" s="18">
        <v>0</v>
      </c>
      <c r="DW306" s="18">
        <v>0</v>
      </c>
      <c r="DX306" s="18">
        <v>0</v>
      </c>
      <c r="DY306" s="18">
        <v>0</v>
      </c>
      <c r="DZ306" s="18">
        <v>0</v>
      </c>
      <c r="EA306" s="18">
        <v>0</v>
      </c>
      <c r="EB306" s="18">
        <v>0</v>
      </c>
      <c r="EC306" s="18">
        <v>0</v>
      </c>
      <c r="ED306" s="18">
        <v>0</v>
      </c>
      <c r="EE306" s="18">
        <v>0</v>
      </c>
      <c r="EF306" s="18">
        <v>0</v>
      </c>
      <c r="EG306" s="18">
        <v>0</v>
      </c>
      <c r="EH306" s="18">
        <v>0</v>
      </c>
      <c r="EI306" s="18">
        <v>0</v>
      </c>
      <c r="EJ306" s="18">
        <v>0</v>
      </c>
      <c r="EK306" s="18">
        <v>0</v>
      </c>
      <c r="EL306" s="18">
        <v>0</v>
      </c>
      <c r="EM306" s="18">
        <v>0</v>
      </c>
      <c r="EN306" s="18">
        <v>0</v>
      </c>
      <c r="EO306" s="18">
        <v>0</v>
      </c>
      <c r="EP306" s="18">
        <v>0</v>
      </c>
      <c r="EQ306" s="18">
        <v>0</v>
      </c>
      <c r="ER306" s="18">
        <v>0</v>
      </c>
      <c r="ES306" s="18">
        <v>0</v>
      </c>
      <c r="ET306" s="18">
        <v>0</v>
      </c>
      <c r="EU306" s="18">
        <v>0</v>
      </c>
      <c r="EV306" s="18">
        <v>0</v>
      </c>
      <c r="EW306" s="18">
        <v>0</v>
      </c>
      <c r="EX306" s="18">
        <v>0</v>
      </c>
      <c r="EY306" s="18">
        <v>0</v>
      </c>
      <c r="EZ306" s="18">
        <v>0</v>
      </c>
      <c r="FA306" s="18">
        <v>0</v>
      </c>
      <c r="FB306" s="18">
        <v>0</v>
      </c>
      <c r="FC306" s="18">
        <v>0</v>
      </c>
      <c r="FD306" s="18">
        <v>0</v>
      </c>
      <c r="FE306" s="18">
        <v>0</v>
      </c>
      <c r="FF306" s="18">
        <v>0</v>
      </c>
      <c r="FG306" s="18">
        <v>0</v>
      </c>
      <c r="FH306" s="18">
        <v>0</v>
      </c>
      <c r="FI306" s="18">
        <v>0</v>
      </c>
      <c r="FJ306" s="18">
        <v>0</v>
      </c>
      <c r="FK306" s="18">
        <v>0</v>
      </c>
      <c r="FL306" s="18">
        <v>0</v>
      </c>
      <c r="FM306" s="18">
        <v>0</v>
      </c>
      <c r="FN306" s="18">
        <v>0</v>
      </c>
      <c r="FO306" s="18">
        <v>0</v>
      </c>
      <c r="FP306" s="18">
        <v>0</v>
      </c>
      <c r="FQ306" s="18">
        <v>0</v>
      </c>
      <c r="FR306" s="18">
        <v>0</v>
      </c>
      <c r="FS306" s="18">
        <v>0</v>
      </c>
      <c r="FT306" s="18">
        <v>0</v>
      </c>
      <c r="FU306" s="18">
        <v>0</v>
      </c>
      <c r="FV306" s="18">
        <v>0</v>
      </c>
      <c r="FW306" s="18">
        <v>0</v>
      </c>
      <c r="FX306" s="18">
        <v>0</v>
      </c>
      <c r="FY306" s="18">
        <v>0</v>
      </c>
      <c r="FZ306" s="18">
        <v>0</v>
      </c>
      <c r="GA306" s="18">
        <v>0</v>
      </c>
      <c r="GB306" s="18">
        <v>0</v>
      </c>
      <c r="GC306" s="18">
        <v>0</v>
      </c>
      <c r="GD306" s="18">
        <v>0</v>
      </c>
      <c r="GE306" s="18">
        <v>0</v>
      </c>
      <c r="GF306" s="18">
        <v>0</v>
      </c>
      <c r="GG306" s="18">
        <v>0</v>
      </c>
      <c r="GH306" s="18">
        <v>0</v>
      </c>
      <c r="GI306" s="18">
        <v>0</v>
      </c>
      <c r="GJ306" s="18">
        <v>0</v>
      </c>
      <c r="GK306" s="18">
        <v>0</v>
      </c>
      <c r="GL306" s="18">
        <v>0</v>
      </c>
      <c r="GM306" s="18">
        <v>0</v>
      </c>
      <c r="GN306" s="18">
        <v>0</v>
      </c>
      <c r="GO306" s="18">
        <v>0</v>
      </c>
      <c r="GP306" s="18">
        <v>0</v>
      </c>
      <c r="GQ306" s="18">
        <v>0</v>
      </c>
      <c r="GR306" s="18">
        <v>0</v>
      </c>
      <c r="GS306" s="18">
        <v>0</v>
      </c>
      <c r="GT306" s="18">
        <v>0</v>
      </c>
      <c r="GU306" s="18">
        <v>0</v>
      </c>
      <c r="GV306" s="18">
        <v>0</v>
      </c>
      <c r="GW306" s="18">
        <v>0</v>
      </c>
      <c r="GX306" s="18">
        <v>0</v>
      </c>
      <c r="GY306" s="18">
        <v>0</v>
      </c>
      <c r="GZ306" s="18">
        <v>0</v>
      </c>
      <c r="HA306" s="18">
        <v>0</v>
      </c>
      <c r="HB306" s="18">
        <v>0</v>
      </c>
      <c r="HC306" s="18">
        <v>0</v>
      </c>
      <c r="HD306" s="18">
        <v>0</v>
      </c>
      <c r="HE306" s="18">
        <v>0</v>
      </c>
      <c r="HF306" s="18">
        <v>0</v>
      </c>
      <c r="HG306" s="18">
        <v>0</v>
      </c>
      <c r="HH306" s="18">
        <v>0</v>
      </c>
      <c r="HI306" s="18">
        <v>0</v>
      </c>
      <c r="HJ306" s="18">
        <v>0</v>
      </c>
      <c r="HK306" s="18">
        <v>0</v>
      </c>
      <c r="HL306" s="18">
        <v>0</v>
      </c>
      <c r="HM306" s="18">
        <v>0</v>
      </c>
      <c r="HN306" s="18">
        <v>0</v>
      </c>
      <c r="HO306" s="18">
        <v>0</v>
      </c>
      <c r="HP306" s="18">
        <v>0</v>
      </c>
      <c r="HQ306" s="18">
        <v>0</v>
      </c>
      <c r="HR306" s="18">
        <v>0</v>
      </c>
      <c r="HS306" s="18">
        <v>0</v>
      </c>
      <c r="HT306" s="18">
        <v>0</v>
      </c>
      <c r="HU306" s="18">
        <v>0</v>
      </c>
      <c r="HV306" s="18">
        <v>0</v>
      </c>
      <c r="HW306" s="18">
        <v>0</v>
      </c>
      <c r="HX306" s="18">
        <v>0</v>
      </c>
      <c r="HY306" s="18">
        <v>0</v>
      </c>
      <c r="HZ306" s="18">
        <v>0</v>
      </c>
      <c r="IA306" s="18">
        <v>0</v>
      </c>
      <c r="IB306" s="18">
        <v>0</v>
      </c>
      <c r="IC306" s="18">
        <v>0</v>
      </c>
      <c r="ID306" s="18">
        <v>0</v>
      </c>
      <c r="IE306" s="18">
        <v>0</v>
      </c>
      <c r="IF306" s="18">
        <v>0</v>
      </c>
      <c r="IG306" s="18">
        <v>0</v>
      </c>
      <c r="IH306" s="18">
        <v>0</v>
      </c>
      <c r="II306" s="18">
        <v>0</v>
      </c>
      <c r="IJ306" s="18">
        <v>0</v>
      </c>
      <c r="IK306" s="18">
        <v>0</v>
      </c>
      <c r="IL306" s="18">
        <v>0</v>
      </c>
      <c r="IM306" s="18">
        <v>0</v>
      </c>
      <c r="IN306" s="18">
        <v>0</v>
      </c>
      <c r="IO306" s="18">
        <v>0</v>
      </c>
      <c r="IP306" s="18">
        <v>0</v>
      </c>
      <c r="IQ306" s="18">
        <v>0</v>
      </c>
      <c r="IR306" s="18">
        <v>0</v>
      </c>
      <c r="IS306" s="18">
        <v>0</v>
      </c>
      <c r="IT306" s="18">
        <v>0</v>
      </c>
      <c r="IU306" s="18">
        <v>0</v>
      </c>
      <c r="IV306" s="18">
        <v>0</v>
      </c>
      <c r="IW306" s="18">
        <v>0</v>
      </c>
      <c r="IX306" s="18">
        <v>0</v>
      </c>
      <c r="IY306" s="18">
        <v>0</v>
      </c>
      <c r="IZ306" s="18">
        <v>0</v>
      </c>
      <c r="JA306" s="18">
        <v>0</v>
      </c>
      <c r="JB306" s="18">
        <v>0</v>
      </c>
      <c r="JC306" s="18">
        <v>0</v>
      </c>
      <c r="JD306" s="18">
        <v>0</v>
      </c>
      <c r="JE306" s="18">
        <v>0</v>
      </c>
      <c r="JF306" s="18">
        <v>0</v>
      </c>
      <c r="JG306" s="18">
        <v>0</v>
      </c>
      <c r="JH306" s="18">
        <v>0</v>
      </c>
      <c r="JI306" s="18">
        <v>0</v>
      </c>
      <c r="JJ306" s="18">
        <v>0</v>
      </c>
      <c r="JK306" s="18">
        <v>0</v>
      </c>
      <c r="JL306" s="18">
        <v>0</v>
      </c>
      <c r="JM306" s="18">
        <v>0</v>
      </c>
      <c r="JN306" s="18">
        <v>0</v>
      </c>
      <c r="JO306" s="18">
        <v>0</v>
      </c>
      <c r="JP306" s="18">
        <v>0</v>
      </c>
      <c r="JQ306" s="18">
        <v>0</v>
      </c>
      <c r="JR306" s="18">
        <v>0</v>
      </c>
      <c r="JS306" s="18">
        <v>0</v>
      </c>
      <c r="JT306" s="18">
        <v>0</v>
      </c>
      <c r="JU306" s="18">
        <v>0</v>
      </c>
      <c r="JV306" s="18">
        <v>0</v>
      </c>
      <c r="JW306" s="18">
        <v>0</v>
      </c>
      <c r="JX306" s="18">
        <v>0</v>
      </c>
      <c r="JY306" s="18">
        <v>0</v>
      </c>
      <c r="JZ306" s="18">
        <v>0</v>
      </c>
      <c r="KA306" s="18">
        <v>0</v>
      </c>
      <c r="KB306" s="18">
        <v>0</v>
      </c>
      <c r="KC306" s="18">
        <v>0</v>
      </c>
      <c r="KD306" s="18">
        <v>0</v>
      </c>
      <c r="KE306" s="18">
        <v>0</v>
      </c>
      <c r="KF306" s="18">
        <v>0</v>
      </c>
      <c r="KG306" s="18">
        <v>0</v>
      </c>
      <c r="KH306" s="18">
        <v>0</v>
      </c>
      <c r="KI306" s="18">
        <v>0</v>
      </c>
      <c r="KJ306" s="18">
        <v>0</v>
      </c>
      <c r="KK306" s="18">
        <v>0</v>
      </c>
      <c r="KL306" s="18">
        <v>0</v>
      </c>
      <c r="KM306" s="18">
        <v>0</v>
      </c>
      <c r="KN306" s="18">
        <v>0</v>
      </c>
      <c r="KO306" s="18">
        <v>0</v>
      </c>
      <c r="KP306" s="18">
        <v>0</v>
      </c>
      <c r="KQ306" s="18">
        <v>0</v>
      </c>
      <c r="KR306" s="18">
        <v>0</v>
      </c>
      <c r="KS306" s="18">
        <v>0</v>
      </c>
      <c r="KT306" s="18">
        <v>0</v>
      </c>
      <c r="KU306" s="18">
        <v>0</v>
      </c>
      <c r="KV306" s="18">
        <v>0</v>
      </c>
      <c r="KW306" s="18">
        <v>0</v>
      </c>
      <c r="KX306" s="18">
        <v>0</v>
      </c>
      <c r="KY306" s="18">
        <v>0</v>
      </c>
      <c r="KZ306" s="18">
        <v>0</v>
      </c>
      <c r="LA306" s="18">
        <v>0</v>
      </c>
      <c r="LB306" s="18">
        <v>0</v>
      </c>
      <c r="LC306" s="18">
        <v>0</v>
      </c>
      <c r="LD306" s="18">
        <v>0</v>
      </c>
      <c r="LE306" s="18">
        <v>0</v>
      </c>
      <c r="LF306" s="18">
        <v>0</v>
      </c>
      <c r="LG306" s="18">
        <v>0</v>
      </c>
      <c r="LH306" s="18">
        <v>0</v>
      </c>
      <c r="LI306" s="18">
        <v>0</v>
      </c>
      <c r="LJ306" s="18">
        <v>0</v>
      </c>
      <c r="LK306" s="18">
        <v>0</v>
      </c>
      <c r="LL306" s="18">
        <v>0</v>
      </c>
      <c r="LM306" s="18">
        <v>0</v>
      </c>
      <c r="LN306" s="18">
        <v>0</v>
      </c>
      <c r="LO306" s="18">
        <v>0</v>
      </c>
      <c r="LP306" s="18">
        <v>0</v>
      </c>
      <c r="LQ306" s="18">
        <v>0</v>
      </c>
      <c r="LR306" s="18">
        <v>0</v>
      </c>
      <c r="LS306" s="18">
        <v>0</v>
      </c>
      <c r="LT306" s="18">
        <v>0</v>
      </c>
      <c r="LU306" s="18">
        <v>0</v>
      </c>
      <c r="LV306" s="18">
        <v>0</v>
      </c>
      <c r="LW306" s="18">
        <v>0</v>
      </c>
      <c r="LX306" s="18">
        <v>0</v>
      </c>
      <c r="LY306" s="18">
        <v>0</v>
      </c>
      <c r="LZ306" s="18">
        <v>0</v>
      </c>
      <c r="MA306" s="18">
        <v>0</v>
      </c>
      <c r="MB306" s="18">
        <v>0</v>
      </c>
      <c r="MC306" s="18">
        <v>0</v>
      </c>
      <c r="MD306" s="18">
        <v>0</v>
      </c>
      <c r="ME306" s="18">
        <v>0</v>
      </c>
      <c r="MF306" s="18">
        <v>0</v>
      </c>
      <c r="MG306" s="18">
        <v>0</v>
      </c>
      <c r="MH306" s="18">
        <v>0</v>
      </c>
      <c r="MI306" s="18">
        <v>0</v>
      </c>
      <c r="MJ306" s="18">
        <v>0</v>
      </c>
      <c r="MK306" s="18">
        <v>0</v>
      </c>
      <c r="ML306" s="18">
        <v>0</v>
      </c>
      <c r="MM306" s="18">
        <v>0</v>
      </c>
      <c r="MN306" s="18">
        <v>0</v>
      </c>
      <c r="MO306" s="18">
        <v>0</v>
      </c>
      <c r="MP306" s="18">
        <v>0</v>
      </c>
      <c r="MQ306" s="18">
        <v>0</v>
      </c>
      <c r="MR306" s="18">
        <v>0</v>
      </c>
      <c r="MS306" s="18">
        <v>0</v>
      </c>
      <c r="MT306" s="18">
        <v>0</v>
      </c>
      <c r="MU306" s="18">
        <v>0</v>
      </c>
      <c r="MV306" s="18">
        <v>0</v>
      </c>
      <c r="MW306" s="18">
        <v>0</v>
      </c>
      <c r="MX306" s="18">
        <v>0</v>
      </c>
      <c r="MY306" s="18">
        <v>0</v>
      </c>
      <c r="MZ306" s="18">
        <v>0</v>
      </c>
      <c r="NA306" s="18">
        <v>0</v>
      </c>
      <c r="NB306" s="18">
        <v>0</v>
      </c>
      <c r="NC306" s="18">
        <v>0</v>
      </c>
      <c r="ND306" s="18">
        <v>0</v>
      </c>
      <c r="NE306" s="18">
        <v>0</v>
      </c>
      <c r="NF306" s="18">
        <v>0</v>
      </c>
      <c r="NG306" s="18">
        <v>0</v>
      </c>
      <c r="NH306" s="18">
        <v>0</v>
      </c>
      <c r="NI306" s="18">
        <v>0</v>
      </c>
      <c r="NJ306" s="18">
        <v>0</v>
      </c>
      <c r="NK306" s="18">
        <v>0</v>
      </c>
      <c r="NL306" s="18">
        <v>0</v>
      </c>
      <c r="NM306" s="18">
        <v>0</v>
      </c>
      <c r="NN306" s="18">
        <v>0</v>
      </c>
      <c r="NO306" s="18">
        <v>0</v>
      </c>
      <c r="NP306" s="18">
        <v>0</v>
      </c>
      <c r="NQ306" s="18">
        <v>0</v>
      </c>
      <c r="NR306" s="18">
        <v>0</v>
      </c>
      <c r="NS306" s="18">
        <v>0</v>
      </c>
      <c r="NT306" s="18">
        <v>0</v>
      </c>
      <c r="NU306" s="18">
        <v>0</v>
      </c>
      <c r="NV306" s="18">
        <v>0</v>
      </c>
      <c r="NW306" s="18">
        <v>0</v>
      </c>
      <c r="NX306" s="18">
        <v>0</v>
      </c>
      <c r="NY306" s="18">
        <v>0</v>
      </c>
      <c r="NZ306" s="18">
        <v>0</v>
      </c>
      <c r="OA306" s="18">
        <v>0</v>
      </c>
      <c r="OB306" s="18">
        <v>0</v>
      </c>
      <c r="OC306" s="18">
        <v>0</v>
      </c>
      <c r="OD306" s="18">
        <v>0</v>
      </c>
      <c r="OE306" s="18">
        <v>0</v>
      </c>
      <c r="OF306" s="18">
        <v>0</v>
      </c>
      <c r="OG306" s="18">
        <v>0</v>
      </c>
      <c r="OH306" s="18">
        <v>0</v>
      </c>
      <c r="OI306" s="18">
        <v>0</v>
      </c>
      <c r="OJ306" s="18">
        <v>0</v>
      </c>
      <c r="OK306" s="18">
        <v>0</v>
      </c>
      <c r="OL306" s="18">
        <v>0</v>
      </c>
      <c r="OM306" s="18">
        <v>0</v>
      </c>
      <c r="ON306" s="18">
        <v>0</v>
      </c>
      <c r="OO306" s="18">
        <v>0</v>
      </c>
      <c r="OP306" s="18">
        <v>0</v>
      </c>
      <c r="OQ306" s="18">
        <v>0</v>
      </c>
      <c r="OR306" s="18">
        <v>0</v>
      </c>
      <c r="OS306" s="18">
        <v>0</v>
      </c>
      <c r="OT306" s="18">
        <v>0</v>
      </c>
      <c r="OU306" s="18">
        <v>0</v>
      </c>
      <c r="OV306" s="18">
        <v>0</v>
      </c>
      <c r="OW306" s="18">
        <v>0</v>
      </c>
      <c r="OX306" s="18">
        <v>0</v>
      </c>
      <c r="OY306" s="18">
        <v>0</v>
      </c>
      <c r="OZ306" s="18">
        <v>0</v>
      </c>
      <c r="PA306" s="18">
        <v>0</v>
      </c>
      <c r="PB306" s="18">
        <v>0</v>
      </c>
      <c r="PC306" s="18">
        <v>0</v>
      </c>
      <c r="PD306" s="18">
        <v>0</v>
      </c>
      <c r="PE306" s="18">
        <v>0</v>
      </c>
      <c r="PF306" s="18">
        <v>0</v>
      </c>
      <c r="PG306" s="18">
        <v>0</v>
      </c>
      <c r="PH306" s="18">
        <v>0</v>
      </c>
      <c r="PI306" s="18">
        <v>0</v>
      </c>
      <c r="PJ306" s="18">
        <v>0</v>
      </c>
      <c r="PK306" s="18">
        <v>0</v>
      </c>
      <c r="PL306" s="18">
        <v>0</v>
      </c>
      <c r="PM306" s="18">
        <v>0</v>
      </c>
      <c r="PN306" s="18">
        <v>0</v>
      </c>
      <c r="PO306" s="18">
        <v>0</v>
      </c>
      <c r="PP306" s="18">
        <v>0</v>
      </c>
      <c r="PQ306" s="18">
        <v>0</v>
      </c>
      <c r="PR306" s="18">
        <v>0</v>
      </c>
      <c r="PS306" s="18">
        <v>0</v>
      </c>
      <c r="PT306" s="18">
        <v>0</v>
      </c>
      <c r="PU306" s="18">
        <v>0</v>
      </c>
      <c r="PV306" s="18">
        <v>0</v>
      </c>
      <c r="PW306" s="18">
        <v>0</v>
      </c>
      <c r="PX306" s="18">
        <v>0</v>
      </c>
      <c r="PY306" s="18">
        <v>0</v>
      </c>
      <c r="PZ306" s="18">
        <v>0</v>
      </c>
      <c r="QA306" s="18">
        <v>0</v>
      </c>
      <c r="QB306" s="18">
        <v>0</v>
      </c>
      <c r="QC306" s="18">
        <v>0</v>
      </c>
      <c r="QD306" s="18">
        <v>0</v>
      </c>
      <c r="QE306" s="18">
        <v>0</v>
      </c>
      <c r="QF306" s="18">
        <v>0</v>
      </c>
      <c r="QG306" s="18">
        <v>0</v>
      </c>
      <c r="QH306" s="18">
        <v>0</v>
      </c>
      <c r="QI306" s="18">
        <v>0</v>
      </c>
      <c r="QJ306" s="18">
        <v>0</v>
      </c>
      <c r="QK306" s="18">
        <v>0</v>
      </c>
      <c r="QL306" s="18">
        <v>0</v>
      </c>
      <c r="QM306" s="18">
        <v>0</v>
      </c>
      <c r="QN306" s="18">
        <v>0</v>
      </c>
      <c r="QO306" s="18">
        <v>0</v>
      </c>
      <c r="QP306" s="18">
        <v>0</v>
      </c>
      <c r="QQ306" s="18">
        <v>0</v>
      </c>
      <c r="QR306" s="18">
        <v>0</v>
      </c>
      <c r="QS306" s="18">
        <v>0</v>
      </c>
      <c r="QT306" s="18">
        <v>0</v>
      </c>
      <c r="QU306" s="18">
        <v>0</v>
      </c>
      <c r="QV306" s="18">
        <v>0</v>
      </c>
      <c r="QW306" s="18">
        <v>0</v>
      </c>
      <c r="QX306" s="18">
        <v>0</v>
      </c>
      <c r="QY306" s="18">
        <v>0</v>
      </c>
      <c r="QZ306" s="18">
        <v>0</v>
      </c>
      <c r="RA306" s="18">
        <v>0</v>
      </c>
      <c r="RB306" s="18">
        <v>0</v>
      </c>
      <c r="RC306" s="18">
        <v>0</v>
      </c>
      <c r="RD306" s="18">
        <v>0</v>
      </c>
      <c r="RE306" s="18">
        <v>0</v>
      </c>
      <c r="RF306" s="18">
        <v>0</v>
      </c>
      <c r="RG306" s="18">
        <v>0</v>
      </c>
      <c r="RH306" s="18">
        <v>0</v>
      </c>
      <c r="RI306" s="18">
        <v>0</v>
      </c>
      <c r="RJ306" s="18">
        <v>0</v>
      </c>
      <c r="RK306" s="18">
        <v>0</v>
      </c>
      <c r="RL306" s="18">
        <v>0</v>
      </c>
      <c r="RM306" s="18">
        <v>0</v>
      </c>
      <c r="RN306" s="18">
        <v>0</v>
      </c>
      <c r="RO306" s="18">
        <v>0</v>
      </c>
      <c r="RP306" s="18">
        <v>0</v>
      </c>
      <c r="RQ306" s="18">
        <v>0</v>
      </c>
      <c r="RR306" s="18">
        <v>0</v>
      </c>
      <c r="RS306" s="18">
        <v>0</v>
      </c>
      <c r="RT306" s="18">
        <v>0</v>
      </c>
      <c r="RU306" s="18">
        <v>0</v>
      </c>
      <c r="RV306" s="18">
        <v>0</v>
      </c>
      <c r="RW306" s="18">
        <v>0</v>
      </c>
      <c r="RX306" s="18">
        <v>0</v>
      </c>
      <c r="RY306" s="18">
        <v>0</v>
      </c>
      <c r="RZ306" s="18">
        <v>0</v>
      </c>
      <c r="SA306" s="18">
        <v>0</v>
      </c>
      <c r="SB306" s="18">
        <v>0</v>
      </c>
      <c r="SC306" s="18">
        <v>0</v>
      </c>
      <c r="SD306" s="18">
        <v>0</v>
      </c>
      <c r="SE306" s="18">
        <v>0</v>
      </c>
      <c r="SF306" s="18">
        <v>0</v>
      </c>
      <c r="SG306" s="18">
        <v>0</v>
      </c>
      <c r="SH306" s="18">
        <v>0</v>
      </c>
      <c r="SI306" s="18">
        <v>0</v>
      </c>
      <c r="SJ306" s="18">
        <v>0</v>
      </c>
      <c r="SK306" s="18">
        <v>0</v>
      </c>
      <c r="SL306" s="18">
        <v>0</v>
      </c>
      <c r="SM306" s="18">
        <v>0</v>
      </c>
      <c r="SN306" s="18">
        <v>0</v>
      </c>
      <c r="SO306" s="18">
        <v>0</v>
      </c>
      <c r="SP306" s="18">
        <v>0</v>
      </c>
      <c r="SQ306" s="18">
        <v>0</v>
      </c>
      <c r="SR306" s="18">
        <v>0</v>
      </c>
      <c r="SS306" s="18">
        <v>0</v>
      </c>
      <c r="ST306" s="18">
        <v>0</v>
      </c>
      <c r="SU306" s="18">
        <v>0</v>
      </c>
      <c r="SV306" s="18">
        <v>0</v>
      </c>
      <c r="SW306" s="18">
        <v>0</v>
      </c>
      <c r="SX306" s="18">
        <v>0</v>
      </c>
      <c r="SY306" s="18">
        <v>0</v>
      </c>
      <c r="SZ306" s="18">
        <v>0</v>
      </c>
      <c r="TA306" s="18">
        <v>0</v>
      </c>
      <c r="TB306" s="18">
        <v>0</v>
      </c>
      <c r="TC306" s="18">
        <v>0</v>
      </c>
      <c r="TD306" s="18">
        <v>0</v>
      </c>
      <c r="TE306" s="18">
        <v>0</v>
      </c>
      <c r="TF306" s="18">
        <v>0</v>
      </c>
      <c r="TG306" s="18">
        <v>0</v>
      </c>
      <c r="TH306" s="18">
        <v>0</v>
      </c>
      <c r="TI306" s="18">
        <v>0</v>
      </c>
      <c r="TJ306" s="18">
        <v>0</v>
      </c>
      <c r="TK306" s="18">
        <v>0</v>
      </c>
      <c r="TL306" s="18">
        <v>0</v>
      </c>
      <c r="TM306" s="18">
        <v>0</v>
      </c>
      <c r="TN306" s="18">
        <v>0</v>
      </c>
      <c r="TO306" s="18">
        <v>0</v>
      </c>
      <c r="TP306" s="18">
        <v>0</v>
      </c>
      <c r="TQ306" s="18">
        <v>0</v>
      </c>
      <c r="TR306" s="18">
        <v>0</v>
      </c>
      <c r="TS306" s="18">
        <v>0</v>
      </c>
      <c r="TT306" s="18">
        <v>0</v>
      </c>
      <c r="TU306" s="18">
        <v>0</v>
      </c>
      <c r="TV306" s="18">
        <v>0</v>
      </c>
      <c r="TW306" s="18">
        <v>0</v>
      </c>
      <c r="TX306" s="18">
        <v>0</v>
      </c>
      <c r="TY306" s="18">
        <v>0</v>
      </c>
      <c r="TZ306" s="18">
        <v>0</v>
      </c>
      <c r="UA306" s="18">
        <v>0</v>
      </c>
      <c r="UB306" s="18">
        <v>0</v>
      </c>
      <c r="UC306" s="18">
        <v>0</v>
      </c>
      <c r="UD306" s="18">
        <v>0</v>
      </c>
      <c r="UE306" s="18">
        <v>0</v>
      </c>
      <c r="UF306" s="18">
        <v>0</v>
      </c>
      <c r="UG306" s="18">
        <v>0</v>
      </c>
      <c r="UH306" s="18">
        <v>0</v>
      </c>
      <c r="UI306" s="18">
        <v>0</v>
      </c>
      <c r="UJ306" s="18">
        <v>0</v>
      </c>
      <c r="UK306" s="18">
        <v>0</v>
      </c>
      <c r="UL306" s="18">
        <v>0</v>
      </c>
      <c r="UM306" s="18">
        <v>0</v>
      </c>
      <c r="UN306" s="18">
        <v>0</v>
      </c>
      <c r="UO306" s="18">
        <v>0</v>
      </c>
      <c r="UP306" s="18">
        <v>0</v>
      </c>
      <c r="UQ306" s="18">
        <v>0</v>
      </c>
      <c r="UR306" s="18">
        <v>0</v>
      </c>
      <c r="US306" s="18">
        <v>0</v>
      </c>
      <c r="UT306" s="18">
        <v>0</v>
      </c>
      <c r="UU306" s="18">
        <v>0</v>
      </c>
      <c r="UV306" s="18">
        <v>0</v>
      </c>
      <c r="UW306" s="18">
        <v>0</v>
      </c>
      <c r="UX306" s="18">
        <v>0</v>
      </c>
      <c r="UY306" s="18">
        <v>0</v>
      </c>
      <c r="UZ306" s="18">
        <v>0</v>
      </c>
      <c r="VA306" s="18">
        <v>0</v>
      </c>
      <c r="VB306" s="18">
        <v>0</v>
      </c>
      <c r="VC306" s="18">
        <v>0</v>
      </c>
      <c r="VD306" s="18">
        <v>0</v>
      </c>
      <c r="VE306" s="18">
        <v>0</v>
      </c>
      <c r="VF306" s="18">
        <v>0</v>
      </c>
      <c r="VG306" s="18">
        <v>0</v>
      </c>
      <c r="VH306" s="18">
        <v>0</v>
      </c>
      <c r="VI306" s="18">
        <v>0</v>
      </c>
      <c r="VJ306" s="18">
        <v>0</v>
      </c>
      <c r="VK306" s="18">
        <v>0</v>
      </c>
      <c r="VL306" s="18">
        <v>0</v>
      </c>
      <c r="VM306" s="18">
        <v>0</v>
      </c>
      <c r="VN306" s="18">
        <v>0</v>
      </c>
      <c r="VO306" s="18">
        <v>0</v>
      </c>
      <c r="VP306" s="18">
        <v>0</v>
      </c>
      <c r="VQ306" s="18">
        <v>0</v>
      </c>
      <c r="VR306" s="18">
        <v>0</v>
      </c>
      <c r="VS306" s="18">
        <v>0</v>
      </c>
      <c r="VT306" s="18">
        <v>0</v>
      </c>
      <c r="VU306" s="18">
        <v>0</v>
      </c>
      <c r="VV306" s="18">
        <v>0</v>
      </c>
      <c r="VW306" s="18">
        <v>0</v>
      </c>
      <c r="VX306" s="18">
        <v>0</v>
      </c>
      <c r="VY306" s="18">
        <v>0</v>
      </c>
      <c r="VZ306" s="18">
        <v>0</v>
      </c>
      <c r="WA306" s="18">
        <v>0</v>
      </c>
      <c r="WB306" s="18">
        <v>0</v>
      </c>
      <c r="WC306" s="18">
        <v>0</v>
      </c>
      <c r="WD306" s="18">
        <v>0</v>
      </c>
      <c r="WE306" s="18">
        <v>0</v>
      </c>
      <c r="WF306" s="18">
        <v>0</v>
      </c>
      <c r="WG306" s="18">
        <v>0</v>
      </c>
      <c r="WH306" s="18">
        <v>0</v>
      </c>
      <c r="WI306" s="18">
        <v>0</v>
      </c>
      <c r="WJ306" s="18">
        <v>0</v>
      </c>
      <c r="WK306" s="18">
        <v>0</v>
      </c>
      <c r="WL306" s="18">
        <v>0</v>
      </c>
      <c r="WM306" s="18">
        <v>0</v>
      </c>
      <c r="WN306" s="18">
        <v>0</v>
      </c>
      <c r="WO306" s="18">
        <v>0</v>
      </c>
      <c r="WP306" s="18">
        <v>0</v>
      </c>
      <c r="WQ306" s="18">
        <v>0</v>
      </c>
      <c r="WR306" s="18">
        <v>0</v>
      </c>
      <c r="WS306" s="18">
        <v>0</v>
      </c>
      <c r="WT306" s="18">
        <v>0</v>
      </c>
      <c r="WU306" s="18">
        <v>0</v>
      </c>
      <c r="WV306" s="18">
        <v>0</v>
      </c>
      <c r="WW306" s="18">
        <v>0</v>
      </c>
      <c r="WX306" s="18">
        <v>0</v>
      </c>
      <c r="WY306" s="18">
        <v>0</v>
      </c>
      <c r="WZ306" s="18">
        <v>0</v>
      </c>
      <c r="XA306" s="18">
        <v>0</v>
      </c>
      <c r="XB306" s="18">
        <v>0</v>
      </c>
      <c r="XC306" s="18">
        <v>0</v>
      </c>
      <c r="XD306" s="18">
        <v>0</v>
      </c>
      <c r="XE306" s="18">
        <v>0</v>
      </c>
      <c r="XF306" s="18">
        <v>0</v>
      </c>
      <c r="XG306" s="18">
        <v>0</v>
      </c>
      <c r="XH306" s="18">
        <v>0</v>
      </c>
      <c r="XI306" s="18">
        <v>0</v>
      </c>
      <c r="XJ306" s="18">
        <v>0</v>
      </c>
      <c r="XK306" s="18">
        <v>0</v>
      </c>
      <c r="XL306" s="18">
        <v>0</v>
      </c>
      <c r="XM306" s="18">
        <v>0</v>
      </c>
      <c r="XN306" s="18">
        <v>0</v>
      </c>
      <c r="XO306" s="18">
        <v>0</v>
      </c>
      <c r="XP306" s="18">
        <v>0</v>
      </c>
      <c r="XQ306" s="18">
        <v>0</v>
      </c>
      <c r="XR306" s="18">
        <v>0</v>
      </c>
      <c r="XS306" s="18">
        <v>0</v>
      </c>
      <c r="XT306" s="18">
        <v>0</v>
      </c>
      <c r="XU306" s="18">
        <v>0</v>
      </c>
      <c r="XV306" s="18">
        <v>0</v>
      </c>
      <c r="XW306" s="18">
        <v>0</v>
      </c>
      <c r="XX306" s="18">
        <v>0</v>
      </c>
      <c r="XY306" s="18">
        <v>0</v>
      </c>
      <c r="XZ306" s="18">
        <v>0</v>
      </c>
      <c r="YA306" s="18">
        <v>0</v>
      </c>
      <c r="YB306" s="18">
        <v>0</v>
      </c>
      <c r="YC306" s="18">
        <v>0</v>
      </c>
      <c r="YD306" s="18">
        <v>0</v>
      </c>
      <c r="YE306" s="18">
        <v>0</v>
      </c>
      <c r="YF306" s="18">
        <v>0</v>
      </c>
      <c r="YG306" s="18">
        <v>0</v>
      </c>
      <c r="YH306" s="18">
        <v>0</v>
      </c>
      <c r="YI306" s="18">
        <v>0</v>
      </c>
      <c r="YJ306" s="18">
        <v>0</v>
      </c>
      <c r="YK306" s="18">
        <v>0</v>
      </c>
      <c r="YL306" s="18">
        <v>0</v>
      </c>
      <c r="YM306" s="18">
        <v>0</v>
      </c>
      <c r="YN306" s="18">
        <v>0</v>
      </c>
      <c r="YO306" s="18">
        <v>0</v>
      </c>
      <c r="YP306" s="18">
        <v>0</v>
      </c>
      <c r="YQ306" s="18">
        <v>0</v>
      </c>
      <c r="YR306" s="18">
        <v>0</v>
      </c>
      <c r="YS306" s="18">
        <v>0</v>
      </c>
      <c r="YT306" s="18">
        <v>0</v>
      </c>
      <c r="YU306" s="18">
        <v>0</v>
      </c>
      <c r="YV306" s="18">
        <v>0</v>
      </c>
      <c r="YW306" s="18">
        <v>0</v>
      </c>
      <c r="YX306" s="18">
        <v>0</v>
      </c>
      <c r="YY306" s="18">
        <v>0</v>
      </c>
      <c r="YZ306" s="18">
        <v>0</v>
      </c>
      <c r="ZA306" s="18">
        <v>0</v>
      </c>
      <c r="ZB306" s="18">
        <v>0</v>
      </c>
      <c r="ZC306" s="18">
        <v>0</v>
      </c>
      <c r="ZD306" s="18">
        <v>0</v>
      </c>
      <c r="ZE306" s="18">
        <v>0</v>
      </c>
      <c r="ZF306" s="18">
        <v>0</v>
      </c>
      <c r="ZG306" s="18">
        <v>0</v>
      </c>
      <c r="ZH306" s="18">
        <v>0</v>
      </c>
      <c r="ZI306" s="18">
        <v>0</v>
      </c>
      <c r="ZJ306" s="18">
        <v>0</v>
      </c>
      <c r="ZK306" s="18">
        <v>0</v>
      </c>
      <c r="ZL306" s="18">
        <v>0</v>
      </c>
      <c r="ZM306" s="18">
        <v>0</v>
      </c>
      <c r="ZN306" s="18">
        <v>0</v>
      </c>
      <c r="ZO306" s="18">
        <v>0</v>
      </c>
      <c r="ZP306" s="18">
        <v>0</v>
      </c>
      <c r="ZQ306" s="18">
        <v>0</v>
      </c>
      <c r="ZR306" s="18">
        <v>0</v>
      </c>
      <c r="ZS306" s="18">
        <v>0</v>
      </c>
      <c r="ZT306" s="18">
        <v>0</v>
      </c>
      <c r="ZU306" s="18">
        <v>0</v>
      </c>
      <c r="ZV306" s="18">
        <v>0</v>
      </c>
      <c r="ZW306" s="18">
        <v>0</v>
      </c>
      <c r="ZX306" s="18">
        <v>0</v>
      </c>
      <c r="ZY306" s="18">
        <v>0</v>
      </c>
      <c r="ZZ306" s="18">
        <v>0</v>
      </c>
      <c r="AAA306" s="18">
        <v>0</v>
      </c>
      <c r="AAB306" s="18">
        <v>0</v>
      </c>
      <c r="AAC306" s="18">
        <v>0</v>
      </c>
      <c r="AAD306" s="18">
        <v>0</v>
      </c>
      <c r="AAE306" s="18">
        <v>0</v>
      </c>
      <c r="AAF306" s="18">
        <v>0</v>
      </c>
      <c r="AAG306" s="18">
        <v>0</v>
      </c>
      <c r="AAH306" s="18">
        <v>0</v>
      </c>
      <c r="AAI306" s="18">
        <v>0</v>
      </c>
      <c r="AAJ306" s="18">
        <v>0</v>
      </c>
      <c r="AAK306" s="18">
        <v>0</v>
      </c>
      <c r="AAL306" s="18">
        <v>0</v>
      </c>
      <c r="AAM306" s="18">
        <v>0</v>
      </c>
      <c r="AAN306" s="18">
        <v>0</v>
      </c>
      <c r="AAO306" s="18">
        <v>0</v>
      </c>
      <c r="AAP306" s="18">
        <v>0</v>
      </c>
      <c r="AAQ306" s="18">
        <v>0</v>
      </c>
      <c r="AAR306" s="18">
        <v>0</v>
      </c>
      <c r="AAS306" s="18">
        <v>0</v>
      </c>
      <c r="AAT306" s="18">
        <v>0</v>
      </c>
      <c r="AAU306" s="18">
        <v>0</v>
      </c>
      <c r="AAV306" s="18">
        <v>0</v>
      </c>
      <c r="AAW306" s="18">
        <v>0</v>
      </c>
      <c r="AAX306" s="18">
        <v>0</v>
      </c>
      <c r="AAY306" s="18">
        <v>0</v>
      </c>
      <c r="AAZ306" s="18">
        <v>0</v>
      </c>
      <c r="ABA306" s="18">
        <v>0</v>
      </c>
      <c r="ABB306" s="18">
        <v>0</v>
      </c>
      <c r="ABC306" s="18">
        <v>0</v>
      </c>
      <c r="ABD306" s="18">
        <v>0</v>
      </c>
      <c r="ABE306" s="18">
        <v>0</v>
      </c>
      <c r="ABF306" s="18">
        <v>0</v>
      </c>
      <c r="ABG306" s="18">
        <v>0</v>
      </c>
      <c r="ABH306" s="18">
        <v>0</v>
      </c>
      <c r="ABI306" s="18">
        <v>0</v>
      </c>
      <c r="ABJ306" s="18">
        <v>0</v>
      </c>
      <c r="ABK306" s="18">
        <v>0</v>
      </c>
      <c r="ABL306" s="18">
        <v>0</v>
      </c>
      <c r="ABM306" s="18">
        <v>0</v>
      </c>
      <c r="ABN306" s="18">
        <v>0</v>
      </c>
      <c r="ABO306" s="18">
        <v>0</v>
      </c>
      <c r="ABP306" s="18">
        <v>0</v>
      </c>
      <c r="ABQ306" s="18">
        <v>0</v>
      </c>
      <c r="ABR306" s="18">
        <v>0</v>
      </c>
      <c r="ABS306" s="18">
        <v>0</v>
      </c>
      <c r="ABT306" s="18">
        <v>0</v>
      </c>
      <c r="ABU306" s="18">
        <v>0</v>
      </c>
      <c r="ABV306" s="18">
        <v>0</v>
      </c>
      <c r="ABW306" s="18">
        <v>0</v>
      </c>
      <c r="ABX306" s="18">
        <v>0</v>
      </c>
      <c r="ABY306" s="18">
        <v>0</v>
      </c>
      <c r="ABZ306" s="18">
        <v>0</v>
      </c>
      <c r="ACA306" s="18">
        <v>0</v>
      </c>
      <c r="ACB306" s="18">
        <v>0</v>
      </c>
      <c r="ACC306" s="18">
        <v>0</v>
      </c>
      <c r="ACD306" s="18">
        <v>0</v>
      </c>
      <c r="ACE306" s="18">
        <v>0</v>
      </c>
      <c r="ACF306" s="18">
        <v>0</v>
      </c>
      <c r="ACG306" s="18">
        <v>0</v>
      </c>
      <c r="ACH306" s="18">
        <v>0</v>
      </c>
      <c r="ACI306" s="18">
        <v>0</v>
      </c>
      <c r="ACJ306" s="18">
        <v>0</v>
      </c>
      <c r="ACK306" s="18">
        <v>0</v>
      </c>
      <c r="ACL306" s="18">
        <v>0</v>
      </c>
      <c r="ACM306" s="18">
        <v>0</v>
      </c>
      <c r="ACN306" s="18">
        <v>0</v>
      </c>
      <c r="ACO306" s="18">
        <v>0</v>
      </c>
      <c r="ACP306" s="18">
        <v>0</v>
      </c>
      <c r="ACQ306" s="18">
        <v>0</v>
      </c>
      <c r="ACR306" s="18">
        <v>0</v>
      </c>
      <c r="ACS306" s="18">
        <v>0</v>
      </c>
      <c r="ACT306" s="18">
        <v>0</v>
      </c>
      <c r="ACU306" s="18">
        <v>0</v>
      </c>
      <c r="ACV306" s="18">
        <v>0</v>
      </c>
      <c r="ACW306" s="18">
        <v>0</v>
      </c>
      <c r="ACX306" s="18">
        <v>0</v>
      </c>
      <c r="ACY306" s="18">
        <v>0</v>
      </c>
      <c r="ACZ306" s="18">
        <v>0</v>
      </c>
      <c r="ADA306" s="18">
        <v>0</v>
      </c>
      <c r="ADB306" s="18">
        <v>0</v>
      </c>
      <c r="ADC306" s="18">
        <v>0</v>
      </c>
      <c r="ADD306" s="18">
        <v>0</v>
      </c>
      <c r="ADE306" s="18">
        <v>0</v>
      </c>
      <c r="ADF306" s="18">
        <v>0</v>
      </c>
      <c r="ADG306" s="18">
        <v>0</v>
      </c>
      <c r="ADH306" s="18">
        <v>0</v>
      </c>
      <c r="ADI306" s="18">
        <v>0</v>
      </c>
      <c r="ADJ306" s="18">
        <v>0</v>
      </c>
      <c r="ADK306" s="18">
        <v>0</v>
      </c>
      <c r="ADL306" s="18">
        <v>0</v>
      </c>
      <c r="ADM306" s="18">
        <v>0</v>
      </c>
      <c r="ADN306" s="18">
        <v>0</v>
      </c>
      <c r="ADO306" s="18">
        <v>0</v>
      </c>
      <c r="ADP306" s="18">
        <v>0</v>
      </c>
      <c r="ADQ306" s="18">
        <v>0</v>
      </c>
      <c r="ADR306" s="18">
        <v>0</v>
      </c>
      <c r="ADS306" s="18">
        <v>0</v>
      </c>
      <c r="ADT306" s="18">
        <v>0</v>
      </c>
      <c r="ADU306" s="18">
        <v>0</v>
      </c>
      <c r="ADV306" s="18">
        <v>0</v>
      </c>
      <c r="ADW306" s="18">
        <v>0</v>
      </c>
      <c r="ADX306" s="18">
        <v>0</v>
      </c>
      <c r="ADY306" s="18">
        <v>0</v>
      </c>
      <c r="ADZ306" s="18">
        <v>0</v>
      </c>
      <c r="AEA306" s="18">
        <v>0</v>
      </c>
      <c r="AEB306" s="18">
        <v>0</v>
      </c>
      <c r="AEC306" s="18">
        <v>0</v>
      </c>
      <c r="AED306" s="18">
        <v>0</v>
      </c>
      <c r="AEE306" s="18">
        <v>0</v>
      </c>
      <c r="AEF306" s="18">
        <v>0</v>
      </c>
      <c r="AEG306" s="18">
        <v>0</v>
      </c>
      <c r="AEH306" s="18">
        <v>0</v>
      </c>
      <c r="AEI306" s="18">
        <v>0</v>
      </c>
      <c r="AEJ306" s="18">
        <v>0</v>
      </c>
      <c r="AEK306" s="18">
        <v>0</v>
      </c>
      <c r="AEL306" s="18">
        <v>0</v>
      </c>
      <c r="AEM306" s="18">
        <v>0</v>
      </c>
      <c r="AEN306" s="18">
        <v>0</v>
      </c>
      <c r="AEO306" s="18">
        <v>0</v>
      </c>
      <c r="AEP306" s="18">
        <v>0</v>
      </c>
      <c r="AEQ306" s="18">
        <v>0</v>
      </c>
      <c r="AER306" s="18">
        <v>0</v>
      </c>
      <c r="AES306" s="18">
        <v>0</v>
      </c>
      <c r="AET306" s="18">
        <v>0</v>
      </c>
      <c r="AEU306" s="18">
        <v>0</v>
      </c>
      <c r="AEV306" s="18">
        <v>0</v>
      </c>
      <c r="AEW306" s="18">
        <v>0</v>
      </c>
      <c r="AEX306" s="18">
        <v>0</v>
      </c>
      <c r="AEY306" s="18">
        <v>0</v>
      </c>
      <c r="AEZ306" s="18">
        <v>0</v>
      </c>
      <c r="AFA306" s="18">
        <v>0</v>
      </c>
      <c r="AFB306" s="18">
        <v>0</v>
      </c>
      <c r="AFC306" s="18">
        <v>0</v>
      </c>
      <c r="AFD306" s="18">
        <v>0</v>
      </c>
      <c r="AFE306" s="18">
        <v>0</v>
      </c>
      <c r="AFF306" s="18">
        <v>0</v>
      </c>
      <c r="AFG306" s="18">
        <v>0</v>
      </c>
      <c r="AFH306" s="18">
        <v>0</v>
      </c>
      <c r="AFI306" s="18">
        <v>0</v>
      </c>
      <c r="AFJ306" s="18">
        <v>0</v>
      </c>
      <c r="AFK306" s="18">
        <v>0</v>
      </c>
      <c r="AFL306" s="18">
        <v>0</v>
      </c>
      <c r="AFM306" s="18">
        <v>0</v>
      </c>
      <c r="AFN306" s="18">
        <v>0</v>
      </c>
      <c r="AFO306" s="18">
        <v>0</v>
      </c>
      <c r="AFP306" s="18">
        <v>0</v>
      </c>
      <c r="AFQ306" s="18">
        <v>0</v>
      </c>
      <c r="AFR306" s="18">
        <v>0</v>
      </c>
      <c r="AFS306" s="18">
        <v>0</v>
      </c>
      <c r="AFT306" s="18">
        <v>0</v>
      </c>
      <c r="AFU306" s="18">
        <v>0</v>
      </c>
      <c r="AFV306" s="18">
        <v>0</v>
      </c>
      <c r="AFW306" s="18">
        <v>0</v>
      </c>
      <c r="AFX306" s="18">
        <v>0</v>
      </c>
      <c r="AFY306" s="18">
        <v>0</v>
      </c>
      <c r="AFZ306" s="18">
        <v>0</v>
      </c>
      <c r="AGA306" s="18">
        <v>0</v>
      </c>
      <c r="AGB306" s="18">
        <v>0</v>
      </c>
      <c r="AGC306" s="18">
        <v>0</v>
      </c>
      <c r="AGD306" s="18">
        <v>0</v>
      </c>
      <c r="AGE306" s="18">
        <v>0</v>
      </c>
      <c r="AGF306" s="18">
        <v>0</v>
      </c>
      <c r="AGG306" s="18">
        <v>0</v>
      </c>
      <c r="AGH306" s="18">
        <v>0</v>
      </c>
      <c r="AGI306" s="18">
        <v>0</v>
      </c>
      <c r="AGJ306" s="18">
        <v>0</v>
      </c>
      <c r="AGK306" s="18">
        <v>0</v>
      </c>
      <c r="AGL306" s="18">
        <v>0</v>
      </c>
      <c r="AGM306" s="18">
        <v>0</v>
      </c>
      <c r="AGN306" s="18">
        <v>0</v>
      </c>
      <c r="AGO306" s="18">
        <v>0</v>
      </c>
      <c r="AGP306" s="18">
        <v>0</v>
      </c>
      <c r="AGQ306" s="18">
        <v>0</v>
      </c>
      <c r="AGR306" s="18">
        <v>0</v>
      </c>
      <c r="AGS306" s="18">
        <v>0</v>
      </c>
      <c r="AGT306" s="18">
        <v>0</v>
      </c>
      <c r="AGU306" s="18">
        <v>0</v>
      </c>
      <c r="AGV306" s="18">
        <v>0</v>
      </c>
      <c r="AGW306" s="18">
        <v>0</v>
      </c>
      <c r="AGX306" s="18">
        <v>0</v>
      </c>
      <c r="AGY306" s="18">
        <v>0</v>
      </c>
      <c r="AGZ306" s="18">
        <v>0</v>
      </c>
      <c r="AHA306" s="18">
        <v>0</v>
      </c>
      <c r="AHB306" s="18">
        <v>0</v>
      </c>
      <c r="AHC306" s="18">
        <v>0</v>
      </c>
      <c r="AHD306" s="18">
        <v>0</v>
      </c>
      <c r="AHE306" s="18">
        <v>0</v>
      </c>
      <c r="AHF306" s="18">
        <v>0</v>
      </c>
      <c r="AHG306" s="18">
        <v>0</v>
      </c>
      <c r="AHH306" s="18">
        <v>0</v>
      </c>
      <c r="AHI306" s="18">
        <v>0</v>
      </c>
      <c r="AHJ306" s="18">
        <v>0</v>
      </c>
      <c r="AHK306" s="18">
        <v>0</v>
      </c>
      <c r="AHL306" s="18">
        <v>0</v>
      </c>
      <c r="AHM306" s="18">
        <v>0</v>
      </c>
      <c r="AHN306" s="18">
        <v>0</v>
      </c>
      <c r="AHO306" s="18">
        <v>0</v>
      </c>
      <c r="AHP306" s="18">
        <v>0</v>
      </c>
      <c r="AHQ306" s="18">
        <v>0</v>
      </c>
      <c r="AHR306" s="18">
        <v>0</v>
      </c>
      <c r="AHS306" s="18">
        <v>0</v>
      </c>
      <c r="AHT306" s="18">
        <v>0</v>
      </c>
      <c r="AHU306" s="18">
        <v>0</v>
      </c>
      <c r="AHV306" s="18">
        <v>0</v>
      </c>
      <c r="AHW306" s="18">
        <v>0</v>
      </c>
      <c r="AHX306" s="18">
        <v>0</v>
      </c>
      <c r="AHY306" s="18">
        <v>0</v>
      </c>
      <c r="AHZ306" s="18">
        <v>0</v>
      </c>
      <c r="AIA306" s="18">
        <v>0</v>
      </c>
      <c r="AIB306" s="18">
        <v>0</v>
      </c>
      <c r="AIC306" s="18">
        <v>0</v>
      </c>
      <c r="AID306" s="18">
        <v>0</v>
      </c>
      <c r="AIE306" s="18">
        <v>0</v>
      </c>
      <c r="AIF306" s="18">
        <v>0</v>
      </c>
      <c r="AIG306" s="18">
        <v>0</v>
      </c>
      <c r="AIH306" s="18">
        <v>0</v>
      </c>
      <c r="AII306" s="18">
        <v>0</v>
      </c>
      <c r="AIJ306" s="18">
        <v>0</v>
      </c>
      <c r="AIK306" s="18">
        <v>0</v>
      </c>
      <c r="AIL306" s="18">
        <v>0</v>
      </c>
      <c r="AIM306" s="18">
        <v>0</v>
      </c>
      <c r="AIN306" s="18">
        <v>0</v>
      </c>
      <c r="AIO306" s="18">
        <v>0</v>
      </c>
      <c r="AIP306" s="18">
        <v>0</v>
      </c>
      <c r="AIQ306" s="18">
        <v>0</v>
      </c>
      <c r="AIR306" s="18">
        <v>0</v>
      </c>
      <c r="AIS306" s="18">
        <v>0</v>
      </c>
      <c r="AIT306" s="18">
        <v>0</v>
      </c>
      <c r="AIU306" s="18">
        <v>0</v>
      </c>
      <c r="AIV306" s="18">
        <v>0</v>
      </c>
      <c r="AIW306" s="18">
        <v>0</v>
      </c>
      <c r="AIX306" s="18">
        <v>0</v>
      </c>
      <c r="AIY306" s="18">
        <v>0</v>
      </c>
      <c r="AIZ306" s="18">
        <v>0</v>
      </c>
      <c r="AJA306" s="18">
        <v>0</v>
      </c>
      <c r="AJB306" s="18">
        <v>0</v>
      </c>
      <c r="AJC306" s="18">
        <v>0</v>
      </c>
      <c r="AJD306" s="18">
        <v>0</v>
      </c>
      <c r="AJE306" s="18">
        <v>0</v>
      </c>
      <c r="AJF306" s="18">
        <v>0</v>
      </c>
      <c r="AJG306" s="18">
        <v>0</v>
      </c>
      <c r="AJH306" s="18">
        <v>0</v>
      </c>
      <c r="AJI306" s="18">
        <v>0</v>
      </c>
      <c r="AJJ306" s="18">
        <v>0</v>
      </c>
      <c r="AJK306" s="18">
        <v>0</v>
      </c>
      <c r="AJL306" s="18">
        <v>0</v>
      </c>
      <c r="AJM306" s="18">
        <v>0</v>
      </c>
      <c r="AJN306" s="18">
        <v>0</v>
      </c>
      <c r="AJO306" s="18">
        <v>0</v>
      </c>
      <c r="AJP306" s="18">
        <v>0</v>
      </c>
      <c r="AJQ306" s="18">
        <v>0</v>
      </c>
      <c r="AJR306" s="18">
        <v>0</v>
      </c>
      <c r="AJS306" s="18">
        <v>0</v>
      </c>
      <c r="AJT306" s="18">
        <v>0</v>
      </c>
      <c r="AJU306" s="18">
        <v>0</v>
      </c>
      <c r="AJV306" s="18">
        <v>0</v>
      </c>
      <c r="AJW306" s="18">
        <v>0</v>
      </c>
      <c r="AJX306" s="18">
        <v>0</v>
      </c>
      <c r="AJY306" s="18">
        <v>0</v>
      </c>
      <c r="AJZ306" s="18">
        <v>0</v>
      </c>
      <c r="AKA306" s="18">
        <v>0</v>
      </c>
      <c r="AKB306" s="18">
        <v>0</v>
      </c>
      <c r="AKC306" s="18">
        <v>0</v>
      </c>
      <c r="AKD306" s="18">
        <v>0</v>
      </c>
      <c r="AKE306" s="18">
        <v>0</v>
      </c>
      <c r="AKF306" s="18">
        <v>0</v>
      </c>
      <c r="AKG306" s="18">
        <v>0</v>
      </c>
      <c r="AKH306" s="18">
        <v>0</v>
      </c>
      <c r="AKI306" s="18">
        <v>0</v>
      </c>
      <c r="AKJ306" s="18">
        <v>0</v>
      </c>
      <c r="AKK306" s="18">
        <v>0</v>
      </c>
      <c r="AKL306" s="18">
        <v>0</v>
      </c>
      <c r="AKM306" s="18">
        <v>0</v>
      </c>
      <c r="AKN306" s="18">
        <v>0</v>
      </c>
      <c r="AKO306" s="18">
        <v>0</v>
      </c>
      <c r="AKP306" s="18">
        <v>0</v>
      </c>
      <c r="AKQ306" s="18">
        <v>0</v>
      </c>
      <c r="AKR306" s="18">
        <v>0</v>
      </c>
      <c r="AKS306" s="18">
        <v>0</v>
      </c>
      <c r="AKT306" s="18">
        <v>0</v>
      </c>
      <c r="AKU306" s="18">
        <v>0</v>
      </c>
      <c r="AKV306" s="18">
        <v>0</v>
      </c>
      <c r="AKW306" s="18">
        <v>0</v>
      </c>
      <c r="AKX306" s="18">
        <v>0</v>
      </c>
      <c r="AKY306" s="18">
        <v>0</v>
      </c>
      <c r="AKZ306" s="18">
        <v>0</v>
      </c>
      <c r="ALA306" s="18">
        <v>0</v>
      </c>
      <c r="ALB306" s="18">
        <v>0</v>
      </c>
      <c r="ALC306" s="18">
        <v>0</v>
      </c>
      <c r="ALD306" s="18">
        <v>0</v>
      </c>
      <c r="ALE306" s="18">
        <v>0</v>
      </c>
      <c r="ALF306" s="18">
        <v>0</v>
      </c>
      <c r="ALG306" s="18">
        <v>0</v>
      </c>
      <c r="ALH306" s="18">
        <v>0</v>
      </c>
      <c r="ALI306" s="18">
        <v>0</v>
      </c>
      <c r="ALJ306" s="18">
        <v>0</v>
      </c>
      <c r="ALK306" s="18">
        <v>0</v>
      </c>
      <c r="ALL306" s="18">
        <v>0</v>
      </c>
      <c r="ALM306" s="18">
        <v>0</v>
      </c>
      <c r="ALN306" s="18">
        <v>0</v>
      </c>
      <c r="ALO306" s="18">
        <v>0</v>
      </c>
      <c r="ALP306" s="18">
        <v>0</v>
      </c>
      <c r="ALQ306" s="18">
        <v>0</v>
      </c>
      <c r="ALR306" s="18">
        <v>0</v>
      </c>
      <c r="ALS306" s="18">
        <v>0</v>
      </c>
      <c r="ALT306" s="18">
        <v>0</v>
      </c>
      <c r="ALU306" s="18">
        <v>0</v>
      </c>
      <c r="ALV306" s="18">
        <v>0</v>
      </c>
      <c r="ALW306" s="18">
        <v>0</v>
      </c>
      <c r="ALX306" s="18">
        <v>0</v>
      </c>
      <c r="ALY306" s="18">
        <v>0</v>
      </c>
      <c r="ALZ306" s="18">
        <v>0</v>
      </c>
      <c r="AMA306" s="18">
        <v>0</v>
      </c>
      <c r="AMB306" s="18">
        <v>0</v>
      </c>
      <c r="AMC306" s="18">
        <v>0</v>
      </c>
      <c r="AMD306" s="18">
        <v>0</v>
      </c>
      <c r="AME306" s="18">
        <v>0</v>
      </c>
      <c r="AMF306" s="18">
        <v>0</v>
      </c>
      <c r="AMG306" s="18">
        <v>0</v>
      </c>
      <c r="AMH306" s="18">
        <v>0</v>
      </c>
      <c r="AMI306" s="18">
        <v>0</v>
      </c>
      <c r="AMJ306" s="18">
        <v>0</v>
      </c>
      <c r="AMK306" s="18">
        <v>0</v>
      </c>
      <c r="AML306" s="18">
        <v>0</v>
      </c>
      <c r="AMM306" s="18">
        <v>0</v>
      </c>
      <c r="AMN306" s="18">
        <v>0</v>
      </c>
      <c r="AMO306" s="18">
        <v>0</v>
      </c>
      <c r="AMP306" s="18">
        <v>0</v>
      </c>
      <c r="AMQ306" s="18">
        <v>0</v>
      </c>
      <c r="AMR306" s="18">
        <v>0</v>
      </c>
      <c r="AMS306" s="18">
        <v>0</v>
      </c>
      <c r="AMT306" s="18">
        <v>0</v>
      </c>
      <c r="AMU306" s="18">
        <v>0</v>
      </c>
      <c r="AMV306" s="18">
        <v>0</v>
      </c>
      <c r="AMW306" s="18">
        <v>0</v>
      </c>
      <c r="AMX306" s="18">
        <v>0</v>
      </c>
      <c r="AMY306" s="18">
        <v>0</v>
      </c>
      <c r="AMZ306" s="18">
        <v>0</v>
      </c>
      <c r="ANA306" s="18">
        <v>0</v>
      </c>
      <c r="ANB306" s="18">
        <v>0</v>
      </c>
      <c r="ANC306" s="18">
        <v>0</v>
      </c>
      <c r="AND306" s="18">
        <v>0</v>
      </c>
      <c r="ANE306" s="18">
        <v>0</v>
      </c>
      <c r="ANF306" s="18">
        <v>0</v>
      </c>
      <c r="ANG306" s="18">
        <v>0</v>
      </c>
      <c r="ANH306" s="18">
        <v>0</v>
      </c>
      <c r="ANI306" s="18">
        <v>0</v>
      </c>
      <c r="ANJ306" s="18">
        <v>0</v>
      </c>
      <c r="ANK306" s="18">
        <v>0</v>
      </c>
      <c r="ANL306" s="18">
        <v>0</v>
      </c>
      <c r="ANM306" s="18">
        <v>0</v>
      </c>
      <c r="ANN306" s="18">
        <v>0</v>
      </c>
      <c r="ANO306" s="18">
        <v>0</v>
      </c>
      <c r="ANP306" s="18">
        <v>0</v>
      </c>
      <c r="ANQ306" s="18">
        <v>0</v>
      </c>
      <c r="ANR306" s="18">
        <v>0</v>
      </c>
      <c r="ANS306" s="18">
        <v>0</v>
      </c>
      <c r="ANT306" s="18">
        <v>0</v>
      </c>
      <c r="ANU306" s="18">
        <v>0</v>
      </c>
      <c r="ANV306" s="18">
        <v>0</v>
      </c>
      <c r="ANW306" s="18">
        <v>0</v>
      </c>
      <c r="ANX306" s="18">
        <v>0</v>
      </c>
      <c r="ANY306" s="18">
        <v>0</v>
      </c>
      <c r="ANZ306" s="18">
        <v>0</v>
      </c>
      <c r="AOA306" s="18">
        <v>0</v>
      </c>
      <c r="AOB306" s="18">
        <v>0</v>
      </c>
      <c r="AOC306" s="18">
        <v>0</v>
      </c>
      <c r="AOD306" s="18">
        <v>0</v>
      </c>
      <c r="AOE306" s="18">
        <v>0</v>
      </c>
      <c r="AOF306" s="18">
        <v>0</v>
      </c>
      <c r="AOG306" s="18">
        <v>0</v>
      </c>
      <c r="AOH306" s="18">
        <v>0</v>
      </c>
      <c r="AOI306" s="18">
        <v>0</v>
      </c>
      <c r="AOJ306" s="18">
        <v>0</v>
      </c>
      <c r="AOK306" s="18">
        <v>0</v>
      </c>
      <c r="AOL306" s="18">
        <v>0</v>
      </c>
      <c r="AOM306" s="18">
        <v>0</v>
      </c>
      <c r="AON306" s="18">
        <v>0</v>
      </c>
      <c r="AOO306" s="18">
        <v>0</v>
      </c>
      <c r="AOP306" s="18">
        <v>0</v>
      </c>
      <c r="AOQ306" s="18">
        <v>0</v>
      </c>
      <c r="AOR306" s="18">
        <v>0</v>
      </c>
      <c r="AOS306" s="18">
        <v>0</v>
      </c>
      <c r="AOT306" s="18">
        <v>0</v>
      </c>
      <c r="AOU306" s="18">
        <v>0</v>
      </c>
      <c r="AOV306" s="18">
        <v>0</v>
      </c>
      <c r="AOW306" s="18">
        <v>0</v>
      </c>
      <c r="AOX306" s="18">
        <v>0</v>
      </c>
      <c r="AOY306" s="18">
        <v>0</v>
      </c>
      <c r="AOZ306" s="18">
        <v>0</v>
      </c>
      <c r="APA306" s="18">
        <v>0</v>
      </c>
      <c r="APB306" s="18">
        <v>0</v>
      </c>
      <c r="APC306" s="18">
        <v>0</v>
      </c>
      <c r="APD306" s="18">
        <v>0</v>
      </c>
      <c r="APE306" s="18">
        <v>0</v>
      </c>
      <c r="APF306" s="18">
        <v>0</v>
      </c>
      <c r="APG306" s="18">
        <v>0</v>
      </c>
      <c r="APH306" s="18">
        <v>0</v>
      </c>
      <c r="API306" s="18">
        <v>0</v>
      </c>
      <c r="APJ306" s="18">
        <v>0</v>
      </c>
      <c r="APK306" s="18">
        <v>0</v>
      </c>
      <c r="APL306" s="18">
        <v>0</v>
      </c>
      <c r="APM306" s="18">
        <v>0</v>
      </c>
      <c r="APN306" s="18">
        <v>0</v>
      </c>
      <c r="APO306" s="18">
        <v>0</v>
      </c>
      <c r="APP306" s="18">
        <v>0</v>
      </c>
      <c r="APQ306" s="18">
        <v>0</v>
      </c>
      <c r="APR306" s="18">
        <v>0</v>
      </c>
      <c r="APS306" s="18">
        <v>0</v>
      </c>
      <c r="APT306" s="18">
        <v>0</v>
      </c>
      <c r="APU306" s="18">
        <v>0</v>
      </c>
      <c r="APV306" s="18">
        <v>0</v>
      </c>
      <c r="APW306" s="18">
        <v>0</v>
      </c>
      <c r="APX306" s="18">
        <v>0</v>
      </c>
      <c r="APY306" s="18">
        <v>0</v>
      </c>
      <c r="APZ306" s="18">
        <v>0</v>
      </c>
      <c r="AQA306" s="18">
        <v>0</v>
      </c>
      <c r="AQB306" s="18">
        <v>0</v>
      </c>
      <c r="AQC306" s="18">
        <v>0</v>
      </c>
      <c r="AQD306" s="18">
        <v>0</v>
      </c>
      <c r="AQE306" s="18">
        <v>0</v>
      </c>
      <c r="AQF306" s="18">
        <v>0</v>
      </c>
      <c r="AQG306" s="18">
        <v>0</v>
      </c>
      <c r="AQH306" s="18">
        <v>0</v>
      </c>
      <c r="AQI306" s="18">
        <v>0</v>
      </c>
      <c r="AQJ306" s="18">
        <v>0</v>
      </c>
      <c r="AQK306" s="18">
        <v>0</v>
      </c>
      <c r="AQL306" s="18">
        <v>0</v>
      </c>
      <c r="AQM306" s="18">
        <v>0</v>
      </c>
      <c r="AQN306" s="18">
        <v>0</v>
      </c>
      <c r="AQO306" s="18">
        <v>0</v>
      </c>
      <c r="AQP306" s="18">
        <v>0</v>
      </c>
      <c r="AQQ306" s="18">
        <v>0</v>
      </c>
      <c r="AQR306" s="18">
        <v>0</v>
      </c>
      <c r="AQS306" s="18">
        <v>0</v>
      </c>
      <c r="AQT306" s="18">
        <v>0</v>
      </c>
      <c r="AQU306" s="18">
        <v>0</v>
      </c>
      <c r="AQV306" s="18">
        <v>0</v>
      </c>
      <c r="AQW306" s="18">
        <v>0</v>
      </c>
      <c r="AQX306" s="18">
        <v>0</v>
      </c>
      <c r="AQY306" s="18">
        <v>0</v>
      </c>
      <c r="AQZ306" s="18">
        <v>0</v>
      </c>
      <c r="ARA306" s="18">
        <v>0</v>
      </c>
      <c r="ARB306" s="18">
        <v>0</v>
      </c>
      <c r="ARC306" s="18">
        <v>0</v>
      </c>
      <c r="ARD306" s="18">
        <v>0</v>
      </c>
      <c r="ARE306" s="18">
        <v>0</v>
      </c>
      <c r="ARF306" s="18">
        <v>0</v>
      </c>
      <c r="ARG306" s="18">
        <v>0</v>
      </c>
      <c r="ARH306" s="18">
        <v>0</v>
      </c>
      <c r="ARI306" s="18">
        <v>0</v>
      </c>
      <c r="ARJ306" s="18">
        <v>0</v>
      </c>
      <c r="ARK306" s="18">
        <v>0</v>
      </c>
      <c r="ARL306" s="18">
        <v>0</v>
      </c>
      <c r="ARM306" s="18">
        <v>0</v>
      </c>
      <c r="ARN306" s="18">
        <v>0</v>
      </c>
      <c r="ARO306" s="18">
        <v>0</v>
      </c>
      <c r="ARP306" s="18">
        <v>0</v>
      </c>
      <c r="ARQ306" s="18">
        <v>0</v>
      </c>
      <c r="ARR306" s="18">
        <v>0</v>
      </c>
      <c r="ARS306" s="18">
        <v>0</v>
      </c>
      <c r="ART306" s="18">
        <v>0</v>
      </c>
      <c r="ARU306" s="18">
        <v>0</v>
      </c>
      <c r="ARV306" s="18">
        <v>0</v>
      </c>
      <c r="ARW306" s="18">
        <v>0</v>
      </c>
      <c r="ARX306" s="18">
        <v>0</v>
      </c>
      <c r="ARY306" s="18">
        <v>0</v>
      </c>
      <c r="ARZ306" s="18">
        <v>0</v>
      </c>
      <c r="ASA306" s="18">
        <v>0</v>
      </c>
      <c r="ASB306" s="18">
        <v>0</v>
      </c>
      <c r="ASC306" s="18">
        <v>0</v>
      </c>
      <c r="ASD306" s="18">
        <v>0</v>
      </c>
      <c r="ASE306" s="18">
        <v>0</v>
      </c>
      <c r="ASF306" s="18">
        <v>0</v>
      </c>
      <c r="ASG306" s="18">
        <v>0</v>
      </c>
      <c r="ASH306" s="18">
        <v>0</v>
      </c>
      <c r="ASI306" s="18">
        <v>0</v>
      </c>
      <c r="ASJ306" s="18">
        <v>0</v>
      </c>
      <c r="ASK306" s="18">
        <v>0</v>
      </c>
      <c r="ASL306" s="18">
        <v>0</v>
      </c>
      <c r="ASM306" s="18">
        <v>0</v>
      </c>
      <c r="ASN306" s="18">
        <v>0</v>
      </c>
      <c r="ASO306" s="18">
        <v>0</v>
      </c>
      <c r="ASP306" s="18">
        <v>0</v>
      </c>
      <c r="ASQ306" s="18">
        <v>0</v>
      </c>
      <c r="ASR306" s="18">
        <v>0</v>
      </c>
      <c r="ASS306" s="18">
        <v>0</v>
      </c>
      <c r="AST306" s="18">
        <v>0</v>
      </c>
      <c r="ASU306" s="18">
        <v>0</v>
      </c>
      <c r="ASV306" s="18">
        <v>0</v>
      </c>
      <c r="ASW306" s="18">
        <v>0</v>
      </c>
      <c r="ASX306" s="18">
        <v>0</v>
      </c>
      <c r="ASY306" s="18">
        <v>0</v>
      </c>
      <c r="ASZ306" s="18">
        <v>0</v>
      </c>
      <c r="ATA306" s="18">
        <v>0</v>
      </c>
      <c r="ATB306" s="18">
        <v>0</v>
      </c>
      <c r="ATC306" s="18">
        <v>0</v>
      </c>
      <c r="ATD306" s="18">
        <v>0</v>
      </c>
      <c r="ATE306" s="18">
        <v>0</v>
      </c>
      <c r="ATF306" s="18">
        <v>0</v>
      </c>
      <c r="ATG306" s="18">
        <v>0</v>
      </c>
      <c r="ATH306" s="18">
        <v>0</v>
      </c>
      <c r="ATI306" s="18">
        <v>0</v>
      </c>
      <c r="ATJ306" s="18">
        <v>0</v>
      </c>
      <c r="ATK306" s="18">
        <v>0</v>
      </c>
      <c r="ATL306" s="18">
        <v>0</v>
      </c>
      <c r="ATM306" s="18">
        <v>0</v>
      </c>
      <c r="ATN306" s="18">
        <v>0</v>
      </c>
      <c r="ATO306" s="18">
        <v>0</v>
      </c>
      <c r="ATP306" s="18">
        <v>0</v>
      </c>
      <c r="ATQ306" s="18">
        <v>0</v>
      </c>
      <c r="ATR306" s="18">
        <v>0</v>
      </c>
      <c r="ATS306" s="18">
        <v>0</v>
      </c>
      <c r="ATT306" s="18">
        <v>0</v>
      </c>
      <c r="ATU306" s="18">
        <v>0</v>
      </c>
      <c r="ATV306" s="18">
        <v>0</v>
      </c>
      <c r="ATW306" s="18">
        <v>0</v>
      </c>
      <c r="ATX306" s="18">
        <v>0</v>
      </c>
      <c r="ATY306" s="18">
        <v>0</v>
      </c>
      <c r="ATZ306" s="18">
        <v>0</v>
      </c>
      <c r="AUA306" s="18">
        <v>0</v>
      </c>
      <c r="AUB306" s="18">
        <v>0</v>
      </c>
      <c r="AUC306" s="18">
        <v>0</v>
      </c>
      <c r="AUD306" s="18">
        <v>0</v>
      </c>
      <c r="AUE306" s="18">
        <v>0</v>
      </c>
      <c r="AUF306" s="18">
        <v>0</v>
      </c>
      <c r="AUG306" s="18">
        <v>0</v>
      </c>
      <c r="AUH306" s="18">
        <v>0</v>
      </c>
      <c r="AUI306" s="18">
        <v>0</v>
      </c>
      <c r="AUJ306" s="18">
        <v>0</v>
      </c>
      <c r="AUK306" s="18">
        <v>0</v>
      </c>
      <c r="AUL306" s="18">
        <v>0</v>
      </c>
      <c r="AUM306" s="18">
        <v>0</v>
      </c>
      <c r="AUN306" s="18">
        <v>0</v>
      </c>
      <c r="AUO306" s="18">
        <v>0</v>
      </c>
      <c r="AUP306" s="18">
        <v>0</v>
      </c>
      <c r="AUQ306" s="18">
        <v>0</v>
      </c>
      <c r="AUR306" s="18">
        <v>0</v>
      </c>
      <c r="AUS306" s="18">
        <v>0</v>
      </c>
      <c r="AUT306" s="18">
        <v>0</v>
      </c>
      <c r="AUU306" s="18">
        <v>0</v>
      </c>
      <c r="AUV306" s="18">
        <v>0</v>
      </c>
      <c r="AUW306" s="18">
        <v>0</v>
      </c>
      <c r="AUX306" s="18">
        <v>0</v>
      </c>
      <c r="AUY306" s="18">
        <v>0</v>
      </c>
      <c r="AUZ306" s="18">
        <v>0</v>
      </c>
      <c r="AVA306" s="18">
        <v>0</v>
      </c>
      <c r="AVB306" s="18">
        <v>0</v>
      </c>
      <c r="AVC306" s="18">
        <v>0</v>
      </c>
      <c r="AVD306" s="18">
        <v>0</v>
      </c>
      <c r="AVE306" s="18">
        <v>0</v>
      </c>
      <c r="AVF306" s="18">
        <v>0</v>
      </c>
      <c r="AVG306" s="18">
        <v>0</v>
      </c>
      <c r="AVH306" s="18">
        <v>0</v>
      </c>
      <c r="AVI306" s="18">
        <v>0</v>
      </c>
      <c r="AVJ306" s="18">
        <v>0</v>
      </c>
      <c r="AVK306" s="18">
        <v>0</v>
      </c>
      <c r="AVL306" s="18">
        <v>0</v>
      </c>
      <c r="AVM306" s="18">
        <v>0</v>
      </c>
      <c r="AVN306" s="18">
        <v>0</v>
      </c>
      <c r="AVO306" s="18">
        <v>0</v>
      </c>
      <c r="AVP306" s="18">
        <v>0</v>
      </c>
      <c r="AVQ306" s="18">
        <v>0</v>
      </c>
      <c r="AVR306" s="18">
        <v>0</v>
      </c>
      <c r="AVS306" s="18">
        <v>0</v>
      </c>
      <c r="AVT306" s="18">
        <v>0</v>
      </c>
      <c r="AVU306" s="18">
        <v>0</v>
      </c>
      <c r="AVV306" s="18">
        <v>0</v>
      </c>
      <c r="AVW306" s="18">
        <v>0</v>
      </c>
      <c r="AVX306" s="18">
        <v>0</v>
      </c>
      <c r="AVY306" s="18">
        <v>0</v>
      </c>
      <c r="AVZ306" s="18">
        <v>0</v>
      </c>
      <c r="AWA306" s="18">
        <v>0</v>
      </c>
      <c r="AWB306" s="18">
        <v>0</v>
      </c>
      <c r="AWC306" s="18">
        <v>0</v>
      </c>
      <c r="AWD306" s="18">
        <v>0</v>
      </c>
      <c r="AWE306" s="18">
        <v>0</v>
      </c>
      <c r="AWF306" s="18">
        <v>0</v>
      </c>
      <c r="AWG306" s="18">
        <v>0</v>
      </c>
      <c r="AWH306" s="18">
        <v>0</v>
      </c>
      <c r="AWI306" s="18">
        <v>0</v>
      </c>
      <c r="AWJ306" s="18">
        <v>0</v>
      </c>
      <c r="AWK306" s="18">
        <v>0</v>
      </c>
      <c r="AWL306" s="18">
        <v>0</v>
      </c>
      <c r="AWM306" s="18">
        <v>0</v>
      </c>
      <c r="AWN306" s="18">
        <v>0</v>
      </c>
      <c r="AWO306" s="18">
        <v>0</v>
      </c>
      <c r="AWP306" s="18">
        <v>0</v>
      </c>
      <c r="AWQ306" s="18">
        <v>0</v>
      </c>
      <c r="AWR306" s="18">
        <v>0</v>
      </c>
      <c r="AWS306" s="18">
        <v>0</v>
      </c>
      <c r="AWT306" s="18">
        <v>0</v>
      </c>
      <c r="AWU306" s="18">
        <v>0</v>
      </c>
      <c r="AWV306" s="18">
        <v>0</v>
      </c>
      <c r="AWW306" s="18">
        <v>0</v>
      </c>
      <c r="AWX306" s="18">
        <v>0</v>
      </c>
      <c r="AWY306" s="18">
        <v>0</v>
      </c>
      <c r="AWZ306" s="18">
        <v>0</v>
      </c>
      <c r="AXA306" s="18">
        <v>0</v>
      </c>
      <c r="AXB306" s="18">
        <v>0</v>
      </c>
      <c r="AXC306" s="18">
        <v>0</v>
      </c>
      <c r="AXD306" s="18">
        <v>0</v>
      </c>
      <c r="AXE306" s="18">
        <v>0</v>
      </c>
      <c r="AXF306" s="18">
        <v>0</v>
      </c>
      <c r="AXG306" s="18">
        <v>0</v>
      </c>
      <c r="AXH306" s="18">
        <v>0</v>
      </c>
      <c r="AXI306" s="18">
        <v>0</v>
      </c>
      <c r="AXJ306" s="18">
        <v>0</v>
      </c>
      <c r="AXK306" s="18">
        <v>0</v>
      </c>
      <c r="AXL306" s="18">
        <v>0</v>
      </c>
      <c r="AXM306" s="18">
        <v>0</v>
      </c>
      <c r="AXN306" s="18">
        <v>0</v>
      </c>
      <c r="AXO306" s="18">
        <v>0</v>
      </c>
      <c r="AXP306" s="18">
        <v>0</v>
      </c>
      <c r="AXQ306" s="18">
        <v>0</v>
      </c>
      <c r="AXR306" s="18">
        <v>0</v>
      </c>
      <c r="AXS306" s="18">
        <v>0</v>
      </c>
      <c r="AXT306" s="18">
        <v>0</v>
      </c>
      <c r="AXU306" s="18">
        <v>0</v>
      </c>
      <c r="AXV306" s="18">
        <v>0</v>
      </c>
      <c r="AXW306" s="18">
        <v>0</v>
      </c>
      <c r="AXX306" s="18">
        <v>0</v>
      </c>
      <c r="AXY306" s="18">
        <v>0</v>
      </c>
      <c r="AXZ306" s="18">
        <v>0</v>
      </c>
      <c r="AYA306" s="18">
        <v>0</v>
      </c>
      <c r="AYB306" s="18">
        <v>0</v>
      </c>
      <c r="AYC306" s="18">
        <v>0</v>
      </c>
      <c r="AYD306" s="18">
        <v>0</v>
      </c>
      <c r="AYE306" s="18">
        <v>0</v>
      </c>
      <c r="AYF306" s="18">
        <v>0</v>
      </c>
      <c r="AYG306" s="18">
        <v>0</v>
      </c>
      <c r="AYH306" s="18">
        <v>0</v>
      </c>
      <c r="AYI306" s="18">
        <v>0</v>
      </c>
      <c r="AYJ306" s="18">
        <v>0</v>
      </c>
      <c r="AYK306" s="18">
        <v>0</v>
      </c>
      <c r="AYL306" s="18">
        <v>0</v>
      </c>
      <c r="AYM306" s="18">
        <v>0</v>
      </c>
      <c r="AYN306" s="18">
        <v>0</v>
      </c>
      <c r="AYO306" s="18">
        <v>0</v>
      </c>
      <c r="AYP306" s="18">
        <v>0</v>
      </c>
      <c r="AYQ306" s="18">
        <v>0</v>
      </c>
      <c r="AYR306" s="18">
        <v>0</v>
      </c>
      <c r="AYS306" s="18">
        <v>0</v>
      </c>
      <c r="AYT306" s="18">
        <v>0</v>
      </c>
      <c r="AYU306" s="18">
        <v>0</v>
      </c>
      <c r="AYV306" s="18">
        <v>0</v>
      </c>
      <c r="AYW306" s="18">
        <v>0</v>
      </c>
      <c r="AYX306" s="18">
        <v>0</v>
      </c>
      <c r="AYY306" s="18">
        <v>0</v>
      </c>
      <c r="AYZ306" s="18">
        <v>0</v>
      </c>
      <c r="AZA306" s="18">
        <v>0</v>
      </c>
      <c r="AZB306" s="18">
        <v>0</v>
      </c>
      <c r="AZC306" s="18">
        <v>0</v>
      </c>
      <c r="AZD306" s="18">
        <v>0</v>
      </c>
      <c r="AZE306" s="18">
        <v>0</v>
      </c>
      <c r="AZF306" s="18">
        <v>0</v>
      </c>
      <c r="AZG306" s="18">
        <v>0</v>
      </c>
      <c r="AZH306" s="18">
        <v>0</v>
      </c>
      <c r="AZI306" s="18">
        <v>0</v>
      </c>
      <c r="AZJ306" s="18">
        <v>0</v>
      </c>
      <c r="AZK306" s="18">
        <v>0</v>
      </c>
      <c r="AZL306" s="18">
        <v>0</v>
      </c>
      <c r="AZM306" s="18">
        <v>0</v>
      </c>
      <c r="AZN306" s="18">
        <v>0</v>
      </c>
      <c r="AZO306" s="18">
        <v>0</v>
      </c>
      <c r="AZP306" s="18">
        <v>0</v>
      </c>
      <c r="AZQ306" s="18">
        <v>0</v>
      </c>
      <c r="AZR306" s="18">
        <v>0</v>
      </c>
      <c r="AZS306" s="18">
        <v>0</v>
      </c>
      <c r="AZT306" s="18">
        <v>0</v>
      </c>
      <c r="AZU306" s="18">
        <v>0</v>
      </c>
      <c r="AZV306" s="18">
        <v>0</v>
      </c>
      <c r="AZW306" s="18">
        <v>0</v>
      </c>
      <c r="AZX306" s="18">
        <v>0</v>
      </c>
      <c r="AZY306" s="18">
        <v>0</v>
      </c>
      <c r="AZZ306" s="18">
        <v>0</v>
      </c>
      <c r="BAA306" s="18">
        <v>0</v>
      </c>
      <c r="BAB306" s="18">
        <v>0</v>
      </c>
      <c r="BAC306" s="18">
        <v>0</v>
      </c>
      <c r="BAD306" s="18">
        <v>0</v>
      </c>
      <c r="BAE306" s="18">
        <v>0</v>
      </c>
      <c r="BAF306" s="18">
        <v>0</v>
      </c>
      <c r="BAG306" s="18">
        <v>0</v>
      </c>
      <c r="BAH306" s="18">
        <v>0</v>
      </c>
      <c r="BAI306" s="18">
        <v>0</v>
      </c>
      <c r="BAJ306" s="18">
        <v>0</v>
      </c>
      <c r="BAK306" s="18">
        <v>0</v>
      </c>
      <c r="BAL306" s="18">
        <v>0</v>
      </c>
      <c r="BAM306" s="18">
        <v>0</v>
      </c>
      <c r="BAN306" s="18">
        <v>0</v>
      </c>
      <c r="BAO306" s="18">
        <v>0</v>
      </c>
      <c r="BAP306" s="18">
        <v>0</v>
      </c>
      <c r="BAQ306" s="18">
        <v>0</v>
      </c>
      <c r="BAR306" s="18">
        <v>0</v>
      </c>
      <c r="BAS306" s="18">
        <v>0</v>
      </c>
      <c r="BAT306" s="18">
        <v>0</v>
      </c>
      <c r="BAU306" s="18">
        <v>0</v>
      </c>
      <c r="BAV306" s="18">
        <v>0</v>
      </c>
      <c r="BAW306" s="18">
        <v>0</v>
      </c>
      <c r="BAX306" s="18">
        <v>0</v>
      </c>
      <c r="BAY306" s="18">
        <v>0</v>
      </c>
      <c r="BAZ306" s="18">
        <v>0</v>
      </c>
      <c r="BBA306" s="18">
        <v>0</v>
      </c>
      <c r="BBB306" s="18">
        <v>0</v>
      </c>
      <c r="BBC306" s="18">
        <v>0</v>
      </c>
      <c r="BBD306" s="18">
        <v>0</v>
      </c>
      <c r="BBE306" s="18">
        <v>0</v>
      </c>
      <c r="BBF306" s="18">
        <v>0</v>
      </c>
      <c r="BBG306" s="18">
        <v>0</v>
      </c>
      <c r="BBH306" s="18">
        <v>0</v>
      </c>
      <c r="BBI306" s="18">
        <v>0</v>
      </c>
      <c r="BBJ306" s="18">
        <v>0</v>
      </c>
      <c r="BBK306" s="18">
        <v>0</v>
      </c>
      <c r="BBL306" s="18">
        <v>0</v>
      </c>
      <c r="BBM306" s="18">
        <v>0</v>
      </c>
      <c r="BBN306" s="18">
        <v>0</v>
      </c>
      <c r="BBO306" s="18">
        <v>0</v>
      </c>
      <c r="BBP306" s="18">
        <v>0</v>
      </c>
      <c r="BBQ306" s="18">
        <v>0</v>
      </c>
      <c r="BBR306" s="18">
        <v>0</v>
      </c>
      <c r="BBS306" s="18">
        <v>0</v>
      </c>
      <c r="BBT306" s="18">
        <v>0</v>
      </c>
      <c r="BBU306" s="18">
        <v>0</v>
      </c>
      <c r="BBV306" s="18">
        <v>0</v>
      </c>
      <c r="BBW306" s="18">
        <v>0</v>
      </c>
      <c r="BBX306" s="18">
        <v>0</v>
      </c>
      <c r="BBY306" s="18">
        <v>0</v>
      </c>
      <c r="BBZ306" s="18">
        <v>0</v>
      </c>
      <c r="BCA306" s="18">
        <v>0</v>
      </c>
      <c r="BCB306" s="18">
        <v>0</v>
      </c>
      <c r="BCC306" s="18">
        <v>0</v>
      </c>
      <c r="BCD306" s="18">
        <v>0</v>
      </c>
      <c r="BCE306" s="18">
        <v>0</v>
      </c>
      <c r="BCF306" s="18">
        <v>0</v>
      </c>
      <c r="BCG306" s="18">
        <v>0</v>
      </c>
      <c r="BCH306" s="18">
        <v>0</v>
      </c>
      <c r="BCI306" s="18">
        <v>0</v>
      </c>
      <c r="BCJ306" s="18">
        <v>0</v>
      </c>
      <c r="BCK306" s="18">
        <v>0</v>
      </c>
      <c r="BCL306" s="18">
        <v>0</v>
      </c>
      <c r="BCM306" s="18">
        <v>0</v>
      </c>
      <c r="BCN306" s="18">
        <v>0</v>
      </c>
      <c r="BCO306" s="18">
        <v>0</v>
      </c>
      <c r="BCP306" s="18">
        <v>0</v>
      </c>
      <c r="BCQ306" s="18">
        <v>0</v>
      </c>
      <c r="BCR306" s="18">
        <v>0</v>
      </c>
      <c r="BCS306" s="18">
        <v>0</v>
      </c>
      <c r="BCT306" s="18">
        <v>0</v>
      </c>
      <c r="BCU306" s="18">
        <v>0</v>
      </c>
      <c r="BCV306" s="18">
        <v>0</v>
      </c>
      <c r="BCW306" s="18">
        <v>0</v>
      </c>
      <c r="BCX306" s="18">
        <v>0</v>
      </c>
      <c r="BCY306" s="18">
        <v>0</v>
      </c>
      <c r="BCZ306" s="18">
        <v>0</v>
      </c>
      <c r="BDA306" s="18">
        <v>0</v>
      </c>
      <c r="BDB306" s="18">
        <v>0</v>
      </c>
      <c r="BDC306" s="18">
        <v>0</v>
      </c>
      <c r="BDD306" s="18">
        <v>0</v>
      </c>
      <c r="BDE306" s="18">
        <v>0</v>
      </c>
      <c r="BDF306" s="18">
        <v>0</v>
      </c>
      <c r="BDG306" s="18">
        <v>0</v>
      </c>
      <c r="BDH306" s="18">
        <v>0</v>
      </c>
      <c r="BDI306" s="18">
        <v>0</v>
      </c>
      <c r="BDJ306" s="18">
        <v>0</v>
      </c>
      <c r="BDK306" s="18">
        <v>0</v>
      </c>
      <c r="BDL306" s="18">
        <v>0</v>
      </c>
      <c r="BDM306" s="18">
        <v>0</v>
      </c>
      <c r="BDN306" s="18">
        <v>0</v>
      </c>
      <c r="BDO306" s="18">
        <v>0</v>
      </c>
      <c r="BDP306" s="18">
        <v>0</v>
      </c>
      <c r="BDQ306" s="18">
        <v>0</v>
      </c>
      <c r="BDR306" s="18">
        <v>0</v>
      </c>
      <c r="BDS306" s="18">
        <v>0</v>
      </c>
      <c r="BDT306" s="18">
        <v>0</v>
      </c>
      <c r="BDU306" s="18">
        <v>0</v>
      </c>
      <c r="BDV306" s="18">
        <v>0</v>
      </c>
      <c r="BDW306" s="18">
        <v>0</v>
      </c>
      <c r="BDX306" s="18">
        <v>0</v>
      </c>
      <c r="BDY306" s="18">
        <v>0</v>
      </c>
      <c r="BDZ306" s="18">
        <v>0</v>
      </c>
      <c r="BEA306" s="18">
        <v>0</v>
      </c>
      <c r="BEB306" s="18">
        <v>0</v>
      </c>
      <c r="BEC306" s="18">
        <v>0</v>
      </c>
      <c r="BED306" s="18">
        <v>0</v>
      </c>
      <c r="BEE306" s="18">
        <v>0</v>
      </c>
      <c r="BEF306" s="18">
        <v>0</v>
      </c>
      <c r="BEG306" s="18">
        <v>0</v>
      </c>
      <c r="BEH306" s="18">
        <v>0</v>
      </c>
      <c r="BEI306" s="18">
        <v>0</v>
      </c>
      <c r="BEJ306" s="18">
        <v>0</v>
      </c>
      <c r="BEK306" s="18">
        <v>0</v>
      </c>
      <c r="BEL306" s="18">
        <v>0</v>
      </c>
      <c r="BEM306" s="18">
        <v>0</v>
      </c>
      <c r="BEN306" s="18">
        <v>0</v>
      </c>
      <c r="BEO306" s="18">
        <v>0</v>
      </c>
      <c r="BEP306" s="18">
        <v>0</v>
      </c>
      <c r="BEQ306" s="18">
        <v>0</v>
      </c>
      <c r="BER306" s="18">
        <v>0</v>
      </c>
      <c r="BES306" s="18">
        <v>0</v>
      </c>
      <c r="BET306" s="18">
        <v>0</v>
      </c>
      <c r="BEU306" s="18">
        <v>0</v>
      </c>
      <c r="BEV306" s="18">
        <v>0</v>
      </c>
      <c r="BEW306" s="18">
        <v>0</v>
      </c>
      <c r="BEX306" s="18">
        <v>0</v>
      </c>
      <c r="BEY306" s="18">
        <v>0</v>
      </c>
      <c r="BEZ306" s="18">
        <v>0</v>
      </c>
      <c r="BFA306" s="18">
        <v>0</v>
      </c>
      <c r="BFB306" s="18">
        <v>0</v>
      </c>
      <c r="BFC306" s="18">
        <v>0</v>
      </c>
      <c r="BFD306" s="18">
        <v>0</v>
      </c>
      <c r="BFE306" s="18">
        <v>0</v>
      </c>
      <c r="BFF306" s="18">
        <v>0</v>
      </c>
      <c r="BFG306" s="18">
        <v>0</v>
      </c>
      <c r="BFH306" s="18">
        <v>0</v>
      </c>
      <c r="BFI306" s="18">
        <v>0</v>
      </c>
      <c r="BFJ306" s="18">
        <v>0</v>
      </c>
      <c r="BFK306" s="18">
        <v>0</v>
      </c>
      <c r="BFL306" s="18">
        <v>0</v>
      </c>
      <c r="BFM306" s="18">
        <v>0</v>
      </c>
      <c r="BFN306" s="18">
        <v>0</v>
      </c>
      <c r="BFO306" s="18">
        <v>0</v>
      </c>
      <c r="BFP306" s="18">
        <v>0</v>
      </c>
      <c r="BFQ306" s="18">
        <v>0</v>
      </c>
      <c r="BFR306" s="18">
        <v>0</v>
      </c>
      <c r="BFS306" s="18">
        <v>0</v>
      </c>
      <c r="BFT306" s="18">
        <v>0</v>
      </c>
      <c r="BFU306" s="18">
        <v>0</v>
      </c>
      <c r="BFV306" s="18">
        <v>0</v>
      </c>
      <c r="BFW306" s="18">
        <v>0</v>
      </c>
      <c r="BFX306" s="18">
        <v>0</v>
      </c>
      <c r="BFY306" s="18">
        <v>0</v>
      </c>
      <c r="BFZ306" s="18">
        <v>0</v>
      </c>
      <c r="BGA306" s="18">
        <v>0</v>
      </c>
      <c r="BGB306" s="18">
        <v>0</v>
      </c>
      <c r="BGC306" s="18">
        <v>0</v>
      </c>
      <c r="BGD306" s="18">
        <v>0</v>
      </c>
      <c r="BGE306" s="18">
        <v>0</v>
      </c>
      <c r="BGF306" s="18">
        <v>0</v>
      </c>
      <c r="BGG306" s="18">
        <v>0</v>
      </c>
      <c r="BGH306" s="18">
        <v>0</v>
      </c>
      <c r="BGI306" s="18">
        <v>0</v>
      </c>
      <c r="BGJ306" s="18">
        <v>0</v>
      </c>
      <c r="BGK306" s="18">
        <v>0</v>
      </c>
      <c r="BGL306" s="18">
        <v>0</v>
      </c>
      <c r="BGM306" s="18">
        <v>0</v>
      </c>
      <c r="BGN306" s="18">
        <v>0</v>
      </c>
      <c r="BGO306" s="18">
        <v>0</v>
      </c>
      <c r="BGP306" s="18">
        <v>0</v>
      </c>
      <c r="BGQ306" s="18">
        <v>0</v>
      </c>
      <c r="BGR306" s="18">
        <v>0</v>
      </c>
      <c r="BGS306" s="18">
        <v>0</v>
      </c>
      <c r="BGT306" s="18">
        <v>0</v>
      </c>
      <c r="BGU306" s="18">
        <v>0</v>
      </c>
      <c r="BGV306" s="18">
        <v>0</v>
      </c>
      <c r="BGW306" s="18">
        <v>0</v>
      </c>
      <c r="BGX306" s="18">
        <v>0</v>
      </c>
      <c r="BGY306" s="18">
        <v>0</v>
      </c>
      <c r="BGZ306" s="18">
        <v>0</v>
      </c>
      <c r="BHA306" s="18">
        <v>0</v>
      </c>
      <c r="BHB306" s="18">
        <v>0</v>
      </c>
      <c r="BHC306" s="18">
        <v>0</v>
      </c>
      <c r="BHD306" s="18">
        <v>0</v>
      </c>
      <c r="BHE306" s="18">
        <v>0</v>
      </c>
      <c r="BHF306" s="18">
        <v>0</v>
      </c>
      <c r="BHG306" s="18">
        <v>0</v>
      </c>
      <c r="BHH306" s="18">
        <v>0</v>
      </c>
      <c r="BHI306" s="18">
        <v>0</v>
      </c>
      <c r="BHJ306" s="18">
        <v>0</v>
      </c>
      <c r="BHK306" s="18">
        <v>0</v>
      </c>
      <c r="BHL306" s="18">
        <v>0</v>
      </c>
      <c r="BHM306" s="18">
        <v>0</v>
      </c>
      <c r="BHN306" s="18">
        <v>0</v>
      </c>
      <c r="BHO306" s="18">
        <v>0</v>
      </c>
      <c r="BHP306" s="18">
        <v>0</v>
      </c>
      <c r="BHQ306" s="18">
        <v>0</v>
      </c>
      <c r="BHR306" s="18">
        <v>0</v>
      </c>
      <c r="BHS306" s="18">
        <v>0</v>
      </c>
      <c r="BHT306" s="18">
        <v>0</v>
      </c>
      <c r="BHU306" s="18">
        <v>0</v>
      </c>
      <c r="BHV306" s="18">
        <v>0</v>
      </c>
      <c r="BHW306" s="18">
        <v>0</v>
      </c>
      <c r="BHX306" s="18">
        <v>0</v>
      </c>
      <c r="BHY306" s="18">
        <v>0</v>
      </c>
      <c r="BHZ306" s="18">
        <v>0</v>
      </c>
      <c r="BIA306" s="18">
        <v>0</v>
      </c>
      <c r="BIB306" s="18">
        <v>0</v>
      </c>
      <c r="BIC306" s="18">
        <v>0</v>
      </c>
      <c r="BID306" s="18">
        <v>0</v>
      </c>
      <c r="BIE306" s="18">
        <v>0</v>
      </c>
      <c r="BIF306" s="18">
        <v>0</v>
      </c>
      <c r="BIG306" s="18">
        <v>0</v>
      </c>
      <c r="BIH306" s="18">
        <v>0</v>
      </c>
      <c r="BII306" s="18">
        <v>0</v>
      </c>
      <c r="BIJ306" s="18">
        <v>0</v>
      </c>
      <c r="BIK306" s="18">
        <v>0</v>
      </c>
      <c r="BIL306" s="18">
        <v>0</v>
      </c>
      <c r="BIM306" s="18">
        <v>0</v>
      </c>
      <c r="BIN306" s="18">
        <v>0</v>
      </c>
      <c r="BIO306" s="18">
        <v>0</v>
      </c>
      <c r="BIP306" s="18">
        <v>0</v>
      </c>
      <c r="BIQ306" s="18">
        <v>0</v>
      </c>
      <c r="BIR306" s="18">
        <v>0</v>
      </c>
      <c r="BIS306" s="18">
        <v>0</v>
      </c>
      <c r="BIT306" s="18">
        <v>0</v>
      </c>
      <c r="BIU306" s="18">
        <v>0</v>
      </c>
      <c r="BIV306" s="18">
        <v>0</v>
      </c>
      <c r="BIW306" s="18">
        <v>0</v>
      </c>
      <c r="BIX306" s="18">
        <v>0</v>
      </c>
      <c r="BIY306" s="18">
        <v>0</v>
      </c>
      <c r="BIZ306" s="18">
        <v>0</v>
      </c>
      <c r="BJA306" s="18">
        <v>0</v>
      </c>
      <c r="BJB306" s="18">
        <v>0</v>
      </c>
      <c r="BJC306" s="18">
        <v>0</v>
      </c>
      <c r="BJD306" s="18">
        <v>0</v>
      </c>
      <c r="BJE306" s="18">
        <v>0</v>
      </c>
      <c r="BJF306" s="18">
        <v>0</v>
      </c>
      <c r="BJG306" s="18">
        <v>0</v>
      </c>
      <c r="BJH306" s="18">
        <v>0</v>
      </c>
      <c r="BJI306" s="18">
        <v>0</v>
      </c>
      <c r="BJJ306" s="18">
        <v>0</v>
      </c>
      <c r="BJK306" s="18">
        <v>0</v>
      </c>
      <c r="BJL306" s="18">
        <v>0</v>
      </c>
      <c r="BJM306" s="18">
        <v>0</v>
      </c>
      <c r="BJN306" s="18">
        <v>0</v>
      </c>
      <c r="BJO306" s="18">
        <v>0</v>
      </c>
      <c r="BJP306" s="18">
        <v>0</v>
      </c>
      <c r="BJQ306" s="18">
        <v>0</v>
      </c>
      <c r="BJR306" s="18">
        <v>0</v>
      </c>
      <c r="BJS306" s="18">
        <v>0</v>
      </c>
      <c r="BJT306" s="18">
        <v>0</v>
      </c>
      <c r="BJU306" s="18">
        <v>0</v>
      </c>
      <c r="BJV306" s="18">
        <v>0</v>
      </c>
      <c r="BJW306" s="18">
        <v>0</v>
      </c>
      <c r="BJX306" s="18">
        <v>0</v>
      </c>
      <c r="BJY306" s="18">
        <v>0</v>
      </c>
      <c r="BJZ306" s="18">
        <v>0</v>
      </c>
      <c r="BKA306" s="18">
        <v>0</v>
      </c>
      <c r="BKB306" s="18">
        <v>0</v>
      </c>
      <c r="BKC306" s="18">
        <v>0</v>
      </c>
      <c r="BKD306" s="18">
        <v>0</v>
      </c>
      <c r="BKE306" s="18">
        <v>0</v>
      </c>
      <c r="BKF306" s="18">
        <v>0</v>
      </c>
      <c r="BKG306" s="18">
        <v>0</v>
      </c>
      <c r="BKH306" s="18">
        <v>0</v>
      </c>
      <c r="BKI306" s="18">
        <v>0</v>
      </c>
      <c r="BKJ306" s="18">
        <v>0</v>
      </c>
      <c r="BKK306" s="18">
        <v>0</v>
      </c>
      <c r="BKL306" s="18">
        <v>0</v>
      </c>
      <c r="BKM306" s="18">
        <v>0</v>
      </c>
      <c r="BKN306" s="18">
        <v>0</v>
      </c>
      <c r="BKO306" s="18">
        <v>0</v>
      </c>
      <c r="BKP306" s="18">
        <v>0</v>
      </c>
      <c r="BKQ306" s="18">
        <v>0</v>
      </c>
      <c r="BKR306" s="18">
        <v>0</v>
      </c>
      <c r="BKS306" s="18">
        <v>0</v>
      </c>
      <c r="BKT306" s="18">
        <v>0</v>
      </c>
      <c r="BKU306" s="18">
        <v>0</v>
      </c>
      <c r="BKV306" s="18">
        <v>0</v>
      </c>
      <c r="BKW306" s="18">
        <v>0</v>
      </c>
      <c r="BKX306" s="18">
        <v>0</v>
      </c>
      <c r="BKY306" s="18">
        <v>0</v>
      </c>
      <c r="BKZ306" s="18">
        <v>0</v>
      </c>
      <c r="BLA306" s="18">
        <v>0</v>
      </c>
      <c r="BLB306" s="18">
        <v>0</v>
      </c>
      <c r="BLC306" s="18">
        <v>0</v>
      </c>
      <c r="BLD306" s="18">
        <v>0</v>
      </c>
      <c r="BLE306" s="18">
        <v>0</v>
      </c>
      <c r="BLF306" s="18">
        <v>0</v>
      </c>
      <c r="BLG306" s="18">
        <v>0</v>
      </c>
      <c r="BLH306" s="18">
        <v>0</v>
      </c>
      <c r="BLI306" s="18">
        <v>0</v>
      </c>
      <c r="BLJ306" s="18">
        <v>0</v>
      </c>
      <c r="BLK306" s="18">
        <v>0</v>
      </c>
      <c r="BLL306" s="18">
        <v>0</v>
      </c>
      <c r="BLM306" s="18">
        <v>0</v>
      </c>
      <c r="BLN306" s="18">
        <v>0</v>
      </c>
      <c r="BLO306" s="18">
        <v>0</v>
      </c>
      <c r="BLP306" s="18">
        <v>0</v>
      </c>
      <c r="BLQ306" s="18">
        <v>0</v>
      </c>
      <c r="BLR306" s="18">
        <v>0</v>
      </c>
      <c r="BLS306" s="18">
        <v>0</v>
      </c>
      <c r="BLT306" s="18">
        <v>0</v>
      </c>
      <c r="BLU306" s="18">
        <v>0</v>
      </c>
      <c r="BLV306" s="18">
        <v>0</v>
      </c>
      <c r="BLW306" s="18">
        <v>0</v>
      </c>
      <c r="BLX306" s="18">
        <v>0</v>
      </c>
      <c r="BLY306" s="18">
        <v>0</v>
      </c>
      <c r="BLZ306" s="18">
        <v>0</v>
      </c>
      <c r="BMA306" s="18">
        <v>0</v>
      </c>
      <c r="BMB306" s="18">
        <v>0</v>
      </c>
      <c r="BMC306" s="18">
        <v>0</v>
      </c>
      <c r="BMD306" s="18">
        <v>0</v>
      </c>
      <c r="BME306" s="18">
        <v>0</v>
      </c>
      <c r="BMF306" s="18">
        <v>0</v>
      </c>
      <c r="BMG306" s="18">
        <v>0</v>
      </c>
      <c r="BMH306" s="18">
        <v>0</v>
      </c>
      <c r="BMI306" s="18">
        <v>0</v>
      </c>
      <c r="BMJ306" s="18">
        <v>0</v>
      </c>
      <c r="BMK306" s="18">
        <v>0</v>
      </c>
      <c r="BML306" s="18">
        <v>0</v>
      </c>
      <c r="BMM306" s="18">
        <v>0</v>
      </c>
      <c r="BMN306" s="18">
        <v>0</v>
      </c>
      <c r="BMO306" s="18">
        <v>0</v>
      </c>
      <c r="BMP306" s="18">
        <v>0</v>
      </c>
      <c r="BMQ306" s="18">
        <v>0</v>
      </c>
      <c r="BMR306" s="18">
        <v>0</v>
      </c>
      <c r="BMS306" s="18">
        <v>0</v>
      </c>
      <c r="BMT306" s="18">
        <v>0</v>
      </c>
      <c r="BMU306" s="18">
        <v>0</v>
      </c>
      <c r="BMV306" s="18">
        <v>0</v>
      </c>
      <c r="BMW306" s="18">
        <v>0</v>
      </c>
      <c r="BMX306" s="18">
        <v>0</v>
      </c>
      <c r="BMY306" s="18">
        <v>0</v>
      </c>
      <c r="BMZ306" s="18">
        <v>0</v>
      </c>
      <c r="BNA306" s="18">
        <v>0</v>
      </c>
      <c r="BNB306" s="18">
        <v>0</v>
      </c>
      <c r="BNC306" s="18">
        <v>0</v>
      </c>
      <c r="BND306" s="18">
        <v>0</v>
      </c>
      <c r="BNE306" s="18">
        <v>0</v>
      </c>
      <c r="BNF306" s="18">
        <v>0</v>
      </c>
      <c r="BNG306" s="18">
        <v>0</v>
      </c>
      <c r="BNH306" s="18">
        <v>0</v>
      </c>
      <c r="BNI306" s="18">
        <v>0</v>
      </c>
      <c r="BNJ306" s="18">
        <v>0</v>
      </c>
      <c r="BNK306" s="18">
        <v>0</v>
      </c>
      <c r="BNL306" s="18">
        <v>0</v>
      </c>
      <c r="BNM306" s="18">
        <v>0</v>
      </c>
      <c r="BNN306" s="18">
        <v>0</v>
      </c>
      <c r="BNO306" s="18">
        <v>0</v>
      </c>
      <c r="BNP306" s="18">
        <v>0</v>
      </c>
      <c r="BNQ306" s="18">
        <v>0</v>
      </c>
      <c r="BNR306" s="18">
        <v>0</v>
      </c>
      <c r="BNS306" s="18">
        <v>0</v>
      </c>
      <c r="BNT306" s="18">
        <v>0</v>
      </c>
      <c r="BNU306" s="18">
        <v>0</v>
      </c>
      <c r="BNV306" s="18">
        <v>0</v>
      </c>
      <c r="BNW306" s="18">
        <v>0</v>
      </c>
      <c r="BNX306" s="18">
        <v>0</v>
      </c>
      <c r="BNY306" s="18">
        <v>0</v>
      </c>
      <c r="BNZ306" s="18">
        <v>0</v>
      </c>
      <c r="BOA306" s="18">
        <v>0</v>
      </c>
      <c r="BOB306" s="18">
        <v>0</v>
      </c>
      <c r="BOC306" s="18">
        <v>0</v>
      </c>
      <c r="BOD306" s="18">
        <v>0</v>
      </c>
      <c r="BOE306" s="18">
        <v>0</v>
      </c>
      <c r="BOF306" s="18">
        <v>0</v>
      </c>
      <c r="BOG306" s="18">
        <v>0</v>
      </c>
      <c r="BOH306" s="18">
        <v>0</v>
      </c>
      <c r="BOI306" s="18">
        <v>0</v>
      </c>
      <c r="BOJ306" s="18">
        <v>0</v>
      </c>
      <c r="BOK306" s="18">
        <v>0</v>
      </c>
      <c r="BOL306" s="18">
        <v>0</v>
      </c>
      <c r="BOM306" s="18">
        <v>0</v>
      </c>
      <c r="BON306" s="18">
        <v>0</v>
      </c>
      <c r="BOO306" s="18">
        <v>0</v>
      </c>
      <c r="BOP306" s="18">
        <v>0</v>
      </c>
      <c r="BOQ306" s="18">
        <v>0</v>
      </c>
      <c r="BOR306" s="18">
        <v>0</v>
      </c>
      <c r="BOS306" s="18">
        <v>0</v>
      </c>
      <c r="BOT306" s="18">
        <v>0</v>
      </c>
      <c r="BOU306" s="18">
        <v>0</v>
      </c>
      <c r="BOV306" s="18">
        <v>0</v>
      </c>
      <c r="BOW306" s="18">
        <v>0</v>
      </c>
      <c r="BOX306" s="18">
        <v>0</v>
      </c>
      <c r="BOY306" s="18">
        <v>0</v>
      </c>
      <c r="BOZ306" s="18">
        <v>0</v>
      </c>
      <c r="BPA306" s="18">
        <v>0</v>
      </c>
      <c r="BPB306" s="18">
        <v>0</v>
      </c>
      <c r="BPC306" s="18">
        <v>0</v>
      </c>
      <c r="BPD306" s="18">
        <v>0</v>
      </c>
      <c r="BPE306" s="18">
        <v>0</v>
      </c>
      <c r="BPF306" s="18">
        <v>0</v>
      </c>
      <c r="BPG306" s="18">
        <v>0</v>
      </c>
      <c r="BPH306" s="18">
        <v>0</v>
      </c>
      <c r="BPI306" s="18">
        <v>0</v>
      </c>
      <c r="BPJ306" s="18">
        <v>0</v>
      </c>
      <c r="BPK306" s="18">
        <v>0</v>
      </c>
      <c r="BPL306" s="18">
        <v>0</v>
      </c>
      <c r="BPM306" s="18">
        <v>0</v>
      </c>
      <c r="BPN306" s="18">
        <v>0</v>
      </c>
      <c r="BPO306" s="18">
        <v>0</v>
      </c>
      <c r="BPP306" s="18">
        <v>0</v>
      </c>
      <c r="BPQ306" s="18">
        <v>0</v>
      </c>
      <c r="BPR306" s="18">
        <v>0</v>
      </c>
      <c r="BPS306" s="18">
        <v>0</v>
      </c>
      <c r="BPT306" s="18">
        <v>0</v>
      </c>
      <c r="BPU306" s="18">
        <v>0</v>
      </c>
      <c r="BPV306" s="18">
        <v>0</v>
      </c>
      <c r="BPW306" s="18">
        <v>0</v>
      </c>
      <c r="BPX306" s="18">
        <v>0</v>
      </c>
      <c r="BPY306" s="18">
        <v>0</v>
      </c>
      <c r="BPZ306" s="18">
        <v>0</v>
      </c>
      <c r="BQA306" s="18">
        <v>0</v>
      </c>
      <c r="BQB306" s="18">
        <v>0</v>
      </c>
      <c r="BQC306" s="18">
        <v>0</v>
      </c>
      <c r="BQD306" s="18">
        <v>0</v>
      </c>
      <c r="BQE306" s="18">
        <v>0</v>
      </c>
      <c r="BQF306" s="18">
        <v>0</v>
      </c>
      <c r="BQG306" s="18">
        <v>0</v>
      </c>
      <c r="BQH306" s="18">
        <v>0</v>
      </c>
      <c r="BQI306" s="18">
        <v>0</v>
      </c>
      <c r="BQJ306" s="18">
        <v>0</v>
      </c>
      <c r="BQK306" s="18">
        <v>0</v>
      </c>
      <c r="BQL306" s="18">
        <v>0</v>
      </c>
      <c r="BQM306" s="18">
        <v>0</v>
      </c>
      <c r="BQN306" s="18">
        <v>0</v>
      </c>
      <c r="BQO306" s="18">
        <v>0</v>
      </c>
      <c r="BQP306" s="18">
        <v>0</v>
      </c>
      <c r="BQQ306" s="18">
        <v>0</v>
      </c>
      <c r="BQR306" s="18">
        <v>0</v>
      </c>
      <c r="BQS306" s="18">
        <v>0</v>
      </c>
      <c r="BQT306" s="18">
        <v>0</v>
      </c>
      <c r="BQU306" s="18">
        <v>0</v>
      </c>
      <c r="BQV306" s="18">
        <v>0</v>
      </c>
      <c r="BQW306" s="18">
        <v>0</v>
      </c>
      <c r="BQX306" s="18">
        <v>0</v>
      </c>
      <c r="BQY306" s="18">
        <v>0</v>
      </c>
      <c r="BQZ306" s="18">
        <v>0</v>
      </c>
      <c r="BRA306" s="18">
        <v>0</v>
      </c>
      <c r="BRB306" s="18">
        <v>0</v>
      </c>
      <c r="BRC306" s="18">
        <v>0</v>
      </c>
      <c r="BRD306" s="18">
        <v>0</v>
      </c>
      <c r="BRE306" s="18">
        <v>0</v>
      </c>
      <c r="BRF306" s="18">
        <v>0</v>
      </c>
      <c r="BRG306" s="18">
        <v>0</v>
      </c>
      <c r="BRH306" s="18">
        <v>0</v>
      </c>
      <c r="BRI306" s="18">
        <v>0</v>
      </c>
      <c r="BRJ306" s="18">
        <v>0</v>
      </c>
      <c r="BRK306" s="18">
        <v>0</v>
      </c>
      <c r="BRL306" s="18">
        <v>0</v>
      </c>
      <c r="BRM306" s="18">
        <v>0</v>
      </c>
      <c r="BRN306" s="18">
        <v>0</v>
      </c>
      <c r="BRO306" s="18">
        <v>0</v>
      </c>
      <c r="BRP306" s="18">
        <v>0</v>
      </c>
      <c r="BRQ306" s="18">
        <v>0</v>
      </c>
      <c r="BRR306" s="18">
        <v>0</v>
      </c>
      <c r="BRS306" s="18">
        <v>0</v>
      </c>
      <c r="BRT306" s="18">
        <v>0</v>
      </c>
      <c r="BRU306" s="18">
        <v>0</v>
      </c>
      <c r="BRV306" s="18">
        <v>0</v>
      </c>
      <c r="BRW306" s="18">
        <v>0</v>
      </c>
      <c r="BRX306" s="18">
        <v>0</v>
      </c>
      <c r="BRY306" s="18">
        <v>0</v>
      </c>
      <c r="BRZ306" s="18">
        <v>0</v>
      </c>
      <c r="BSA306" s="18">
        <v>0</v>
      </c>
      <c r="BSB306" s="18">
        <v>0</v>
      </c>
      <c r="BSC306" s="18">
        <v>0</v>
      </c>
      <c r="BSD306" s="18">
        <v>0</v>
      </c>
      <c r="BSE306" s="18">
        <v>0</v>
      </c>
      <c r="BSF306" s="18">
        <v>0</v>
      </c>
      <c r="BSG306" s="18">
        <v>0</v>
      </c>
      <c r="BSH306" s="18">
        <v>0</v>
      </c>
      <c r="BSI306" s="18">
        <v>0</v>
      </c>
      <c r="BSJ306" s="18">
        <v>0</v>
      </c>
      <c r="BSK306" s="18">
        <v>0</v>
      </c>
      <c r="BSL306" s="18">
        <v>0</v>
      </c>
      <c r="BSM306" s="18">
        <v>0</v>
      </c>
      <c r="BSN306" s="18">
        <v>0</v>
      </c>
      <c r="BSO306" s="18">
        <v>0</v>
      </c>
      <c r="BSP306" s="18">
        <v>0</v>
      </c>
      <c r="BSQ306" s="18">
        <v>0</v>
      </c>
      <c r="BSR306" s="18">
        <v>0</v>
      </c>
      <c r="BSS306" s="18">
        <v>0</v>
      </c>
      <c r="BST306" s="18">
        <v>0</v>
      </c>
      <c r="BSU306" s="18">
        <v>0</v>
      </c>
      <c r="BSV306" s="18">
        <v>0</v>
      </c>
      <c r="BSW306" s="18">
        <v>0</v>
      </c>
      <c r="BSX306" s="18">
        <v>0</v>
      </c>
      <c r="BSY306" s="18">
        <v>0</v>
      </c>
      <c r="BSZ306" s="18">
        <v>0</v>
      </c>
      <c r="BTA306" s="18">
        <v>0</v>
      </c>
      <c r="BTB306" s="18">
        <v>0</v>
      </c>
      <c r="BTC306" s="18">
        <v>0</v>
      </c>
      <c r="BTD306" s="18">
        <v>0</v>
      </c>
      <c r="BTE306" s="18">
        <v>0</v>
      </c>
      <c r="BTF306" s="18">
        <v>0</v>
      </c>
      <c r="BTG306" s="18">
        <v>0</v>
      </c>
      <c r="BTH306" s="18">
        <v>0</v>
      </c>
      <c r="BTI306" s="18">
        <v>0</v>
      </c>
      <c r="BTJ306" s="18">
        <v>0</v>
      </c>
      <c r="BTK306" s="18">
        <v>0</v>
      </c>
      <c r="BTL306" s="18">
        <v>0</v>
      </c>
      <c r="BTM306" s="18">
        <v>0</v>
      </c>
      <c r="BTN306" s="18">
        <v>0</v>
      </c>
      <c r="BTO306" s="18">
        <v>0</v>
      </c>
      <c r="BTP306" s="18">
        <v>0</v>
      </c>
      <c r="BTQ306" s="18">
        <v>0</v>
      </c>
      <c r="BTR306" s="18">
        <v>0</v>
      </c>
      <c r="BTS306" s="18">
        <v>0</v>
      </c>
      <c r="BTT306" s="18">
        <v>0</v>
      </c>
      <c r="BTU306" s="18">
        <v>0</v>
      </c>
      <c r="BTV306" s="18">
        <v>0</v>
      </c>
      <c r="BTW306" s="18">
        <v>0</v>
      </c>
      <c r="BTX306" s="18">
        <v>0</v>
      </c>
      <c r="BTY306" s="18">
        <v>0</v>
      </c>
      <c r="BTZ306" s="18">
        <v>0</v>
      </c>
      <c r="BUA306" s="18">
        <v>0</v>
      </c>
      <c r="BUB306" s="18">
        <v>0</v>
      </c>
      <c r="BUC306" s="18">
        <v>0</v>
      </c>
      <c r="BUD306" s="18">
        <v>0</v>
      </c>
      <c r="BUE306" s="18">
        <v>0</v>
      </c>
      <c r="BUF306" s="18">
        <v>0</v>
      </c>
      <c r="BUG306" s="18">
        <v>0</v>
      </c>
      <c r="BUH306" s="18">
        <v>0</v>
      </c>
      <c r="BUI306" s="18">
        <v>0</v>
      </c>
      <c r="BUJ306" s="18">
        <v>0</v>
      </c>
      <c r="BUK306" s="18">
        <v>0</v>
      </c>
      <c r="BUL306" s="18">
        <v>0</v>
      </c>
      <c r="BUM306" s="18">
        <v>0</v>
      </c>
      <c r="BUN306" s="18">
        <v>0</v>
      </c>
      <c r="BUO306" s="18">
        <v>0</v>
      </c>
      <c r="BUP306" s="18">
        <v>0</v>
      </c>
      <c r="BUQ306" s="18">
        <v>0</v>
      </c>
      <c r="BUR306" s="18">
        <v>0</v>
      </c>
      <c r="BUS306" s="18">
        <v>0</v>
      </c>
      <c r="BUT306" s="18">
        <v>0</v>
      </c>
      <c r="BUU306" s="18">
        <v>0</v>
      </c>
      <c r="BUV306" s="18">
        <v>0</v>
      </c>
      <c r="BUW306" s="18">
        <v>0</v>
      </c>
      <c r="BUX306" s="18">
        <v>0</v>
      </c>
      <c r="BUY306" s="18">
        <v>0</v>
      </c>
      <c r="BUZ306" s="18">
        <v>0</v>
      </c>
      <c r="BVA306" s="18">
        <v>0</v>
      </c>
      <c r="BVB306" s="18">
        <v>0</v>
      </c>
      <c r="BVC306" s="18">
        <v>0</v>
      </c>
      <c r="BVD306" s="18">
        <v>0</v>
      </c>
      <c r="BVE306" s="18">
        <v>0</v>
      </c>
      <c r="BVF306" s="18">
        <v>0</v>
      </c>
      <c r="BVG306" s="18">
        <v>0</v>
      </c>
      <c r="BVH306" s="18">
        <v>0</v>
      </c>
      <c r="BVI306" s="18">
        <v>0</v>
      </c>
      <c r="BVJ306" s="18">
        <v>0</v>
      </c>
      <c r="BVK306" s="18">
        <v>0</v>
      </c>
      <c r="BVL306" s="18">
        <v>0</v>
      </c>
      <c r="BVM306" s="18">
        <v>0</v>
      </c>
      <c r="BVN306" s="18">
        <v>0</v>
      </c>
      <c r="BVO306" s="18">
        <v>0</v>
      </c>
      <c r="BVP306" s="18">
        <v>0</v>
      </c>
      <c r="BVQ306" s="18">
        <v>0</v>
      </c>
      <c r="BVR306" s="18">
        <v>0</v>
      </c>
      <c r="BVS306" s="18">
        <v>0</v>
      </c>
      <c r="BVT306" s="18">
        <v>0</v>
      </c>
      <c r="BVU306" s="18">
        <v>0</v>
      </c>
      <c r="BVV306" s="18">
        <v>0</v>
      </c>
      <c r="BVW306" s="18">
        <v>0</v>
      </c>
      <c r="BVX306" s="18">
        <v>0</v>
      </c>
      <c r="BVY306" s="18">
        <v>0</v>
      </c>
      <c r="BVZ306" s="18">
        <v>0</v>
      </c>
      <c r="BWA306" s="18">
        <v>0</v>
      </c>
      <c r="BWB306" s="18">
        <v>0</v>
      </c>
      <c r="BWC306" s="18">
        <v>0</v>
      </c>
      <c r="BWD306" s="18">
        <v>0</v>
      </c>
      <c r="BWE306" s="18">
        <v>0</v>
      </c>
      <c r="BWF306" s="18">
        <v>0</v>
      </c>
      <c r="BWG306" s="18">
        <v>0</v>
      </c>
      <c r="BWH306" s="18">
        <v>0</v>
      </c>
      <c r="BWI306" s="18">
        <v>0</v>
      </c>
      <c r="BWJ306" s="18">
        <v>0</v>
      </c>
      <c r="BWK306" s="18">
        <v>0</v>
      </c>
      <c r="BWL306" s="18">
        <v>0</v>
      </c>
      <c r="BWM306" s="18">
        <v>0</v>
      </c>
      <c r="BWN306" s="18">
        <v>0</v>
      </c>
      <c r="BWO306" s="18">
        <v>0</v>
      </c>
      <c r="BWP306" s="18">
        <v>0</v>
      </c>
      <c r="BWQ306" s="18">
        <v>0</v>
      </c>
      <c r="BWR306" s="18">
        <v>0</v>
      </c>
      <c r="BWS306" s="18">
        <v>0</v>
      </c>
      <c r="BWT306" s="18">
        <v>0</v>
      </c>
      <c r="BWU306" s="18">
        <v>0</v>
      </c>
      <c r="BWV306" s="18">
        <v>0</v>
      </c>
      <c r="BWW306" s="18">
        <v>0</v>
      </c>
      <c r="BWX306" s="18">
        <v>0</v>
      </c>
      <c r="BWY306" s="18">
        <v>0</v>
      </c>
      <c r="BWZ306" s="18">
        <v>0</v>
      </c>
      <c r="BXA306" s="18">
        <v>0</v>
      </c>
      <c r="BXB306" s="18">
        <v>0</v>
      </c>
      <c r="BXC306" s="18">
        <v>0</v>
      </c>
      <c r="BXD306" s="18">
        <v>0</v>
      </c>
      <c r="BXE306" s="18">
        <v>0</v>
      </c>
      <c r="BXF306" s="18">
        <v>0</v>
      </c>
      <c r="BXG306" s="18">
        <v>0</v>
      </c>
      <c r="BXH306" s="18">
        <v>0</v>
      </c>
      <c r="BXI306" s="18">
        <v>0</v>
      </c>
      <c r="BXJ306" s="18">
        <v>0</v>
      </c>
      <c r="BXK306" s="18">
        <v>0</v>
      </c>
      <c r="BXL306" s="18">
        <v>0</v>
      </c>
      <c r="BXM306" s="18">
        <v>0</v>
      </c>
      <c r="BXN306" s="18">
        <v>0</v>
      </c>
      <c r="BXO306" s="18">
        <v>0</v>
      </c>
      <c r="BXP306" s="18">
        <v>0</v>
      </c>
      <c r="BXQ306" s="18">
        <v>0</v>
      </c>
      <c r="BXR306" s="18">
        <v>0</v>
      </c>
      <c r="BXS306" s="18">
        <v>0</v>
      </c>
      <c r="BXT306" s="18">
        <v>0</v>
      </c>
      <c r="BXU306" s="18">
        <v>0</v>
      </c>
      <c r="BXV306" s="18">
        <v>0</v>
      </c>
      <c r="BXW306" s="18">
        <v>0</v>
      </c>
      <c r="BXX306" s="18">
        <v>0</v>
      </c>
      <c r="BXY306" s="18">
        <v>0</v>
      </c>
      <c r="BXZ306" s="18">
        <v>0</v>
      </c>
      <c r="BYA306" s="18">
        <v>0</v>
      </c>
      <c r="BYB306" s="18">
        <v>0</v>
      </c>
      <c r="BYC306" s="18">
        <v>0</v>
      </c>
      <c r="BYD306" s="18">
        <v>0</v>
      </c>
      <c r="BYE306" s="18">
        <v>0</v>
      </c>
      <c r="BYF306" s="18">
        <v>0</v>
      </c>
      <c r="BYG306" s="18">
        <v>0</v>
      </c>
      <c r="BYH306" s="18">
        <v>0</v>
      </c>
      <c r="BYI306" s="18">
        <v>0</v>
      </c>
      <c r="BYJ306" s="18">
        <v>0</v>
      </c>
      <c r="BYK306" s="18">
        <v>0</v>
      </c>
      <c r="BYL306" s="18">
        <v>0</v>
      </c>
      <c r="BYM306" s="18">
        <v>0</v>
      </c>
      <c r="BYN306" s="18">
        <v>0</v>
      </c>
      <c r="BYO306" s="18">
        <v>0</v>
      </c>
      <c r="BYP306" s="18">
        <v>0</v>
      </c>
      <c r="BYQ306" s="18">
        <v>0</v>
      </c>
      <c r="BYR306" s="18">
        <v>0</v>
      </c>
      <c r="BYS306" s="18">
        <v>0</v>
      </c>
      <c r="BYT306" s="18">
        <v>0</v>
      </c>
      <c r="BYU306" s="18">
        <v>0</v>
      </c>
      <c r="BYV306" s="18">
        <v>0</v>
      </c>
      <c r="BYW306" s="18">
        <v>0</v>
      </c>
      <c r="BYX306" s="18">
        <v>0</v>
      </c>
      <c r="BYY306" s="18">
        <v>0</v>
      </c>
      <c r="BYZ306" s="18">
        <v>0</v>
      </c>
      <c r="BZA306" s="18">
        <v>0</v>
      </c>
      <c r="BZB306" s="18">
        <v>0</v>
      </c>
      <c r="BZC306" s="18">
        <v>0</v>
      </c>
      <c r="BZD306" s="18">
        <v>0</v>
      </c>
      <c r="BZE306" s="18">
        <v>0</v>
      </c>
      <c r="BZF306" s="18">
        <v>0</v>
      </c>
      <c r="BZG306" s="18">
        <v>0</v>
      </c>
      <c r="BZH306" s="18">
        <v>0</v>
      </c>
      <c r="BZI306" s="18">
        <v>0</v>
      </c>
      <c r="BZJ306" s="18">
        <v>0</v>
      </c>
      <c r="BZK306" s="18">
        <v>0</v>
      </c>
      <c r="BZL306" s="18">
        <v>0</v>
      </c>
      <c r="BZM306" s="18">
        <v>0</v>
      </c>
      <c r="BZN306" s="18">
        <v>0</v>
      </c>
      <c r="BZO306" s="18">
        <v>0</v>
      </c>
      <c r="BZP306" s="18">
        <v>0</v>
      </c>
      <c r="BZQ306" s="18">
        <v>0</v>
      </c>
      <c r="BZR306" s="18">
        <v>0</v>
      </c>
      <c r="BZS306" s="18">
        <v>0</v>
      </c>
      <c r="BZT306" s="18">
        <v>0</v>
      </c>
      <c r="BZU306" s="18">
        <v>0</v>
      </c>
      <c r="BZV306" s="18">
        <v>0</v>
      </c>
      <c r="BZW306" s="18">
        <v>0</v>
      </c>
      <c r="BZX306" s="18">
        <v>0</v>
      </c>
      <c r="BZY306" s="18">
        <v>0</v>
      </c>
      <c r="BZZ306" s="18">
        <v>0</v>
      </c>
      <c r="CAA306" s="18">
        <v>0</v>
      </c>
      <c r="CAB306" s="18">
        <v>0</v>
      </c>
      <c r="CAC306" s="18">
        <v>0</v>
      </c>
      <c r="CAD306" s="18">
        <v>0</v>
      </c>
      <c r="CAE306" s="18">
        <v>0</v>
      </c>
      <c r="CAF306" s="18">
        <v>0</v>
      </c>
      <c r="CAG306" s="18">
        <v>0</v>
      </c>
      <c r="CAH306" s="18">
        <v>0</v>
      </c>
      <c r="CAI306" s="18">
        <v>0</v>
      </c>
      <c r="CAJ306" s="18">
        <v>0</v>
      </c>
      <c r="CAK306" s="18">
        <v>0</v>
      </c>
      <c r="CAL306" s="18">
        <v>0</v>
      </c>
      <c r="CAM306" s="18">
        <v>0</v>
      </c>
      <c r="CAN306" s="18">
        <v>0</v>
      </c>
      <c r="CAO306" s="18">
        <v>0</v>
      </c>
      <c r="CAP306" s="18">
        <v>0</v>
      </c>
      <c r="CAQ306" s="18">
        <v>0</v>
      </c>
      <c r="CAR306" s="18">
        <v>0</v>
      </c>
      <c r="CAS306" s="18">
        <v>0</v>
      </c>
      <c r="CAT306" s="18">
        <v>0</v>
      </c>
      <c r="CAU306" s="18">
        <v>0</v>
      </c>
      <c r="CAV306" s="18">
        <v>0</v>
      </c>
      <c r="CAW306" s="18">
        <v>0</v>
      </c>
      <c r="CAX306" s="18">
        <v>0</v>
      </c>
      <c r="CAY306" s="18">
        <v>0</v>
      </c>
      <c r="CAZ306" s="18">
        <v>0</v>
      </c>
      <c r="CBA306" s="18">
        <v>0</v>
      </c>
      <c r="CBB306" s="18">
        <v>0</v>
      </c>
      <c r="CBC306" s="18">
        <v>0</v>
      </c>
      <c r="CBD306" s="18">
        <v>0</v>
      </c>
      <c r="CBE306" s="18">
        <v>0</v>
      </c>
      <c r="CBF306" s="18">
        <v>0</v>
      </c>
      <c r="CBG306" s="18">
        <v>0</v>
      </c>
      <c r="CBH306" s="18">
        <v>0</v>
      </c>
      <c r="CBI306" s="18">
        <v>0</v>
      </c>
      <c r="CBJ306" s="18">
        <v>0</v>
      </c>
      <c r="CBK306" s="18">
        <v>0</v>
      </c>
      <c r="CBL306" s="18">
        <v>0</v>
      </c>
      <c r="CBM306" s="18">
        <v>0</v>
      </c>
      <c r="CBN306" s="18">
        <v>0</v>
      </c>
      <c r="CBO306" s="18">
        <v>0</v>
      </c>
      <c r="CBP306" s="18">
        <v>0</v>
      </c>
      <c r="CBQ306" s="18">
        <v>0</v>
      </c>
      <c r="CBR306" s="18">
        <v>0</v>
      </c>
      <c r="CBS306" s="18">
        <v>0</v>
      </c>
      <c r="CBT306" s="18">
        <v>0</v>
      </c>
      <c r="CBU306" s="18">
        <v>0</v>
      </c>
      <c r="CBV306" s="18">
        <v>0</v>
      </c>
      <c r="CBW306" s="18">
        <v>0</v>
      </c>
      <c r="CBX306" s="18">
        <v>0</v>
      </c>
      <c r="CBY306" s="18">
        <v>0</v>
      </c>
      <c r="CBZ306" s="18">
        <v>0</v>
      </c>
      <c r="CCA306" s="18">
        <v>0</v>
      </c>
      <c r="CCB306" s="18">
        <v>0</v>
      </c>
      <c r="CCC306" s="18">
        <v>0</v>
      </c>
      <c r="CCD306" s="18">
        <v>0</v>
      </c>
      <c r="CCE306" s="18">
        <v>0</v>
      </c>
      <c r="CCF306" s="18">
        <v>0</v>
      </c>
      <c r="CCG306" s="18">
        <v>0</v>
      </c>
      <c r="CCH306" s="18">
        <v>0</v>
      </c>
      <c r="CCI306" s="18">
        <v>0</v>
      </c>
      <c r="CCJ306" s="18">
        <v>0</v>
      </c>
      <c r="CCK306" s="18">
        <v>0</v>
      </c>
      <c r="CCL306" s="18">
        <v>0</v>
      </c>
      <c r="CCM306" s="18">
        <v>0</v>
      </c>
      <c r="CCN306" s="18">
        <v>0</v>
      </c>
      <c r="CCO306" s="18">
        <v>0</v>
      </c>
      <c r="CCP306" s="18">
        <v>0</v>
      </c>
      <c r="CCQ306" s="18">
        <v>0</v>
      </c>
      <c r="CCR306" s="18">
        <v>0</v>
      </c>
      <c r="CCS306" s="18">
        <v>0</v>
      </c>
      <c r="CCT306" s="18">
        <v>0</v>
      </c>
      <c r="CCU306" s="18">
        <v>0</v>
      </c>
      <c r="CCV306" s="18">
        <v>0</v>
      </c>
      <c r="CCW306" s="18">
        <v>0</v>
      </c>
      <c r="CCX306" s="18">
        <v>0</v>
      </c>
      <c r="CCY306" s="18">
        <v>0</v>
      </c>
      <c r="CCZ306" s="18">
        <v>0</v>
      </c>
      <c r="CDA306" s="18">
        <v>0</v>
      </c>
      <c r="CDB306" s="18">
        <v>0</v>
      </c>
      <c r="CDC306" s="18">
        <v>0</v>
      </c>
      <c r="CDD306" s="18">
        <v>0</v>
      </c>
      <c r="CDE306" s="18">
        <v>0</v>
      </c>
      <c r="CDF306" s="18">
        <v>0</v>
      </c>
      <c r="CDG306" s="18">
        <v>0</v>
      </c>
      <c r="CDH306" s="18">
        <v>0</v>
      </c>
      <c r="CDI306" s="18">
        <v>0</v>
      </c>
      <c r="CDJ306" s="18">
        <v>0</v>
      </c>
      <c r="CDK306" s="18">
        <v>0</v>
      </c>
      <c r="CDL306" s="18">
        <v>0</v>
      </c>
      <c r="CDM306" s="18">
        <v>0</v>
      </c>
      <c r="CDN306" s="18">
        <v>0</v>
      </c>
      <c r="CDO306" s="18">
        <v>0</v>
      </c>
      <c r="CDP306" s="18">
        <v>0</v>
      </c>
      <c r="CDQ306" s="18">
        <v>0</v>
      </c>
      <c r="CDR306" s="18">
        <v>0</v>
      </c>
      <c r="CDS306" s="18">
        <v>0</v>
      </c>
      <c r="CDT306" s="18">
        <v>0</v>
      </c>
      <c r="CDU306" s="18">
        <v>0</v>
      </c>
      <c r="CDV306" s="18">
        <v>0</v>
      </c>
      <c r="CDW306" s="18">
        <v>0</v>
      </c>
      <c r="CDX306" s="18">
        <v>0</v>
      </c>
      <c r="CDY306" s="18">
        <v>0</v>
      </c>
      <c r="CDZ306" s="18">
        <v>0</v>
      </c>
      <c r="CEA306" s="18">
        <v>0</v>
      </c>
      <c r="CEB306" s="18">
        <v>0</v>
      </c>
      <c r="CEC306" s="18">
        <v>0</v>
      </c>
      <c r="CED306" s="18">
        <v>0</v>
      </c>
      <c r="CEE306" s="18">
        <v>0</v>
      </c>
      <c r="CEF306" s="18">
        <v>0</v>
      </c>
      <c r="CEG306" s="18">
        <v>0</v>
      </c>
      <c r="CEH306" s="18">
        <v>0</v>
      </c>
      <c r="CEI306" s="18">
        <v>0</v>
      </c>
      <c r="CEJ306" s="18">
        <v>0</v>
      </c>
      <c r="CEK306" s="18">
        <v>0</v>
      </c>
      <c r="CEL306" s="18">
        <v>0</v>
      </c>
      <c r="CEM306" s="18">
        <v>0</v>
      </c>
      <c r="CEN306" s="18">
        <v>0</v>
      </c>
      <c r="CEO306" s="18">
        <v>0</v>
      </c>
      <c r="CEP306" s="18">
        <v>0</v>
      </c>
      <c r="CEQ306" s="18">
        <v>0</v>
      </c>
      <c r="CER306" s="18">
        <v>0</v>
      </c>
      <c r="CES306" s="18">
        <v>0</v>
      </c>
      <c r="CET306" s="18">
        <v>0</v>
      </c>
      <c r="CEU306" s="18">
        <v>0</v>
      </c>
      <c r="CEV306" s="18">
        <v>0</v>
      </c>
      <c r="CEW306" s="18">
        <v>0</v>
      </c>
      <c r="CEX306" s="18">
        <v>0</v>
      </c>
      <c r="CEY306" s="18">
        <v>0</v>
      </c>
      <c r="CEZ306" s="18">
        <v>0</v>
      </c>
      <c r="CFA306" s="18">
        <v>0</v>
      </c>
      <c r="CFB306" s="18">
        <v>0</v>
      </c>
      <c r="CFC306" s="18">
        <v>0</v>
      </c>
      <c r="CFD306" s="18">
        <v>0</v>
      </c>
      <c r="CFE306" s="18">
        <v>0</v>
      </c>
      <c r="CFF306" s="18">
        <v>0</v>
      </c>
      <c r="CFG306" s="18">
        <v>0</v>
      </c>
      <c r="CFH306" s="18">
        <v>0</v>
      </c>
      <c r="CFI306" s="18">
        <v>0</v>
      </c>
      <c r="CFJ306" s="18">
        <v>0</v>
      </c>
      <c r="CFK306" s="18">
        <v>0</v>
      </c>
      <c r="CFL306" s="18">
        <v>0</v>
      </c>
      <c r="CFM306" s="18">
        <v>0</v>
      </c>
      <c r="CFN306" s="18">
        <v>0</v>
      </c>
      <c r="CFO306" s="18">
        <v>0</v>
      </c>
      <c r="CFP306" s="18">
        <v>0</v>
      </c>
      <c r="CFQ306" s="18">
        <v>0</v>
      </c>
      <c r="CFR306" s="18">
        <v>0</v>
      </c>
      <c r="CFS306" s="18">
        <v>0</v>
      </c>
      <c r="CFT306" s="18">
        <v>0</v>
      </c>
      <c r="CFU306" s="18">
        <v>0</v>
      </c>
      <c r="CFV306" s="18">
        <v>0</v>
      </c>
      <c r="CFW306" s="18">
        <v>0</v>
      </c>
      <c r="CFX306" s="18">
        <v>0</v>
      </c>
      <c r="CFY306" s="18">
        <v>0</v>
      </c>
      <c r="CFZ306" s="18">
        <v>0</v>
      </c>
      <c r="CGA306" s="18">
        <v>0</v>
      </c>
      <c r="CGB306" s="18">
        <v>0</v>
      </c>
      <c r="CGC306" s="18">
        <v>0</v>
      </c>
      <c r="CGD306" s="18">
        <v>0</v>
      </c>
      <c r="CGE306" s="18">
        <v>0</v>
      </c>
      <c r="CGF306" s="18">
        <v>0</v>
      </c>
      <c r="CGG306" s="18">
        <v>0</v>
      </c>
      <c r="CGH306" s="18">
        <v>0</v>
      </c>
      <c r="CGI306" s="18">
        <v>0</v>
      </c>
      <c r="CGJ306" s="18">
        <v>0</v>
      </c>
      <c r="CGK306" s="18">
        <v>0</v>
      </c>
      <c r="CGL306" s="18">
        <v>0</v>
      </c>
      <c r="CGM306" s="18">
        <v>0</v>
      </c>
      <c r="CGN306" s="18">
        <v>0</v>
      </c>
      <c r="CGO306" s="18">
        <v>0</v>
      </c>
      <c r="CGP306" s="18">
        <v>0</v>
      </c>
      <c r="CGQ306" s="18">
        <v>0</v>
      </c>
      <c r="CGR306" s="18">
        <v>0</v>
      </c>
      <c r="CGS306" s="18">
        <v>0</v>
      </c>
      <c r="CGT306" s="18">
        <v>0</v>
      </c>
      <c r="CGU306" s="18">
        <v>0</v>
      </c>
      <c r="CGV306" s="18">
        <v>0</v>
      </c>
      <c r="CGW306" s="18">
        <v>0</v>
      </c>
      <c r="CGX306" s="18">
        <v>0</v>
      </c>
      <c r="CGY306" s="18">
        <v>0</v>
      </c>
      <c r="CGZ306" s="18">
        <v>0</v>
      </c>
      <c r="CHA306" s="18">
        <v>0</v>
      </c>
      <c r="CHB306" s="18">
        <v>0</v>
      </c>
      <c r="CHC306" s="18">
        <v>0</v>
      </c>
      <c r="CHD306" s="18">
        <v>0</v>
      </c>
      <c r="CHE306" s="18">
        <v>0</v>
      </c>
      <c r="CHF306" s="18">
        <v>0</v>
      </c>
      <c r="CHG306" s="18">
        <v>0</v>
      </c>
      <c r="CHH306" s="18">
        <v>0</v>
      </c>
      <c r="CHI306" s="18">
        <v>0</v>
      </c>
      <c r="CHJ306" s="18">
        <v>0</v>
      </c>
      <c r="CHK306" s="18">
        <v>0</v>
      </c>
      <c r="CHL306" s="18">
        <v>0</v>
      </c>
      <c r="CHM306" s="18">
        <v>0</v>
      </c>
      <c r="CHN306" s="18">
        <v>0</v>
      </c>
      <c r="CHO306" s="18">
        <v>0</v>
      </c>
      <c r="CHP306" s="18">
        <v>0</v>
      </c>
      <c r="CHQ306" s="18">
        <v>0</v>
      </c>
      <c r="CHR306" s="18">
        <v>0</v>
      </c>
      <c r="CHS306" s="18">
        <v>0</v>
      </c>
      <c r="CHT306" s="18">
        <v>0</v>
      </c>
      <c r="CHU306" s="18">
        <v>0</v>
      </c>
      <c r="CHV306" s="18">
        <v>0</v>
      </c>
      <c r="CHW306" s="18">
        <v>0</v>
      </c>
      <c r="CHX306" s="18">
        <v>0</v>
      </c>
      <c r="CHY306" s="18">
        <v>0</v>
      </c>
      <c r="CHZ306" s="18">
        <v>0</v>
      </c>
      <c r="CIA306" s="18">
        <v>0</v>
      </c>
      <c r="CIB306" s="18">
        <v>0</v>
      </c>
      <c r="CIC306" s="18">
        <v>0</v>
      </c>
      <c r="CID306" s="18">
        <v>0</v>
      </c>
      <c r="CIE306" s="18">
        <v>0</v>
      </c>
      <c r="CIF306" s="18">
        <v>0</v>
      </c>
      <c r="CIG306" s="18">
        <v>0</v>
      </c>
      <c r="CIH306" s="18">
        <v>0</v>
      </c>
      <c r="CII306" s="18">
        <v>0</v>
      </c>
      <c r="CIJ306" s="18">
        <v>0</v>
      </c>
      <c r="CIK306" s="18">
        <v>0</v>
      </c>
      <c r="CIL306" s="18">
        <v>0</v>
      </c>
      <c r="CIM306" s="18">
        <v>0</v>
      </c>
      <c r="CIN306" s="18">
        <v>0</v>
      </c>
      <c r="CIO306" s="18">
        <v>0</v>
      </c>
      <c r="CIP306" s="18">
        <v>0</v>
      </c>
      <c r="CIQ306" s="18">
        <v>0</v>
      </c>
      <c r="CIR306" s="18">
        <v>0</v>
      </c>
      <c r="CIS306" s="18">
        <v>0</v>
      </c>
      <c r="CIT306" s="18">
        <v>0</v>
      </c>
      <c r="CIU306" s="18">
        <v>0</v>
      </c>
      <c r="CIV306" s="18">
        <v>0</v>
      </c>
      <c r="CIW306" s="18">
        <v>0</v>
      </c>
      <c r="CIX306" s="18">
        <v>0</v>
      </c>
      <c r="CIY306" s="18">
        <v>0</v>
      </c>
      <c r="CIZ306" s="18">
        <v>0</v>
      </c>
      <c r="CJA306" s="18">
        <v>0</v>
      </c>
      <c r="CJB306" s="18">
        <v>0</v>
      </c>
      <c r="CJC306" s="18">
        <v>0</v>
      </c>
      <c r="CJD306" s="18">
        <v>0</v>
      </c>
      <c r="CJE306" s="18">
        <v>0</v>
      </c>
      <c r="CJF306" s="18">
        <v>0</v>
      </c>
      <c r="CJG306" s="18">
        <v>0</v>
      </c>
      <c r="CJH306" s="18">
        <v>0</v>
      </c>
      <c r="CJI306" s="18">
        <v>0</v>
      </c>
      <c r="CJJ306" s="18">
        <v>0</v>
      </c>
      <c r="CJK306" s="18">
        <v>0</v>
      </c>
      <c r="CJL306" s="18">
        <v>0</v>
      </c>
      <c r="CJM306" s="18">
        <v>0</v>
      </c>
      <c r="CJN306" s="18">
        <v>0</v>
      </c>
      <c r="CJO306" s="18">
        <v>0</v>
      </c>
      <c r="CJP306" s="18">
        <v>0</v>
      </c>
      <c r="CJQ306" s="18">
        <v>0</v>
      </c>
      <c r="CJR306" s="18">
        <v>0</v>
      </c>
      <c r="CJS306" s="18">
        <v>0</v>
      </c>
      <c r="CJT306" s="18">
        <v>0</v>
      </c>
      <c r="CJU306" s="18">
        <v>0</v>
      </c>
      <c r="CJV306" s="18">
        <v>0</v>
      </c>
      <c r="CJW306" s="18">
        <v>0</v>
      </c>
      <c r="CJX306" s="18">
        <v>0</v>
      </c>
      <c r="CJY306" s="18">
        <v>0</v>
      </c>
      <c r="CJZ306" s="18">
        <v>0</v>
      </c>
      <c r="CKA306" s="18">
        <v>0</v>
      </c>
      <c r="CKB306" s="18">
        <v>0</v>
      </c>
      <c r="CKC306" s="18">
        <v>0</v>
      </c>
      <c r="CKD306" s="18">
        <v>0</v>
      </c>
      <c r="CKE306" s="18">
        <v>0</v>
      </c>
      <c r="CKF306" s="18">
        <v>0</v>
      </c>
      <c r="CKG306" s="18">
        <v>0</v>
      </c>
      <c r="CKH306" s="18">
        <v>0</v>
      </c>
      <c r="CKI306" s="18">
        <v>0</v>
      </c>
      <c r="CKJ306" s="18">
        <v>0</v>
      </c>
      <c r="CKK306" s="18">
        <v>0</v>
      </c>
      <c r="CKL306" s="18">
        <v>0</v>
      </c>
      <c r="CKM306" s="18">
        <v>0</v>
      </c>
      <c r="CKN306" s="18">
        <v>0</v>
      </c>
      <c r="CKO306" s="18">
        <v>0</v>
      </c>
      <c r="CKP306" s="18">
        <v>0</v>
      </c>
      <c r="CKQ306" s="18">
        <v>0</v>
      </c>
      <c r="CKR306" s="18">
        <v>0</v>
      </c>
      <c r="CKS306" s="18">
        <v>0</v>
      </c>
      <c r="CKT306" s="18">
        <v>0</v>
      </c>
      <c r="CKU306" s="18">
        <v>0</v>
      </c>
      <c r="CKV306" s="18">
        <v>0</v>
      </c>
      <c r="CKW306" s="18">
        <v>0</v>
      </c>
      <c r="CKX306" s="18">
        <v>0</v>
      </c>
      <c r="CKY306" s="18">
        <v>0</v>
      </c>
      <c r="CKZ306" s="18">
        <v>0</v>
      </c>
      <c r="CLA306" s="18">
        <v>0</v>
      </c>
      <c r="CLB306" s="18">
        <v>0</v>
      </c>
      <c r="CLC306" s="18">
        <v>0</v>
      </c>
      <c r="CLD306" s="18">
        <v>0</v>
      </c>
      <c r="CLE306" s="18">
        <v>0</v>
      </c>
      <c r="CLF306" s="18">
        <v>0</v>
      </c>
      <c r="CLG306" s="18">
        <v>0</v>
      </c>
      <c r="CLH306" s="18">
        <v>0</v>
      </c>
      <c r="CLI306" s="18">
        <v>0</v>
      </c>
      <c r="CLJ306" s="18">
        <v>0</v>
      </c>
      <c r="CLK306" s="18">
        <v>0</v>
      </c>
      <c r="CLL306" s="18">
        <v>0</v>
      </c>
      <c r="CLM306" s="18">
        <v>0</v>
      </c>
      <c r="CLN306" s="18">
        <v>0</v>
      </c>
      <c r="CLO306" s="18">
        <v>0</v>
      </c>
      <c r="CLP306" s="18">
        <v>0</v>
      </c>
      <c r="CLQ306" s="18">
        <v>0</v>
      </c>
      <c r="CLR306" s="18">
        <v>0</v>
      </c>
      <c r="CLS306" s="18">
        <v>0</v>
      </c>
      <c r="CLT306" s="18">
        <v>0</v>
      </c>
      <c r="CLU306" s="18">
        <v>0</v>
      </c>
      <c r="CLV306" s="18">
        <v>0</v>
      </c>
      <c r="CLW306" s="18">
        <v>0</v>
      </c>
      <c r="CLX306" s="18">
        <v>0</v>
      </c>
      <c r="CLY306" s="18">
        <v>0</v>
      </c>
      <c r="CLZ306" s="18">
        <v>0</v>
      </c>
      <c r="CMA306" s="18">
        <v>0</v>
      </c>
      <c r="CMB306" s="18">
        <v>0</v>
      </c>
      <c r="CMC306" s="18">
        <v>0</v>
      </c>
      <c r="CMD306" s="18">
        <v>0</v>
      </c>
      <c r="CME306" s="18">
        <v>0</v>
      </c>
      <c r="CMF306" s="18">
        <v>0</v>
      </c>
      <c r="CMG306" s="18">
        <v>0</v>
      </c>
      <c r="CMH306" s="18">
        <v>0</v>
      </c>
      <c r="CMI306" s="18">
        <v>0</v>
      </c>
      <c r="CMJ306" s="18">
        <v>0</v>
      </c>
      <c r="CMK306" s="18">
        <v>0</v>
      </c>
      <c r="CML306" s="18">
        <v>0</v>
      </c>
      <c r="CMM306" s="18">
        <v>0</v>
      </c>
      <c r="CMN306" s="18">
        <v>0</v>
      </c>
      <c r="CMO306" s="18">
        <v>0</v>
      </c>
      <c r="CMP306" s="18">
        <v>0</v>
      </c>
      <c r="CMQ306" s="18">
        <v>0</v>
      </c>
      <c r="CMR306" s="18">
        <v>0</v>
      </c>
      <c r="CMS306" s="18">
        <v>0</v>
      </c>
      <c r="CMT306" s="18">
        <v>0</v>
      </c>
      <c r="CMU306" s="18">
        <v>0</v>
      </c>
      <c r="CMV306" s="18">
        <v>0</v>
      </c>
      <c r="CMW306" s="18">
        <v>0</v>
      </c>
      <c r="CMX306" s="18">
        <v>0</v>
      </c>
      <c r="CMY306" s="18">
        <v>0</v>
      </c>
      <c r="CMZ306" s="18">
        <v>0</v>
      </c>
      <c r="CNA306" s="18">
        <v>0</v>
      </c>
      <c r="CNB306" s="18">
        <v>0</v>
      </c>
      <c r="CNC306" s="18">
        <v>0</v>
      </c>
      <c r="CND306" s="18">
        <v>0</v>
      </c>
      <c r="CNE306" s="18">
        <v>0</v>
      </c>
      <c r="CNF306" s="18">
        <v>0</v>
      </c>
      <c r="CNG306" s="18">
        <v>0</v>
      </c>
      <c r="CNH306" s="18">
        <v>0</v>
      </c>
      <c r="CNI306" s="18">
        <v>0</v>
      </c>
      <c r="CNJ306" s="18">
        <v>0</v>
      </c>
      <c r="CNK306" s="18">
        <v>0</v>
      </c>
      <c r="CNL306" s="18">
        <v>0</v>
      </c>
      <c r="CNM306" s="18">
        <v>0</v>
      </c>
      <c r="CNN306" s="18">
        <v>0</v>
      </c>
      <c r="CNO306" s="18">
        <v>0</v>
      </c>
      <c r="CNP306" s="18">
        <v>0</v>
      </c>
      <c r="CNQ306" s="18">
        <v>0</v>
      </c>
      <c r="CNR306" s="18">
        <v>0</v>
      </c>
      <c r="CNS306" s="18">
        <v>0</v>
      </c>
      <c r="CNT306" s="18">
        <v>0</v>
      </c>
      <c r="CNU306" s="18">
        <v>0</v>
      </c>
      <c r="CNV306" s="18">
        <v>0</v>
      </c>
      <c r="CNW306" s="18">
        <v>0</v>
      </c>
      <c r="CNX306" s="18">
        <v>0</v>
      </c>
      <c r="CNY306" s="18">
        <v>0</v>
      </c>
      <c r="CNZ306" s="18">
        <v>0</v>
      </c>
      <c r="COA306" s="18">
        <v>0</v>
      </c>
      <c r="COB306" s="18">
        <v>0</v>
      </c>
      <c r="COC306" s="18">
        <v>0</v>
      </c>
      <c r="COD306" s="18">
        <v>0</v>
      </c>
      <c r="COE306" s="18">
        <v>0</v>
      </c>
      <c r="COF306" s="18">
        <v>0</v>
      </c>
      <c r="COG306" s="18">
        <v>0</v>
      </c>
      <c r="COH306" s="18">
        <v>0</v>
      </c>
      <c r="COI306" s="18">
        <v>0</v>
      </c>
      <c r="COJ306" s="18">
        <v>0</v>
      </c>
      <c r="COK306" s="18">
        <v>0</v>
      </c>
      <c r="COL306" s="18">
        <v>0</v>
      </c>
      <c r="COM306" s="18">
        <v>0</v>
      </c>
      <c r="CON306" s="18">
        <v>0</v>
      </c>
      <c r="COO306" s="18">
        <v>0</v>
      </c>
      <c r="COP306" s="18">
        <v>0</v>
      </c>
      <c r="COQ306" s="18">
        <v>0</v>
      </c>
      <c r="COR306" s="18">
        <v>0</v>
      </c>
      <c r="COS306" s="18">
        <v>0</v>
      </c>
      <c r="COT306" s="18">
        <v>0</v>
      </c>
      <c r="COU306" s="18">
        <v>0</v>
      </c>
      <c r="COV306" s="18">
        <v>0</v>
      </c>
      <c r="COW306" s="18">
        <v>0</v>
      </c>
      <c r="COX306" s="18">
        <v>0</v>
      </c>
      <c r="COY306" s="18">
        <v>0</v>
      </c>
      <c r="COZ306" s="18">
        <v>0</v>
      </c>
      <c r="CPA306" s="18">
        <v>0</v>
      </c>
      <c r="CPB306" s="18">
        <v>0</v>
      </c>
      <c r="CPC306" s="18">
        <v>0</v>
      </c>
      <c r="CPD306" s="18">
        <v>0</v>
      </c>
      <c r="CPE306" s="18">
        <v>0</v>
      </c>
      <c r="CPF306" s="18">
        <v>0</v>
      </c>
      <c r="CPG306" s="18">
        <v>0</v>
      </c>
      <c r="CPH306" s="18">
        <v>0</v>
      </c>
      <c r="CPI306" s="18">
        <v>0</v>
      </c>
      <c r="CPJ306" s="18">
        <v>0</v>
      </c>
      <c r="CPK306" s="18">
        <v>0</v>
      </c>
      <c r="CPL306" s="18">
        <v>0</v>
      </c>
      <c r="CPM306" s="18">
        <v>0</v>
      </c>
      <c r="CPN306" s="18">
        <v>0</v>
      </c>
      <c r="CPO306" s="18">
        <v>0</v>
      </c>
      <c r="CPP306" s="18">
        <v>0</v>
      </c>
      <c r="CPQ306" s="18">
        <v>0</v>
      </c>
      <c r="CPR306" s="18">
        <v>0</v>
      </c>
      <c r="CPS306" s="18">
        <v>0</v>
      </c>
      <c r="CPT306" s="18">
        <v>0</v>
      </c>
      <c r="CPU306" s="18">
        <v>0</v>
      </c>
      <c r="CPV306" s="18">
        <v>0</v>
      </c>
      <c r="CPW306" s="18">
        <v>0</v>
      </c>
      <c r="CPX306" s="18">
        <v>0</v>
      </c>
      <c r="CPY306" s="18">
        <v>0</v>
      </c>
      <c r="CPZ306" s="18">
        <v>0</v>
      </c>
      <c r="CQA306" s="18">
        <v>0</v>
      </c>
      <c r="CQB306" s="18">
        <v>0</v>
      </c>
      <c r="CQC306" s="18">
        <v>0</v>
      </c>
      <c r="CQD306" s="18">
        <v>0</v>
      </c>
      <c r="CQE306" s="18">
        <v>0</v>
      </c>
      <c r="CQF306" s="18">
        <v>0</v>
      </c>
      <c r="CQG306" s="18">
        <v>0</v>
      </c>
      <c r="CQH306" s="18">
        <v>0</v>
      </c>
      <c r="CQI306" s="18">
        <v>0</v>
      </c>
      <c r="CQJ306" s="18">
        <v>0</v>
      </c>
      <c r="CQK306" s="18">
        <v>0</v>
      </c>
      <c r="CQL306" s="18">
        <v>0</v>
      </c>
      <c r="CQM306" s="18">
        <v>0</v>
      </c>
      <c r="CQN306" s="18">
        <v>0</v>
      </c>
      <c r="CQO306" s="18">
        <v>0</v>
      </c>
      <c r="CQP306" s="18">
        <v>0</v>
      </c>
      <c r="CQQ306" s="18">
        <v>0</v>
      </c>
      <c r="CQR306" s="18">
        <v>0</v>
      </c>
      <c r="CQS306" s="18">
        <v>0</v>
      </c>
      <c r="CQT306" s="18">
        <v>0</v>
      </c>
      <c r="CQU306" s="18">
        <v>0</v>
      </c>
      <c r="CQV306" s="18">
        <v>0</v>
      </c>
      <c r="CQW306" s="18">
        <v>0</v>
      </c>
      <c r="CQX306" s="18">
        <v>0</v>
      </c>
      <c r="CQY306" s="18">
        <v>0</v>
      </c>
      <c r="CQZ306" s="18">
        <v>0</v>
      </c>
      <c r="CRA306" s="18">
        <v>0</v>
      </c>
      <c r="CRB306" s="18">
        <v>0</v>
      </c>
      <c r="CRC306" s="18">
        <v>0</v>
      </c>
      <c r="CRD306" s="18">
        <v>0</v>
      </c>
      <c r="CRE306" s="18">
        <v>0</v>
      </c>
      <c r="CRF306" s="18">
        <v>0</v>
      </c>
      <c r="CRG306" s="18">
        <v>0</v>
      </c>
      <c r="CRH306" s="18">
        <v>0</v>
      </c>
      <c r="CRI306" s="18">
        <v>0</v>
      </c>
      <c r="CRJ306" s="18">
        <v>0</v>
      </c>
      <c r="CRK306" s="18">
        <v>0</v>
      </c>
      <c r="CRL306" s="18">
        <v>0</v>
      </c>
      <c r="CRM306" s="18">
        <v>0</v>
      </c>
      <c r="CRN306" s="18">
        <v>0</v>
      </c>
      <c r="CRO306" s="18">
        <v>0</v>
      </c>
      <c r="CRP306" s="18">
        <v>0</v>
      </c>
      <c r="CRQ306" s="18">
        <v>0</v>
      </c>
      <c r="CRR306" s="18">
        <v>0</v>
      </c>
      <c r="CRS306" s="18">
        <v>0</v>
      </c>
      <c r="CRT306" s="18">
        <v>0</v>
      </c>
      <c r="CRU306" s="18">
        <v>0</v>
      </c>
      <c r="CRV306" s="18">
        <v>0</v>
      </c>
      <c r="CRW306" s="18">
        <v>0</v>
      </c>
      <c r="CRX306" s="18">
        <v>0</v>
      </c>
      <c r="CRY306" s="18">
        <v>0</v>
      </c>
      <c r="CRZ306" s="18">
        <v>0</v>
      </c>
      <c r="CSA306" s="18">
        <v>0</v>
      </c>
      <c r="CSB306" s="18">
        <v>0</v>
      </c>
      <c r="CSC306" s="18">
        <v>0</v>
      </c>
      <c r="CSD306" s="18">
        <v>0</v>
      </c>
      <c r="CSE306" s="18">
        <v>0</v>
      </c>
      <c r="CSF306" s="18">
        <v>0</v>
      </c>
      <c r="CSG306" s="18">
        <v>0</v>
      </c>
      <c r="CSH306" s="18">
        <v>0</v>
      </c>
      <c r="CSI306" s="18">
        <v>0</v>
      </c>
      <c r="CSJ306" s="18">
        <v>0</v>
      </c>
      <c r="CSK306" s="18">
        <v>0</v>
      </c>
      <c r="CSL306" s="18">
        <v>0</v>
      </c>
      <c r="CSM306" s="18">
        <v>0</v>
      </c>
      <c r="CSN306" s="18">
        <v>0</v>
      </c>
      <c r="CSO306" s="18">
        <v>0</v>
      </c>
      <c r="CSP306" s="18">
        <v>0</v>
      </c>
      <c r="CSQ306" s="18">
        <v>0</v>
      </c>
      <c r="CSR306" s="18">
        <v>0</v>
      </c>
      <c r="CSS306" s="18">
        <v>0</v>
      </c>
      <c r="CST306" s="18">
        <v>0</v>
      </c>
      <c r="CSU306" s="18">
        <v>0</v>
      </c>
      <c r="CSV306" s="18">
        <v>0</v>
      </c>
      <c r="CSW306" s="18">
        <v>0</v>
      </c>
      <c r="CSX306" s="18">
        <v>0</v>
      </c>
      <c r="CSY306" s="18">
        <v>0</v>
      </c>
      <c r="CSZ306" s="18">
        <v>0</v>
      </c>
      <c r="CTA306" s="18">
        <v>0</v>
      </c>
      <c r="CTB306" s="18">
        <v>0</v>
      </c>
      <c r="CTC306" s="18">
        <v>0</v>
      </c>
      <c r="CTD306" s="18">
        <v>0</v>
      </c>
      <c r="CTE306" s="18">
        <v>0</v>
      </c>
      <c r="CTF306" s="18">
        <v>0</v>
      </c>
      <c r="CTG306" s="18">
        <v>0</v>
      </c>
      <c r="CTH306" s="18">
        <v>0</v>
      </c>
      <c r="CTI306" s="18">
        <v>0</v>
      </c>
      <c r="CTJ306" s="18">
        <v>0</v>
      </c>
      <c r="CTK306" s="18">
        <v>0</v>
      </c>
      <c r="CTL306" s="18">
        <v>0</v>
      </c>
      <c r="CTM306" s="18">
        <v>0</v>
      </c>
      <c r="CTN306" s="18">
        <v>0</v>
      </c>
      <c r="CTO306" s="18">
        <v>0</v>
      </c>
      <c r="CTP306" s="18">
        <v>0</v>
      </c>
      <c r="CTQ306" s="18">
        <v>0</v>
      </c>
      <c r="CTR306" s="18">
        <v>0</v>
      </c>
      <c r="CTS306" s="18">
        <v>0</v>
      </c>
      <c r="CTT306" s="18">
        <v>0</v>
      </c>
      <c r="CTU306" s="18">
        <v>0</v>
      </c>
      <c r="CTV306" s="18">
        <v>0</v>
      </c>
      <c r="CTW306" s="18">
        <v>0</v>
      </c>
      <c r="CTX306" s="18">
        <v>0</v>
      </c>
      <c r="CTY306" s="18">
        <v>0</v>
      </c>
      <c r="CTZ306" s="18">
        <v>0</v>
      </c>
      <c r="CUA306" s="18">
        <v>0</v>
      </c>
      <c r="CUB306" s="18">
        <v>0</v>
      </c>
      <c r="CUC306" s="18">
        <v>0</v>
      </c>
      <c r="CUD306" s="18">
        <v>0</v>
      </c>
      <c r="CUE306" s="18">
        <v>0</v>
      </c>
      <c r="CUF306" s="18">
        <v>0</v>
      </c>
      <c r="CUG306" s="18">
        <v>0</v>
      </c>
      <c r="CUH306" s="18">
        <v>0</v>
      </c>
      <c r="CUI306" s="18">
        <v>0</v>
      </c>
      <c r="CUJ306" s="18">
        <v>0</v>
      </c>
      <c r="CUK306" s="18">
        <v>0</v>
      </c>
      <c r="CUL306" s="18">
        <v>0</v>
      </c>
      <c r="CUM306" s="18">
        <v>0</v>
      </c>
      <c r="CUN306" s="18">
        <v>0</v>
      </c>
      <c r="CUO306" s="18">
        <v>0</v>
      </c>
      <c r="CUP306" s="18">
        <v>0</v>
      </c>
      <c r="CUQ306" s="18">
        <v>0</v>
      </c>
      <c r="CUR306" s="18">
        <v>0</v>
      </c>
      <c r="CUS306" s="18">
        <v>0</v>
      </c>
      <c r="CUT306" s="18">
        <v>0</v>
      </c>
      <c r="CUU306" s="18">
        <v>0</v>
      </c>
      <c r="CUV306" s="18">
        <v>0</v>
      </c>
      <c r="CUW306" s="18">
        <v>0</v>
      </c>
      <c r="CUX306" s="18">
        <v>0</v>
      </c>
      <c r="CUY306" s="18">
        <v>0</v>
      </c>
      <c r="CUZ306" s="18">
        <v>0</v>
      </c>
      <c r="CVA306" s="18">
        <v>0</v>
      </c>
      <c r="CVB306" s="18">
        <v>0</v>
      </c>
      <c r="CVC306" s="18">
        <v>0</v>
      </c>
      <c r="CVD306" s="18">
        <v>0</v>
      </c>
      <c r="CVE306" s="18">
        <v>0</v>
      </c>
      <c r="CVF306" s="18">
        <v>0</v>
      </c>
      <c r="CVG306" s="18">
        <v>0</v>
      </c>
      <c r="CVH306" s="18">
        <v>0</v>
      </c>
      <c r="CVI306" s="18">
        <v>0</v>
      </c>
      <c r="CVJ306" s="18">
        <v>0</v>
      </c>
      <c r="CVK306" s="18">
        <v>0</v>
      </c>
      <c r="CVL306" s="18">
        <v>0</v>
      </c>
      <c r="CVM306" s="18">
        <v>0</v>
      </c>
      <c r="CVN306" s="18">
        <v>0</v>
      </c>
      <c r="CVO306" s="18">
        <v>0</v>
      </c>
      <c r="CVP306" s="18">
        <v>0</v>
      </c>
      <c r="CVQ306" s="18">
        <v>0</v>
      </c>
      <c r="CVR306" s="18">
        <v>0</v>
      </c>
      <c r="CVS306" s="18">
        <v>0</v>
      </c>
      <c r="CVT306" s="18">
        <v>0</v>
      </c>
      <c r="CVU306" s="18">
        <v>0</v>
      </c>
      <c r="CVV306" s="18">
        <v>0</v>
      </c>
      <c r="CVW306" s="18">
        <v>0</v>
      </c>
      <c r="CVX306" s="18">
        <v>0</v>
      </c>
      <c r="CVY306" s="18">
        <v>0</v>
      </c>
      <c r="CVZ306" s="18">
        <v>0</v>
      </c>
      <c r="CWA306" s="18">
        <v>0</v>
      </c>
      <c r="CWB306" s="18">
        <v>0</v>
      </c>
      <c r="CWC306" s="18">
        <v>0</v>
      </c>
      <c r="CWD306" s="18">
        <v>0</v>
      </c>
      <c r="CWE306" s="18">
        <v>0</v>
      </c>
      <c r="CWF306" s="18">
        <v>0</v>
      </c>
      <c r="CWG306" s="18">
        <v>0</v>
      </c>
      <c r="CWH306" s="18">
        <v>0</v>
      </c>
      <c r="CWI306" s="18">
        <v>0</v>
      </c>
      <c r="CWJ306" s="18">
        <v>0</v>
      </c>
      <c r="CWK306" s="18">
        <v>0</v>
      </c>
      <c r="CWL306" s="18">
        <v>0</v>
      </c>
      <c r="CWM306" s="18">
        <v>0</v>
      </c>
      <c r="CWN306" s="18">
        <v>0</v>
      </c>
      <c r="CWO306" s="18">
        <v>0</v>
      </c>
      <c r="CWP306" s="18">
        <v>0</v>
      </c>
      <c r="CWQ306" s="18">
        <v>0</v>
      </c>
      <c r="CWR306" s="18">
        <v>0</v>
      </c>
      <c r="CWS306" s="18">
        <v>0</v>
      </c>
      <c r="CWT306" s="18">
        <v>0</v>
      </c>
      <c r="CWU306" s="18">
        <v>0</v>
      </c>
      <c r="CWV306" s="18">
        <v>0</v>
      </c>
      <c r="CWW306" s="18">
        <v>0</v>
      </c>
      <c r="CWX306" s="18">
        <v>0</v>
      </c>
      <c r="CWY306" s="18">
        <v>0</v>
      </c>
      <c r="CWZ306" s="18">
        <v>0</v>
      </c>
      <c r="CXA306" s="18">
        <v>0</v>
      </c>
      <c r="CXB306" s="18">
        <v>0</v>
      </c>
      <c r="CXC306" s="18">
        <v>0</v>
      </c>
      <c r="CXD306" s="18">
        <v>0</v>
      </c>
      <c r="CXE306" s="18">
        <v>0</v>
      </c>
      <c r="CXF306" s="18">
        <v>0</v>
      </c>
      <c r="CXG306" s="18">
        <v>0</v>
      </c>
      <c r="CXH306" s="18">
        <v>0</v>
      </c>
      <c r="CXI306" s="18">
        <v>0</v>
      </c>
      <c r="CXJ306" s="18">
        <v>0</v>
      </c>
      <c r="CXK306" s="18">
        <v>0</v>
      </c>
      <c r="CXL306" s="18">
        <v>0</v>
      </c>
      <c r="CXM306" s="18">
        <v>0</v>
      </c>
      <c r="CXN306" s="18">
        <v>0</v>
      </c>
      <c r="CXO306" s="18">
        <v>0</v>
      </c>
      <c r="CXP306" s="18">
        <v>0</v>
      </c>
      <c r="CXQ306" s="18">
        <v>0</v>
      </c>
      <c r="CXR306" s="18">
        <v>0</v>
      </c>
      <c r="CXS306" s="18">
        <v>0</v>
      </c>
      <c r="CXT306" s="18">
        <v>0</v>
      </c>
      <c r="CXU306" s="18">
        <v>0</v>
      </c>
      <c r="CXV306" s="18">
        <v>0</v>
      </c>
      <c r="CXW306" s="18">
        <v>0</v>
      </c>
      <c r="CXX306" s="18">
        <v>0</v>
      </c>
      <c r="CXY306" s="18">
        <v>0</v>
      </c>
      <c r="CXZ306" s="18">
        <v>0</v>
      </c>
      <c r="CYA306" s="18">
        <v>0</v>
      </c>
      <c r="CYB306" s="18">
        <v>0</v>
      </c>
      <c r="CYC306" s="18">
        <v>0</v>
      </c>
      <c r="CYD306" s="18">
        <v>0</v>
      </c>
      <c r="CYE306" s="18">
        <v>0</v>
      </c>
      <c r="CYF306" s="18">
        <v>0</v>
      </c>
      <c r="CYG306" s="18">
        <v>0</v>
      </c>
      <c r="CYH306" s="18">
        <v>0</v>
      </c>
      <c r="CYI306" s="18">
        <v>0</v>
      </c>
      <c r="CYJ306" s="18">
        <v>0</v>
      </c>
      <c r="CYK306" s="18">
        <v>0</v>
      </c>
      <c r="CYL306" s="18">
        <v>0</v>
      </c>
      <c r="CYM306" s="18">
        <v>0</v>
      </c>
      <c r="CYN306" s="18">
        <v>0</v>
      </c>
      <c r="CYO306" s="18">
        <v>0</v>
      </c>
      <c r="CYP306" s="18">
        <v>0</v>
      </c>
      <c r="CYQ306" s="18">
        <v>0</v>
      </c>
      <c r="CYR306" s="18">
        <v>0</v>
      </c>
      <c r="CYS306" s="18">
        <v>0</v>
      </c>
      <c r="CYT306" s="18">
        <v>0</v>
      </c>
      <c r="CYU306" s="18">
        <v>0</v>
      </c>
      <c r="CYV306" s="18">
        <v>0</v>
      </c>
      <c r="CYW306" s="18">
        <v>0</v>
      </c>
      <c r="CYX306" s="18">
        <v>0</v>
      </c>
      <c r="CYY306" s="18">
        <v>0</v>
      </c>
      <c r="CYZ306" s="18">
        <v>0</v>
      </c>
      <c r="CZA306" s="18">
        <v>0</v>
      </c>
      <c r="CZB306" s="18">
        <v>0</v>
      </c>
      <c r="CZC306" s="18">
        <v>0</v>
      </c>
      <c r="CZD306" s="18">
        <v>0</v>
      </c>
      <c r="CZE306" s="18">
        <v>0</v>
      </c>
      <c r="CZF306" s="18">
        <v>0</v>
      </c>
      <c r="CZG306" s="18">
        <v>0</v>
      </c>
      <c r="CZH306" s="18">
        <v>0</v>
      </c>
      <c r="CZI306" s="18">
        <v>0</v>
      </c>
      <c r="CZJ306" s="18">
        <v>0</v>
      </c>
      <c r="CZK306" s="18">
        <v>0</v>
      </c>
      <c r="CZL306" s="18">
        <v>0</v>
      </c>
      <c r="CZM306" s="18">
        <v>0</v>
      </c>
      <c r="CZN306" s="18">
        <v>0</v>
      </c>
      <c r="CZO306" s="18">
        <v>0</v>
      </c>
      <c r="CZP306" s="18">
        <v>0</v>
      </c>
      <c r="CZQ306" s="18">
        <v>0</v>
      </c>
      <c r="CZR306" s="18">
        <v>0</v>
      </c>
      <c r="CZS306" s="18">
        <v>0</v>
      </c>
      <c r="CZT306" s="18">
        <v>0</v>
      </c>
      <c r="CZU306" s="18">
        <v>0</v>
      </c>
      <c r="CZV306" s="18">
        <v>0</v>
      </c>
      <c r="CZW306" s="18">
        <v>0</v>
      </c>
      <c r="CZX306" s="18">
        <v>0</v>
      </c>
      <c r="CZY306" s="18">
        <v>0</v>
      </c>
      <c r="CZZ306" s="18">
        <v>0</v>
      </c>
      <c r="DAA306" s="18">
        <v>0</v>
      </c>
      <c r="DAB306" s="18">
        <v>0</v>
      </c>
      <c r="DAC306" s="18">
        <v>0</v>
      </c>
      <c r="DAD306" s="18">
        <v>0</v>
      </c>
      <c r="DAE306" s="18">
        <v>0</v>
      </c>
      <c r="DAF306" s="18">
        <v>0</v>
      </c>
      <c r="DAG306" s="18">
        <v>0</v>
      </c>
      <c r="DAH306" s="18">
        <v>0</v>
      </c>
      <c r="DAI306" s="18">
        <v>0</v>
      </c>
      <c r="DAJ306" s="18">
        <v>0</v>
      </c>
      <c r="DAK306" s="18">
        <v>0</v>
      </c>
      <c r="DAL306" s="18">
        <v>0</v>
      </c>
      <c r="DAM306" s="18">
        <v>0</v>
      </c>
      <c r="DAN306" s="18">
        <v>0</v>
      </c>
      <c r="DAO306" s="18">
        <v>0</v>
      </c>
      <c r="DAP306" s="18">
        <v>0</v>
      </c>
      <c r="DAQ306" s="18">
        <v>0</v>
      </c>
      <c r="DAR306" s="18">
        <v>0</v>
      </c>
      <c r="DAS306" s="18">
        <v>0</v>
      </c>
      <c r="DAT306" s="18">
        <v>0</v>
      </c>
      <c r="DAU306" s="18">
        <v>0</v>
      </c>
      <c r="DAV306" s="18">
        <v>0</v>
      </c>
      <c r="DAW306" s="18">
        <v>0</v>
      </c>
      <c r="DAX306" s="18">
        <v>0</v>
      </c>
      <c r="DAY306" s="18">
        <v>0</v>
      </c>
      <c r="DAZ306" s="18">
        <v>0</v>
      </c>
      <c r="DBA306" s="18">
        <v>0</v>
      </c>
      <c r="DBB306" s="18">
        <v>0</v>
      </c>
      <c r="DBC306" s="18">
        <v>0</v>
      </c>
      <c r="DBD306" s="18">
        <v>0</v>
      </c>
      <c r="DBE306" s="18">
        <v>0</v>
      </c>
      <c r="DBF306" s="18">
        <v>0</v>
      </c>
      <c r="DBG306" s="18">
        <v>0</v>
      </c>
      <c r="DBH306" s="18">
        <v>0</v>
      </c>
      <c r="DBI306" s="18">
        <v>0</v>
      </c>
      <c r="DBJ306" s="18">
        <v>0</v>
      </c>
      <c r="DBK306" s="18">
        <v>0</v>
      </c>
      <c r="DBL306" s="18">
        <v>0</v>
      </c>
      <c r="DBM306" s="18">
        <v>0</v>
      </c>
      <c r="DBN306" s="18">
        <v>0</v>
      </c>
      <c r="DBO306" s="18">
        <v>0</v>
      </c>
      <c r="DBP306" s="18">
        <v>0</v>
      </c>
      <c r="DBQ306" s="18">
        <v>0</v>
      </c>
      <c r="DBR306" s="18">
        <v>0</v>
      </c>
      <c r="DBS306" s="18">
        <v>0</v>
      </c>
      <c r="DBT306" s="18">
        <v>0</v>
      </c>
      <c r="DBU306" s="18">
        <v>0</v>
      </c>
      <c r="DBV306" s="18">
        <v>0</v>
      </c>
      <c r="DBW306" s="18">
        <v>0</v>
      </c>
      <c r="DBX306" s="18">
        <v>0</v>
      </c>
      <c r="DBY306" s="18">
        <v>0</v>
      </c>
      <c r="DBZ306" s="18">
        <v>0</v>
      </c>
      <c r="DCA306" s="18">
        <v>0</v>
      </c>
      <c r="DCB306" s="18">
        <v>0</v>
      </c>
      <c r="DCC306" s="18">
        <v>0</v>
      </c>
      <c r="DCD306" s="18">
        <v>0</v>
      </c>
      <c r="DCE306" s="18">
        <v>0</v>
      </c>
      <c r="DCF306" s="18">
        <v>0</v>
      </c>
      <c r="DCG306" s="18">
        <v>0</v>
      </c>
      <c r="DCH306" s="18">
        <v>0</v>
      </c>
      <c r="DCI306" s="18">
        <v>0</v>
      </c>
      <c r="DCJ306" s="18">
        <v>0</v>
      </c>
      <c r="DCK306" s="18">
        <v>0</v>
      </c>
      <c r="DCL306" s="18">
        <v>0</v>
      </c>
      <c r="DCM306" s="18">
        <v>0</v>
      </c>
      <c r="DCN306" s="18">
        <v>0</v>
      </c>
      <c r="DCO306" s="18">
        <v>0</v>
      </c>
      <c r="DCP306" s="18">
        <v>0</v>
      </c>
      <c r="DCQ306" s="18">
        <v>0</v>
      </c>
      <c r="DCR306" s="18">
        <v>0</v>
      </c>
      <c r="DCS306" s="18">
        <v>0</v>
      </c>
      <c r="DCT306" s="18">
        <v>0</v>
      </c>
      <c r="DCU306" s="18">
        <v>0</v>
      </c>
      <c r="DCV306" s="18">
        <v>0</v>
      </c>
      <c r="DCW306" s="18">
        <v>0</v>
      </c>
      <c r="DCX306" s="18">
        <v>0</v>
      </c>
      <c r="DCY306" s="18">
        <v>0</v>
      </c>
      <c r="DCZ306" s="18">
        <v>0</v>
      </c>
      <c r="DDA306" s="18">
        <v>0</v>
      </c>
      <c r="DDB306" s="18">
        <v>0</v>
      </c>
      <c r="DDC306" s="18">
        <v>0</v>
      </c>
      <c r="DDD306" s="18">
        <v>0</v>
      </c>
      <c r="DDE306" s="18">
        <v>0</v>
      </c>
      <c r="DDF306" s="18">
        <v>0</v>
      </c>
      <c r="DDG306" s="18">
        <v>0</v>
      </c>
      <c r="DDH306" s="18">
        <v>0</v>
      </c>
      <c r="DDI306" s="18">
        <v>0</v>
      </c>
      <c r="DDJ306" s="18">
        <v>0</v>
      </c>
      <c r="DDK306" s="18">
        <v>0</v>
      </c>
      <c r="DDL306" s="18">
        <v>0</v>
      </c>
      <c r="DDM306" s="18">
        <v>0</v>
      </c>
      <c r="DDN306" s="18">
        <v>0</v>
      </c>
      <c r="DDO306" s="18">
        <v>0</v>
      </c>
      <c r="DDP306" s="18">
        <v>0</v>
      </c>
      <c r="DDQ306" s="18">
        <v>0</v>
      </c>
      <c r="DDR306" s="18">
        <v>0</v>
      </c>
      <c r="DDS306" s="18">
        <v>0</v>
      </c>
      <c r="DDT306" s="18">
        <v>0</v>
      </c>
      <c r="DDU306" s="18">
        <v>0</v>
      </c>
      <c r="DDV306" s="18">
        <v>0</v>
      </c>
      <c r="DDW306" s="18">
        <v>0</v>
      </c>
      <c r="DDX306" s="18">
        <v>0</v>
      </c>
      <c r="DDY306" s="18">
        <v>0</v>
      </c>
      <c r="DDZ306" s="18">
        <v>0</v>
      </c>
      <c r="DEA306" s="18">
        <v>0</v>
      </c>
      <c r="DEB306" s="18">
        <v>0</v>
      </c>
      <c r="DEC306" s="18">
        <v>0</v>
      </c>
      <c r="DED306" s="18">
        <v>0</v>
      </c>
      <c r="DEE306" s="18">
        <v>0</v>
      </c>
      <c r="DEF306" s="18">
        <v>0</v>
      </c>
      <c r="DEG306" s="18">
        <v>0</v>
      </c>
      <c r="DEH306" s="18">
        <v>0</v>
      </c>
      <c r="DEI306" s="18">
        <v>0</v>
      </c>
      <c r="DEJ306" s="18">
        <v>0</v>
      </c>
      <c r="DEK306" s="18">
        <v>0</v>
      </c>
      <c r="DEL306" s="18">
        <v>0</v>
      </c>
      <c r="DEM306" s="18">
        <v>0</v>
      </c>
      <c r="DEN306" s="18">
        <v>0</v>
      </c>
      <c r="DEO306" s="18">
        <v>0</v>
      </c>
      <c r="DEP306" s="18">
        <v>0</v>
      </c>
      <c r="DEQ306" s="18">
        <v>0</v>
      </c>
      <c r="DER306" s="18">
        <v>0</v>
      </c>
      <c r="DES306" s="18">
        <v>0</v>
      </c>
      <c r="DET306" s="18">
        <v>0</v>
      </c>
      <c r="DEU306" s="18">
        <v>0</v>
      </c>
      <c r="DEV306" s="18">
        <v>0</v>
      </c>
      <c r="DEW306" s="18">
        <v>0</v>
      </c>
      <c r="DEX306" s="18">
        <v>0</v>
      </c>
      <c r="DEY306" s="18">
        <v>0</v>
      </c>
      <c r="DEZ306" s="18">
        <v>0</v>
      </c>
      <c r="DFA306" s="18">
        <v>0</v>
      </c>
      <c r="DFB306" s="18">
        <v>0</v>
      </c>
      <c r="DFC306" s="18">
        <v>0</v>
      </c>
      <c r="DFD306" s="18">
        <v>0</v>
      </c>
      <c r="DFE306" s="18">
        <v>0</v>
      </c>
      <c r="DFF306" s="18">
        <v>0</v>
      </c>
      <c r="DFG306" s="18">
        <v>0</v>
      </c>
      <c r="DFH306" s="18">
        <v>0</v>
      </c>
      <c r="DFI306" s="18">
        <v>0</v>
      </c>
      <c r="DFJ306" s="18">
        <v>0</v>
      </c>
      <c r="DFK306" s="18">
        <v>0</v>
      </c>
      <c r="DFL306" s="18">
        <v>0</v>
      </c>
      <c r="DFM306" s="18">
        <v>0</v>
      </c>
      <c r="DFN306" s="18">
        <v>0</v>
      </c>
      <c r="DFO306" s="18">
        <v>0</v>
      </c>
      <c r="DFP306" s="18">
        <v>0</v>
      </c>
      <c r="DFQ306" s="18">
        <v>0</v>
      </c>
      <c r="DFR306" s="18">
        <v>0</v>
      </c>
      <c r="DFS306" s="18">
        <v>0</v>
      </c>
      <c r="DFT306" s="18">
        <v>0</v>
      </c>
      <c r="DFU306" s="18">
        <v>0</v>
      </c>
      <c r="DFV306" s="18">
        <v>0</v>
      </c>
      <c r="DFW306" s="18">
        <v>0</v>
      </c>
      <c r="DFX306" s="18">
        <v>0</v>
      </c>
      <c r="DFY306" s="18">
        <v>0</v>
      </c>
      <c r="DFZ306" s="18">
        <v>0</v>
      </c>
      <c r="DGA306" s="18">
        <v>0</v>
      </c>
      <c r="DGB306" s="18">
        <v>0</v>
      </c>
      <c r="DGC306" s="18">
        <v>0</v>
      </c>
      <c r="DGD306" s="18">
        <v>0</v>
      </c>
      <c r="DGE306" s="18">
        <v>0</v>
      </c>
      <c r="DGF306" s="18">
        <v>0</v>
      </c>
      <c r="DGG306" s="18">
        <v>0</v>
      </c>
      <c r="DGH306" s="18">
        <v>0</v>
      </c>
      <c r="DGI306" s="18">
        <v>0</v>
      </c>
      <c r="DGJ306" s="18">
        <v>0</v>
      </c>
      <c r="DGK306" s="18">
        <v>0</v>
      </c>
      <c r="DGL306" s="18">
        <v>0</v>
      </c>
      <c r="DGM306" s="18">
        <v>0</v>
      </c>
      <c r="DGN306" s="18">
        <v>0</v>
      </c>
      <c r="DGO306" s="18">
        <v>0</v>
      </c>
      <c r="DGP306" s="18">
        <v>0</v>
      </c>
      <c r="DGQ306" s="18">
        <v>0</v>
      </c>
      <c r="DGR306" s="18">
        <v>0</v>
      </c>
      <c r="DGS306" s="18">
        <v>0</v>
      </c>
      <c r="DGT306" s="18">
        <v>0</v>
      </c>
      <c r="DGU306" s="18">
        <v>0</v>
      </c>
      <c r="DGV306" s="18">
        <v>0</v>
      </c>
      <c r="DGW306" s="18">
        <v>0</v>
      </c>
      <c r="DGX306" s="18">
        <v>0</v>
      </c>
      <c r="DGY306" s="18">
        <v>0</v>
      </c>
      <c r="DGZ306" s="18">
        <v>0</v>
      </c>
      <c r="DHA306" s="18">
        <v>0</v>
      </c>
      <c r="DHB306" s="18">
        <v>0</v>
      </c>
      <c r="DHC306" s="18">
        <v>0</v>
      </c>
      <c r="DHD306" s="18">
        <v>0</v>
      </c>
      <c r="DHE306" s="18">
        <v>0</v>
      </c>
      <c r="DHF306" s="18">
        <v>0</v>
      </c>
      <c r="DHG306" s="18">
        <v>0</v>
      </c>
      <c r="DHH306" s="18">
        <v>0</v>
      </c>
      <c r="DHI306" s="18">
        <v>0</v>
      </c>
      <c r="DHJ306" s="18">
        <v>0</v>
      </c>
      <c r="DHK306" s="18">
        <v>0</v>
      </c>
      <c r="DHL306" s="18">
        <v>0</v>
      </c>
      <c r="DHM306" s="18">
        <v>0</v>
      </c>
      <c r="DHN306" s="18">
        <v>0</v>
      </c>
      <c r="DHO306" s="18">
        <v>0</v>
      </c>
      <c r="DHP306" s="18">
        <v>0</v>
      </c>
      <c r="DHQ306" s="18">
        <v>0</v>
      </c>
      <c r="DHR306" s="18">
        <v>0</v>
      </c>
      <c r="DHS306" s="18">
        <v>0</v>
      </c>
      <c r="DHT306" s="18">
        <v>0</v>
      </c>
      <c r="DHU306" s="18">
        <v>0</v>
      </c>
      <c r="DHV306" s="18">
        <v>0</v>
      </c>
      <c r="DHW306" s="18">
        <v>0</v>
      </c>
      <c r="DHX306" s="18">
        <v>0</v>
      </c>
      <c r="DHY306" s="18">
        <v>0</v>
      </c>
      <c r="DHZ306" s="18">
        <v>0</v>
      </c>
      <c r="DIA306" s="18">
        <v>0</v>
      </c>
      <c r="DIB306" s="18">
        <v>0</v>
      </c>
      <c r="DIC306" s="18">
        <v>0</v>
      </c>
      <c r="DID306" s="18">
        <v>0</v>
      </c>
      <c r="DIE306" s="18">
        <v>0</v>
      </c>
      <c r="DIF306" s="18">
        <v>0</v>
      </c>
      <c r="DIG306" s="18">
        <v>0</v>
      </c>
      <c r="DIH306" s="18">
        <v>0</v>
      </c>
      <c r="DII306" s="18">
        <v>0</v>
      </c>
      <c r="DIJ306" s="18">
        <v>0</v>
      </c>
      <c r="DIK306" s="18">
        <v>0</v>
      </c>
      <c r="DIL306" s="18">
        <v>0</v>
      </c>
      <c r="DIM306" s="18">
        <v>0</v>
      </c>
      <c r="DIN306" s="18">
        <v>0</v>
      </c>
      <c r="DIO306" s="18">
        <v>0</v>
      </c>
      <c r="DIP306" s="18">
        <v>0</v>
      </c>
      <c r="DIQ306" s="18">
        <v>0</v>
      </c>
      <c r="DIR306" s="18">
        <v>0</v>
      </c>
      <c r="DIS306" s="18">
        <v>0</v>
      </c>
      <c r="DIT306" s="18">
        <v>0</v>
      </c>
      <c r="DIU306" s="18">
        <v>0</v>
      </c>
      <c r="DIV306" s="18">
        <v>0</v>
      </c>
      <c r="DIW306" s="18">
        <v>0</v>
      </c>
      <c r="DIX306" s="18">
        <v>0</v>
      </c>
      <c r="DIY306" s="18">
        <v>0</v>
      </c>
      <c r="DIZ306" s="18">
        <v>0</v>
      </c>
      <c r="DJA306" s="18">
        <v>0</v>
      </c>
      <c r="DJB306" s="18">
        <v>0</v>
      </c>
      <c r="DJC306" s="18">
        <v>0</v>
      </c>
      <c r="DJD306" s="18">
        <v>0</v>
      </c>
      <c r="DJE306" s="18">
        <v>0</v>
      </c>
      <c r="DJF306" s="18">
        <v>0</v>
      </c>
      <c r="DJG306" s="18">
        <v>0</v>
      </c>
      <c r="DJH306" s="18">
        <v>0</v>
      </c>
      <c r="DJI306" s="18">
        <v>0</v>
      </c>
      <c r="DJJ306" s="18">
        <v>0</v>
      </c>
      <c r="DJK306" s="18">
        <v>0</v>
      </c>
      <c r="DJL306" s="18">
        <v>0</v>
      </c>
      <c r="DJM306" s="18">
        <v>0</v>
      </c>
      <c r="DJN306" s="18">
        <v>0</v>
      </c>
      <c r="DJO306" s="18">
        <v>0</v>
      </c>
      <c r="DJP306" s="18">
        <v>0</v>
      </c>
      <c r="DJQ306" s="18">
        <v>0</v>
      </c>
      <c r="DJR306" s="18">
        <v>0</v>
      </c>
      <c r="DJS306" s="18">
        <v>0</v>
      </c>
      <c r="DJT306" s="18">
        <v>0</v>
      </c>
      <c r="DJU306" s="18">
        <v>0</v>
      </c>
      <c r="DJV306" s="18">
        <v>0</v>
      </c>
      <c r="DJW306" s="18">
        <v>0</v>
      </c>
      <c r="DJX306" s="18">
        <v>0</v>
      </c>
      <c r="DJY306" s="18">
        <v>0</v>
      </c>
      <c r="DJZ306" s="18">
        <v>0</v>
      </c>
      <c r="DKA306" s="18">
        <v>0</v>
      </c>
      <c r="DKB306" s="18">
        <v>0</v>
      </c>
      <c r="DKC306" s="18">
        <v>0</v>
      </c>
      <c r="DKD306" s="18">
        <v>0</v>
      </c>
      <c r="DKE306" s="18">
        <v>0</v>
      </c>
      <c r="DKF306" s="18">
        <v>0</v>
      </c>
      <c r="DKG306" s="18">
        <v>0</v>
      </c>
      <c r="DKH306" s="18">
        <v>0</v>
      </c>
      <c r="DKI306" s="18">
        <v>0</v>
      </c>
      <c r="DKJ306" s="18">
        <v>0</v>
      </c>
      <c r="DKK306" s="18">
        <v>0</v>
      </c>
      <c r="DKL306" s="18">
        <v>0</v>
      </c>
      <c r="DKM306" s="18">
        <v>0</v>
      </c>
      <c r="DKN306" s="18">
        <v>0</v>
      </c>
      <c r="DKO306" s="18">
        <v>0</v>
      </c>
      <c r="DKP306" s="18">
        <v>0</v>
      </c>
      <c r="DKQ306" s="18">
        <v>0</v>
      </c>
      <c r="DKR306" s="18">
        <v>0</v>
      </c>
      <c r="DKS306" s="18">
        <v>0</v>
      </c>
      <c r="DKT306" s="18">
        <v>0</v>
      </c>
      <c r="DKU306" s="18">
        <v>0</v>
      </c>
      <c r="DKV306" s="18">
        <v>0</v>
      </c>
      <c r="DKW306" s="18">
        <v>0</v>
      </c>
      <c r="DKX306" s="18">
        <v>0</v>
      </c>
      <c r="DKY306" s="18">
        <v>0</v>
      </c>
      <c r="DKZ306" s="18">
        <v>0</v>
      </c>
      <c r="DLA306" s="18">
        <v>0</v>
      </c>
      <c r="DLB306" s="18">
        <v>0</v>
      </c>
      <c r="DLC306" s="18">
        <v>0</v>
      </c>
      <c r="DLD306" s="18">
        <v>0</v>
      </c>
      <c r="DLE306" s="18">
        <v>0</v>
      </c>
      <c r="DLF306" s="18">
        <v>0</v>
      </c>
      <c r="DLG306" s="18">
        <v>0</v>
      </c>
      <c r="DLH306" s="18">
        <v>0</v>
      </c>
      <c r="DLI306" s="18">
        <v>0</v>
      </c>
      <c r="DLJ306" s="18">
        <v>0</v>
      </c>
      <c r="DLK306" s="18">
        <v>0</v>
      </c>
      <c r="DLL306" s="18">
        <v>0</v>
      </c>
      <c r="DLM306" s="18">
        <v>0</v>
      </c>
      <c r="DLN306" s="18">
        <v>0</v>
      </c>
      <c r="DLO306" s="18">
        <v>0</v>
      </c>
      <c r="DLP306" s="18">
        <v>0</v>
      </c>
      <c r="DLQ306" s="18">
        <v>0</v>
      </c>
      <c r="DLR306" s="18">
        <v>0</v>
      </c>
      <c r="DLS306" s="18">
        <v>0</v>
      </c>
      <c r="DLT306" s="18">
        <v>0</v>
      </c>
      <c r="DLU306" s="18">
        <v>0</v>
      </c>
      <c r="DLV306" s="18">
        <v>0</v>
      </c>
      <c r="DLW306" s="18">
        <v>0</v>
      </c>
      <c r="DLX306" s="18">
        <v>0</v>
      </c>
      <c r="DLY306" s="18">
        <v>0</v>
      </c>
      <c r="DLZ306" s="18">
        <v>0</v>
      </c>
      <c r="DMA306" s="18">
        <v>0</v>
      </c>
      <c r="DMB306" s="18">
        <v>0</v>
      </c>
      <c r="DMC306" s="18">
        <v>0</v>
      </c>
      <c r="DMD306" s="18">
        <v>0</v>
      </c>
      <c r="DME306" s="18">
        <v>0</v>
      </c>
      <c r="DMF306" s="18">
        <v>0</v>
      </c>
      <c r="DMG306" s="18">
        <v>0</v>
      </c>
      <c r="DMH306" s="18">
        <v>0</v>
      </c>
      <c r="DMI306" s="18">
        <v>0</v>
      </c>
      <c r="DMJ306" s="18">
        <v>0</v>
      </c>
      <c r="DMK306" s="18">
        <v>0</v>
      </c>
      <c r="DML306" s="18">
        <v>0</v>
      </c>
      <c r="DMM306" s="18">
        <v>0</v>
      </c>
      <c r="DMN306" s="18">
        <v>0</v>
      </c>
      <c r="DMO306" s="18">
        <v>0</v>
      </c>
      <c r="DMP306" s="18">
        <v>0</v>
      </c>
      <c r="DMQ306" s="18">
        <v>0</v>
      </c>
      <c r="DMR306" s="18">
        <v>0</v>
      </c>
      <c r="DMS306" s="18">
        <v>0</v>
      </c>
      <c r="DMT306" s="18">
        <v>0</v>
      </c>
      <c r="DMU306" s="18">
        <v>0</v>
      </c>
      <c r="DMV306" s="18">
        <v>0</v>
      </c>
      <c r="DMW306" s="18">
        <v>0</v>
      </c>
      <c r="DMX306" s="18">
        <v>0</v>
      </c>
      <c r="DMY306" s="18">
        <v>0</v>
      </c>
      <c r="DMZ306" s="18">
        <v>0</v>
      </c>
      <c r="DNA306" s="18">
        <v>0</v>
      </c>
      <c r="DNB306" s="18">
        <v>0</v>
      </c>
      <c r="DNC306" s="18">
        <v>0</v>
      </c>
      <c r="DND306" s="18">
        <v>0</v>
      </c>
      <c r="DNE306" s="18">
        <v>0</v>
      </c>
      <c r="DNF306" s="18">
        <v>0</v>
      </c>
      <c r="DNG306" s="18">
        <v>0</v>
      </c>
      <c r="DNH306" s="18">
        <v>0</v>
      </c>
      <c r="DNI306" s="18">
        <v>0</v>
      </c>
      <c r="DNJ306" s="18">
        <v>0</v>
      </c>
      <c r="DNK306" s="18">
        <v>0</v>
      </c>
      <c r="DNL306" s="18">
        <v>0</v>
      </c>
      <c r="DNM306" s="18">
        <v>0</v>
      </c>
      <c r="DNN306" s="18">
        <v>0</v>
      </c>
      <c r="DNO306" s="18">
        <v>0</v>
      </c>
      <c r="DNP306" s="18">
        <v>0</v>
      </c>
      <c r="DNQ306" s="18">
        <v>0</v>
      </c>
      <c r="DNR306" s="18">
        <v>0</v>
      </c>
      <c r="DNS306" s="18">
        <v>0</v>
      </c>
      <c r="DNT306" s="18">
        <v>0</v>
      </c>
      <c r="DNU306" s="18">
        <v>0</v>
      </c>
      <c r="DNV306" s="18">
        <v>0</v>
      </c>
      <c r="DNW306" s="18">
        <v>0</v>
      </c>
      <c r="DNX306" s="18">
        <v>0</v>
      </c>
      <c r="DNY306" s="18">
        <v>0</v>
      </c>
      <c r="DNZ306" s="18">
        <v>0</v>
      </c>
      <c r="DOA306" s="18">
        <v>0</v>
      </c>
      <c r="DOB306" s="18">
        <v>0</v>
      </c>
      <c r="DOC306" s="18">
        <v>0</v>
      </c>
      <c r="DOD306" s="18">
        <v>0</v>
      </c>
      <c r="DOE306" s="18">
        <v>0</v>
      </c>
      <c r="DOF306" s="18">
        <v>0</v>
      </c>
      <c r="DOG306" s="18">
        <v>0</v>
      </c>
      <c r="DOH306" s="18">
        <v>0</v>
      </c>
      <c r="DOI306" s="18">
        <v>0</v>
      </c>
      <c r="DOJ306" s="18">
        <v>0</v>
      </c>
      <c r="DOK306" s="18">
        <v>0</v>
      </c>
      <c r="DOL306" s="18">
        <v>0</v>
      </c>
      <c r="DOM306" s="18">
        <v>0</v>
      </c>
      <c r="DON306" s="18">
        <v>0</v>
      </c>
      <c r="DOO306" s="18">
        <v>0</v>
      </c>
      <c r="DOP306" s="18">
        <v>0</v>
      </c>
      <c r="DOQ306" s="18">
        <v>0</v>
      </c>
      <c r="DOR306" s="18">
        <v>0</v>
      </c>
      <c r="DOS306" s="18">
        <v>0</v>
      </c>
      <c r="DOT306" s="18">
        <v>0</v>
      </c>
      <c r="DOU306" s="18">
        <v>0</v>
      </c>
      <c r="DOV306" s="18">
        <v>0</v>
      </c>
      <c r="DOW306" s="18">
        <v>0</v>
      </c>
      <c r="DOX306" s="18">
        <v>0</v>
      </c>
      <c r="DOY306" s="18">
        <v>0</v>
      </c>
      <c r="DOZ306" s="18">
        <v>0</v>
      </c>
      <c r="DPA306" s="18">
        <v>0</v>
      </c>
      <c r="DPB306" s="18">
        <v>0</v>
      </c>
      <c r="DPC306" s="18">
        <v>0</v>
      </c>
      <c r="DPD306" s="18">
        <v>0</v>
      </c>
      <c r="DPE306" s="18">
        <v>0</v>
      </c>
      <c r="DPF306" s="18">
        <v>0</v>
      </c>
      <c r="DPG306" s="18">
        <v>0</v>
      </c>
      <c r="DPH306" s="18">
        <v>0</v>
      </c>
      <c r="DPI306" s="18">
        <v>0</v>
      </c>
      <c r="DPJ306" s="18">
        <v>0</v>
      </c>
      <c r="DPK306" s="18">
        <v>0</v>
      </c>
      <c r="DPL306" s="18">
        <v>0</v>
      </c>
      <c r="DPM306" s="18">
        <v>0</v>
      </c>
      <c r="DPN306" s="18">
        <v>0</v>
      </c>
      <c r="DPO306" s="18">
        <v>0</v>
      </c>
      <c r="DPP306" s="18">
        <v>0</v>
      </c>
      <c r="DPQ306" s="18">
        <v>0</v>
      </c>
      <c r="DPR306" s="18">
        <v>0</v>
      </c>
      <c r="DPS306" s="18">
        <v>0</v>
      </c>
      <c r="DPT306" s="18">
        <v>0</v>
      </c>
      <c r="DPU306" s="18">
        <v>0</v>
      </c>
      <c r="DPV306" s="18">
        <v>0</v>
      </c>
      <c r="DPW306" s="18">
        <v>0</v>
      </c>
      <c r="DPX306" s="18">
        <v>0</v>
      </c>
      <c r="DPY306" s="18">
        <v>0</v>
      </c>
      <c r="DPZ306" s="18">
        <v>0</v>
      </c>
      <c r="DQA306" s="18">
        <v>0</v>
      </c>
      <c r="DQB306" s="18">
        <v>0</v>
      </c>
      <c r="DQC306" s="18">
        <v>0</v>
      </c>
      <c r="DQD306" s="18">
        <v>0</v>
      </c>
      <c r="DQE306" s="18">
        <v>0</v>
      </c>
      <c r="DQF306" s="18">
        <v>0</v>
      </c>
      <c r="DQG306" s="18">
        <v>0</v>
      </c>
      <c r="DQH306" s="18">
        <v>0</v>
      </c>
      <c r="DQI306" s="18">
        <v>0</v>
      </c>
      <c r="DQJ306" s="18">
        <v>0</v>
      </c>
      <c r="DQK306" s="18">
        <v>0</v>
      </c>
      <c r="DQL306" s="18">
        <v>0</v>
      </c>
      <c r="DQM306" s="18">
        <v>0</v>
      </c>
      <c r="DQN306" s="18">
        <v>0</v>
      </c>
      <c r="DQO306" s="18">
        <v>0</v>
      </c>
      <c r="DQP306" s="18">
        <v>0</v>
      </c>
      <c r="DQQ306" s="18">
        <v>0</v>
      </c>
      <c r="DQR306" s="18">
        <v>0</v>
      </c>
      <c r="DQS306" s="18">
        <v>0</v>
      </c>
      <c r="DQT306" s="18">
        <v>0</v>
      </c>
      <c r="DQU306" s="18">
        <v>0</v>
      </c>
      <c r="DQV306" s="18">
        <v>0</v>
      </c>
      <c r="DQW306" s="18">
        <v>0</v>
      </c>
      <c r="DQX306" s="18">
        <v>0</v>
      </c>
      <c r="DQY306" s="18">
        <v>0</v>
      </c>
      <c r="DQZ306" s="18">
        <v>0</v>
      </c>
      <c r="DRA306" s="18">
        <v>0</v>
      </c>
      <c r="DRB306" s="18">
        <v>0</v>
      </c>
      <c r="DRC306" s="18">
        <v>0</v>
      </c>
      <c r="DRD306" s="18">
        <v>0</v>
      </c>
      <c r="DRE306" s="18">
        <v>0</v>
      </c>
      <c r="DRF306" s="18">
        <v>0</v>
      </c>
      <c r="DRG306" s="18">
        <v>0</v>
      </c>
      <c r="DRH306" s="18">
        <v>0</v>
      </c>
      <c r="DRI306" s="18">
        <v>0</v>
      </c>
      <c r="DRJ306" s="18">
        <v>0</v>
      </c>
      <c r="DRK306" s="18">
        <v>0</v>
      </c>
      <c r="DRL306" s="18">
        <v>0</v>
      </c>
      <c r="DRM306" s="18">
        <v>0</v>
      </c>
      <c r="DRN306" s="18">
        <v>0</v>
      </c>
      <c r="DRO306" s="18">
        <v>0</v>
      </c>
      <c r="DRP306" s="18">
        <v>0</v>
      </c>
      <c r="DRQ306" s="18">
        <v>0</v>
      </c>
      <c r="DRR306" s="18">
        <v>0</v>
      </c>
      <c r="DRS306" s="18">
        <v>0</v>
      </c>
      <c r="DRT306" s="18">
        <v>0</v>
      </c>
      <c r="DRU306" s="18">
        <v>0</v>
      </c>
      <c r="DRV306" s="18">
        <v>0</v>
      </c>
      <c r="DRW306" s="18">
        <v>0</v>
      </c>
      <c r="DRX306" s="18">
        <v>0</v>
      </c>
      <c r="DRY306" s="18">
        <v>0</v>
      </c>
      <c r="DRZ306" s="18">
        <v>0</v>
      </c>
      <c r="DSA306" s="18">
        <v>0</v>
      </c>
      <c r="DSB306" s="18">
        <v>0</v>
      </c>
      <c r="DSC306" s="18">
        <v>0</v>
      </c>
      <c r="DSD306" s="18">
        <v>0</v>
      </c>
      <c r="DSE306" s="18">
        <v>0</v>
      </c>
      <c r="DSF306" s="18">
        <v>0</v>
      </c>
      <c r="DSG306" s="18">
        <v>0</v>
      </c>
      <c r="DSH306" s="18">
        <v>0</v>
      </c>
      <c r="DSI306" s="18">
        <v>0</v>
      </c>
      <c r="DSJ306" s="18">
        <v>0</v>
      </c>
      <c r="DSK306" s="18">
        <v>0</v>
      </c>
      <c r="DSL306" s="18">
        <v>0</v>
      </c>
      <c r="DSM306" s="18">
        <v>0</v>
      </c>
      <c r="DSN306" s="18">
        <v>0</v>
      </c>
      <c r="DSO306" s="18">
        <v>0</v>
      </c>
      <c r="DSP306" s="18">
        <v>0</v>
      </c>
      <c r="DSQ306" s="18">
        <v>0</v>
      </c>
      <c r="DSR306" s="18">
        <v>0</v>
      </c>
      <c r="DSS306" s="18">
        <v>0</v>
      </c>
      <c r="DST306" s="18">
        <v>0</v>
      </c>
      <c r="DSU306" s="18">
        <v>0</v>
      </c>
      <c r="DSV306" s="18">
        <v>0</v>
      </c>
      <c r="DSW306" s="18">
        <v>0</v>
      </c>
      <c r="DSX306" s="18">
        <v>0</v>
      </c>
      <c r="DSY306" s="18">
        <v>0</v>
      </c>
      <c r="DSZ306" s="18">
        <v>0</v>
      </c>
      <c r="DTA306" s="18">
        <v>0</v>
      </c>
      <c r="DTB306" s="18">
        <v>0</v>
      </c>
      <c r="DTC306" s="18">
        <v>0</v>
      </c>
      <c r="DTD306" s="18">
        <v>0</v>
      </c>
      <c r="DTE306" s="18">
        <v>0</v>
      </c>
      <c r="DTF306" s="18">
        <v>0</v>
      </c>
      <c r="DTG306" s="18">
        <v>0</v>
      </c>
      <c r="DTH306" s="18">
        <v>0</v>
      </c>
      <c r="DTI306" s="18">
        <v>0</v>
      </c>
      <c r="DTJ306" s="18">
        <v>0</v>
      </c>
      <c r="DTK306" s="18">
        <v>0</v>
      </c>
      <c r="DTL306" s="18">
        <v>0</v>
      </c>
      <c r="DTM306" s="18">
        <v>0</v>
      </c>
      <c r="DTN306" s="18">
        <v>0</v>
      </c>
      <c r="DTO306" s="18">
        <v>0</v>
      </c>
      <c r="DTP306" s="18">
        <v>0</v>
      </c>
      <c r="DTQ306" s="18">
        <v>0</v>
      </c>
      <c r="DTR306" s="18">
        <v>0</v>
      </c>
      <c r="DTS306" s="18">
        <v>0</v>
      </c>
      <c r="DTT306" s="18">
        <v>0</v>
      </c>
      <c r="DTU306" s="18">
        <v>0</v>
      </c>
      <c r="DTV306" s="18">
        <v>0</v>
      </c>
      <c r="DTW306" s="18">
        <v>0</v>
      </c>
      <c r="DTX306" s="18">
        <v>0</v>
      </c>
      <c r="DTY306" s="18">
        <v>0</v>
      </c>
      <c r="DTZ306" s="18">
        <v>0</v>
      </c>
      <c r="DUA306" s="18">
        <v>0</v>
      </c>
      <c r="DUB306" s="18">
        <v>0</v>
      </c>
      <c r="DUC306" s="18">
        <v>0</v>
      </c>
      <c r="DUD306" s="18">
        <v>0</v>
      </c>
      <c r="DUE306" s="18">
        <v>0</v>
      </c>
      <c r="DUF306" s="18">
        <v>0</v>
      </c>
      <c r="DUG306" s="18">
        <v>0</v>
      </c>
      <c r="DUH306" s="18">
        <v>0</v>
      </c>
      <c r="DUI306" s="18">
        <v>0</v>
      </c>
      <c r="DUJ306" s="18">
        <v>0</v>
      </c>
      <c r="DUK306" s="18">
        <v>0</v>
      </c>
      <c r="DUL306" s="18">
        <v>0</v>
      </c>
      <c r="DUM306" s="18">
        <v>0</v>
      </c>
      <c r="DUN306" s="18">
        <v>0</v>
      </c>
      <c r="DUO306" s="18">
        <v>0</v>
      </c>
      <c r="DUP306" s="18">
        <v>0</v>
      </c>
      <c r="DUQ306" s="18">
        <v>0</v>
      </c>
      <c r="DUR306" s="18">
        <v>0</v>
      </c>
      <c r="DUS306" s="18">
        <v>0</v>
      </c>
      <c r="DUT306" s="18">
        <v>0</v>
      </c>
      <c r="DUU306" s="18">
        <v>0</v>
      </c>
      <c r="DUV306" s="18">
        <v>0</v>
      </c>
      <c r="DUW306" s="18">
        <v>0</v>
      </c>
      <c r="DUX306" s="18">
        <v>0</v>
      </c>
      <c r="DUY306" s="18">
        <v>0</v>
      </c>
      <c r="DUZ306" s="18">
        <v>0</v>
      </c>
      <c r="DVA306" s="18">
        <v>0</v>
      </c>
      <c r="DVB306" s="18">
        <v>0</v>
      </c>
      <c r="DVC306" s="18">
        <v>0</v>
      </c>
      <c r="DVD306" s="18">
        <v>0</v>
      </c>
      <c r="DVE306" s="18">
        <v>0</v>
      </c>
      <c r="DVF306" s="18">
        <v>0</v>
      </c>
      <c r="DVG306" s="18">
        <v>0</v>
      </c>
      <c r="DVH306" s="18">
        <v>0</v>
      </c>
      <c r="DVI306" s="18">
        <v>0</v>
      </c>
      <c r="DVJ306" s="18">
        <v>0</v>
      </c>
      <c r="DVK306" s="18">
        <v>0</v>
      </c>
      <c r="DVL306" s="18">
        <v>0</v>
      </c>
      <c r="DVM306" s="18">
        <v>0</v>
      </c>
      <c r="DVN306" s="18">
        <v>0</v>
      </c>
      <c r="DVO306" s="18">
        <v>0</v>
      </c>
      <c r="DVP306" s="18">
        <v>0</v>
      </c>
      <c r="DVQ306" s="18">
        <v>0</v>
      </c>
      <c r="DVR306" s="18">
        <v>0</v>
      </c>
      <c r="DVS306" s="18">
        <v>0</v>
      </c>
      <c r="DVT306" s="18">
        <v>0</v>
      </c>
      <c r="DVU306" s="18">
        <v>0</v>
      </c>
      <c r="DVV306" s="18">
        <v>0</v>
      </c>
      <c r="DVW306" s="18">
        <v>0</v>
      </c>
      <c r="DVX306" s="18">
        <v>0</v>
      </c>
      <c r="DVY306" s="18">
        <v>0</v>
      </c>
      <c r="DVZ306" s="18">
        <v>0</v>
      </c>
      <c r="DWA306" s="18">
        <v>0</v>
      </c>
      <c r="DWB306" s="18">
        <v>0</v>
      </c>
      <c r="DWC306" s="18">
        <v>0</v>
      </c>
      <c r="DWD306" s="18">
        <v>0</v>
      </c>
      <c r="DWE306" s="18">
        <v>0</v>
      </c>
      <c r="DWF306" s="18">
        <v>0</v>
      </c>
      <c r="DWG306" s="18">
        <v>0</v>
      </c>
      <c r="DWH306" s="18">
        <v>0</v>
      </c>
      <c r="DWI306" s="18">
        <v>0</v>
      </c>
      <c r="DWJ306" s="18">
        <v>0</v>
      </c>
      <c r="DWK306" s="18">
        <v>0</v>
      </c>
      <c r="DWL306" s="18">
        <v>0</v>
      </c>
      <c r="DWM306" s="18">
        <v>0</v>
      </c>
      <c r="DWN306" s="18">
        <v>0</v>
      </c>
      <c r="DWO306" s="18">
        <v>0</v>
      </c>
      <c r="DWP306" s="18">
        <v>0</v>
      </c>
      <c r="DWQ306" s="18">
        <v>0</v>
      </c>
      <c r="DWR306" s="18">
        <v>0</v>
      </c>
      <c r="DWS306" s="18">
        <v>0</v>
      </c>
      <c r="DWT306" s="18">
        <v>0</v>
      </c>
      <c r="DWU306" s="18">
        <v>0</v>
      </c>
      <c r="DWV306" s="18">
        <v>0</v>
      </c>
      <c r="DWW306" s="18">
        <v>0</v>
      </c>
      <c r="DWX306" s="18">
        <v>0</v>
      </c>
      <c r="DWY306" s="18">
        <v>0</v>
      </c>
      <c r="DWZ306" s="18">
        <v>0</v>
      </c>
      <c r="DXA306" s="18">
        <v>0</v>
      </c>
      <c r="DXB306" s="18">
        <v>0</v>
      </c>
      <c r="DXC306" s="18">
        <v>0</v>
      </c>
      <c r="DXD306" s="18">
        <v>0</v>
      </c>
      <c r="DXE306" s="18">
        <v>0</v>
      </c>
      <c r="DXF306" s="18">
        <v>0</v>
      </c>
      <c r="DXG306" s="18">
        <v>0</v>
      </c>
      <c r="DXH306" s="18">
        <v>0</v>
      </c>
      <c r="DXI306" s="18">
        <v>0</v>
      </c>
      <c r="DXJ306" s="18">
        <v>0</v>
      </c>
      <c r="DXK306" s="18">
        <v>0</v>
      </c>
      <c r="DXL306" s="18">
        <v>0</v>
      </c>
      <c r="DXM306" s="18">
        <v>0</v>
      </c>
      <c r="DXN306" s="18">
        <v>0</v>
      </c>
      <c r="DXO306" s="18">
        <v>0</v>
      </c>
      <c r="DXP306" s="18">
        <v>0</v>
      </c>
      <c r="DXQ306" s="18">
        <v>0</v>
      </c>
      <c r="DXR306" s="18">
        <v>0</v>
      </c>
      <c r="DXS306" s="18">
        <v>0</v>
      </c>
      <c r="DXT306" s="18">
        <v>0</v>
      </c>
      <c r="DXU306" s="18">
        <v>0</v>
      </c>
      <c r="DXV306" s="18">
        <v>0</v>
      </c>
      <c r="DXW306" s="18">
        <v>0</v>
      </c>
      <c r="DXX306" s="18">
        <v>0</v>
      </c>
      <c r="DXY306" s="18">
        <v>0</v>
      </c>
      <c r="DXZ306" s="18">
        <v>0</v>
      </c>
      <c r="DYA306" s="18">
        <v>0</v>
      </c>
      <c r="DYB306" s="18">
        <v>0</v>
      </c>
      <c r="DYC306" s="18">
        <v>0</v>
      </c>
      <c r="DYD306" s="18">
        <v>0</v>
      </c>
      <c r="DYE306" s="18">
        <v>0</v>
      </c>
      <c r="DYF306" s="18">
        <v>0</v>
      </c>
      <c r="DYG306" s="18">
        <v>0</v>
      </c>
      <c r="DYH306" s="18">
        <v>0</v>
      </c>
      <c r="DYI306" s="18">
        <v>0</v>
      </c>
      <c r="DYJ306" s="18">
        <v>0</v>
      </c>
      <c r="DYK306" s="18">
        <v>0</v>
      </c>
      <c r="DYL306" s="18">
        <v>0</v>
      </c>
      <c r="DYM306" s="18">
        <v>0</v>
      </c>
      <c r="DYN306" s="18">
        <v>0</v>
      </c>
      <c r="DYO306" s="18">
        <v>0</v>
      </c>
      <c r="DYP306" s="18">
        <v>0</v>
      </c>
      <c r="DYQ306" s="18">
        <v>0</v>
      </c>
      <c r="DYR306" s="18">
        <v>0</v>
      </c>
      <c r="DYS306" s="18">
        <v>0</v>
      </c>
      <c r="DYT306" s="18">
        <v>0</v>
      </c>
      <c r="DYU306" s="18">
        <v>0</v>
      </c>
      <c r="DYV306" s="18">
        <v>0</v>
      </c>
      <c r="DYW306" s="18">
        <v>0</v>
      </c>
      <c r="DYX306" s="18">
        <v>0</v>
      </c>
      <c r="DYY306" s="18">
        <v>0</v>
      </c>
      <c r="DYZ306" s="18">
        <v>0</v>
      </c>
      <c r="DZA306" s="18">
        <v>0</v>
      </c>
      <c r="DZB306" s="18">
        <v>0</v>
      </c>
      <c r="DZC306" s="18">
        <v>0</v>
      </c>
      <c r="DZD306" s="18">
        <v>0</v>
      </c>
      <c r="DZE306" s="18">
        <v>0</v>
      </c>
      <c r="DZF306" s="18">
        <v>0</v>
      </c>
      <c r="DZG306" s="18">
        <v>0</v>
      </c>
      <c r="DZH306" s="18">
        <v>0</v>
      </c>
      <c r="DZI306" s="18">
        <v>0</v>
      </c>
      <c r="DZJ306" s="18">
        <v>0</v>
      </c>
      <c r="DZK306" s="18">
        <v>0</v>
      </c>
      <c r="DZL306" s="18">
        <v>0</v>
      </c>
      <c r="DZM306" s="18">
        <v>0</v>
      </c>
      <c r="DZN306" s="18">
        <v>0</v>
      </c>
      <c r="DZO306" s="18">
        <v>0</v>
      </c>
      <c r="DZP306" s="18">
        <v>0</v>
      </c>
      <c r="DZQ306" s="18">
        <v>0</v>
      </c>
      <c r="DZR306" s="18">
        <v>0</v>
      </c>
      <c r="DZS306" s="18">
        <v>0</v>
      </c>
      <c r="DZT306" s="18">
        <v>0</v>
      </c>
      <c r="DZU306" s="18">
        <v>0</v>
      </c>
      <c r="DZV306" s="18">
        <v>0</v>
      </c>
      <c r="DZW306" s="18">
        <v>0</v>
      </c>
      <c r="DZX306" s="18">
        <v>0</v>
      </c>
      <c r="DZY306" s="18">
        <v>0</v>
      </c>
      <c r="DZZ306" s="18">
        <v>0</v>
      </c>
      <c r="EAA306" s="18">
        <v>0</v>
      </c>
      <c r="EAB306" s="18">
        <v>0</v>
      </c>
      <c r="EAC306" s="18">
        <v>0</v>
      </c>
      <c r="EAD306" s="18">
        <v>0</v>
      </c>
      <c r="EAE306" s="18">
        <v>0</v>
      </c>
      <c r="EAF306" s="18">
        <v>0</v>
      </c>
      <c r="EAG306" s="18">
        <v>0</v>
      </c>
      <c r="EAH306" s="18">
        <v>0</v>
      </c>
      <c r="EAI306" s="18">
        <v>0</v>
      </c>
      <c r="EAJ306" s="18">
        <v>0</v>
      </c>
      <c r="EAK306" s="18">
        <v>0</v>
      </c>
      <c r="EAL306" s="18">
        <v>0</v>
      </c>
      <c r="EAM306" s="18">
        <v>0</v>
      </c>
      <c r="EAN306" s="18">
        <v>0</v>
      </c>
      <c r="EAO306" s="18">
        <v>0</v>
      </c>
      <c r="EAP306" s="18">
        <v>0</v>
      </c>
      <c r="EAQ306" s="18">
        <v>0</v>
      </c>
      <c r="EAR306" s="18">
        <v>0</v>
      </c>
      <c r="EAS306" s="18">
        <v>0</v>
      </c>
      <c r="EAT306" s="18">
        <v>0</v>
      </c>
      <c r="EAU306" s="18">
        <v>0</v>
      </c>
      <c r="EAV306" s="18">
        <v>0</v>
      </c>
      <c r="EAW306" s="18">
        <v>0</v>
      </c>
      <c r="EAX306" s="18">
        <v>0</v>
      </c>
      <c r="EAY306" s="18">
        <v>0</v>
      </c>
      <c r="EAZ306" s="18">
        <v>0</v>
      </c>
      <c r="EBA306" s="18">
        <v>0</v>
      </c>
      <c r="EBB306" s="18">
        <v>0</v>
      </c>
      <c r="EBC306" s="18">
        <v>0</v>
      </c>
      <c r="EBD306" s="18">
        <v>0</v>
      </c>
      <c r="EBE306" s="18">
        <v>0</v>
      </c>
      <c r="EBF306" s="18">
        <v>0</v>
      </c>
      <c r="EBG306" s="18">
        <v>0</v>
      </c>
      <c r="EBH306" s="18">
        <v>0</v>
      </c>
      <c r="EBI306" s="18">
        <v>0</v>
      </c>
      <c r="EBJ306" s="18">
        <v>0</v>
      </c>
      <c r="EBK306" s="18">
        <v>0</v>
      </c>
      <c r="EBL306" s="18">
        <v>0</v>
      </c>
      <c r="EBM306" s="18">
        <v>0</v>
      </c>
      <c r="EBN306" s="18">
        <v>0</v>
      </c>
      <c r="EBO306" s="18">
        <v>0</v>
      </c>
      <c r="EBP306" s="18">
        <v>0</v>
      </c>
      <c r="EBQ306" s="18">
        <v>0</v>
      </c>
      <c r="EBR306" s="18">
        <v>0</v>
      </c>
      <c r="EBS306" s="18">
        <v>0</v>
      </c>
      <c r="EBT306" s="18">
        <v>0</v>
      </c>
      <c r="EBU306" s="18">
        <v>0</v>
      </c>
      <c r="EBV306" s="18">
        <v>0</v>
      </c>
      <c r="EBW306" s="18">
        <v>0</v>
      </c>
      <c r="EBX306" s="18">
        <v>0</v>
      </c>
      <c r="EBY306" s="18">
        <v>0</v>
      </c>
      <c r="EBZ306" s="18">
        <v>0</v>
      </c>
      <c r="ECA306" s="18">
        <v>0</v>
      </c>
      <c r="ECB306" s="18">
        <v>0</v>
      </c>
      <c r="ECC306" s="18">
        <v>0</v>
      </c>
      <c r="ECD306" s="18">
        <v>0</v>
      </c>
      <c r="ECE306" s="18">
        <v>0</v>
      </c>
      <c r="ECF306" s="18">
        <v>0</v>
      </c>
      <c r="ECG306" s="18">
        <v>0</v>
      </c>
      <c r="ECH306" s="18">
        <v>0</v>
      </c>
      <c r="ECI306" s="18">
        <v>0</v>
      </c>
      <c r="ECJ306" s="18">
        <v>0</v>
      </c>
      <c r="ECK306" s="18">
        <v>0</v>
      </c>
      <c r="ECL306" s="18">
        <v>0</v>
      </c>
      <c r="ECM306" s="18">
        <v>0</v>
      </c>
      <c r="ECN306" s="18">
        <v>0</v>
      </c>
      <c r="ECO306" s="18">
        <v>0</v>
      </c>
      <c r="ECP306" s="18">
        <v>0</v>
      </c>
      <c r="ECQ306" s="18">
        <v>0</v>
      </c>
      <c r="ECR306" s="18">
        <v>0</v>
      </c>
      <c r="ECS306" s="18">
        <v>0</v>
      </c>
      <c r="ECT306" s="18">
        <v>0</v>
      </c>
      <c r="ECU306" s="18">
        <v>0</v>
      </c>
      <c r="ECV306" s="18">
        <v>0</v>
      </c>
      <c r="ECW306" s="18">
        <v>0</v>
      </c>
      <c r="ECX306" s="18">
        <v>0</v>
      </c>
      <c r="ECY306" s="18">
        <v>0</v>
      </c>
      <c r="ECZ306" s="18">
        <v>0</v>
      </c>
      <c r="EDA306" s="18">
        <v>0</v>
      </c>
      <c r="EDB306" s="18">
        <v>0</v>
      </c>
      <c r="EDC306" s="18">
        <v>0</v>
      </c>
      <c r="EDD306" s="18">
        <v>0</v>
      </c>
      <c r="EDE306" s="18">
        <v>0</v>
      </c>
      <c r="EDF306" s="18">
        <v>0</v>
      </c>
      <c r="EDG306" s="18">
        <v>0</v>
      </c>
      <c r="EDH306" s="18">
        <v>0</v>
      </c>
      <c r="EDI306" s="18">
        <v>0</v>
      </c>
      <c r="EDJ306" s="18">
        <v>0</v>
      </c>
      <c r="EDK306" s="18">
        <v>0</v>
      </c>
      <c r="EDL306" s="18">
        <v>0</v>
      </c>
      <c r="EDM306" s="18">
        <v>0</v>
      </c>
      <c r="EDN306" s="18">
        <v>0</v>
      </c>
      <c r="EDO306" s="18">
        <v>0</v>
      </c>
      <c r="EDP306" s="18">
        <v>0</v>
      </c>
      <c r="EDQ306" s="18">
        <v>0</v>
      </c>
      <c r="EDR306" s="18">
        <v>0</v>
      </c>
      <c r="EDS306" s="18">
        <v>0</v>
      </c>
      <c r="EDT306" s="18">
        <v>0</v>
      </c>
      <c r="EDU306" s="18">
        <v>0</v>
      </c>
      <c r="EDV306" s="18">
        <v>0</v>
      </c>
      <c r="EDW306" s="18">
        <v>0</v>
      </c>
      <c r="EDX306" s="18">
        <v>0</v>
      </c>
      <c r="EDY306" s="18">
        <v>0</v>
      </c>
      <c r="EDZ306" s="18">
        <v>0</v>
      </c>
      <c r="EEA306" s="18">
        <v>0</v>
      </c>
      <c r="EEB306" s="18">
        <v>0</v>
      </c>
      <c r="EEC306" s="18">
        <v>0</v>
      </c>
      <c r="EED306" s="18">
        <v>0</v>
      </c>
      <c r="EEE306" s="18">
        <v>0</v>
      </c>
      <c r="EEF306" s="18">
        <v>0</v>
      </c>
      <c r="EEG306" s="18">
        <v>0</v>
      </c>
      <c r="EEH306" s="18">
        <v>0</v>
      </c>
      <c r="EEI306" s="18">
        <v>0</v>
      </c>
      <c r="EEJ306" s="18">
        <v>0</v>
      </c>
      <c r="EEK306" s="18">
        <v>0</v>
      </c>
      <c r="EEL306" s="18">
        <v>0</v>
      </c>
      <c r="EEM306" s="18">
        <v>0</v>
      </c>
      <c r="EEN306" s="18">
        <v>0</v>
      </c>
      <c r="EEO306" s="18">
        <v>0</v>
      </c>
      <c r="EEP306" s="18">
        <v>0</v>
      </c>
      <c r="EEQ306" s="18">
        <v>0</v>
      </c>
      <c r="EER306" s="18">
        <v>0</v>
      </c>
      <c r="EES306" s="18">
        <v>0</v>
      </c>
      <c r="EET306" s="18">
        <v>0</v>
      </c>
      <c r="EEU306" s="18">
        <v>0</v>
      </c>
      <c r="EEV306" s="18">
        <v>0</v>
      </c>
      <c r="EEW306" s="18">
        <v>0</v>
      </c>
      <c r="EEX306" s="18">
        <v>0</v>
      </c>
      <c r="EEY306" s="18">
        <v>0</v>
      </c>
      <c r="EEZ306" s="18">
        <v>0</v>
      </c>
      <c r="EFA306" s="18">
        <v>0</v>
      </c>
      <c r="EFB306" s="18">
        <v>0</v>
      </c>
      <c r="EFC306" s="18">
        <v>0</v>
      </c>
      <c r="EFD306" s="18">
        <v>0</v>
      </c>
      <c r="EFE306" s="18">
        <v>0</v>
      </c>
      <c r="EFF306" s="18">
        <v>0</v>
      </c>
      <c r="EFG306" s="18">
        <v>0</v>
      </c>
      <c r="EFH306" s="18">
        <v>0</v>
      </c>
      <c r="EFI306" s="18">
        <v>0</v>
      </c>
      <c r="EFJ306" s="18">
        <v>0</v>
      </c>
      <c r="EFK306" s="18">
        <v>0</v>
      </c>
      <c r="EFL306" s="18">
        <v>0</v>
      </c>
      <c r="EFM306" s="18">
        <v>0</v>
      </c>
      <c r="EFN306" s="18">
        <v>0</v>
      </c>
      <c r="EFO306" s="18">
        <v>0</v>
      </c>
      <c r="EFP306" s="18">
        <v>0</v>
      </c>
      <c r="EFQ306" s="18">
        <v>0</v>
      </c>
      <c r="EFR306" s="18">
        <v>0</v>
      </c>
      <c r="EFS306" s="18">
        <v>0</v>
      </c>
      <c r="EFT306" s="18">
        <v>0</v>
      </c>
      <c r="EFU306" s="18">
        <v>0</v>
      </c>
      <c r="EFV306" s="18">
        <v>0</v>
      </c>
      <c r="EFW306" s="18">
        <v>0</v>
      </c>
      <c r="EFX306" s="18">
        <v>0</v>
      </c>
      <c r="EFY306" s="18">
        <v>0</v>
      </c>
      <c r="EFZ306" s="18">
        <v>0</v>
      </c>
      <c r="EGA306" s="18">
        <v>0</v>
      </c>
      <c r="EGB306" s="18">
        <v>0</v>
      </c>
      <c r="EGC306" s="18">
        <v>0</v>
      </c>
      <c r="EGD306" s="18">
        <v>0</v>
      </c>
      <c r="EGE306" s="18">
        <v>0</v>
      </c>
      <c r="EGF306" s="18">
        <v>0</v>
      </c>
      <c r="EGG306" s="18">
        <v>0</v>
      </c>
      <c r="EGH306" s="18">
        <v>0</v>
      </c>
      <c r="EGI306" s="18">
        <v>0</v>
      </c>
      <c r="EGJ306" s="18">
        <v>0</v>
      </c>
      <c r="EGK306" s="18">
        <v>0</v>
      </c>
      <c r="EGL306" s="18">
        <v>0</v>
      </c>
      <c r="EGM306" s="18">
        <v>0</v>
      </c>
      <c r="EGN306" s="18">
        <v>0</v>
      </c>
      <c r="EGO306" s="18">
        <v>0</v>
      </c>
      <c r="EGP306" s="18">
        <v>0</v>
      </c>
      <c r="EGQ306" s="18">
        <v>0</v>
      </c>
      <c r="EGR306" s="18">
        <v>0</v>
      </c>
      <c r="EGS306" s="18">
        <v>0</v>
      </c>
      <c r="EGT306" s="18">
        <v>0</v>
      </c>
      <c r="EGU306" s="18">
        <v>0</v>
      </c>
      <c r="EGV306" s="18">
        <v>0</v>
      </c>
      <c r="EGW306" s="18">
        <v>0</v>
      </c>
      <c r="EGX306" s="18">
        <v>0</v>
      </c>
      <c r="EGY306" s="18">
        <v>0</v>
      </c>
      <c r="EGZ306" s="18">
        <v>0</v>
      </c>
      <c r="EHA306" s="18">
        <v>0</v>
      </c>
      <c r="EHB306" s="18">
        <v>0</v>
      </c>
      <c r="EHC306" s="18">
        <v>0</v>
      </c>
      <c r="EHD306" s="18">
        <v>0</v>
      </c>
      <c r="EHE306" s="18">
        <v>0</v>
      </c>
      <c r="EHF306" s="18">
        <v>0</v>
      </c>
      <c r="EHG306" s="18">
        <v>0</v>
      </c>
      <c r="EHH306" s="18">
        <v>0</v>
      </c>
      <c r="EHI306" s="18">
        <v>0</v>
      </c>
      <c r="EHJ306" s="18">
        <v>0</v>
      </c>
      <c r="EHK306" s="18">
        <v>0</v>
      </c>
      <c r="EHL306" s="18">
        <v>0</v>
      </c>
      <c r="EHM306" s="18">
        <v>0</v>
      </c>
      <c r="EHN306" s="18">
        <v>0</v>
      </c>
      <c r="EHO306" s="18">
        <v>0</v>
      </c>
      <c r="EHP306" s="18">
        <v>0</v>
      </c>
      <c r="EHQ306" s="18">
        <v>0</v>
      </c>
      <c r="EHR306" s="18">
        <v>0</v>
      </c>
      <c r="EHS306" s="18">
        <v>0</v>
      </c>
      <c r="EHT306" s="18">
        <v>0</v>
      </c>
      <c r="EHU306" s="18">
        <v>0</v>
      </c>
      <c r="EHV306" s="18">
        <v>0</v>
      </c>
      <c r="EHW306" s="18">
        <v>0</v>
      </c>
      <c r="EHX306" s="18">
        <v>0</v>
      </c>
      <c r="EHY306" s="18">
        <v>0</v>
      </c>
      <c r="EHZ306" s="18">
        <v>0</v>
      </c>
      <c r="EIA306" s="18">
        <v>0</v>
      </c>
      <c r="EIB306" s="18">
        <v>0</v>
      </c>
      <c r="EIC306" s="18">
        <v>0</v>
      </c>
      <c r="EID306" s="18">
        <v>0</v>
      </c>
      <c r="EIE306" s="18">
        <v>0</v>
      </c>
      <c r="EIF306" s="18">
        <v>0</v>
      </c>
      <c r="EIG306" s="18">
        <v>0</v>
      </c>
      <c r="EIH306" s="18">
        <v>0</v>
      </c>
      <c r="EII306" s="18">
        <v>0</v>
      </c>
      <c r="EIJ306" s="18">
        <v>0</v>
      </c>
      <c r="EIK306" s="18">
        <v>0</v>
      </c>
      <c r="EIL306" s="18">
        <v>0</v>
      </c>
      <c r="EIM306" s="18">
        <v>0</v>
      </c>
      <c r="EIN306" s="18">
        <v>0</v>
      </c>
      <c r="EIO306" s="18">
        <v>0</v>
      </c>
      <c r="EIP306" s="18">
        <v>0</v>
      </c>
      <c r="EIQ306" s="18">
        <v>0</v>
      </c>
      <c r="EIR306" s="18">
        <v>0</v>
      </c>
      <c r="EIS306" s="18">
        <v>0</v>
      </c>
      <c r="EIT306" s="18">
        <v>0</v>
      </c>
      <c r="EIU306" s="18">
        <v>0</v>
      </c>
      <c r="EIV306" s="18">
        <v>0</v>
      </c>
      <c r="EIW306" s="18">
        <v>0</v>
      </c>
      <c r="EIX306" s="18">
        <v>0</v>
      </c>
      <c r="EIY306" s="18">
        <v>0</v>
      </c>
      <c r="EIZ306" s="18">
        <v>0</v>
      </c>
      <c r="EJA306" s="18">
        <v>0</v>
      </c>
      <c r="EJB306" s="18">
        <v>0</v>
      </c>
      <c r="EJC306" s="18">
        <v>0</v>
      </c>
      <c r="EJD306" s="18">
        <v>0</v>
      </c>
      <c r="EJE306" s="18">
        <v>0</v>
      </c>
      <c r="EJF306" s="18">
        <v>0</v>
      </c>
      <c r="EJG306" s="18">
        <v>0</v>
      </c>
      <c r="EJH306" s="18">
        <v>0</v>
      </c>
      <c r="EJI306" s="18">
        <v>0</v>
      </c>
      <c r="EJJ306" s="18">
        <v>0</v>
      </c>
      <c r="EJK306" s="18">
        <v>0</v>
      </c>
      <c r="EJL306" s="18">
        <v>0</v>
      </c>
      <c r="EJM306" s="18">
        <v>0</v>
      </c>
      <c r="EJN306" s="18">
        <v>0</v>
      </c>
      <c r="EJO306" s="18">
        <v>0</v>
      </c>
      <c r="EJP306" s="18">
        <v>0</v>
      </c>
      <c r="EJQ306" s="18">
        <v>0</v>
      </c>
      <c r="EJR306" s="18">
        <v>0</v>
      </c>
      <c r="EJS306" s="18">
        <v>0</v>
      </c>
      <c r="EJT306" s="18">
        <v>0</v>
      </c>
      <c r="EJU306" s="18">
        <v>0</v>
      </c>
      <c r="EJV306" s="18">
        <v>0</v>
      </c>
      <c r="EJW306" s="18">
        <v>0</v>
      </c>
      <c r="EJX306" s="18">
        <v>0</v>
      </c>
      <c r="EJY306" s="18">
        <v>0</v>
      </c>
      <c r="EJZ306" s="18">
        <v>0</v>
      </c>
      <c r="EKA306" s="18">
        <v>0</v>
      </c>
      <c r="EKB306" s="18">
        <v>0</v>
      </c>
      <c r="EKC306" s="18">
        <v>0</v>
      </c>
      <c r="EKD306" s="18">
        <v>0</v>
      </c>
      <c r="EKE306" s="18">
        <v>0</v>
      </c>
      <c r="EKF306" s="18">
        <v>0</v>
      </c>
      <c r="EKG306" s="18">
        <v>0</v>
      </c>
      <c r="EKH306" s="18">
        <v>0</v>
      </c>
      <c r="EKI306" s="18">
        <v>0</v>
      </c>
      <c r="EKJ306" s="18">
        <v>0</v>
      </c>
      <c r="EKK306" s="18">
        <v>0</v>
      </c>
      <c r="EKL306" s="18">
        <v>0</v>
      </c>
      <c r="EKM306" s="18">
        <v>0</v>
      </c>
      <c r="EKN306" s="18">
        <v>0</v>
      </c>
      <c r="EKO306" s="18">
        <v>0</v>
      </c>
      <c r="EKP306" s="18">
        <v>0</v>
      </c>
      <c r="EKQ306" s="18">
        <v>0</v>
      </c>
      <c r="EKR306" s="18">
        <v>0</v>
      </c>
      <c r="EKS306" s="18">
        <v>0</v>
      </c>
      <c r="EKT306" s="18">
        <v>0</v>
      </c>
      <c r="EKU306" s="18">
        <v>0</v>
      </c>
      <c r="EKV306" s="18">
        <v>0</v>
      </c>
      <c r="EKW306" s="18">
        <v>0</v>
      </c>
      <c r="EKX306" s="18">
        <v>0</v>
      </c>
      <c r="EKY306" s="18">
        <v>0</v>
      </c>
      <c r="EKZ306" s="18">
        <v>0</v>
      </c>
      <c r="ELA306" s="18">
        <v>0</v>
      </c>
      <c r="ELB306" s="18">
        <v>0</v>
      </c>
      <c r="ELC306" s="18">
        <v>0</v>
      </c>
      <c r="ELD306" s="18">
        <v>0</v>
      </c>
      <c r="ELE306" s="18">
        <v>0</v>
      </c>
      <c r="ELF306" s="18">
        <v>0</v>
      </c>
      <c r="ELG306" s="18">
        <v>0</v>
      </c>
      <c r="ELH306" s="18">
        <v>0</v>
      </c>
      <c r="ELI306" s="18">
        <v>0</v>
      </c>
      <c r="ELJ306" s="18">
        <v>0</v>
      </c>
      <c r="ELK306" s="18">
        <v>0</v>
      </c>
      <c r="ELL306" s="18">
        <v>0</v>
      </c>
      <c r="ELM306" s="18">
        <v>0</v>
      </c>
      <c r="ELN306" s="18">
        <v>0</v>
      </c>
      <c r="ELO306" s="18">
        <v>0</v>
      </c>
      <c r="ELP306" s="18">
        <v>0</v>
      </c>
      <c r="ELQ306" s="18">
        <v>0</v>
      </c>
      <c r="ELR306" s="18">
        <v>0</v>
      </c>
      <c r="ELS306" s="18">
        <v>0</v>
      </c>
      <c r="ELT306" s="18">
        <v>0</v>
      </c>
      <c r="ELU306" s="18">
        <v>0</v>
      </c>
      <c r="ELV306" s="18">
        <v>0</v>
      </c>
      <c r="ELW306" s="18">
        <v>0</v>
      </c>
      <c r="ELX306" s="18">
        <v>0</v>
      </c>
      <c r="ELY306" s="18">
        <v>0</v>
      </c>
      <c r="ELZ306" s="18">
        <v>0</v>
      </c>
      <c r="EMA306" s="18">
        <v>0</v>
      </c>
      <c r="EMB306" s="18">
        <v>0</v>
      </c>
      <c r="EMC306" s="18">
        <v>0</v>
      </c>
      <c r="EMD306" s="18">
        <v>0</v>
      </c>
      <c r="EME306" s="18">
        <v>0</v>
      </c>
      <c r="EMF306" s="18">
        <v>0</v>
      </c>
      <c r="EMG306" s="18">
        <v>0</v>
      </c>
      <c r="EMH306" s="18">
        <v>0</v>
      </c>
      <c r="EMI306" s="18">
        <v>0</v>
      </c>
      <c r="EMJ306" s="18">
        <v>0</v>
      </c>
      <c r="EMK306" s="18">
        <v>0</v>
      </c>
      <c r="EML306" s="18">
        <v>0</v>
      </c>
      <c r="EMM306" s="18">
        <v>0</v>
      </c>
      <c r="EMN306" s="18">
        <v>0</v>
      </c>
      <c r="EMO306" s="18">
        <v>0</v>
      </c>
      <c r="EMP306" s="18">
        <v>0</v>
      </c>
      <c r="EMQ306" s="18">
        <v>0</v>
      </c>
      <c r="EMR306" s="18">
        <v>0</v>
      </c>
      <c r="EMS306" s="18">
        <v>0</v>
      </c>
      <c r="EMT306" s="18">
        <v>0</v>
      </c>
      <c r="EMU306" s="18">
        <v>0</v>
      </c>
      <c r="EMV306" s="18">
        <v>0</v>
      </c>
      <c r="EMW306" s="18">
        <v>0</v>
      </c>
      <c r="EMX306" s="18">
        <v>0</v>
      </c>
      <c r="EMY306" s="18">
        <v>0</v>
      </c>
      <c r="EMZ306" s="18">
        <v>0</v>
      </c>
      <c r="ENA306" s="18">
        <v>0</v>
      </c>
      <c r="ENB306" s="18">
        <v>0</v>
      </c>
      <c r="ENC306" s="18">
        <v>0</v>
      </c>
      <c r="END306" s="18">
        <v>0</v>
      </c>
      <c r="ENE306" s="18">
        <v>0</v>
      </c>
      <c r="ENF306" s="18">
        <v>0</v>
      </c>
      <c r="ENG306" s="18">
        <v>0</v>
      </c>
      <c r="ENH306" s="18">
        <v>0</v>
      </c>
      <c r="ENI306" s="18">
        <v>0</v>
      </c>
      <c r="ENJ306" s="18">
        <v>0</v>
      </c>
      <c r="ENK306" s="18">
        <v>0</v>
      </c>
      <c r="ENL306" s="18">
        <v>0</v>
      </c>
      <c r="ENM306" s="18">
        <v>0</v>
      </c>
      <c r="ENN306" s="18">
        <v>0</v>
      </c>
      <c r="ENO306" s="18">
        <v>0</v>
      </c>
      <c r="ENP306" s="18">
        <v>0</v>
      </c>
      <c r="ENQ306" s="18">
        <v>0</v>
      </c>
      <c r="ENR306" s="18">
        <v>0</v>
      </c>
      <c r="ENS306" s="18">
        <v>0</v>
      </c>
      <c r="ENT306" s="18">
        <v>0</v>
      </c>
      <c r="ENU306" s="18">
        <v>0</v>
      </c>
      <c r="ENV306" s="18">
        <v>0</v>
      </c>
      <c r="ENW306" s="18">
        <v>0</v>
      </c>
      <c r="ENX306" s="18">
        <v>0</v>
      </c>
      <c r="ENY306" s="18">
        <v>0</v>
      </c>
      <c r="ENZ306" s="18">
        <v>0</v>
      </c>
      <c r="EOA306" s="18">
        <v>0</v>
      </c>
      <c r="EOB306" s="18">
        <v>0</v>
      </c>
      <c r="EOC306" s="18">
        <v>0</v>
      </c>
      <c r="EOD306" s="18">
        <v>0</v>
      </c>
      <c r="EOE306" s="18">
        <v>0</v>
      </c>
      <c r="EOF306" s="18">
        <v>0</v>
      </c>
      <c r="EOG306" s="18">
        <v>0</v>
      </c>
      <c r="EOH306" s="18">
        <v>0</v>
      </c>
      <c r="EOI306" s="18">
        <v>0</v>
      </c>
      <c r="EOJ306" s="18">
        <v>0</v>
      </c>
      <c r="EOK306" s="18">
        <v>0</v>
      </c>
      <c r="EOL306" s="18">
        <v>0</v>
      </c>
      <c r="EOM306" s="18">
        <v>0</v>
      </c>
      <c r="EON306" s="18">
        <v>0</v>
      </c>
      <c r="EOO306" s="18">
        <v>0</v>
      </c>
      <c r="EOP306" s="18">
        <v>0</v>
      </c>
      <c r="EOQ306" s="18">
        <v>0</v>
      </c>
      <c r="EOR306" s="18">
        <v>0</v>
      </c>
      <c r="EOS306" s="18">
        <v>0</v>
      </c>
      <c r="EOT306" s="18">
        <v>0</v>
      </c>
      <c r="EOU306" s="18">
        <v>0</v>
      </c>
      <c r="EOV306" s="18">
        <v>0</v>
      </c>
      <c r="EOW306" s="18">
        <v>0</v>
      </c>
      <c r="EOX306" s="18">
        <v>0</v>
      </c>
      <c r="EOY306" s="18">
        <v>0</v>
      </c>
      <c r="EOZ306" s="18">
        <v>0</v>
      </c>
      <c r="EPA306" s="18">
        <v>0</v>
      </c>
      <c r="EPB306" s="18">
        <v>0</v>
      </c>
      <c r="EPC306" s="18">
        <v>0</v>
      </c>
      <c r="EPD306" s="18">
        <v>0</v>
      </c>
      <c r="EPE306" s="18">
        <v>0</v>
      </c>
      <c r="EPF306" s="18">
        <v>0</v>
      </c>
      <c r="EPG306" s="18">
        <v>0</v>
      </c>
      <c r="EPH306" s="18">
        <v>0</v>
      </c>
      <c r="EPI306" s="18">
        <v>0</v>
      </c>
      <c r="EPJ306" s="18">
        <v>0</v>
      </c>
      <c r="EPK306" s="18">
        <v>0</v>
      </c>
      <c r="EPL306" s="18">
        <v>0</v>
      </c>
      <c r="EPM306" s="18">
        <v>0</v>
      </c>
      <c r="EPN306" s="18">
        <v>0</v>
      </c>
      <c r="EPO306" s="18">
        <v>0</v>
      </c>
      <c r="EPP306" s="18">
        <v>0</v>
      </c>
      <c r="EPQ306" s="18">
        <v>0</v>
      </c>
      <c r="EPR306" s="18">
        <v>0</v>
      </c>
      <c r="EPS306" s="18">
        <v>0</v>
      </c>
      <c r="EPT306" s="18">
        <v>0</v>
      </c>
      <c r="EPU306" s="18">
        <v>0</v>
      </c>
      <c r="EPV306" s="18">
        <v>0</v>
      </c>
      <c r="EPW306" s="18">
        <v>0</v>
      </c>
      <c r="EPX306" s="18">
        <v>0</v>
      </c>
      <c r="EPY306" s="18">
        <v>0</v>
      </c>
      <c r="EPZ306" s="18">
        <v>0</v>
      </c>
      <c r="EQA306" s="18">
        <v>0</v>
      </c>
      <c r="EQB306" s="18">
        <v>0</v>
      </c>
      <c r="EQC306" s="18">
        <v>0</v>
      </c>
      <c r="EQD306" s="18">
        <v>0</v>
      </c>
      <c r="EQE306" s="18">
        <v>0</v>
      </c>
      <c r="EQF306" s="18">
        <v>0</v>
      </c>
      <c r="EQG306" s="18">
        <v>0</v>
      </c>
      <c r="EQH306" s="18">
        <v>0</v>
      </c>
      <c r="EQI306" s="18">
        <v>0</v>
      </c>
      <c r="EQJ306" s="18">
        <v>0</v>
      </c>
      <c r="EQK306" s="18">
        <v>0</v>
      </c>
      <c r="EQL306" s="18">
        <v>0</v>
      </c>
      <c r="EQM306" s="18">
        <v>0</v>
      </c>
      <c r="EQN306" s="18">
        <v>0</v>
      </c>
      <c r="EQO306" s="18">
        <v>0</v>
      </c>
      <c r="EQP306" s="18">
        <v>0</v>
      </c>
      <c r="EQQ306" s="18">
        <v>0</v>
      </c>
      <c r="EQR306" s="18">
        <v>0</v>
      </c>
      <c r="EQS306" s="18">
        <v>0</v>
      </c>
      <c r="EQT306" s="18">
        <v>0</v>
      </c>
      <c r="EQU306" s="18">
        <v>0</v>
      </c>
      <c r="EQV306" s="18">
        <v>0</v>
      </c>
      <c r="EQW306" s="18">
        <v>0</v>
      </c>
      <c r="EQX306" s="18">
        <v>0</v>
      </c>
      <c r="EQY306" s="18">
        <v>0</v>
      </c>
      <c r="EQZ306" s="18">
        <v>0</v>
      </c>
      <c r="ERA306" s="18">
        <v>0</v>
      </c>
      <c r="ERB306" s="18">
        <v>0</v>
      </c>
      <c r="ERC306" s="18">
        <v>0</v>
      </c>
      <c r="ERD306" s="18">
        <v>0</v>
      </c>
      <c r="ERE306" s="18">
        <v>0</v>
      </c>
      <c r="ERF306" s="18">
        <v>0</v>
      </c>
      <c r="ERG306" s="18">
        <v>0</v>
      </c>
      <c r="ERH306" s="18">
        <v>0</v>
      </c>
      <c r="ERI306" s="18">
        <v>0</v>
      </c>
      <c r="ERJ306" s="18">
        <v>0</v>
      </c>
      <c r="ERK306" s="18">
        <v>0</v>
      </c>
      <c r="ERL306" s="18">
        <v>0</v>
      </c>
      <c r="ERM306" s="18">
        <v>0</v>
      </c>
      <c r="ERN306" s="18">
        <v>0</v>
      </c>
      <c r="ERO306" s="18">
        <v>0</v>
      </c>
      <c r="ERP306" s="18">
        <v>0</v>
      </c>
      <c r="ERQ306" s="18">
        <v>0</v>
      </c>
      <c r="ERR306" s="18">
        <v>0</v>
      </c>
      <c r="ERS306" s="18">
        <v>0</v>
      </c>
      <c r="ERT306" s="18">
        <v>0</v>
      </c>
      <c r="ERU306" s="18">
        <v>0</v>
      </c>
      <c r="ERV306" s="18">
        <v>0</v>
      </c>
      <c r="ERW306" s="18">
        <v>0</v>
      </c>
      <c r="ERX306" s="18">
        <v>0</v>
      </c>
      <c r="ERY306" s="18">
        <v>0</v>
      </c>
      <c r="ERZ306" s="18">
        <v>0</v>
      </c>
      <c r="ESA306" s="18">
        <v>0</v>
      </c>
      <c r="ESB306" s="18">
        <v>0</v>
      </c>
      <c r="ESC306" s="18">
        <v>0</v>
      </c>
      <c r="ESD306" s="18">
        <v>0</v>
      </c>
      <c r="ESE306" s="18">
        <v>0</v>
      </c>
      <c r="ESF306" s="18">
        <v>0</v>
      </c>
      <c r="ESG306" s="18">
        <v>0</v>
      </c>
      <c r="ESH306" s="18">
        <v>0</v>
      </c>
      <c r="ESI306" s="18">
        <v>0</v>
      </c>
      <c r="ESJ306" s="18">
        <v>0</v>
      </c>
      <c r="ESK306" s="18">
        <v>0</v>
      </c>
      <c r="ESL306" s="18">
        <v>0</v>
      </c>
      <c r="ESM306" s="18">
        <v>0</v>
      </c>
      <c r="ESN306" s="18">
        <v>0</v>
      </c>
      <c r="ESO306" s="18">
        <v>0</v>
      </c>
      <c r="ESP306" s="18">
        <v>0</v>
      </c>
      <c r="ESQ306" s="18">
        <v>0</v>
      </c>
      <c r="ESR306" s="18">
        <v>0</v>
      </c>
      <c r="ESS306" s="18">
        <v>0</v>
      </c>
      <c r="EST306" s="18">
        <v>0</v>
      </c>
      <c r="ESU306" s="18">
        <v>0</v>
      </c>
      <c r="ESV306" s="18">
        <v>0</v>
      </c>
      <c r="ESW306" s="18">
        <v>0</v>
      </c>
      <c r="ESX306" s="18">
        <v>0</v>
      </c>
      <c r="ESY306" s="18">
        <v>0</v>
      </c>
      <c r="ESZ306" s="18">
        <v>0</v>
      </c>
      <c r="ETA306" s="18">
        <v>0</v>
      </c>
      <c r="ETB306" s="18">
        <v>0</v>
      </c>
      <c r="ETC306" s="18">
        <v>0</v>
      </c>
      <c r="ETD306" s="18">
        <v>0</v>
      </c>
      <c r="ETE306" s="18">
        <v>0</v>
      </c>
      <c r="ETF306" s="18">
        <v>0</v>
      </c>
      <c r="ETG306" s="18">
        <v>0</v>
      </c>
      <c r="ETH306" s="18">
        <v>0</v>
      </c>
      <c r="ETI306" s="18">
        <v>0</v>
      </c>
      <c r="ETJ306" s="18">
        <v>0</v>
      </c>
      <c r="ETK306" s="18">
        <v>0</v>
      </c>
      <c r="ETL306" s="18">
        <v>0</v>
      </c>
      <c r="ETM306" s="18">
        <v>0</v>
      </c>
      <c r="ETN306" s="18">
        <v>0</v>
      </c>
      <c r="ETO306" s="18">
        <v>0</v>
      </c>
      <c r="ETP306" s="18">
        <v>0</v>
      </c>
      <c r="ETQ306" s="18">
        <v>0</v>
      </c>
      <c r="ETR306" s="18">
        <v>0</v>
      </c>
      <c r="ETS306" s="18">
        <v>0</v>
      </c>
      <c r="ETT306" s="18">
        <v>0</v>
      </c>
      <c r="ETU306" s="18">
        <v>0</v>
      </c>
      <c r="ETV306" s="18">
        <v>0</v>
      </c>
      <c r="ETW306" s="18">
        <v>0</v>
      </c>
      <c r="ETX306" s="18">
        <v>0</v>
      </c>
      <c r="ETY306" s="18">
        <v>0</v>
      </c>
      <c r="ETZ306" s="18">
        <v>0</v>
      </c>
      <c r="EUA306" s="18">
        <v>0</v>
      </c>
      <c r="EUB306" s="18">
        <v>0</v>
      </c>
      <c r="EUC306" s="18">
        <v>0</v>
      </c>
      <c r="EUD306" s="18">
        <v>0</v>
      </c>
      <c r="EUE306" s="18">
        <v>0</v>
      </c>
      <c r="EUF306" s="18">
        <v>0</v>
      </c>
      <c r="EUG306" s="18">
        <v>0</v>
      </c>
      <c r="EUH306" s="18">
        <v>0</v>
      </c>
      <c r="EUI306" s="18">
        <v>0</v>
      </c>
      <c r="EUJ306" s="18">
        <v>0</v>
      </c>
      <c r="EUK306" s="18">
        <v>0</v>
      </c>
      <c r="EUL306" s="18">
        <v>0</v>
      </c>
      <c r="EUM306" s="18">
        <v>0</v>
      </c>
      <c r="EUN306" s="18">
        <v>0</v>
      </c>
      <c r="EUO306" s="18">
        <v>0</v>
      </c>
      <c r="EUP306" s="18">
        <v>0</v>
      </c>
      <c r="EUQ306" s="18">
        <v>0</v>
      </c>
      <c r="EUR306" s="18">
        <v>0</v>
      </c>
      <c r="EUS306" s="18">
        <v>0</v>
      </c>
      <c r="EUT306" s="18">
        <v>0</v>
      </c>
      <c r="EUU306" s="18">
        <v>0</v>
      </c>
      <c r="EUV306" s="18">
        <v>0</v>
      </c>
      <c r="EUW306" s="18">
        <v>0</v>
      </c>
      <c r="EUX306" s="18">
        <v>0</v>
      </c>
      <c r="EUY306" s="18">
        <v>0</v>
      </c>
      <c r="EUZ306" s="18">
        <v>0</v>
      </c>
      <c r="EVA306" s="18">
        <v>0</v>
      </c>
      <c r="EVB306" s="18">
        <v>0</v>
      </c>
      <c r="EVC306" s="18">
        <v>0</v>
      </c>
      <c r="EVD306" s="18">
        <v>0</v>
      </c>
      <c r="EVE306" s="18">
        <v>0</v>
      </c>
      <c r="EVF306" s="18">
        <v>0</v>
      </c>
      <c r="EVG306" s="18">
        <v>0</v>
      </c>
      <c r="EVH306" s="18">
        <v>0</v>
      </c>
      <c r="EVI306" s="18">
        <v>0</v>
      </c>
      <c r="EVJ306" s="18">
        <v>0</v>
      </c>
      <c r="EVK306" s="18">
        <v>0</v>
      </c>
      <c r="EVL306" s="18">
        <v>0</v>
      </c>
      <c r="EVM306" s="18">
        <v>0</v>
      </c>
      <c r="EVN306" s="18">
        <v>0</v>
      </c>
      <c r="EVO306" s="18">
        <v>0</v>
      </c>
      <c r="EVP306" s="18">
        <v>0</v>
      </c>
      <c r="EVQ306" s="18">
        <v>0</v>
      </c>
      <c r="EVR306" s="18">
        <v>0</v>
      </c>
      <c r="EVS306" s="18">
        <v>0</v>
      </c>
      <c r="EVT306" s="18">
        <v>0</v>
      </c>
      <c r="EVU306" s="18">
        <v>0</v>
      </c>
      <c r="EVV306" s="18">
        <v>0</v>
      </c>
      <c r="EVW306" s="18">
        <v>0</v>
      </c>
      <c r="EVX306" s="18">
        <v>0</v>
      </c>
      <c r="EVY306" s="18">
        <v>0</v>
      </c>
      <c r="EVZ306" s="18">
        <v>0</v>
      </c>
      <c r="EWA306" s="18">
        <v>0</v>
      </c>
      <c r="EWB306" s="18">
        <v>0</v>
      </c>
      <c r="EWC306" s="18">
        <v>0</v>
      </c>
      <c r="EWD306" s="18">
        <v>0</v>
      </c>
      <c r="EWE306" s="18">
        <v>0</v>
      </c>
      <c r="EWF306" s="18">
        <v>0</v>
      </c>
      <c r="EWG306" s="18">
        <v>0</v>
      </c>
      <c r="EWH306" s="18">
        <v>0</v>
      </c>
      <c r="EWI306" s="18">
        <v>0</v>
      </c>
      <c r="EWJ306" s="18">
        <v>0</v>
      </c>
      <c r="EWK306" s="18">
        <v>0</v>
      </c>
      <c r="EWL306" s="18">
        <v>0</v>
      </c>
      <c r="EWM306" s="18">
        <v>0</v>
      </c>
      <c r="EWN306" s="18">
        <v>0</v>
      </c>
      <c r="EWO306" s="18">
        <v>0</v>
      </c>
      <c r="EWP306" s="18">
        <v>0</v>
      </c>
      <c r="EWQ306" s="18">
        <v>0</v>
      </c>
      <c r="EWR306" s="18">
        <v>0</v>
      </c>
      <c r="EWS306" s="18">
        <v>0</v>
      </c>
      <c r="EWT306" s="18">
        <v>0</v>
      </c>
      <c r="EWU306" s="18">
        <v>0</v>
      </c>
      <c r="EWV306" s="18">
        <v>0</v>
      </c>
      <c r="EWW306" s="18">
        <v>0</v>
      </c>
      <c r="EWX306" s="18">
        <v>0</v>
      </c>
      <c r="EWY306" s="18">
        <v>0</v>
      </c>
      <c r="EWZ306" s="18">
        <v>0</v>
      </c>
      <c r="EXA306" s="18">
        <v>0</v>
      </c>
      <c r="EXB306" s="18">
        <v>0</v>
      </c>
      <c r="EXC306" s="18">
        <v>0</v>
      </c>
      <c r="EXD306" s="18">
        <v>0</v>
      </c>
      <c r="EXE306" s="18">
        <v>0</v>
      </c>
      <c r="EXF306" s="18">
        <v>0</v>
      </c>
      <c r="EXG306" s="18">
        <v>0</v>
      </c>
      <c r="EXH306" s="18">
        <v>0</v>
      </c>
      <c r="EXI306" s="18">
        <v>0</v>
      </c>
      <c r="EXJ306" s="18">
        <v>0</v>
      </c>
      <c r="EXK306" s="18">
        <v>0</v>
      </c>
      <c r="EXL306" s="18">
        <v>0</v>
      </c>
      <c r="EXM306" s="18">
        <v>0</v>
      </c>
      <c r="EXN306" s="18">
        <v>0</v>
      </c>
      <c r="EXO306" s="18">
        <v>0</v>
      </c>
      <c r="EXP306" s="18">
        <v>0</v>
      </c>
      <c r="EXQ306" s="18">
        <v>0</v>
      </c>
      <c r="EXR306" s="18">
        <v>0</v>
      </c>
      <c r="EXS306" s="18">
        <v>0</v>
      </c>
      <c r="EXT306" s="18">
        <v>0</v>
      </c>
      <c r="EXU306" s="18">
        <v>0</v>
      </c>
      <c r="EXV306" s="18">
        <v>0</v>
      </c>
      <c r="EXW306" s="18">
        <v>0</v>
      </c>
      <c r="EXX306" s="18">
        <v>0</v>
      </c>
      <c r="EXY306" s="18">
        <v>0</v>
      </c>
      <c r="EXZ306" s="18">
        <v>0</v>
      </c>
      <c r="EYA306" s="18">
        <v>0</v>
      </c>
      <c r="EYB306" s="18">
        <v>0</v>
      </c>
      <c r="EYC306" s="18">
        <v>0</v>
      </c>
      <c r="EYD306" s="18">
        <v>0</v>
      </c>
      <c r="EYE306" s="18">
        <v>0</v>
      </c>
      <c r="EYF306" s="18">
        <v>0</v>
      </c>
      <c r="EYG306" s="18">
        <v>0</v>
      </c>
      <c r="EYH306" s="18">
        <v>0</v>
      </c>
      <c r="EYI306" s="18">
        <v>0</v>
      </c>
      <c r="EYJ306" s="18">
        <v>0</v>
      </c>
      <c r="EYK306" s="18">
        <v>0</v>
      </c>
      <c r="EYL306" s="18">
        <v>0</v>
      </c>
      <c r="EYM306" s="18">
        <v>0</v>
      </c>
      <c r="EYN306" s="18">
        <v>0</v>
      </c>
      <c r="EYO306" s="18">
        <v>0</v>
      </c>
      <c r="EYP306" s="18">
        <v>0</v>
      </c>
      <c r="EYQ306" s="18">
        <v>0</v>
      </c>
      <c r="EYR306" s="18">
        <v>0</v>
      </c>
      <c r="EYS306" s="18">
        <v>0</v>
      </c>
      <c r="EYT306" s="18">
        <v>0</v>
      </c>
      <c r="EYU306" s="18">
        <v>0</v>
      </c>
      <c r="EYV306" s="18">
        <v>0</v>
      </c>
      <c r="EYW306" s="18">
        <v>0</v>
      </c>
      <c r="EYX306" s="18">
        <v>0</v>
      </c>
      <c r="EYY306" s="18">
        <v>0</v>
      </c>
      <c r="EYZ306" s="18">
        <v>0</v>
      </c>
      <c r="EZA306" s="18">
        <v>0</v>
      </c>
      <c r="EZB306" s="18">
        <v>0</v>
      </c>
      <c r="EZC306" s="18">
        <v>0</v>
      </c>
      <c r="EZD306" s="18">
        <v>0</v>
      </c>
      <c r="EZE306" s="18">
        <v>0</v>
      </c>
      <c r="EZF306" s="18">
        <v>0</v>
      </c>
      <c r="EZG306" s="18">
        <v>0</v>
      </c>
      <c r="EZH306" s="18">
        <v>0</v>
      </c>
      <c r="EZI306" s="18">
        <v>0</v>
      </c>
      <c r="EZJ306" s="18">
        <v>0</v>
      </c>
      <c r="EZK306" s="18">
        <v>0</v>
      </c>
      <c r="EZL306" s="18">
        <v>0</v>
      </c>
      <c r="EZM306" s="18">
        <v>0</v>
      </c>
      <c r="EZN306" s="18">
        <v>0</v>
      </c>
      <c r="EZO306" s="18">
        <v>0</v>
      </c>
      <c r="EZP306" s="18">
        <v>0</v>
      </c>
      <c r="EZQ306" s="18">
        <v>0</v>
      </c>
      <c r="EZR306" s="18">
        <v>0</v>
      </c>
      <c r="EZS306" s="18">
        <v>0</v>
      </c>
      <c r="EZT306" s="18">
        <v>0</v>
      </c>
      <c r="EZU306" s="18">
        <v>0</v>
      </c>
      <c r="EZV306" s="18">
        <v>0</v>
      </c>
      <c r="EZW306" s="18">
        <v>0</v>
      </c>
      <c r="EZX306" s="18">
        <v>0</v>
      </c>
      <c r="EZY306" s="18">
        <v>0</v>
      </c>
      <c r="EZZ306" s="18">
        <v>0</v>
      </c>
      <c r="FAA306" s="18">
        <v>0</v>
      </c>
      <c r="FAB306" s="18">
        <v>0</v>
      </c>
      <c r="FAC306" s="18">
        <v>0</v>
      </c>
      <c r="FAD306" s="18">
        <v>0</v>
      </c>
      <c r="FAE306" s="18">
        <v>0</v>
      </c>
      <c r="FAF306" s="18">
        <v>0</v>
      </c>
      <c r="FAG306" s="18">
        <v>0</v>
      </c>
      <c r="FAH306" s="18">
        <v>0</v>
      </c>
      <c r="FAI306" s="18">
        <v>0</v>
      </c>
      <c r="FAJ306" s="18">
        <v>0</v>
      </c>
      <c r="FAK306" s="18">
        <v>0</v>
      </c>
      <c r="FAL306" s="18">
        <v>0</v>
      </c>
      <c r="FAM306" s="18">
        <v>0</v>
      </c>
      <c r="FAN306" s="18">
        <v>0</v>
      </c>
      <c r="FAO306" s="18">
        <v>0</v>
      </c>
      <c r="FAP306" s="18">
        <v>0</v>
      </c>
      <c r="FAQ306" s="18">
        <v>0</v>
      </c>
      <c r="FAR306" s="18">
        <v>0</v>
      </c>
      <c r="FAS306" s="18">
        <v>0</v>
      </c>
      <c r="FAT306" s="18">
        <v>0</v>
      </c>
      <c r="FAU306" s="18">
        <v>0</v>
      </c>
      <c r="FAV306" s="18">
        <v>0</v>
      </c>
      <c r="FAW306" s="18">
        <v>0</v>
      </c>
      <c r="FAX306" s="18">
        <v>0</v>
      </c>
      <c r="FAY306" s="18">
        <v>0</v>
      </c>
      <c r="FAZ306" s="18">
        <v>0</v>
      </c>
      <c r="FBA306" s="18">
        <v>0</v>
      </c>
      <c r="FBB306" s="18">
        <v>0</v>
      </c>
      <c r="FBC306" s="18">
        <v>0</v>
      </c>
      <c r="FBD306" s="18">
        <v>0</v>
      </c>
      <c r="FBE306" s="18">
        <v>0</v>
      </c>
      <c r="FBF306" s="18">
        <v>0</v>
      </c>
      <c r="FBG306" s="18">
        <v>0</v>
      </c>
      <c r="FBH306" s="18">
        <v>0</v>
      </c>
      <c r="FBI306" s="18">
        <v>0</v>
      </c>
      <c r="FBJ306" s="18">
        <v>0</v>
      </c>
      <c r="FBK306" s="18">
        <v>0</v>
      </c>
      <c r="FBL306" s="18">
        <v>0</v>
      </c>
      <c r="FBM306" s="18">
        <v>0</v>
      </c>
      <c r="FBN306" s="18">
        <v>0</v>
      </c>
      <c r="FBO306" s="18">
        <v>0</v>
      </c>
      <c r="FBP306" s="18">
        <v>0</v>
      </c>
      <c r="FBQ306" s="18">
        <v>0</v>
      </c>
      <c r="FBR306" s="18">
        <v>0</v>
      </c>
      <c r="FBS306" s="18">
        <v>0</v>
      </c>
      <c r="FBT306" s="18">
        <v>0</v>
      </c>
      <c r="FBU306" s="18">
        <v>0</v>
      </c>
      <c r="FBV306" s="18">
        <v>0</v>
      </c>
      <c r="FBW306" s="18">
        <v>0</v>
      </c>
      <c r="FBX306" s="18">
        <v>0</v>
      </c>
      <c r="FBY306" s="18">
        <v>0</v>
      </c>
      <c r="FBZ306" s="18">
        <v>0</v>
      </c>
      <c r="FCA306" s="18">
        <v>0</v>
      </c>
      <c r="FCB306" s="18">
        <v>0</v>
      </c>
      <c r="FCC306" s="18">
        <v>0</v>
      </c>
      <c r="FCD306" s="18">
        <v>0</v>
      </c>
      <c r="FCE306" s="18">
        <v>0</v>
      </c>
      <c r="FCF306" s="18">
        <v>0</v>
      </c>
      <c r="FCG306" s="18">
        <v>0</v>
      </c>
      <c r="FCH306" s="18">
        <v>0</v>
      </c>
      <c r="FCI306" s="18">
        <v>0</v>
      </c>
      <c r="FCJ306" s="18">
        <v>0</v>
      </c>
      <c r="FCK306" s="18">
        <v>0</v>
      </c>
      <c r="FCL306" s="18">
        <v>0</v>
      </c>
      <c r="FCM306" s="18">
        <v>0</v>
      </c>
      <c r="FCN306" s="18">
        <v>0</v>
      </c>
      <c r="FCO306" s="18">
        <v>0</v>
      </c>
      <c r="FCP306" s="18">
        <v>0</v>
      </c>
      <c r="FCQ306" s="18">
        <v>0</v>
      </c>
      <c r="FCR306" s="18">
        <v>0</v>
      </c>
      <c r="FCS306" s="18">
        <v>0</v>
      </c>
      <c r="FCT306" s="18">
        <v>0</v>
      </c>
      <c r="FCU306" s="18">
        <v>0</v>
      </c>
      <c r="FCV306" s="18">
        <v>0</v>
      </c>
      <c r="FCW306" s="18">
        <v>0</v>
      </c>
      <c r="FCX306" s="18">
        <v>0</v>
      </c>
      <c r="FCY306" s="18">
        <v>0</v>
      </c>
      <c r="FCZ306" s="18">
        <v>0</v>
      </c>
      <c r="FDA306" s="18">
        <v>0</v>
      </c>
      <c r="FDB306" s="18">
        <v>0</v>
      </c>
      <c r="FDC306" s="18">
        <v>0</v>
      </c>
      <c r="FDD306" s="18">
        <v>0</v>
      </c>
      <c r="FDE306" s="18">
        <v>0</v>
      </c>
      <c r="FDF306" s="18">
        <v>0</v>
      </c>
      <c r="FDG306" s="18">
        <v>0</v>
      </c>
      <c r="FDH306" s="18">
        <v>0</v>
      </c>
      <c r="FDI306" s="18">
        <v>0</v>
      </c>
      <c r="FDJ306" s="18">
        <v>0</v>
      </c>
      <c r="FDK306" s="18">
        <v>0</v>
      </c>
      <c r="FDL306" s="18">
        <v>0</v>
      </c>
      <c r="FDM306" s="18">
        <v>0</v>
      </c>
      <c r="FDN306" s="18">
        <v>0</v>
      </c>
      <c r="FDO306" s="18">
        <v>0</v>
      </c>
      <c r="FDP306" s="18">
        <v>0</v>
      </c>
      <c r="FDQ306" s="18">
        <v>0</v>
      </c>
      <c r="FDR306" s="18">
        <v>0</v>
      </c>
      <c r="FDS306" s="18">
        <v>0</v>
      </c>
      <c r="FDT306" s="18">
        <v>0</v>
      </c>
      <c r="FDU306" s="18">
        <v>0</v>
      </c>
      <c r="FDV306" s="18">
        <v>0</v>
      </c>
      <c r="FDW306" s="18">
        <v>0</v>
      </c>
      <c r="FDX306" s="18">
        <v>0</v>
      </c>
      <c r="FDY306" s="18">
        <v>0</v>
      </c>
      <c r="FDZ306" s="18">
        <v>0</v>
      </c>
      <c r="FEA306" s="18">
        <v>0</v>
      </c>
      <c r="FEB306" s="18">
        <v>0</v>
      </c>
      <c r="FEC306" s="18">
        <v>0</v>
      </c>
      <c r="FED306" s="18">
        <v>0</v>
      </c>
      <c r="FEE306" s="18">
        <v>0</v>
      </c>
      <c r="FEF306" s="18">
        <v>0</v>
      </c>
      <c r="FEG306" s="18">
        <v>0</v>
      </c>
      <c r="FEH306" s="18">
        <v>0</v>
      </c>
      <c r="FEI306" s="18">
        <v>0</v>
      </c>
      <c r="FEJ306" s="18">
        <v>0</v>
      </c>
      <c r="FEK306" s="18">
        <v>0</v>
      </c>
      <c r="FEL306" s="18">
        <v>0</v>
      </c>
      <c r="FEM306" s="18">
        <v>0</v>
      </c>
      <c r="FEN306" s="18">
        <v>0</v>
      </c>
      <c r="FEO306" s="18">
        <v>0</v>
      </c>
      <c r="FEP306" s="18">
        <v>0</v>
      </c>
      <c r="FEQ306" s="18">
        <v>0</v>
      </c>
      <c r="FER306" s="18">
        <v>0</v>
      </c>
      <c r="FES306" s="18">
        <v>0</v>
      </c>
      <c r="FET306" s="18">
        <v>0</v>
      </c>
      <c r="FEU306" s="18">
        <v>0</v>
      </c>
      <c r="FEV306" s="18">
        <v>0</v>
      </c>
      <c r="FEW306" s="18">
        <v>0</v>
      </c>
      <c r="FEX306" s="18">
        <v>0</v>
      </c>
      <c r="FEY306" s="18">
        <v>0</v>
      </c>
      <c r="FEZ306" s="18">
        <v>0</v>
      </c>
      <c r="FFA306" s="18">
        <v>0</v>
      </c>
      <c r="FFB306" s="18">
        <v>0</v>
      </c>
      <c r="FFC306" s="18">
        <v>0</v>
      </c>
      <c r="FFD306" s="18">
        <v>0</v>
      </c>
      <c r="FFE306" s="18">
        <v>0</v>
      </c>
      <c r="FFF306" s="18">
        <v>0</v>
      </c>
      <c r="FFG306" s="18">
        <v>0</v>
      </c>
      <c r="FFH306" s="18">
        <v>0</v>
      </c>
      <c r="FFI306" s="18">
        <v>0</v>
      </c>
      <c r="FFJ306" s="18">
        <v>0</v>
      </c>
      <c r="FFK306" s="18">
        <v>0</v>
      </c>
      <c r="FFL306" s="18">
        <v>0</v>
      </c>
      <c r="FFM306" s="18">
        <v>0</v>
      </c>
      <c r="FFN306" s="18">
        <v>0</v>
      </c>
      <c r="FFO306" s="18">
        <v>0</v>
      </c>
      <c r="FFP306" s="18">
        <v>0</v>
      </c>
      <c r="FFQ306" s="18">
        <v>0</v>
      </c>
      <c r="FFR306" s="18">
        <v>0</v>
      </c>
      <c r="FFS306" s="18">
        <v>0</v>
      </c>
      <c r="FFT306" s="18">
        <v>0</v>
      </c>
      <c r="FFU306" s="18">
        <v>0</v>
      </c>
      <c r="FFV306" s="18">
        <v>0</v>
      </c>
      <c r="FFW306" s="18">
        <v>0</v>
      </c>
      <c r="FFX306" s="18">
        <v>0</v>
      </c>
      <c r="FFY306" s="18">
        <v>0</v>
      </c>
      <c r="FFZ306" s="18">
        <v>0</v>
      </c>
      <c r="FGA306" s="18">
        <v>0</v>
      </c>
      <c r="FGB306" s="18">
        <v>0</v>
      </c>
      <c r="FGC306" s="18">
        <v>0</v>
      </c>
      <c r="FGD306" s="18">
        <v>0</v>
      </c>
      <c r="FGE306" s="18">
        <v>0</v>
      </c>
      <c r="FGF306" s="18">
        <v>0</v>
      </c>
      <c r="FGG306" s="18">
        <v>0</v>
      </c>
      <c r="FGH306" s="18">
        <v>0</v>
      </c>
      <c r="FGI306" s="18">
        <v>0</v>
      </c>
      <c r="FGJ306" s="18">
        <v>0</v>
      </c>
      <c r="FGK306" s="18">
        <v>0</v>
      </c>
      <c r="FGL306" s="18">
        <v>0</v>
      </c>
      <c r="FGM306" s="18">
        <v>0</v>
      </c>
      <c r="FGN306" s="18">
        <v>0</v>
      </c>
      <c r="FGO306" s="18">
        <v>0</v>
      </c>
      <c r="FGP306" s="18">
        <v>0</v>
      </c>
      <c r="FGQ306" s="18">
        <v>0</v>
      </c>
      <c r="FGR306" s="18">
        <v>0</v>
      </c>
      <c r="FGS306" s="18">
        <v>0</v>
      </c>
      <c r="FGT306" s="18">
        <v>0</v>
      </c>
      <c r="FGU306" s="18">
        <v>0</v>
      </c>
      <c r="FGV306" s="18">
        <v>0</v>
      </c>
      <c r="FGW306" s="18">
        <v>0</v>
      </c>
      <c r="FGX306" s="18">
        <v>0</v>
      </c>
      <c r="FGY306" s="18">
        <v>0</v>
      </c>
      <c r="FGZ306" s="18">
        <v>0</v>
      </c>
      <c r="FHA306" s="18">
        <v>0</v>
      </c>
      <c r="FHB306" s="18">
        <v>0</v>
      </c>
      <c r="FHC306" s="18">
        <v>0</v>
      </c>
      <c r="FHD306" s="18">
        <v>0</v>
      </c>
      <c r="FHE306" s="18">
        <v>0</v>
      </c>
      <c r="FHF306" s="18">
        <v>0</v>
      </c>
      <c r="FHG306" s="18">
        <v>0</v>
      </c>
      <c r="FHH306" s="18">
        <v>0</v>
      </c>
      <c r="FHI306" s="18">
        <v>0</v>
      </c>
      <c r="FHJ306" s="18">
        <v>0</v>
      </c>
      <c r="FHK306" s="18">
        <v>0</v>
      </c>
      <c r="FHL306" s="18">
        <v>0</v>
      </c>
      <c r="FHM306" s="18">
        <v>0</v>
      </c>
      <c r="FHN306" s="18">
        <v>0</v>
      </c>
      <c r="FHO306" s="18">
        <v>0</v>
      </c>
      <c r="FHP306" s="18">
        <v>0</v>
      </c>
      <c r="FHQ306" s="18">
        <v>0</v>
      </c>
      <c r="FHR306" s="18">
        <v>0</v>
      </c>
      <c r="FHS306" s="18">
        <v>0</v>
      </c>
      <c r="FHT306" s="18">
        <v>0</v>
      </c>
      <c r="FHU306" s="18">
        <v>0</v>
      </c>
      <c r="FHV306" s="18">
        <v>0</v>
      </c>
      <c r="FHW306" s="18">
        <v>0</v>
      </c>
      <c r="FHX306" s="18">
        <v>0</v>
      </c>
      <c r="FHY306" s="18">
        <v>0</v>
      </c>
      <c r="FHZ306" s="18">
        <v>0</v>
      </c>
      <c r="FIA306" s="18">
        <v>0</v>
      </c>
      <c r="FIB306" s="18">
        <v>0</v>
      </c>
      <c r="FIC306" s="18">
        <v>0</v>
      </c>
      <c r="FID306" s="18">
        <v>0</v>
      </c>
      <c r="FIE306" s="18">
        <v>0</v>
      </c>
      <c r="FIF306" s="18">
        <v>0</v>
      </c>
      <c r="FIG306" s="18">
        <v>0</v>
      </c>
      <c r="FIH306" s="18">
        <v>0</v>
      </c>
      <c r="FII306" s="18">
        <v>0</v>
      </c>
      <c r="FIJ306" s="18">
        <v>0</v>
      </c>
      <c r="FIK306" s="18">
        <v>0</v>
      </c>
      <c r="FIL306" s="18">
        <v>0</v>
      </c>
      <c r="FIM306" s="18">
        <v>0</v>
      </c>
      <c r="FIN306" s="18">
        <v>0</v>
      </c>
      <c r="FIO306" s="18">
        <v>0</v>
      </c>
      <c r="FIP306" s="18">
        <v>0</v>
      </c>
      <c r="FIQ306" s="18">
        <v>0</v>
      </c>
      <c r="FIR306" s="18">
        <v>0</v>
      </c>
      <c r="FIS306" s="18">
        <v>0</v>
      </c>
      <c r="FIT306" s="18">
        <v>0</v>
      </c>
      <c r="FIU306" s="18">
        <v>0</v>
      </c>
      <c r="FIV306" s="18">
        <v>0</v>
      </c>
      <c r="FIW306" s="18">
        <v>0</v>
      </c>
      <c r="FIX306" s="18">
        <v>0</v>
      </c>
      <c r="FIY306" s="18">
        <v>0</v>
      </c>
      <c r="FIZ306" s="18">
        <v>0</v>
      </c>
      <c r="FJA306" s="18">
        <v>0</v>
      </c>
      <c r="FJB306" s="18">
        <v>0</v>
      </c>
      <c r="FJC306" s="18">
        <v>0</v>
      </c>
      <c r="FJD306" s="18">
        <v>0</v>
      </c>
      <c r="FJE306" s="18">
        <v>0</v>
      </c>
      <c r="FJF306" s="18">
        <v>0</v>
      </c>
      <c r="FJG306" s="18">
        <v>0</v>
      </c>
      <c r="FJH306" s="18">
        <v>0</v>
      </c>
      <c r="FJI306" s="18">
        <v>0</v>
      </c>
      <c r="FJJ306" s="18">
        <v>0</v>
      </c>
      <c r="FJK306" s="18">
        <v>0</v>
      </c>
      <c r="FJL306" s="18">
        <v>0</v>
      </c>
      <c r="FJM306" s="18">
        <v>0</v>
      </c>
      <c r="FJN306" s="18">
        <v>0</v>
      </c>
      <c r="FJO306" s="18">
        <v>0</v>
      </c>
      <c r="FJP306" s="18">
        <v>0</v>
      </c>
      <c r="FJQ306" s="18">
        <v>0</v>
      </c>
      <c r="FJR306" s="18">
        <v>0</v>
      </c>
      <c r="FJS306" s="18">
        <v>0</v>
      </c>
      <c r="FJT306" s="18">
        <v>0</v>
      </c>
      <c r="FJU306" s="18">
        <v>0</v>
      </c>
      <c r="FJV306" s="18">
        <v>0</v>
      </c>
      <c r="FJW306" s="18">
        <v>0</v>
      </c>
      <c r="FJX306" s="18">
        <v>0</v>
      </c>
      <c r="FJY306" s="18">
        <v>0</v>
      </c>
      <c r="FJZ306" s="18">
        <v>0</v>
      </c>
      <c r="FKA306" s="18">
        <v>0</v>
      </c>
      <c r="FKB306" s="18">
        <v>0</v>
      </c>
      <c r="FKC306" s="18">
        <v>0</v>
      </c>
      <c r="FKD306" s="18">
        <v>0</v>
      </c>
      <c r="FKE306" s="18">
        <v>0</v>
      </c>
      <c r="FKF306" s="18">
        <v>0</v>
      </c>
      <c r="FKG306" s="18">
        <v>0</v>
      </c>
      <c r="FKH306" s="18">
        <v>0</v>
      </c>
      <c r="FKI306" s="18">
        <v>0</v>
      </c>
      <c r="FKJ306" s="18">
        <v>0</v>
      </c>
      <c r="FKK306" s="18">
        <v>0</v>
      </c>
      <c r="FKL306" s="18">
        <v>0</v>
      </c>
      <c r="FKM306" s="18">
        <v>0</v>
      </c>
      <c r="FKN306" s="18">
        <v>0</v>
      </c>
      <c r="FKO306" s="18">
        <v>0</v>
      </c>
      <c r="FKP306" s="18">
        <v>0</v>
      </c>
      <c r="FKQ306" s="18">
        <v>0</v>
      </c>
      <c r="FKR306" s="18">
        <v>0</v>
      </c>
      <c r="FKS306" s="18">
        <v>0</v>
      </c>
      <c r="FKT306" s="18">
        <v>0</v>
      </c>
      <c r="FKU306" s="18">
        <v>0</v>
      </c>
      <c r="FKV306" s="18">
        <v>0</v>
      </c>
      <c r="FKW306" s="18">
        <v>0</v>
      </c>
      <c r="FKX306" s="18">
        <v>0</v>
      </c>
      <c r="FKY306" s="18">
        <v>0</v>
      </c>
      <c r="FKZ306" s="18">
        <v>0</v>
      </c>
      <c r="FLA306" s="18">
        <v>0</v>
      </c>
      <c r="FLB306" s="18">
        <v>0</v>
      </c>
      <c r="FLC306" s="18">
        <v>0</v>
      </c>
      <c r="FLD306" s="18">
        <v>0</v>
      </c>
      <c r="FLE306" s="18">
        <v>0</v>
      </c>
      <c r="FLF306" s="18">
        <v>0</v>
      </c>
      <c r="FLG306" s="18">
        <v>0</v>
      </c>
      <c r="FLH306" s="18">
        <v>0</v>
      </c>
      <c r="FLI306" s="18">
        <v>0</v>
      </c>
      <c r="FLJ306" s="18">
        <v>0</v>
      </c>
      <c r="FLK306" s="18">
        <v>0</v>
      </c>
      <c r="FLL306" s="18">
        <v>0</v>
      </c>
      <c r="FLM306" s="18">
        <v>0</v>
      </c>
      <c r="FLN306" s="18">
        <v>0</v>
      </c>
      <c r="FLO306" s="18">
        <v>0</v>
      </c>
      <c r="FLP306" s="18">
        <v>0</v>
      </c>
      <c r="FLQ306" s="18">
        <v>0</v>
      </c>
      <c r="FLR306" s="18">
        <v>0</v>
      </c>
      <c r="FLS306" s="18">
        <v>0</v>
      </c>
      <c r="FLT306" s="18">
        <v>0</v>
      </c>
      <c r="FLU306" s="18">
        <v>0</v>
      </c>
      <c r="FLV306" s="18">
        <v>0</v>
      </c>
      <c r="FLW306" s="18">
        <v>0</v>
      </c>
      <c r="FLX306" s="18">
        <v>0</v>
      </c>
      <c r="FLY306" s="18">
        <v>0</v>
      </c>
      <c r="FLZ306" s="18">
        <v>0</v>
      </c>
      <c r="FMA306" s="18">
        <v>0</v>
      </c>
      <c r="FMB306" s="18">
        <v>0</v>
      </c>
      <c r="FMC306" s="18">
        <v>0</v>
      </c>
      <c r="FMD306" s="18">
        <v>0</v>
      </c>
      <c r="FME306" s="18">
        <v>0</v>
      </c>
      <c r="FMF306" s="18">
        <v>0</v>
      </c>
      <c r="FMG306" s="18">
        <v>0</v>
      </c>
      <c r="FMH306" s="18">
        <v>0</v>
      </c>
      <c r="FMI306" s="18">
        <v>0</v>
      </c>
      <c r="FMJ306" s="18">
        <v>0</v>
      </c>
      <c r="FMK306" s="18">
        <v>0</v>
      </c>
      <c r="FML306" s="18">
        <v>0</v>
      </c>
      <c r="FMM306" s="18">
        <v>0</v>
      </c>
      <c r="FMN306" s="18">
        <v>0</v>
      </c>
      <c r="FMO306" s="18">
        <v>0</v>
      </c>
      <c r="FMP306" s="18">
        <v>0</v>
      </c>
      <c r="FMQ306" s="18">
        <v>0</v>
      </c>
      <c r="FMR306" s="18">
        <v>0</v>
      </c>
      <c r="FMS306" s="18">
        <v>0</v>
      </c>
      <c r="FMT306" s="18">
        <v>0</v>
      </c>
      <c r="FMU306" s="18">
        <v>0</v>
      </c>
      <c r="FMV306" s="18">
        <v>0</v>
      </c>
      <c r="FMW306" s="18">
        <v>0</v>
      </c>
      <c r="FMX306" s="18">
        <v>0</v>
      </c>
      <c r="FMY306" s="18">
        <v>0</v>
      </c>
      <c r="FMZ306" s="18">
        <v>0</v>
      </c>
      <c r="FNA306" s="18">
        <v>0</v>
      </c>
      <c r="FNB306" s="18">
        <v>0</v>
      </c>
      <c r="FNC306" s="18">
        <v>0</v>
      </c>
      <c r="FND306" s="18">
        <v>0</v>
      </c>
      <c r="FNE306" s="18">
        <v>0</v>
      </c>
      <c r="FNF306" s="18">
        <v>0</v>
      </c>
      <c r="FNG306" s="18">
        <v>0</v>
      </c>
      <c r="FNH306" s="18">
        <v>0</v>
      </c>
      <c r="FNI306" s="18">
        <v>0</v>
      </c>
      <c r="FNJ306" s="18">
        <v>0</v>
      </c>
      <c r="FNK306" s="18">
        <v>0</v>
      </c>
      <c r="FNL306" s="18">
        <v>0</v>
      </c>
      <c r="FNM306" s="18">
        <v>0</v>
      </c>
      <c r="FNN306" s="18">
        <v>0</v>
      </c>
      <c r="FNO306" s="18">
        <v>0</v>
      </c>
      <c r="FNP306" s="18">
        <v>0</v>
      </c>
      <c r="FNQ306" s="18">
        <v>0</v>
      </c>
      <c r="FNR306" s="18">
        <v>0</v>
      </c>
      <c r="FNS306" s="18">
        <v>0</v>
      </c>
      <c r="FNT306" s="18">
        <v>0</v>
      </c>
      <c r="FNU306" s="18">
        <v>0</v>
      </c>
      <c r="FNV306" s="18">
        <v>0</v>
      </c>
      <c r="FNW306" s="18">
        <v>0</v>
      </c>
      <c r="FNX306" s="18">
        <v>0</v>
      </c>
      <c r="FNY306" s="18">
        <v>0</v>
      </c>
      <c r="FNZ306" s="18">
        <v>0</v>
      </c>
      <c r="FOA306" s="18">
        <v>0</v>
      </c>
      <c r="FOB306" s="18">
        <v>0</v>
      </c>
      <c r="FOC306" s="18">
        <v>0</v>
      </c>
      <c r="FOD306" s="18">
        <v>0</v>
      </c>
      <c r="FOE306" s="18">
        <v>0</v>
      </c>
      <c r="FOF306" s="18">
        <v>0</v>
      </c>
      <c r="FOG306" s="18">
        <v>0</v>
      </c>
      <c r="FOH306" s="18">
        <v>0</v>
      </c>
      <c r="FOI306" s="18">
        <v>0</v>
      </c>
      <c r="FOJ306" s="18">
        <v>0</v>
      </c>
      <c r="FOK306" s="18">
        <v>0</v>
      </c>
      <c r="FOL306" s="18">
        <v>0</v>
      </c>
      <c r="FOM306" s="18">
        <v>0</v>
      </c>
      <c r="FON306" s="18">
        <v>0</v>
      </c>
      <c r="FOO306" s="18">
        <v>0</v>
      </c>
      <c r="FOP306" s="18">
        <v>0</v>
      </c>
      <c r="FOQ306" s="18">
        <v>0</v>
      </c>
      <c r="FOR306" s="18">
        <v>0</v>
      </c>
      <c r="FOS306" s="18">
        <v>0</v>
      </c>
      <c r="FOT306" s="18">
        <v>0</v>
      </c>
      <c r="FOU306" s="18">
        <v>0</v>
      </c>
      <c r="FOV306" s="18">
        <v>0</v>
      </c>
      <c r="FOW306" s="18">
        <v>0</v>
      </c>
      <c r="FOX306" s="18">
        <v>0</v>
      </c>
      <c r="FOY306" s="18">
        <v>0</v>
      </c>
      <c r="FOZ306" s="18">
        <v>0</v>
      </c>
      <c r="FPA306" s="18">
        <v>0</v>
      </c>
      <c r="FPB306" s="18">
        <v>0</v>
      </c>
      <c r="FPC306" s="18">
        <v>0</v>
      </c>
      <c r="FPD306" s="18">
        <v>0</v>
      </c>
      <c r="FPE306" s="18">
        <v>0</v>
      </c>
      <c r="FPF306" s="18">
        <v>0</v>
      </c>
      <c r="FPG306" s="18">
        <v>0</v>
      </c>
      <c r="FPH306" s="18">
        <v>0</v>
      </c>
      <c r="FPI306" s="18">
        <v>0</v>
      </c>
      <c r="FPJ306" s="18">
        <v>0</v>
      </c>
      <c r="FPK306" s="18">
        <v>0</v>
      </c>
      <c r="FPL306" s="18">
        <v>0</v>
      </c>
      <c r="FPM306" s="18">
        <v>0</v>
      </c>
      <c r="FPN306" s="18">
        <v>0</v>
      </c>
      <c r="FPO306" s="18">
        <v>0</v>
      </c>
      <c r="FPP306" s="18">
        <v>0</v>
      </c>
      <c r="FPQ306" s="18">
        <v>0</v>
      </c>
      <c r="FPR306" s="18">
        <v>0</v>
      </c>
      <c r="FPS306" s="18">
        <v>0</v>
      </c>
      <c r="FPT306" s="18">
        <v>0</v>
      </c>
      <c r="FPU306" s="18">
        <v>0</v>
      </c>
      <c r="FPV306" s="18">
        <v>0</v>
      </c>
      <c r="FPW306" s="18">
        <v>0</v>
      </c>
      <c r="FPX306" s="18">
        <v>0</v>
      </c>
      <c r="FPY306" s="18">
        <v>0</v>
      </c>
      <c r="FPZ306" s="18">
        <v>0</v>
      </c>
      <c r="FQA306" s="18">
        <v>0</v>
      </c>
      <c r="FQB306" s="18">
        <v>0</v>
      </c>
      <c r="FQC306" s="18">
        <v>0</v>
      </c>
      <c r="FQD306" s="18">
        <v>0</v>
      </c>
      <c r="FQE306" s="18">
        <v>0</v>
      </c>
      <c r="FQF306" s="18">
        <v>0</v>
      </c>
      <c r="FQG306" s="18">
        <v>0</v>
      </c>
      <c r="FQH306" s="18">
        <v>0</v>
      </c>
      <c r="FQI306" s="18">
        <v>0</v>
      </c>
      <c r="FQJ306" s="18">
        <v>0</v>
      </c>
      <c r="FQK306" s="18">
        <v>0</v>
      </c>
      <c r="FQL306" s="18">
        <v>0</v>
      </c>
      <c r="FQM306" s="18">
        <v>0</v>
      </c>
      <c r="FQN306" s="18">
        <v>0</v>
      </c>
      <c r="FQO306" s="18">
        <v>0</v>
      </c>
      <c r="FQP306" s="18">
        <v>0</v>
      </c>
      <c r="FQQ306" s="18">
        <v>0</v>
      </c>
      <c r="FQR306" s="18">
        <v>0</v>
      </c>
      <c r="FQS306" s="18">
        <v>0</v>
      </c>
      <c r="FQT306" s="18">
        <v>0</v>
      </c>
      <c r="FQU306" s="18">
        <v>0</v>
      </c>
      <c r="FQV306" s="18">
        <v>0</v>
      </c>
      <c r="FQW306" s="18">
        <v>0</v>
      </c>
      <c r="FQX306" s="18">
        <v>0</v>
      </c>
      <c r="FQY306" s="18">
        <v>0</v>
      </c>
      <c r="FQZ306" s="18">
        <v>0</v>
      </c>
      <c r="FRA306" s="18">
        <v>0</v>
      </c>
      <c r="FRB306" s="18">
        <v>0</v>
      </c>
      <c r="FRC306" s="18">
        <v>0</v>
      </c>
      <c r="FRD306" s="18">
        <v>0</v>
      </c>
      <c r="FRE306" s="18">
        <v>0</v>
      </c>
      <c r="FRF306" s="18">
        <v>0</v>
      </c>
      <c r="FRG306" s="18">
        <v>0</v>
      </c>
      <c r="FRH306" s="18">
        <v>0</v>
      </c>
      <c r="FRI306" s="18">
        <v>0</v>
      </c>
      <c r="FRJ306" s="18">
        <v>0</v>
      </c>
      <c r="FRK306" s="18">
        <v>0</v>
      </c>
      <c r="FRL306" s="18">
        <v>0</v>
      </c>
      <c r="FRM306" s="18">
        <v>0</v>
      </c>
      <c r="FRN306" s="18">
        <v>0</v>
      </c>
      <c r="FRO306" s="18">
        <v>0</v>
      </c>
      <c r="FRP306" s="18">
        <v>0</v>
      </c>
      <c r="FRQ306" s="18">
        <v>0</v>
      </c>
      <c r="FRR306" s="18">
        <v>0</v>
      </c>
      <c r="FRS306" s="18">
        <v>0</v>
      </c>
      <c r="FRT306" s="18">
        <v>0</v>
      </c>
      <c r="FRU306" s="18">
        <v>0</v>
      </c>
      <c r="FRV306" s="18">
        <v>0</v>
      </c>
      <c r="FRW306" s="18">
        <v>0</v>
      </c>
      <c r="FRX306" s="18">
        <v>0</v>
      </c>
      <c r="FRY306" s="18">
        <v>0</v>
      </c>
      <c r="FRZ306" s="18">
        <v>0</v>
      </c>
      <c r="FSA306" s="18">
        <v>0</v>
      </c>
      <c r="FSB306" s="18">
        <v>0</v>
      </c>
      <c r="FSC306" s="18">
        <v>0</v>
      </c>
      <c r="FSD306" s="18">
        <v>0</v>
      </c>
      <c r="FSE306" s="18">
        <v>0</v>
      </c>
      <c r="FSF306" s="18">
        <v>0</v>
      </c>
      <c r="FSG306" s="18">
        <v>0</v>
      </c>
      <c r="FSH306" s="18">
        <v>0</v>
      </c>
      <c r="FSI306" s="18">
        <v>0</v>
      </c>
      <c r="FSJ306" s="18">
        <v>0</v>
      </c>
      <c r="FSK306" s="18">
        <v>0</v>
      </c>
      <c r="FSL306" s="18">
        <v>0</v>
      </c>
      <c r="FSM306" s="18">
        <v>0</v>
      </c>
      <c r="FSN306" s="18">
        <v>0</v>
      </c>
      <c r="FSO306" s="18">
        <v>0</v>
      </c>
      <c r="FSP306" s="18">
        <v>0</v>
      </c>
      <c r="FSQ306" s="18">
        <v>0</v>
      </c>
      <c r="FSR306" s="18">
        <v>0</v>
      </c>
      <c r="FSS306" s="18">
        <v>0</v>
      </c>
      <c r="FST306" s="18">
        <v>0</v>
      </c>
      <c r="FSU306" s="18">
        <v>0</v>
      </c>
      <c r="FSV306" s="18">
        <v>0</v>
      </c>
      <c r="FSW306" s="18">
        <v>0</v>
      </c>
      <c r="FSX306" s="18">
        <v>0</v>
      </c>
      <c r="FSY306" s="18">
        <v>0</v>
      </c>
      <c r="FSZ306" s="18">
        <v>0</v>
      </c>
      <c r="FTA306" s="18">
        <v>0</v>
      </c>
      <c r="FTB306" s="18">
        <v>0</v>
      </c>
      <c r="FTC306" s="18">
        <v>0</v>
      </c>
      <c r="FTD306" s="18">
        <v>0</v>
      </c>
      <c r="FTE306" s="18">
        <v>0</v>
      </c>
      <c r="FTF306" s="18">
        <v>0</v>
      </c>
      <c r="FTG306" s="18">
        <v>0</v>
      </c>
      <c r="FTH306" s="18">
        <v>0</v>
      </c>
      <c r="FTI306" s="18">
        <v>0</v>
      </c>
      <c r="FTJ306" s="18">
        <v>0</v>
      </c>
      <c r="FTK306" s="18">
        <v>0</v>
      </c>
      <c r="FTL306" s="18">
        <v>0</v>
      </c>
      <c r="FTM306" s="18">
        <v>0</v>
      </c>
      <c r="FTN306" s="18">
        <v>0</v>
      </c>
      <c r="FTO306" s="18">
        <v>0</v>
      </c>
      <c r="FTP306" s="18">
        <v>0</v>
      </c>
      <c r="FTQ306" s="18">
        <v>0</v>
      </c>
      <c r="FTR306" s="18">
        <v>0</v>
      </c>
      <c r="FTS306" s="18">
        <v>0</v>
      </c>
      <c r="FTT306" s="18">
        <v>0</v>
      </c>
      <c r="FTU306" s="18">
        <v>0</v>
      </c>
      <c r="FTV306" s="18">
        <v>0</v>
      </c>
      <c r="FTW306" s="18">
        <v>0</v>
      </c>
      <c r="FTX306" s="18">
        <v>0</v>
      </c>
      <c r="FTY306" s="18">
        <v>0</v>
      </c>
      <c r="FTZ306" s="18">
        <v>0</v>
      </c>
      <c r="FUA306" s="18">
        <v>0</v>
      </c>
      <c r="FUB306" s="18">
        <v>0</v>
      </c>
      <c r="FUC306" s="18">
        <v>0</v>
      </c>
      <c r="FUD306" s="18">
        <v>0</v>
      </c>
      <c r="FUE306" s="18">
        <v>0</v>
      </c>
      <c r="FUF306" s="18">
        <v>0</v>
      </c>
      <c r="FUG306" s="18">
        <v>0</v>
      </c>
      <c r="FUH306" s="18">
        <v>0</v>
      </c>
      <c r="FUI306" s="18">
        <v>0</v>
      </c>
      <c r="FUJ306" s="18">
        <v>0</v>
      </c>
      <c r="FUK306" s="18">
        <v>0</v>
      </c>
      <c r="FUL306" s="18">
        <v>0</v>
      </c>
      <c r="FUM306" s="18">
        <v>0</v>
      </c>
      <c r="FUN306" s="18">
        <v>0</v>
      </c>
      <c r="FUO306" s="18">
        <v>0</v>
      </c>
      <c r="FUP306" s="18">
        <v>0</v>
      </c>
      <c r="FUQ306" s="18">
        <v>0</v>
      </c>
      <c r="FUR306" s="18">
        <v>0</v>
      </c>
      <c r="FUS306" s="18">
        <v>0</v>
      </c>
      <c r="FUT306" s="18">
        <v>0</v>
      </c>
      <c r="FUU306" s="18">
        <v>0</v>
      </c>
      <c r="FUV306" s="18">
        <v>0</v>
      </c>
      <c r="FUW306" s="18">
        <v>0</v>
      </c>
      <c r="FUX306" s="18">
        <v>0</v>
      </c>
      <c r="FUY306" s="18">
        <v>0</v>
      </c>
      <c r="FUZ306" s="18">
        <v>0</v>
      </c>
      <c r="FVA306" s="18">
        <v>0</v>
      </c>
      <c r="FVB306" s="18">
        <v>0</v>
      </c>
      <c r="FVC306" s="18">
        <v>0</v>
      </c>
      <c r="FVD306" s="18">
        <v>0</v>
      </c>
      <c r="FVE306" s="18">
        <v>0</v>
      </c>
      <c r="FVF306" s="18">
        <v>0</v>
      </c>
      <c r="FVG306" s="18">
        <v>0</v>
      </c>
      <c r="FVH306" s="18">
        <v>0</v>
      </c>
      <c r="FVI306" s="18">
        <v>0</v>
      </c>
      <c r="FVJ306" s="18">
        <v>0</v>
      </c>
      <c r="FVK306" s="18">
        <v>0</v>
      </c>
      <c r="FVL306" s="18">
        <v>0</v>
      </c>
      <c r="FVM306" s="18">
        <v>0</v>
      </c>
      <c r="FVN306" s="18">
        <v>0</v>
      </c>
      <c r="FVO306" s="18">
        <v>0</v>
      </c>
      <c r="FVP306" s="18">
        <v>0</v>
      </c>
      <c r="FVQ306" s="18">
        <v>0</v>
      </c>
      <c r="FVR306" s="18">
        <v>0</v>
      </c>
      <c r="FVS306" s="18">
        <v>0</v>
      </c>
      <c r="FVT306" s="18">
        <v>0</v>
      </c>
      <c r="FVU306" s="18">
        <v>0</v>
      </c>
      <c r="FVV306" s="18">
        <v>0</v>
      </c>
      <c r="FVW306" s="18">
        <v>0</v>
      </c>
      <c r="FVX306" s="18">
        <v>0</v>
      </c>
      <c r="FVY306" s="18">
        <v>0</v>
      </c>
      <c r="FVZ306" s="18">
        <v>0</v>
      </c>
      <c r="FWA306" s="18">
        <v>0</v>
      </c>
      <c r="FWB306" s="18">
        <v>0</v>
      </c>
      <c r="FWC306" s="18">
        <v>0</v>
      </c>
      <c r="FWD306" s="18">
        <v>0</v>
      </c>
      <c r="FWE306" s="18">
        <v>0</v>
      </c>
      <c r="FWF306" s="18">
        <v>0</v>
      </c>
      <c r="FWG306" s="18">
        <v>0</v>
      </c>
      <c r="FWH306" s="18">
        <v>0</v>
      </c>
      <c r="FWI306" s="18">
        <v>0</v>
      </c>
      <c r="FWJ306" s="18">
        <v>0</v>
      </c>
      <c r="FWK306" s="18">
        <v>0</v>
      </c>
      <c r="FWL306" s="18">
        <v>0</v>
      </c>
      <c r="FWM306" s="18">
        <v>0</v>
      </c>
      <c r="FWN306" s="18">
        <v>0</v>
      </c>
      <c r="FWO306" s="18">
        <v>0</v>
      </c>
      <c r="FWP306" s="18">
        <v>0</v>
      </c>
      <c r="FWQ306" s="18">
        <v>0</v>
      </c>
      <c r="FWR306" s="18">
        <v>0</v>
      </c>
      <c r="FWS306" s="18">
        <v>0</v>
      </c>
      <c r="FWT306" s="18">
        <v>0</v>
      </c>
      <c r="FWU306" s="18">
        <v>0</v>
      </c>
      <c r="FWV306" s="18">
        <v>0</v>
      </c>
      <c r="FWW306" s="18">
        <v>0</v>
      </c>
      <c r="FWX306" s="18">
        <v>0</v>
      </c>
      <c r="FWY306" s="18">
        <v>0</v>
      </c>
      <c r="FWZ306" s="18">
        <v>0</v>
      </c>
      <c r="FXA306" s="18">
        <v>0</v>
      </c>
      <c r="FXB306" s="18">
        <v>0</v>
      </c>
      <c r="FXC306" s="18">
        <v>0</v>
      </c>
      <c r="FXD306" s="18">
        <v>0</v>
      </c>
      <c r="FXE306" s="18">
        <v>0</v>
      </c>
      <c r="FXF306" s="18">
        <v>0</v>
      </c>
      <c r="FXG306" s="18">
        <v>0</v>
      </c>
      <c r="FXH306" s="18">
        <v>0</v>
      </c>
      <c r="FXI306" s="18">
        <v>0</v>
      </c>
      <c r="FXJ306" s="18">
        <v>0</v>
      </c>
      <c r="FXK306" s="18">
        <v>0</v>
      </c>
      <c r="FXL306" s="18">
        <v>0</v>
      </c>
      <c r="FXM306" s="18">
        <v>0</v>
      </c>
      <c r="FXN306" s="18">
        <v>0</v>
      </c>
      <c r="FXO306" s="18">
        <v>0</v>
      </c>
      <c r="FXP306" s="18">
        <v>0</v>
      </c>
      <c r="FXQ306" s="18">
        <v>0</v>
      </c>
      <c r="FXR306" s="18">
        <v>0</v>
      </c>
      <c r="FXS306" s="18">
        <v>0</v>
      </c>
      <c r="FXT306" s="18">
        <v>0</v>
      </c>
      <c r="FXU306" s="18">
        <v>0</v>
      </c>
      <c r="FXV306" s="18">
        <v>0</v>
      </c>
      <c r="FXW306" s="18">
        <v>0</v>
      </c>
      <c r="FXX306" s="18">
        <v>0</v>
      </c>
      <c r="FXY306" s="18">
        <v>0</v>
      </c>
      <c r="FXZ306" s="18">
        <v>0</v>
      </c>
      <c r="FYA306" s="18">
        <v>0</v>
      </c>
      <c r="FYB306" s="18">
        <v>0</v>
      </c>
      <c r="FYC306" s="18">
        <v>0</v>
      </c>
      <c r="FYD306" s="18">
        <v>0</v>
      </c>
      <c r="FYE306" s="18">
        <v>0</v>
      </c>
      <c r="FYF306" s="18">
        <v>0</v>
      </c>
      <c r="FYG306" s="18">
        <v>0</v>
      </c>
      <c r="FYH306" s="18">
        <v>0</v>
      </c>
      <c r="FYI306" s="18">
        <v>0</v>
      </c>
      <c r="FYJ306" s="18">
        <v>0</v>
      </c>
      <c r="FYK306" s="18">
        <v>0</v>
      </c>
      <c r="FYL306" s="18">
        <v>0</v>
      </c>
      <c r="FYM306" s="18">
        <v>0</v>
      </c>
      <c r="FYN306" s="18">
        <v>0</v>
      </c>
      <c r="FYO306" s="18">
        <v>0</v>
      </c>
      <c r="FYP306" s="18">
        <v>0</v>
      </c>
      <c r="FYQ306" s="18">
        <v>0</v>
      </c>
      <c r="FYR306" s="18">
        <v>0</v>
      </c>
      <c r="FYS306" s="18">
        <v>0</v>
      </c>
      <c r="FYT306" s="18">
        <v>0</v>
      </c>
      <c r="FYU306" s="18">
        <v>0</v>
      </c>
      <c r="FYV306" s="18">
        <v>0</v>
      </c>
      <c r="FYW306" s="18">
        <v>0</v>
      </c>
      <c r="FYX306" s="18">
        <v>0</v>
      </c>
      <c r="FYY306" s="18">
        <v>0</v>
      </c>
      <c r="FYZ306" s="18">
        <v>0</v>
      </c>
      <c r="FZA306" s="18">
        <v>0</v>
      </c>
      <c r="FZB306" s="18">
        <v>0</v>
      </c>
      <c r="FZC306" s="18">
        <v>0</v>
      </c>
      <c r="FZD306" s="18">
        <v>0</v>
      </c>
      <c r="FZE306" s="18">
        <v>0</v>
      </c>
      <c r="FZF306" s="18">
        <v>0</v>
      </c>
      <c r="FZG306" s="18">
        <v>0</v>
      </c>
      <c r="FZH306" s="18">
        <v>0</v>
      </c>
      <c r="FZI306" s="18">
        <v>0</v>
      </c>
      <c r="FZJ306" s="18">
        <v>0</v>
      </c>
      <c r="FZK306" s="18">
        <v>0</v>
      </c>
      <c r="FZL306" s="18">
        <v>0</v>
      </c>
      <c r="FZM306" s="18">
        <v>0</v>
      </c>
      <c r="FZN306" s="18">
        <v>0</v>
      </c>
      <c r="FZO306" s="18">
        <v>0</v>
      </c>
      <c r="FZP306" s="18">
        <v>0</v>
      </c>
      <c r="FZQ306" s="18">
        <v>0</v>
      </c>
      <c r="FZR306" s="18">
        <v>0</v>
      </c>
      <c r="FZS306" s="18">
        <v>0</v>
      </c>
      <c r="FZT306" s="18">
        <v>0</v>
      </c>
      <c r="FZU306" s="18">
        <v>0</v>
      </c>
      <c r="FZV306" s="18">
        <v>0</v>
      </c>
      <c r="FZW306" s="18">
        <v>0</v>
      </c>
      <c r="FZX306" s="18">
        <v>0</v>
      </c>
      <c r="FZY306" s="18">
        <v>0</v>
      </c>
      <c r="FZZ306" s="18">
        <v>0</v>
      </c>
      <c r="GAA306" s="18">
        <v>0</v>
      </c>
      <c r="GAB306" s="18">
        <v>0</v>
      </c>
      <c r="GAC306" s="18">
        <v>0</v>
      </c>
      <c r="GAD306" s="18">
        <v>0</v>
      </c>
      <c r="GAE306" s="18">
        <v>0</v>
      </c>
      <c r="GAF306" s="18">
        <v>0</v>
      </c>
      <c r="GAG306" s="18">
        <v>0</v>
      </c>
      <c r="GAH306" s="18">
        <v>0</v>
      </c>
      <c r="GAI306" s="18">
        <v>0</v>
      </c>
      <c r="GAJ306" s="18">
        <v>0</v>
      </c>
      <c r="GAK306" s="18">
        <v>0</v>
      </c>
      <c r="GAL306" s="18">
        <v>0</v>
      </c>
      <c r="GAM306" s="18">
        <v>0</v>
      </c>
      <c r="GAN306" s="18">
        <v>0</v>
      </c>
      <c r="GAO306" s="18">
        <v>0</v>
      </c>
      <c r="GAP306" s="18">
        <v>0</v>
      </c>
      <c r="GAQ306" s="18">
        <v>0</v>
      </c>
      <c r="GAR306" s="18">
        <v>0</v>
      </c>
      <c r="GAS306" s="18">
        <v>0</v>
      </c>
      <c r="GAT306" s="18">
        <v>0</v>
      </c>
      <c r="GAU306" s="18">
        <v>0</v>
      </c>
      <c r="GAV306" s="18">
        <v>0</v>
      </c>
      <c r="GAW306" s="18">
        <v>0</v>
      </c>
      <c r="GAX306" s="18">
        <v>0</v>
      </c>
      <c r="GAY306" s="18">
        <v>0</v>
      </c>
      <c r="GAZ306" s="18">
        <v>0</v>
      </c>
      <c r="GBA306" s="18">
        <v>0</v>
      </c>
      <c r="GBB306" s="18">
        <v>0</v>
      </c>
      <c r="GBC306" s="18">
        <v>0</v>
      </c>
      <c r="GBD306" s="18">
        <v>0</v>
      </c>
      <c r="GBE306" s="18">
        <v>0</v>
      </c>
      <c r="GBF306" s="18">
        <v>0</v>
      </c>
      <c r="GBG306" s="18">
        <v>0</v>
      </c>
      <c r="GBH306" s="18">
        <v>0</v>
      </c>
      <c r="GBI306" s="18">
        <v>0</v>
      </c>
      <c r="GBJ306" s="18">
        <v>0</v>
      </c>
      <c r="GBK306" s="18">
        <v>0</v>
      </c>
      <c r="GBL306" s="18">
        <v>0</v>
      </c>
      <c r="GBM306" s="18">
        <v>0</v>
      </c>
      <c r="GBN306" s="18">
        <v>0</v>
      </c>
      <c r="GBO306" s="18">
        <v>0</v>
      </c>
      <c r="GBP306" s="18">
        <v>0</v>
      </c>
      <c r="GBQ306" s="18">
        <v>0</v>
      </c>
      <c r="GBR306" s="18">
        <v>0</v>
      </c>
      <c r="GBS306" s="18">
        <v>0</v>
      </c>
      <c r="GBT306" s="18">
        <v>0</v>
      </c>
      <c r="GBU306" s="18">
        <v>0</v>
      </c>
      <c r="GBV306" s="18">
        <v>0</v>
      </c>
      <c r="GBW306" s="18">
        <v>0</v>
      </c>
      <c r="GBX306" s="18">
        <v>0</v>
      </c>
      <c r="GBY306" s="18">
        <v>0</v>
      </c>
      <c r="GBZ306" s="18">
        <v>0</v>
      </c>
      <c r="GCA306" s="18">
        <v>0</v>
      </c>
      <c r="GCB306" s="18">
        <v>0</v>
      </c>
      <c r="GCC306" s="18">
        <v>0</v>
      </c>
      <c r="GCD306" s="18">
        <v>0</v>
      </c>
      <c r="GCE306" s="18">
        <v>0</v>
      </c>
      <c r="GCF306" s="18">
        <v>0</v>
      </c>
      <c r="GCG306" s="18">
        <v>0</v>
      </c>
      <c r="GCH306" s="18">
        <v>0</v>
      </c>
      <c r="GCI306" s="18">
        <v>0</v>
      </c>
      <c r="GCJ306" s="18">
        <v>0</v>
      </c>
      <c r="GCK306" s="18">
        <v>0</v>
      </c>
      <c r="GCL306" s="18">
        <v>0</v>
      </c>
      <c r="GCM306" s="18">
        <v>0</v>
      </c>
      <c r="GCN306" s="18">
        <v>0</v>
      </c>
      <c r="GCO306" s="18">
        <v>0</v>
      </c>
      <c r="GCP306" s="18">
        <v>0</v>
      </c>
      <c r="GCQ306" s="18">
        <v>0</v>
      </c>
      <c r="GCR306" s="18">
        <v>0</v>
      </c>
      <c r="GCS306" s="18">
        <v>0</v>
      </c>
      <c r="GCT306" s="18">
        <v>0</v>
      </c>
      <c r="GCU306" s="18">
        <v>0</v>
      </c>
      <c r="GCV306" s="18">
        <v>0</v>
      </c>
      <c r="GCW306" s="18">
        <v>0</v>
      </c>
      <c r="GCX306" s="18">
        <v>0</v>
      </c>
      <c r="GCY306" s="18">
        <v>0</v>
      </c>
      <c r="GCZ306" s="18">
        <v>0</v>
      </c>
      <c r="GDA306" s="18">
        <v>0</v>
      </c>
      <c r="GDB306" s="18">
        <v>0</v>
      </c>
      <c r="GDC306" s="18">
        <v>0</v>
      </c>
      <c r="GDD306" s="18">
        <v>0</v>
      </c>
      <c r="GDE306" s="18">
        <v>0</v>
      </c>
      <c r="GDF306" s="18">
        <v>0</v>
      </c>
      <c r="GDG306" s="18">
        <v>0</v>
      </c>
      <c r="GDH306" s="18">
        <v>0</v>
      </c>
      <c r="GDI306" s="18">
        <v>0</v>
      </c>
      <c r="GDJ306" s="18">
        <v>0</v>
      </c>
      <c r="GDK306" s="18">
        <v>0</v>
      </c>
      <c r="GDL306" s="18">
        <v>0</v>
      </c>
      <c r="GDM306" s="18">
        <v>0</v>
      </c>
      <c r="GDN306" s="18">
        <v>0</v>
      </c>
      <c r="GDO306" s="18">
        <v>0</v>
      </c>
      <c r="GDP306" s="18">
        <v>0</v>
      </c>
      <c r="GDQ306" s="18">
        <v>0</v>
      </c>
      <c r="GDR306" s="18">
        <v>0</v>
      </c>
      <c r="GDS306" s="18">
        <v>0</v>
      </c>
      <c r="GDT306" s="18">
        <v>0</v>
      </c>
      <c r="GDU306" s="18">
        <v>0</v>
      </c>
      <c r="GDV306" s="18">
        <v>0</v>
      </c>
      <c r="GDW306" s="18">
        <v>0</v>
      </c>
      <c r="GDX306" s="18">
        <v>0</v>
      </c>
      <c r="GDY306" s="18">
        <v>0</v>
      </c>
      <c r="GDZ306" s="18">
        <v>0</v>
      </c>
      <c r="GEA306" s="18">
        <v>0</v>
      </c>
      <c r="GEB306" s="18">
        <v>0</v>
      </c>
      <c r="GEC306" s="18">
        <v>0</v>
      </c>
      <c r="GED306" s="18">
        <v>0</v>
      </c>
      <c r="GEE306" s="18">
        <v>0</v>
      </c>
      <c r="GEF306" s="18">
        <v>0</v>
      </c>
      <c r="GEG306" s="18">
        <v>0</v>
      </c>
      <c r="GEH306" s="18">
        <v>0</v>
      </c>
      <c r="GEI306" s="18">
        <v>0</v>
      </c>
      <c r="GEJ306" s="18">
        <v>0</v>
      </c>
      <c r="GEK306" s="18">
        <v>0</v>
      </c>
      <c r="GEL306" s="18">
        <v>0</v>
      </c>
      <c r="GEM306" s="18">
        <v>0</v>
      </c>
      <c r="GEN306" s="18">
        <v>0</v>
      </c>
      <c r="GEO306" s="18">
        <v>0</v>
      </c>
      <c r="GEP306" s="18">
        <v>0</v>
      </c>
      <c r="GEQ306" s="18">
        <v>0</v>
      </c>
      <c r="GER306" s="18">
        <v>0</v>
      </c>
      <c r="GES306" s="18">
        <v>0</v>
      </c>
      <c r="GET306" s="18">
        <v>0</v>
      </c>
      <c r="GEU306" s="18">
        <v>0</v>
      </c>
      <c r="GEV306" s="18">
        <v>0</v>
      </c>
      <c r="GEW306" s="18">
        <v>0</v>
      </c>
      <c r="GEX306" s="18">
        <v>0</v>
      </c>
      <c r="GEY306" s="18">
        <v>0</v>
      </c>
      <c r="GEZ306" s="18">
        <v>0</v>
      </c>
      <c r="GFA306" s="18">
        <v>0</v>
      </c>
      <c r="GFB306" s="18">
        <v>0</v>
      </c>
      <c r="GFC306" s="18">
        <v>0</v>
      </c>
      <c r="GFD306" s="18">
        <v>0</v>
      </c>
      <c r="GFE306" s="18">
        <v>0</v>
      </c>
      <c r="GFF306" s="18">
        <v>0</v>
      </c>
      <c r="GFG306" s="18">
        <v>0</v>
      </c>
      <c r="GFH306" s="18">
        <v>0</v>
      </c>
      <c r="GFI306" s="18">
        <v>0</v>
      </c>
      <c r="GFJ306" s="18">
        <v>0</v>
      </c>
      <c r="GFK306" s="18">
        <v>0</v>
      </c>
      <c r="GFL306" s="18">
        <v>0</v>
      </c>
      <c r="GFM306" s="18">
        <v>0</v>
      </c>
      <c r="GFN306" s="18">
        <v>0</v>
      </c>
      <c r="GFO306" s="18">
        <v>0</v>
      </c>
      <c r="GFP306" s="18">
        <v>0</v>
      </c>
      <c r="GFQ306" s="18">
        <v>0</v>
      </c>
      <c r="GFR306" s="18">
        <v>0</v>
      </c>
      <c r="GFS306" s="18">
        <v>0</v>
      </c>
      <c r="GFT306" s="18">
        <v>0</v>
      </c>
      <c r="GFU306" s="18">
        <v>0</v>
      </c>
      <c r="GFV306" s="18">
        <v>0</v>
      </c>
      <c r="GFW306" s="18">
        <v>0</v>
      </c>
      <c r="GFX306" s="18">
        <v>0</v>
      </c>
      <c r="GFY306" s="18">
        <v>0</v>
      </c>
      <c r="GFZ306" s="18">
        <v>0</v>
      </c>
      <c r="GGA306" s="18">
        <v>0</v>
      </c>
      <c r="GGB306" s="18">
        <v>0</v>
      </c>
      <c r="GGC306" s="18">
        <v>0</v>
      </c>
      <c r="GGD306" s="18">
        <v>0</v>
      </c>
      <c r="GGE306" s="18">
        <v>0</v>
      </c>
      <c r="GGF306" s="18">
        <v>0</v>
      </c>
      <c r="GGG306" s="18">
        <v>0</v>
      </c>
      <c r="GGH306" s="18">
        <v>0</v>
      </c>
      <c r="GGI306" s="18">
        <v>0</v>
      </c>
      <c r="GGJ306" s="18">
        <v>0</v>
      </c>
      <c r="GGK306" s="18">
        <v>0</v>
      </c>
      <c r="GGL306" s="18">
        <v>0</v>
      </c>
      <c r="GGM306" s="18">
        <v>0</v>
      </c>
      <c r="GGN306" s="18">
        <v>0</v>
      </c>
      <c r="GGO306" s="18">
        <v>0</v>
      </c>
      <c r="GGP306" s="18">
        <v>0</v>
      </c>
      <c r="GGQ306" s="18">
        <v>0</v>
      </c>
      <c r="GGR306" s="18">
        <v>0</v>
      </c>
      <c r="GGS306" s="18">
        <v>0</v>
      </c>
      <c r="GGT306" s="18">
        <v>0</v>
      </c>
      <c r="GGU306" s="18">
        <v>0</v>
      </c>
      <c r="GGV306" s="18">
        <v>0</v>
      </c>
      <c r="GGW306" s="18">
        <v>0</v>
      </c>
      <c r="GGX306" s="18">
        <v>0</v>
      </c>
      <c r="GGY306" s="18">
        <v>0</v>
      </c>
      <c r="GGZ306" s="18">
        <v>0</v>
      </c>
      <c r="GHA306" s="18">
        <v>0</v>
      </c>
      <c r="GHB306" s="18">
        <v>0</v>
      </c>
      <c r="GHC306" s="18">
        <v>0</v>
      </c>
      <c r="GHD306" s="18">
        <v>0</v>
      </c>
      <c r="GHE306" s="18">
        <v>0</v>
      </c>
      <c r="GHF306" s="18">
        <v>0</v>
      </c>
      <c r="GHG306" s="18">
        <v>0</v>
      </c>
      <c r="GHH306" s="18">
        <v>0</v>
      </c>
      <c r="GHI306" s="18">
        <v>0</v>
      </c>
      <c r="GHJ306" s="18">
        <v>0</v>
      </c>
      <c r="GHK306" s="18">
        <v>0</v>
      </c>
      <c r="GHL306" s="18">
        <v>0</v>
      </c>
      <c r="GHM306" s="18">
        <v>0</v>
      </c>
      <c r="GHN306" s="18">
        <v>0</v>
      </c>
      <c r="GHO306" s="18">
        <v>0</v>
      </c>
      <c r="GHP306" s="18">
        <v>0</v>
      </c>
      <c r="GHQ306" s="18">
        <v>0</v>
      </c>
      <c r="GHR306" s="18">
        <v>0</v>
      </c>
      <c r="GHS306" s="18">
        <v>0</v>
      </c>
      <c r="GHT306" s="18">
        <v>0</v>
      </c>
      <c r="GHU306" s="18">
        <v>0</v>
      </c>
      <c r="GHV306" s="18">
        <v>0</v>
      </c>
      <c r="GHW306" s="18">
        <v>0</v>
      </c>
      <c r="GHX306" s="18">
        <v>0</v>
      </c>
      <c r="GHY306" s="18">
        <v>0</v>
      </c>
      <c r="GHZ306" s="18">
        <v>0</v>
      </c>
      <c r="GIA306" s="18">
        <v>0</v>
      </c>
      <c r="GIB306" s="18">
        <v>0</v>
      </c>
      <c r="GIC306" s="18">
        <v>0</v>
      </c>
      <c r="GID306" s="18">
        <v>0</v>
      </c>
      <c r="GIE306" s="18">
        <v>0</v>
      </c>
      <c r="GIF306" s="18">
        <v>0</v>
      </c>
      <c r="GIG306" s="18">
        <v>0</v>
      </c>
      <c r="GIH306" s="18">
        <v>0</v>
      </c>
      <c r="GII306" s="18">
        <v>0</v>
      </c>
      <c r="GIJ306" s="18">
        <v>0</v>
      </c>
      <c r="GIK306" s="18">
        <v>0</v>
      </c>
      <c r="GIL306" s="18">
        <v>0</v>
      </c>
      <c r="GIM306" s="18">
        <v>0</v>
      </c>
      <c r="GIN306" s="18">
        <v>0</v>
      </c>
      <c r="GIO306" s="18">
        <v>0</v>
      </c>
      <c r="GIP306" s="18">
        <v>0</v>
      </c>
      <c r="GIQ306" s="18">
        <v>0</v>
      </c>
      <c r="GIR306" s="18">
        <v>0</v>
      </c>
      <c r="GIS306" s="18">
        <v>0</v>
      </c>
      <c r="GIT306" s="18">
        <v>0</v>
      </c>
      <c r="GIU306" s="18">
        <v>0</v>
      </c>
      <c r="GIV306" s="18">
        <v>0</v>
      </c>
      <c r="GIW306" s="18">
        <v>0</v>
      </c>
      <c r="GIX306" s="18">
        <v>0</v>
      </c>
      <c r="GIY306" s="18">
        <v>0</v>
      </c>
      <c r="GIZ306" s="18">
        <v>0</v>
      </c>
      <c r="GJA306" s="18">
        <v>0</v>
      </c>
      <c r="GJB306" s="18">
        <v>0</v>
      </c>
      <c r="GJC306" s="18">
        <v>0</v>
      </c>
      <c r="GJD306" s="18">
        <v>0</v>
      </c>
      <c r="GJE306" s="18">
        <v>0</v>
      </c>
      <c r="GJF306" s="18">
        <v>0</v>
      </c>
      <c r="GJG306" s="18">
        <v>0</v>
      </c>
      <c r="GJH306" s="18">
        <v>0</v>
      </c>
      <c r="GJI306" s="18">
        <v>0</v>
      </c>
      <c r="GJJ306" s="18">
        <v>0</v>
      </c>
      <c r="GJK306" s="18">
        <v>0</v>
      </c>
      <c r="GJL306" s="18">
        <v>0</v>
      </c>
      <c r="GJM306" s="18">
        <v>0</v>
      </c>
      <c r="GJN306" s="18">
        <v>0</v>
      </c>
      <c r="GJO306" s="18">
        <v>0</v>
      </c>
      <c r="GJP306" s="18">
        <v>0</v>
      </c>
      <c r="GJQ306" s="18">
        <v>0</v>
      </c>
      <c r="GJR306" s="18">
        <v>0</v>
      </c>
      <c r="GJS306" s="18">
        <v>0</v>
      </c>
      <c r="GJT306" s="18">
        <v>0</v>
      </c>
      <c r="GJU306" s="18">
        <v>0</v>
      </c>
      <c r="GJV306" s="18">
        <v>0</v>
      </c>
      <c r="GJW306" s="18">
        <v>0</v>
      </c>
      <c r="GJX306" s="18">
        <v>0</v>
      </c>
      <c r="GJY306" s="18">
        <v>0</v>
      </c>
      <c r="GJZ306" s="18">
        <v>0</v>
      </c>
      <c r="GKA306" s="18">
        <v>0</v>
      </c>
      <c r="GKB306" s="18">
        <v>0</v>
      </c>
      <c r="GKC306" s="18">
        <v>0</v>
      </c>
      <c r="GKD306" s="18">
        <v>0</v>
      </c>
      <c r="GKE306" s="18">
        <v>0</v>
      </c>
      <c r="GKF306" s="18">
        <v>0</v>
      </c>
      <c r="GKG306" s="18">
        <v>0</v>
      </c>
      <c r="GKH306" s="18">
        <v>0</v>
      </c>
      <c r="GKI306" s="18">
        <v>0</v>
      </c>
      <c r="GKJ306" s="18">
        <v>0</v>
      </c>
      <c r="GKK306" s="18">
        <v>0</v>
      </c>
      <c r="GKL306" s="18">
        <v>0</v>
      </c>
      <c r="GKM306" s="18">
        <v>0</v>
      </c>
      <c r="GKN306" s="18">
        <v>0</v>
      </c>
      <c r="GKO306" s="18">
        <v>0</v>
      </c>
      <c r="GKP306" s="18">
        <v>0</v>
      </c>
      <c r="GKQ306" s="18">
        <v>0</v>
      </c>
      <c r="GKR306" s="18">
        <v>0</v>
      </c>
      <c r="GKS306" s="18">
        <v>0</v>
      </c>
      <c r="GKT306" s="18">
        <v>0</v>
      </c>
      <c r="GKU306" s="18">
        <v>0</v>
      </c>
      <c r="GKV306" s="18">
        <v>0</v>
      </c>
      <c r="GKW306" s="18">
        <v>0</v>
      </c>
      <c r="GKX306" s="18">
        <v>0</v>
      </c>
      <c r="GKY306" s="18">
        <v>0</v>
      </c>
      <c r="GKZ306" s="18">
        <v>0</v>
      </c>
      <c r="GLA306" s="18">
        <v>0</v>
      </c>
      <c r="GLB306" s="18">
        <v>0</v>
      </c>
      <c r="GLC306" s="18">
        <v>0</v>
      </c>
      <c r="GLD306" s="18">
        <v>0</v>
      </c>
      <c r="GLE306" s="18">
        <v>0</v>
      </c>
      <c r="GLF306" s="18">
        <v>0</v>
      </c>
      <c r="GLG306" s="18">
        <v>0</v>
      </c>
      <c r="GLH306" s="18">
        <v>0</v>
      </c>
      <c r="GLI306" s="18">
        <v>0</v>
      </c>
      <c r="GLJ306" s="18">
        <v>0</v>
      </c>
      <c r="GLK306" s="18">
        <v>0</v>
      </c>
      <c r="GLL306" s="18">
        <v>0</v>
      </c>
      <c r="GLM306" s="18">
        <v>0</v>
      </c>
      <c r="GLN306" s="18">
        <v>0</v>
      </c>
      <c r="GLO306" s="18">
        <v>0</v>
      </c>
      <c r="GLP306" s="18">
        <v>0</v>
      </c>
      <c r="GLQ306" s="18">
        <v>0</v>
      </c>
      <c r="GLR306" s="18">
        <v>0</v>
      </c>
      <c r="GLS306" s="18">
        <v>0</v>
      </c>
      <c r="GLT306" s="18">
        <v>0</v>
      </c>
      <c r="GLU306" s="18">
        <v>0</v>
      </c>
      <c r="GLV306" s="18">
        <v>0</v>
      </c>
      <c r="GLW306" s="18">
        <v>0</v>
      </c>
      <c r="GLX306" s="18">
        <v>0</v>
      </c>
      <c r="GLY306" s="18">
        <v>0</v>
      </c>
      <c r="GLZ306" s="18">
        <v>0</v>
      </c>
      <c r="GMA306" s="18">
        <v>0</v>
      </c>
      <c r="GMB306" s="18">
        <v>0</v>
      </c>
      <c r="GMC306" s="18">
        <v>0</v>
      </c>
      <c r="GMD306" s="18">
        <v>0</v>
      </c>
      <c r="GME306" s="18">
        <v>0</v>
      </c>
      <c r="GMF306" s="18">
        <v>0</v>
      </c>
      <c r="GMG306" s="18">
        <v>0</v>
      </c>
      <c r="GMH306" s="18">
        <v>0</v>
      </c>
      <c r="GMI306" s="18">
        <v>0</v>
      </c>
      <c r="GMJ306" s="18">
        <v>0</v>
      </c>
      <c r="GMK306" s="18">
        <v>0</v>
      </c>
      <c r="GML306" s="18">
        <v>0</v>
      </c>
      <c r="GMM306" s="18">
        <v>0</v>
      </c>
      <c r="GMN306" s="18">
        <v>0</v>
      </c>
      <c r="GMO306" s="18">
        <v>0</v>
      </c>
      <c r="GMP306" s="18">
        <v>0</v>
      </c>
      <c r="GMQ306" s="18">
        <v>0</v>
      </c>
      <c r="GMR306" s="18">
        <v>0</v>
      </c>
      <c r="GMS306" s="18">
        <v>0</v>
      </c>
      <c r="GMT306" s="18">
        <v>0</v>
      </c>
      <c r="GMU306" s="18">
        <v>0</v>
      </c>
      <c r="GMV306" s="18">
        <v>0</v>
      </c>
      <c r="GMW306" s="18">
        <v>0</v>
      </c>
      <c r="GMX306" s="18">
        <v>0</v>
      </c>
      <c r="GMY306" s="18">
        <v>0</v>
      </c>
      <c r="GMZ306" s="18">
        <v>0</v>
      </c>
      <c r="GNA306" s="18">
        <v>0</v>
      </c>
      <c r="GNB306" s="18">
        <v>0</v>
      </c>
      <c r="GNC306" s="18">
        <v>0</v>
      </c>
      <c r="GND306" s="18">
        <v>0</v>
      </c>
      <c r="GNE306" s="18">
        <v>0</v>
      </c>
      <c r="GNF306" s="18">
        <v>0</v>
      </c>
      <c r="GNG306" s="18">
        <v>0</v>
      </c>
      <c r="GNH306" s="18">
        <v>0</v>
      </c>
      <c r="GNI306" s="18">
        <v>0</v>
      </c>
      <c r="GNJ306" s="18">
        <v>0</v>
      </c>
      <c r="GNK306" s="18">
        <v>0</v>
      </c>
      <c r="GNL306" s="18">
        <v>0</v>
      </c>
      <c r="GNM306" s="18">
        <v>0</v>
      </c>
      <c r="GNN306" s="18">
        <v>0</v>
      </c>
      <c r="GNO306" s="18">
        <v>0</v>
      </c>
      <c r="GNP306" s="18">
        <v>0</v>
      </c>
      <c r="GNQ306" s="18">
        <v>0</v>
      </c>
      <c r="GNR306" s="18">
        <v>0</v>
      </c>
      <c r="GNS306" s="18">
        <v>0</v>
      </c>
      <c r="GNT306" s="18">
        <v>0</v>
      </c>
      <c r="GNU306" s="18">
        <v>0</v>
      </c>
      <c r="GNV306" s="18">
        <v>0</v>
      </c>
      <c r="GNW306" s="18">
        <v>0</v>
      </c>
      <c r="GNX306" s="18">
        <v>0</v>
      </c>
      <c r="GNY306" s="18">
        <v>0</v>
      </c>
      <c r="GNZ306" s="18">
        <v>0</v>
      </c>
      <c r="GOA306" s="18">
        <v>0</v>
      </c>
      <c r="GOB306" s="18">
        <v>0</v>
      </c>
      <c r="GOC306" s="18">
        <v>0</v>
      </c>
      <c r="GOD306" s="18">
        <v>0</v>
      </c>
      <c r="GOE306" s="18">
        <v>0</v>
      </c>
      <c r="GOF306" s="18">
        <v>0</v>
      </c>
      <c r="GOG306" s="18">
        <v>0</v>
      </c>
      <c r="GOH306" s="18">
        <v>0</v>
      </c>
      <c r="GOI306" s="18">
        <v>0</v>
      </c>
      <c r="GOJ306" s="18">
        <v>0</v>
      </c>
      <c r="GOK306" s="18">
        <v>0</v>
      </c>
      <c r="GOL306" s="18">
        <v>0</v>
      </c>
      <c r="GOM306" s="18">
        <v>0</v>
      </c>
      <c r="GON306" s="18">
        <v>0</v>
      </c>
      <c r="GOO306" s="18">
        <v>0</v>
      </c>
      <c r="GOP306" s="18">
        <v>0</v>
      </c>
      <c r="GOQ306" s="18">
        <v>0</v>
      </c>
      <c r="GOR306" s="18">
        <v>0</v>
      </c>
      <c r="GOS306" s="18">
        <v>0</v>
      </c>
      <c r="GOT306" s="18">
        <v>0</v>
      </c>
      <c r="GOU306" s="18">
        <v>0</v>
      </c>
      <c r="GOV306" s="18">
        <v>0</v>
      </c>
      <c r="GOW306" s="18">
        <v>0</v>
      </c>
      <c r="GOX306" s="18">
        <v>0</v>
      </c>
      <c r="GOY306" s="18">
        <v>0</v>
      </c>
      <c r="GOZ306" s="18">
        <v>0</v>
      </c>
      <c r="GPA306" s="18">
        <v>0</v>
      </c>
      <c r="GPB306" s="18">
        <v>0</v>
      </c>
      <c r="GPC306" s="18">
        <v>0</v>
      </c>
      <c r="GPD306" s="18">
        <v>0</v>
      </c>
      <c r="GPE306" s="18">
        <v>0</v>
      </c>
      <c r="GPF306" s="18">
        <v>0</v>
      </c>
      <c r="GPG306" s="18">
        <v>0</v>
      </c>
      <c r="GPH306" s="18">
        <v>0</v>
      </c>
      <c r="GPI306" s="18">
        <v>0</v>
      </c>
      <c r="GPJ306" s="18">
        <v>0</v>
      </c>
      <c r="GPK306" s="18">
        <v>0</v>
      </c>
      <c r="GPL306" s="18">
        <v>0</v>
      </c>
      <c r="GPM306" s="18">
        <v>0</v>
      </c>
      <c r="GPN306" s="18">
        <v>0</v>
      </c>
      <c r="GPO306" s="18">
        <v>0</v>
      </c>
      <c r="GPP306" s="18">
        <v>0</v>
      </c>
      <c r="GPQ306" s="18">
        <v>0</v>
      </c>
      <c r="GPR306" s="18">
        <v>0</v>
      </c>
      <c r="GPS306" s="18">
        <v>0</v>
      </c>
      <c r="GPT306" s="18">
        <v>0</v>
      </c>
      <c r="GPU306" s="18">
        <v>0</v>
      </c>
      <c r="GPV306" s="18">
        <v>0</v>
      </c>
      <c r="GPW306" s="18">
        <v>0</v>
      </c>
      <c r="GPX306" s="18">
        <v>0</v>
      </c>
      <c r="GPY306" s="18">
        <v>0</v>
      </c>
      <c r="GPZ306" s="18">
        <v>0</v>
      </c>
      <c r="GQA306" s="18">
        <v>0</v>
      </c>
      <c r="GQB306" s="18">
        <v>0</v>
      </c>
      <c r="GQC306" s="18">
        <v>0</v>
      </c>
      <c r="GQD306" s="18">
        <v>0</v>
      </c>
      <c r="GQE306" s="18">
        <v>0</v>
      </c>
      <c r="GQF306" s="18">
        <v>0</v>
      </c>
      <c r="GQG306" s="18">
        <v>0</v>
      </c>
      <c r="GQH306" s="18">
        <v>0</v>
      </c>
      <c r="GQI306" s="18">
        <v>0</v>
      </c>
      <c r="GQJ306" s="18">
        <v>0</v>
      </c>
      <c r="GQK306" s="18">
        <v>0</v>
      </c>
      <c r="GQL306" s="18">
        <v>0</v>
      </c>
      <c r="GQM306" s="18">
        <v>0</v>
      </c>
      <c r="GQN306" s="18">
        <v>0</v>
      </c>
      <c r="GQO306" s="18">
        <v>0</v>
      </c>
      <c r="GQP306" s="18">
        <v>0</v>
      </c>
      <c r="GQQ306" s="18">
        <v>0</v>
      </c>
      <c r="GQR306" s="18">
        <v>0</v>
      </c>
      <c r="GQS306" s="18">
        <v>0</v>
      </c>
      <c r="GQT306" s="18">
        <v>0</v>
      </c>
      <c r="GQU306" s="18">
        <v>0</v>
      </c>
      <c r="GQV306" s="18">
        <v>0</v>
      </c>
      <c r="GQW306" s="18">
        <v>0</v>
      </c>
      <c r="GQX306" s="18">
        <v>0</v>
      </c>
      <c r="GQY306" s="18">
        <v>0</v>
      </c>
      <c r="GQZ306" s="18">
        <v>0</v>
      </c>
      <c r="GRA306" s="18">
        <v>0</v>
      </c>
      <c r="GRB306" s="18">
        <v>0</v>
      </c>
      <c r="GRC306" s="18">
        <v>0</v>
      </c>
      <c r="GRD306" s="18">
        <v>0</v>
      </c>
      <c r="GRE306" s="18">
        <v>0</v>
      </c>
      <c r="GRF306" s="18">
        <v>0</v>
      </c>
      <c r="GRG306" s="18">
        <v>0</v>
      </c>
      <c r="GRH306" s="18">
        <v>0</v>
      </c>
      <c r="GRI306" s="18">
        <v>0</v>
      </c>
      <c r="GRJ306" s="18">
        <v>0</v>
      </c>
      <c r="GRK306" s="18">
        <v>0</v>
      </c>
      <c r="GRL306" s="18">
        <v>0</v>
      </c>
      <c r="GRM306" s="18">
        <v>0</v>
      </c>
      <c r="GRN306" s="18">
        <v>0</v>
      </c>
      <c r="GRO306" s="18">
        <v>0</v>
      </c>
      <c r="GRP306" s="18">
        <v>0</v>
      </c>
      <c r="GRQ306" s="18">
        <v>0</v>
      </c>
      <c r="GRR306" s="18">
        <v>0</v>
      </c>
      <c r="GRS306" s="18">
        <v>0</v>
      </c>
      <c r="GRT306" s="18">
        <v>0</v>
      </c>
      <c r="GRU306" s="18">
        <v>0</v>
      </c>
      <c r="GRV306" s="18">
        <v>0</v>
      </c>
      <c r="GRW306" s="18">
        <v>0</v>
      </c>
      <c r="GRX306" s="18">
        <v>0</v>
      </c>
      <c r="GRY306" s="18">
        <v>0</v>
      </c>
      <c r="GRZ306" s="18">
        <v>0</v>
      </c>
      <c r="GSA306" s="18">
        <v>0</v>
      </c>
      <c r="GSB306" s="18">
        <v>0</v>
      </c>
      <c r="GSC306" s="18">
        <v>0</v>
      </c>
      <c r="GSD306" s="18">
        <v>0</v>
      </c>
      <c r="GSE306" s="18">
        <v>0</v>
      </c>
      <c r="GSF306" s="18">
        <v>0</v>
      </c>
      <c r="GSG306" s="18">
        <v>0</v>
      </c>
      <c r="GSH306" s="18">
        <v>0</v>
      </c>
      <c r="GSI306" s="18">
        <v>0</v>
      </c>
      <c r="GSJ306" s="18">
        <v>0</v>
      </c>
      <c r="GSK306" s="18">
        <v>0</v>
      </c>
      <c r="GSL306" s="18">
        <v>0</v>
      </c>
      <c r="GSM306" s="18">
        <v>0</v>
      </c>
      <c r="GSN306" s="18">
        <v>0</v>
      </c>
      <c r="GSO306" s="18">
        <v>0</v>
      </c>
      <c r="GSP306" s="18">
        <v>0</v>
      </c>
      <c r="GSQ306" s="18">
        <v>0</v>
      </c>
      <c r="GSR306" s="18">
        <v>0</v>
      </c>
      <c r="GSS306" s="18">
        <v>0</v>
      </c>
      <c r="GST306" s="18">
        <v>0</v>
      </c>
      <c r="GSU306" s="18">
        <v>0</v>
      </c>
      <c r="GSV306" s="18">
        <v>0</v>
      </c>
      <c r="GSW306" s="18">
        <v>0</v>
      </c>
      <c r="GSX306" s="18">
        <v>0</v>
      </c>
      <c r="GSY306" s="18">
        <v>0</v>
      </c>
      <c r="GSZ306" s="18">
        <v>0</v>
      </c>
      <c r="GTA306" s="18">
        <v>0</v>
      </c>
      <c r="GTB306" s="18">
        <v>0</v>
      </c>
      <c r="GTC306" s="18">
        <v>0</v>
      </c>
      <c r="GTD306" s="18">
        <v>0</v>
      </c>
      <c r="GTE306" s="18">
        <v>0</v>
      </c>
      <c r="GTF306" s="18">
        <v>0</v>
      </c>
      <c r="GTG306" s="18">
        <v>0</v>
      </c>
      <c r="GTH306" s="18">
        <v>0</v>
      </c>
      <c r="GTI306" s="18">
        <v>0</v>
      </c>
      <c r="GTJ306" s="18">
        <v>0</v>
      </c>
      <c r="GTK306" s="18">
        <v>0</v>
      </c>
      <c r="GTL306" s="18">
        <v>0</v>
      </c>
      <c r="GTM306" s="18">
        <v>0</v>
      </c>
      <c r="GTN306" s="18">
        <v>0</v>
      </c>
      <c r="GTO306" s="18">
        <v>0</v>
      </c>
      <c r="GTP306" s="18">
        <v>0</v>
      </c>
      <c r="GTQ306" s="18">
        <v>0</v>
      </c>
      <c r="GTR306" s="18">
        <v>0</v>
      </c>
      <c r="GTS306" s="18">
        <v>0</v>
      </c>
      <c r="GTT306" s="18">
        <v>0</v>
      </c>
      <c r="GTU306" s="18">
        <v>0</v>
      </c>
      <c r="GTV306" s="18">
        <v>0</v>
      </c>
      <c r="GTW306" s="18">
        <v>0</v>
      </c>
      <c r="GTX306" s="18">
        <v>0</v>
      </c>
      <c r="GTY306" s="18">
        <v>0</v>
      </c>
      <c r="GTZ306" s="18">
        <v>0</v>
      </c>
      <c r="GUA306" s="18">
        <v>0</v>
      </c>
      <c r="GUB306" s="18">
        <v>0</v>
      </c>
      <c r="GUC306" s="18">
        <v>0</v>
      </c>
      <c r="GUD306" s="18">
        <v>0</v>
      </c>
      <c r="GUE306" s="18">
        <v>0</v>
      </c>
      <c r="GUF306" s="18">
        <v>0</v>
      </c>
      <c r="GUG306" s="18">
        <v>0</v>
      </c>
      <c r="GUH306" s="18">
        <v>0</v>
      </c>
      <c r="GUI306" s="18">
        <v>0</v>
      </c>
      <c r="GUJ306" s="18">
        <v>0</v>
      </c>
      <c r="GUK306" s="18">
        <v>0</v>
      </c>
      <c r="GUL306" s="18">
        <v>0</v>
      </c>
      <c r="GUM306" s="18">
        <v>0</v>
      </c>
      <c r="GUN306" s="18">
        <v>0</v>
      </c>
      <c r="GUO306" s="18">
        <v>0</v>
      </c>
      <c r="GUP306" s="18">
        <v>0</v>
      </c>
      <c r="GUQ306" s="18">
        <v>0</v>
      </c>
      <c r="GUR306" s="18">
        <v>0</v>
      </c>
      <c r="GUS306" s="18">
        <v>0</v>
      </c>
      <c r="GUT306" s="18">
        <v>0</v>
      </c>
      <c r="GUU306" s="18">
        <v>0</v>
      </c>
      <c r="GUV306" s="18">
        <v>0</v>
      </c>
      <c r="GUW306" s="18">
        <v>0</v>
      </c>
      <c r="GUX306" s="18">
        <v>0</v>
      </c>
      <c r="GUY306" s="18">
        <v>0</v>
      </c>
      <c r="GUZ306" s="18">
        <v>0</v>
      </c>
      <c r="GVA306" s="18">
        <v>0</v>
      </c>
      <c r="GVB306" s="18">
        <v>0</v>
      </c>
      <c r="GVC306" s="18">
        <v>0</v>
      </c>
      <c r="GVD306" s="18">
        <v>0</v>
      </c>
      <c r="GVE306" s="18">
        <v>0</v>
      </c>
      <c r="GVF306" s="18">
        <v>0</v>
      </c>
      <c r="GVG306" s="18">
        <v>0</v>
      </c>
      <c r="GVH306" s="18">
        <v>0</v>
      </c>
      <c r="GVI306" s="18">
        <v>0</v>
      </c>
      <c r="GVJ306" s="18">
        <v>0</v>
      </c>
      <c r="GVK306" s="18">
        <v>0</v>
      </c>
      <c r="GVL306" s="18">
        <v>0</v>
      </c>
      <c r="GVM306" s="18">
        <v>0</v>
      </c>
      <c r="GVN306" s="18">
        <v>0</v>
      </c>
      <c r="GVO306" s="18">
        <v>0</v>
      </c>
      <c r="GVP306" s="18">
        <v>0</v>
      </c>
      <c r="GVQ306" s="18">
        <v>0</v>
      </c>
      <c r="GVR306" s="18">
        <v>0</v>
      </c>
      <c r="GVS306" s="18">
        <v>0</v>
      </c>
      <c r="GVT306" s="18">
        <v>0</v>
      </c>
      <c r="GVU306" s="18">
        <v>0</v>
      </c>
      <c r="GVV306" s="18">
        <v>0</v>
      </c>
      <c r="GVW306" s="18">
        <v>0</v>
      </c>
      <c r="GVX306" s="18">
        <v>0</v>
      </c>
      <c r="GVY306" s="18">
        <v>0</v>
      </c>
      <c r="GVZ306" s="18">
        <v>0</v>
      </c>
      <c r="GWA306" s="18">
        <v>0</v>
      </c>
      <c r="GWB306" s="18">
        <v>0</v>
      </c>
      <c r="GWC306" s="18">
        <v>0</v>
      </c>
      <c r="GWD306" s="18">
        <v>0</v>
      </c>
      <c r="GWE306" s="18">
        <v>0</v>
      </c>
      <c r="GWF306" s="18">
        <v>0</v>
      </c>
      <c r="GWG306" s="18">
        <v>0</v>
      </c>
      <c r="GWH306" s="18">
        <v>0</v>
      </c>
      <c r="GWI306" s="18">
        <v>0</v>
      </c>
      <c r="GWJ306" s="18">
        <v>0</v>
      </c>
      <c r="GWK306" s="18">
        <v>0</v>
      </c>
      <c r="GWL306" s="18">
        <v>0</v>
      </c>
      <c r="GWM306" s="18">
        <v>0</v>
      </c>
      <c r="GWN306" s="18">
        <v>0</v>
      </c>
      <c r="GWO306" s="18">
        <v>0</v>
      </c>
      <c r="GWP306" s="18">
        <v>0</v>
      </c>
      <c r="GWQ306" s="18">
        <v>0</v>
      </c>
      <c r="GWR306" s="18">
        <v>0</v>
      </c>
      <c r="GWS306" s="18">
        <v>0</v>
      </c>
      <c r="GWT306" s="18">
        <v>0</v>
      </c>
      <c r="GWU306" s="18">
        <v>0</v>
      </c>
      <c r="GWV306" s="18">
        <v>0</v>
      </c>
      <c r="GWW306" s="18">
        <v>0</v>
      </c>
      <c r="GWX306" s="18">
        <v>0</v>
      </c>
      <c r="GWY306" s="18">
        <v>0</v>
      </c>
      <c r="GWZ306" s="18">
        <v>0</v>
      </c>
      <c r="GXA306" s="18">
        <v>0</v>
      </c>
      <c r="GXB306" s="18">
        <v>0</v>
      </c>
      <c r="GXC306" s="18">
        <v>0</v>
      </c>
      <c r="GXD306" s="18">
        <v>0</v>
      </c>
      <c r="GXE306" s="18">
        <v>0</v>
      </c>
      <c r="GXF306" s="18">
        <v>0</v>
      </c>
      <c r="GXG306" s="18">
        <v>0</v>
      </c>
      <c r="GXH306" s="18">
        <v>0</v>
      </c>
      <c r="GXI306" s="18">
        <v>0</v>
      </c>
      <c r="GXJ306" s="18">
        <v>0</v>
      </c>
      <c r="GXK306" s="18">
        <v>0</v>
      </c>
      <c r="GXL306" s="18">
        <v>0</v>
      </c>
      <c r="GXM306" s="18">
        <v>0</v>
      </c>
      <c r="GXN306" s="18">
        <v>0</v>
      </c>
      <c r="GXO306" s="18">
        <v>0</v>
      </c>
      <c r="GXP306" s="18">
        <v>0</v>
      </c>
      <c r="GXQ306" s="18">
        <v>0</v>
      </c>
      <c r="GXR306" s="18">
        <v>0</v>
      </c>
      <c r="GXS306" s="18">
        <v>0</v>
      </c>
      <c r="GXT306" s="18">
        <v>0</v>
      </c>
      <c r="GXU306" s="18">
        <v>0</v>
      </c>
      <c r="GXV306" s="18">
        <v>0</v>
      </c>
      <c r="GXW306" s="18">
        <v>0</v>
      </c>
      <c r="GXX306" s="18">
        <v>0</v>
      </c>
      <c r="GXY306" s="18">
        <v>0</v>
      </c>
      <c r="GXZ306" s="18">
        <v>0</v>
      </c>
      <c r="GYA306" s="18">
        <v>0</v>
      </c>
      <c r="GYB306" s="18">
        <v>0</v>
      </c>
      <c r="GYC306" s="18">
        <v>0</v>
      </c>
      <c r="GYD306" s="18">
        <v>0</v>
      </c>
      <c r="GYE306" s="18">
        <v>0</v>
      </c>
      <c r="GYF306" s="18">
        <v>0</v>
      </c>
      <c r="GYG306" s="18">
        <v>0</v>
      </c>
      <c r="GYH306" s="18">
        <v>0</v>
      </c>
      <c r="GYI306" s="18">
        <v>0</v>
      </c>
      <c r="GYJ306" s="18">
        <v>0</v>
      </c>
      <c r="GYK306" s="18">
        <v>0</v>
      </c>
      <c r="GYL306" s="18">
        <v>0</v>
      </c>
      <c r="GYM306" s="18">
        <v>0</v>
      </c>
      <c r="GYN306" s="18">
        <v>0</v>
      </c>
      <c r="GYO306" s="18">
        <v>0</v>
      </c>
      <c r="GYP306" s="18">
        <v>0</v>
      </c>
      <c r="GYQ306" s="18">
        <v>0</v>
      </c>
      <c r="GYR306" s="18">
        <v>0</v>
      </c>
      <c r="GYS306" s="18">
        <v>0</v>
      </c>
      <c r="GYT306" s="18">
        <v>0</v>
      </c>
      <c r="GYU306" s="18">
        <v>0</v>
      </c>
      <c r="GYV306" s="18">
        <v>0</v>
      </c>
      <c r="GYW306" s="18">
        <v>0</v>
      </c>
      <c r="GYX306" s="18">
        <v>0</v>
      </c>
      <c r="GYY306" s="18">
        <v>0</v>
      </c>
      <c r="GYZ306" s="18">
        <v>0</v>
      </c>
      <c r="GZA306" s="18">
        <v>0</v>
      </c>
      <c r="GZB306" s="18">
        <v>0</v>
      </c>
      <c r="GZC306" s="18">
        <v>0</v>
      </c>
      <c r="GZD306" s="18">
        <v>0</v>
      </c>
      <c r="GZE306" s="18">
        <v>0</v>
      </c>
      <c r="GZF306" s="18">
        <v>0</v>
      </c>
      <c r="GZG306" s="18">
        <v>0</v>
      </c>
      <c r="GZH306" s="18">
        <v>0</v>
      </c>
      <c r="GZI306" s="18">
        <v>0</v>
      </c>
      <c r="GZJ306" s="18">
        <v>0</v>
      </c>
      <c r="GZK306" s="18">
        <v>0</v>
      </c>
      <c r="GZL306" s="18">
        <v>0</v>
      </c>
      <c r="GZM306" s="18">
        <v>0</v>
      </c>
      <c r="GZN306" s="18">
        <v>0</v>
      </c>
      <c r="GZO306" s="18">
        <v>0</v>
      </c>
      <c r="GZP306" s="18">
        <v>0</v>
      </c>
      <c r="GZQ306" s="18">
        <v>0</v>
      </c>
      <c r="GZR306" s="18">
        <v>0</v>
      </c>
      <c r="GZS306" s="18">
        <v>0</v>
      </c>
      <c r="GZT306" s="18">
        <v>0</v>
      </c>
      <c r="GZU306" s="18">
        <v>0</v>
      </c>
      <c r="GZV306" s="18">
        <v>0</v>
      </c>
      <c r="GZW306" s="18">
        <v>0</v>
      </c>
      <c r="GZX306" s="18">
        <v>0</v>
      </c>
      <c r="GZY306" s="18">
        <v>0</v>
      </c>
      <c r="GZZ306" s="18">
        <v>0</v>
      </c>
      <c r="HAA306" s="18">
        <v>0</v>
      </c>
      <c r="HAB306" s="18">
        <v>0</v>
      </c>
      <c r="HAC306" s="18">
        <v>0</v>
      </c>
      <c r="HAD306" s="18">
        <v>0</v>
      </c>
      <c r="HAE306" s="18">
        <v>0</v>
      </c>
      <c r="HAF306" s="18">
        <v>0</v>
      </c>
      <c r="HAG306" s="18">
        <v>0</v>
      </c>
      <c r="HAH306" s="18">
        <v>0</v>
      </c>
      <c r="HAI306" s="18">
        <v>0</v>
      </c>
      <c r="HAJ306" s="18">
        <v>0</v>
      </c>
      <c r="HAK306" s="18">
        <v>0</v>
      </c>
      <c r="HAL306" s="18">
        <v>0</v>
      </c>
      <c r="HAM306" s="18">
        <v>0</v>
      </c>
      <c r="HAN306" s="18">
        <v>0</v>
      </c>
      <c r="HAO306" s="18">
        <v>0</v>
      </c>
      <c r="HAP306" s="18">
        <v>0</v>
      </c>
      <c r="HAQ306" s="18">
        <v>0</v>
      </c>
      <c r="HAR306" s="18">
        <v>0</v>
      </c>
      <c r="HAS306" s="18">
        <v>0</v>
      </c>
      <c r="HAT306" s="18">
        <v>0</v>
      </c>
      <c r="HAU306" s="18">
        <v>0</v>
      </c>
      <c r="HAV306" s="18">
        <v>0</v>
      </c>
      <c r="HAW306" s="18">
        <v>0</v>
      </c>
      <c r="HAX306" s="18">
        <v>0</v>
      </c>
      <c r="HAY306" s="18">
        <v>0</v>
      </c>
      <c r="HAZ306" s="18">
        <v>0</v>
      </c>
      <c r="HBA306" s="18">
        <v>0</v>
      </c>
      <c r="HBB306" s="18">
        <v>0</v>
      </c>
      <c r="HBC306" s="18">
        <v>0</v>
      </c>
      <c r="HBD306" s="18">
        <v>0</v>
      </c>
      <c r="HBE306" s="18">
        <v>0</v>
      </c>
      <c r="HBF306" s="18">
        <v>0</v>
      </c>
      <c r="HBG306" s="18">
        <v>0</v>
      </c>
      <c r="HBH306" s="18">
        <v>0</v>
      </c>
      <c r="HBI306" s="18">
        <v>0</v>
      </c>
      <c r="HBJ306" s="18">
        <v>0</v>
      </c>
      <c r="HBK306" s="18">
        <v>0</v>
      </c>
      <c r="HBL306" s="18">
        <v>0</v>
      </c>
      <c r="HBM306" s="18">
        <v>0</v>
      </c>
      <c r="HBN306" s="18">
        <v>0</v>
      </c>
      <c r="HBO306" s="18">
        <v>0</v>
      </c>
      <c r="HBP306" s="18">
        <v>0</v>
      </c>
      <c r="HBQ306" s="18">
        <v>0</v>
      </c>
      <c r="HBR306" s="18">
        <v>0</v>
      </c>
      <c r="HBS306" s="18">
        <v>0</v>
      </c>
      <c r="HBT306" s="18">
        <v>0</v>
      </c>
      <c r="HBU306" s="18">
        <v>0</v>
      </c>
      <c r="HBV306" s="18">
        <v>0</v>
      </c>
      <c r="HBW306" s="18">
        <v>0</v>
      </c>
      <c r="HBX306" s="18">
        <v>0</v>
      </c>
      <c r="HBY306" s="18">
        <v>0</v>
      </c>
      <c r="HBZ306" s="18">
        <v>0</v>
      </c>
      <c r="HCA306" s="18">
        <v>0</v>
      </c>
      <c r="HCB306" s="18">
        <v>0</v>
      </c>
      <c r="HCC306" s="18">
        <v>0</v>
      </c>
      <c r="HCD306" s="18">
        <v>0</v>
      </c>
      <c r="HCE306" s="18">
        <v>0</v>
      </c>
      <c r="HCF306" s="18">
        <v>0</v>
      </c>
      <c r="HCG306" s="18">
        <v>0</v>
      </c>
      <c r="HCH306" s="18">
        <v>0</v>
      </c>
      <c r="HCI306" s="18">
        <v>0</v>
      </c>
      <c r="HCJ306" s="18">
        <v>0</v>
      </c>
      <c r="HCK306" s="18">
        <v>0</v>
      </c>
      <c r="HCL306" s="18">
        <v>0</v>
      </c>
      <c r="HCM306" s="18">
        <v>0</v>
      </c>
      <c r="HCN306" s="18">
        <v>0</v>
      </c>
      <c r="HCO306" s="18">
        <v>0</v>
      </c>
      <c r="HCP306" s="18">
        <v>0</v>
      </c>
      <c r="HCQ306" s="18">
        <v>0</v>
      </c>
      <c r="HCR306" s="18">
        <v>0</v>
      </c>
      <c r="HCS306" s="18">
        <v>0</v>
      </c>
      <c r="HCT306" s="18">
        <v>0</v>
      </c>
      <c r="HCU306" s="18">
        <v>0</v>
      </c>
      <c r="HCV306" s="18">
        <v>0</v>
      </c>
      <c r="HCW306" s="18">
        <v>0</v>
      </c>
      <c r="HCX306" s="18">
        <v>0</v>
      </c>
      <c r="HCY306" s="18">
        <v>0</v>
      </c>
      <c r="HCZ306" s="18">
        <v>0</v>
      </c>
      <c r="HDA306" s="18">
        <v>0</v>
      </c>
      <c r="HDB306" s="18">
        <v>0</v>
      </c>
      <c r="HDC306" s="18">
        <v>0</v>
      </c>
      <c r="HDD306" s="18">
        <v>0</v>
      </c>
      <c r="HDE306" s="18">
        <v>0</v>
      </c>
      <c r="HDF306" s="18">
        <v>0</v>
      </c>
      <c r="HDG306" s="18">
        <v>0</v>
      </c>
      <c r="HDH306" s="18">
        <v>0</v>
      </c>
      <c r="HDI306" s="18">
        <v>0</v>
      </c>
      <c r="HDJ306" s="18">
        <v>0</v>
      </c>
      <c r="HDK306" s="18">
        <v>0</v>
      </c>
      <c r="HDL306" s="18">
        <v>0</v>
      </c>
      <c r="HDM306" s="18">
        <v>0</v>
      </c>
      <c r="HDN306" s="18">
        <v>0</v>
      </c>
      <c r="HDO306" s="18">
        <v>0</v>
      </c>
      <c r="HDP306" s="18">
        <v>0</v>
      </c>
      <c r="HDQ306" s="18">
        <v>0</v>
      </c>
      <c r="HDR306" s="18">
        <v>0</v>
      </c>
      <c r="HDS306" s="18">
        <v>0</v>
      </c>
      <c r="HDT306" s="18">
        <v>0</v>
      </c>
      <c r="HDU306" s="18">
        <v>0</v>
      </c>
      <c r="HDV306" s="18">
        <v>0</v>
      </c>
      <c r="HDW306" s="18">
        <v>0</v>
      </c>
      <c r="HDX306" s="18">
        <v>0</v>
      </c>
      <c r="HDY306" s="18">
        <v>0</v>
      </c>
      <c r="HDZ306" s="18">
        <v>0</v>
      </c>
      <c r="HEA306" s="18">
        <v>0</v>
      </c>
      <c r="HEB306" s="18">
        <v>0</v>
      </c>
      <c r="HEC306" s="18">
        <v>0</v>
      </c>
      <c r="HED306" s="18">
        <v>0</v>
      </c>
      <c r="HEE306" s="18">
        <v>0</v>
      </c>
      <c r="HEF306" s="18">
        <v>0</v>
      </c>
      <c r="HEG306" s="18">
        <v>0</v>
      </c>
      <c r="HEH306" s="18">
        <v>0</v>
      </c>
      <c r="HEI306" s="18">
        <v>0</v>
      </c>
      <c r="HEJ306" s="18">
        <v>0</v>
      </c>
      <c r="HEK306" s="18">
        <v>0</v>
      </c>
      <c r="HEL306" s="18">
        <v>0</v>
      </c>
      <c r="HEM306" s="18">
        <v>0</v>
      </c>
      <c r="HEN306" s="18">
        <v>0</v>
      </c>
      <c r="HEO306" s="18">
        <v>0</v>
      </c>
      <c r="HEP306" s="18">
        <v>0</v>
      </c>
      <c r="HEQ306" s="18">
        <v>0</v>
      </c>
      <c r="HER306" s="18">
        <v>0</v>
      </c>
      <c r="HES306" s="18">
        <v>0</v>
      </c>
      <c r="HET306" s="18">
        <v>0</v>
      </c>
      <c r="HEU306" s="18">
        <v>0</v>
      </c>
      <c r="HEV306" s="18">
        <v>0</v>
      </c>
      <c r="HEW306" s="18">
        <v>0</v>
      </c>
      <c r="HEX306" s="18">
        <v>0</v>
      </c>
      <c r="HEY306" s="18">
        <v>0</v>
      </c>
      <c r="HEZ306" s="18">
        <v>0</v>
      </c>
      <c r="HFA306" s="18">
        <v>0</v>
      </c>
      <c r="HFB306" s="18">
        <v>0</v>
      </c>
      <c r="HFC306" s="18">
        <v>0</v>
      </c>
      <c r="HFD306" s="18">
        <v>0</v>
      </c>
      <c r="HFE306" s="18">
        <v>0</v>
      </c>
      <c r="HFF306" s="18">
        <v>0</v>
      </c>
      <c r="HFG306" s="18">
        <v>0</v>
      </c>
      <c r="HFH306" s="18">
        <v>0</v>
      </c>
      <c r="HFI306" s="18">
        <v>0</v>
      </c>
      <c r="HFJ306" s="18">
        <v>0</v>
      </c>
      <c r="HFK306" s="18">
        <v>0</v>
      </c>
      <c r="HFL306" s="18">
        <v>0</v>
      </c>
      <c r="HFM306" s="18">
        <v>0</v>
      </c>
      <c r="HFN306" s="18">
        <v>0</v>
      </c>
      <c r="HFO306" s="18">
        <v>0</v>
      </c>
      <c r="HFP306" s="18">
        <v>0</v>
      </c>
      <c r="HFQ306" s="18">
        <v>0</v>
      </c>
      <c r="HFR306" s="18">
        <v>0</v>
      </c>
      <c r="HFS306" s="18">
        <v>0</v>
      </c>
      <c r="HFT306" s="18">
        <v>0</v>
      </c>
      <c r="HFU306" s="18">
        <v>0</v>
      </c>
      <c r="HFV306" s="18">
        <v>0</v>
      </c>
      <c r="HFW306" s="18">
        <v>0</v>
      </c>
      <c r="HFX306" s="18">
        <v>0</v>
      </c>
      <c r="HFY306" s="18">
        <v>0</v>
      </c>
      <c r="HFZ306" s="18">
        <v>0</v>
      </c>
      <c r="HGA306" s="18">
        <v>0</v>
      </c>
      <c r="HGB306" s="18">
        <v>0</v>
      </c>
      <c r="HGC306" s="18">
        <v>0</v>
      </c>
      <c r="HGD306" s="18">
        <v>0</v>
      </c>
      <c r="HGE306" s="18">
        <v>0</v>
      </c>
      <c r="HGF306" s="18">
        <v>0</v>
      </c>
      <c r="HGG306" s="18">
        <v>0</v>
      </c>
      <c r="HGH306" s="18">
        <v>0</v>
      </c>
      <c r="HGI306" s="18">
        <v>0</v>
      </c>
      <c r="HGJ306" s="18">
        <v>0</v>
      </c>
      <c r="HGK306" s="18">
        <v>0</v>
      </c>
      <c r="HGL306" s="18">
        <v>0</v>
      </c>
      <c r="HGM306" s="18">
        <v>0</v>
      </c>
      <c r="HGN306" s="18">
        <v>0</v>
      </c>
      <c r="HGO306" s="18">
        <v>0</v>
      </c>
      <c r="HGP306" s="18">
        <v>0</v>
      </c>
      <c r="HGQ306" s="18">
        <v>0</v>
      </c>
      <c r="HGR306" s="18">
        <v>0</v>
      </c>
      <c r="HGS306" s="18">
        <v>0</v>
      </c>
      <c r="HGT306" s="18">
        <v>0</v>
      </c>
      <c r="HGU306" s="18">
        <v>0</v>
      </c>
      <c r="HGV306" s="18">
        <v>0</v>
      </c>
      <c r="HGW306" s="18">
        <v>0</v>
      </c>
      <c r="HGX306" s="18">
        <v>0</v>
      </c>
      <c r="HGY306" s="18">
        <v>0</v>
      </c>
      <c r="HGZ306" s="18">
        <v>0</v>
      </c>
      <c r="HHA306" s="18">
        <v>0</v>
      </c>
      <c r="HHB306" s="18">
        <v>0</v>
      </c>
      <c r="HHC306" s="18">
        <v>0</v>
      </c>
      <c r="HHD306" s="18">
        <v>0</v>
      </c>
      <c r="HHE306" s="18">
        <v>0</v>
      </c>
      <c r="HHF306" s="18">
        <v>0</v>
      </c>
      <c r="HHG306" s="18">
        <v>0</v>
      </c>
      <c r="HHH306" s="18">
        <v>0</v>
      </c>
      <c r="HHI306" s="18">
        <v>0</v>
      </c>
      <c r="HHJ306" s="18">
        <v>0</v>
      </c>
      <c r="HHK306" s="18">
        <v>0</v>
      </c>
      <c r="HHL306" s="18">
        <v>0</v>
      </c>
      <c r="HHM306" s="18">
        <v>0</v>
      </c>
      <c r="HHN306" s="18">
        <v>0</v>
      </c>
      <c r="HHO306" s="18">
        <v>0</v>
      </c>
      <c r="HHP306" s="18">
        <v>0</v>
      </c>
      <c r="HHQ306" s="18">
        <v>0</v>
      </c>
      <c r="HHR306" s="18">
        <v>0</v>
      </c>
      <c r="HHS306" s="18">
        <v>0</v>
      </c>
      <c r="HHT306" s="18">
        <v>0</v>
      </c>
      <c r="HHU306" s="18">
        <v>0</v>
      </c>
      <c r="HHV306" s="18">
        <v>0</v>
      </c>
      <c r="HHW306" s="18">
        <v>0</v>
      </c>
      <c r="HHX306" s="18">
        <v>0</v>
      </c>
      <c r="HHY306" s="18">
        <v>0</v>
      </c>
      <c r="HHZ306" s="18">
        <v>0</v>
      </c>
      <c r="HIA306" s="18">
        <v>0</v>
      </c>
      <c r="HIB306" s="18">
        <v>0</v>
      </c>
      <c r="HIC306" s="18">
        <v>0</v>
      </c>
      <c r="HID306" s="18">
        <v>0</v>
      </c>
      <c r="HIE306" s="18">
        <v>0</v>
      </c>
      <c r="HIF306" s="18">
        <v>0</v>
      </c>
      <c r="HIG306" s="18">
        <v>0</v>
      </c>
      <c r="HIH306" s="18">
        <v>0</v>
      </c>
      <c r="HII306" s="18">
        <v>0</v>
      </c>
      <c r="HIJ306" s="18">
        <v>0</v>
      </c>
      <c r="HIK306" s="18">
        <v>0</v>
      </c>
      <c r="HIL306" s="18">
        <v>0</v>
      </c>
      <c r="HIM306" s="18">
        <v>0</v>
      </c>
      <c r="HIN306" s="18">
        <v>0</v>
      </c>
      <c r="HIO306" s="18">
        <v>0</v>
      </c>
      <c r="HIP306" s="18">
        <v>0</v>
      </c>
      <c r="HIQ306" s="18">
        <v>0</v>
      </c>
      <c r="HIR306" s="18">
        <v>0</v>
      </c>
      <c r="HIS306" s="18">
        <v>0</v>
      </c>
      <c r="HIT306" s="18">
        <v>0</v>
      </c>
      <c r="HIU306" s="18">
        <v>0</v>
      </c>
      <c r="HIV306" s="18">
        <v>0</v>
      </c>
      <c r="HIW306" s="18">
        <v>0</v>
      </c>
      <c r="HIX306" s="18">
        <v>0</v>
      </c>
      <c r="HIY306" s="18">
        <v>0</v>
      </c>
      <c r="HIZ306" s="18">
        <v>0</v>
      </c>
      <c r="HJA306" s="18">
        <v>0</v>
      </c>
      <c r="HJB306" s="18">
        <v>0</v>
      </c>
      <c r="HJC306" s="18">
        <v>0</v>
      </c>
      <c r="HJD306" s="18">
        <v>0</v>
      </c>
      <c r="HJE306" s="18">
        <v>0</v>
      </c>
      <c r="HJF306" s="18">
        <v>0</v>
      </c>
      <c r="HJG306" s="18">
        <v>0</v>
      </c>
      <c r="HJH306" s="18">
        <v>0</v>
      </c>
      <c r="HJI306" s="18">
        <v>0</v>
      </c>
      <c r="HJJ306" s="18">
        <v>0</v>
      </c>
      <c r="HJK306" s="18">
        <v>0</v>
      </c>
      <c r="HJL306" s="18">
        <v>0</v>
      </c>
      <c r="HJM306" s="18">
        <v>0</v>
      </c>
      <c r="HJN306" s="18">
        <v>0</v>
      </c>
      <c r="HJO306" s="18">
        <v>0</v>
      </c>
      <c r="HJP306" s="18">
        <v>0</v>
      </c>
      <c r="HJQ306" s="18">
        <v>0</v>
      </c>
      <c r="HJR306" s="18">
        <v>0</v>
      </c>
      <c r="HJS306" s="18">
        <v>0</v>
      </c>
      <c r="HJT306" s="18">
        <v>0</v>
      </c>
      <c r="HJU306" s="18">
        <v>0</v>
      </c>
      <c r="HJV306" s="18">
        <v>0</v>
      </c>
      <c r="HJW306" s="18">
        <v>0</v>
      </c>
      <c r="HJX306" s="18">
        <v>0</v>
      </c>
      <c r="HJY306" s="18">
        <v>0</v>
      </c>
      <c r="HJZ306" s="18">
        <v>0</v>
      </c>
      <c r="HKA306" s="18">
        <v>0</v>
      </c>
      <c r="HKB306" s="18">
        <v>0</v>
      </c>
      <c r="HKC306" s="18">
        <v>0</v>
      </c>
      <c r="HKD306" s="18">
        <v>0</v>
      </c>
      <c r="HKE306" s="18">
        <v>0</v>
      </c>
      <c r="HKF306" s="18">
        <v>0</v>
      </c>
      <c r="HKG306" s="18">
        <v>0</v>
      </c>
      <c r="HKH306" s="18">
        <v>0</v>
      </c>
      <c r="HKI306" s="18">
        <v>0</v>
      </c>
      <c r="HKJ306" s="18">
        <v>0</v>
      </c>
      <c r="HKK306" s="18">
        <v>0</v>
      </c>
      <c r="HKL306" s="18">
        <v>0</v>
      </c>
      <c r="HKM306" s="18">
        <v>0</v>
      </c>
      <c r="HKN306" s="18">
        <v>0</v>
      </c>
      <c r="HKO306" s="18">
        <v>0</v>
      </c>
      <c r="HKP306" s="18">
        <v>0</v>
      </c>
      <c r="HKQ306" s="18">
        <v>0</v>
      </c>
      <c r="HKR306" s="18">
        <v>0</v>
      </c>
      <c r="HKS306" s="18">
        <v>0</v>
      </c>
      <c r="HKT306" s="18">
        <v>0</v>
      </c>
      <c r="HKU306" s="18">
        <v>0</v>
      </c>
      <c r="HKV306" s="18">
        <v>0</v>
      </c>
      <c r="HKW306" s="18">
        <v>0</v>
      </c>
      <c r="HKX306" s="18">
        <v>0</v>
      </c>
      <c r="HKY306" s="18">
        <v>0</v>
      </c>
      <c r="HKZ306" s="18">
        <v>0</v>
      </c>
      <c r="HLA306" s="18">
        <v>0</v>
      </c>
      <c r="HLB306" s="18">
        <v>0</v>
      </c>
      <c r="HLC306" s="18">
        <v>0</v>
      </c>
      <c r="HLD306" s="18">
        <v>0</v>
      </c>
      <c r="HLE306" s="18">
        <v>0</v>
      </c>
      <c r="HLF306" s="18">
        <v>0</v>
      </c>
      <c r="HLG306" s="18">
        <v>0</v>
      </c>
      <c r="HLH306" s="18">
        <v>0</v>
      </c>
      <c r="HLI306" s="18">
        <v>0</v>
      </c>
      <c r="HLJ306" s="18">
        <v>0</v>
      </c>
      <c r="HLK306" s="18">
        <v>0</v>
      </c>
      <c r="HLL306" s="18">
        <v>0</v>
      </c>
      <c r="HLM306" s="18">
        <v>0</v>
      </c>
      <c r="HLN306" s="18">
        <v>0</v>
      </c>
      <c r="HLO306" s="18">
        <v>0</v>
      </c>
      <c r="HLP306" s="18">
        <v>0</v>
      </c>
      <c r="HLQ306" s="18">
        <v>0</v>
      </c>
      <c r="HLR306" s="18">
        <v>0</v>
      </c>
      <c r="HLS306" s="18">
        <v>0</v>
      </c>
      <c r="HLT306" s="18">
        <v>0</v>
      </c>
      <c r="HLU306" s="18">
        <v>0</v>
      </c>
      <c r="HLV306" s="18">
        <v>0</v>
      </c>
      <c r="HLW306" s="18">
        <v>0</v>
      </c>
      <c r="HLX306" s="18">
        <v>0</v>
      </c>
      <c r="HLY306" s="18">
        <v>0</v>
      </c>
      <c r="HLZ306" s="18">
        <v>0</v>
      </c>
      <c r="HMA306" s="18">
        <v>0</v>
      </c>
      <c r="HMB306" s="18">
        <v>0</v>
      </c>
      <c r="HMC306" s="18">
        <v>0</v>
      </c>
      <c r="HMD306" s="18">
        <v>0</v>
      </c>
      <c r="HME306" s="18">
        <v>0</v>
      </c>
      <c r="HMF306" s="18">
        <v>0</v>
      </c>
      <c r="HMG306" s="18">
        <v>0</v>
      </c>
      <c r="HMH306" s="18">
        <v>0</v>
      </c>
      <c r="HMI306" s="18">
        <v>0</v>
      </c>
      <c r="HMJ306" s="18">
        <v>0</v>
      </c>
      <c r="HMK306" s="18">
        <v>0</v>
      </c>
      <c r="HML306" s="18">
        <v>0</v>
      </c>
      <c r="HMM306" s="18">
        <v>0</v>
      </c>
      <c r="HMN306" s="18">
        <v>0</v>
      </c>
      <c r="HMO306" s="18">
        <v>0</v>
      </c>
      <c r="HMP306" s="18">
        <v>0</v>
      </c>
      <c r="HMQ306" s="18">
        <v>0</v>
      </c>
      <c r="HMR306" s="18">
        <v>0</v>
      </c>
      <c r="HMS306" s="18">
        <v>0</v>
      </c>
      <c r="HMT306" s="18">
        <v>0</v>
      </c>
      <c r="HMU306" s="18">
        <v>0</v>
      </c>
      <c r="HMV306" s="18">
        <v>0</v>
      </c>
      <c r="HMW306" s="18">
        <v>0</v>
      </c>
      <c r="HMX306" s="18">
        <v>0</v>
      </c>
      <c r="HMY306" s="18">
        <v>0</v>
      </c>
      <c r="HMZ306" s="18">
        <v>0</v>
      </c>
      <c r="HNA306" s="18">
        <v>0</v>
      </c>
      <c r="HNB306" s="18">
        <v>0</v>
      </c>
      <c r="HNC306" s="18">
        <v>0</v>
      </c>
      <c r="HND306" s="18">
        <v>0</v>
      </c>
      <c r="HNE306" s="18">
        <v>0</v>
      </c>
      <c r="HNF306" s="18">
        <v>0</v>
      </c>
      <c r="HNG306" s="18">
        <v>0</v>
      </c>
      <c r="HNH306" s="18">
        <v>0</v>
      </c>
      <c r="HNI306" s="18">
        <v>0</v>
      </c>
      <c r="HNJ306" s="18">
        <v>0</v>
      </c>
      <c r="HNK306" s="18">
        <v>0</v>
      </c>
      <c r="HNL306" s="18">
        <v>0</v>
      </c>
      <c r="HNM306" s="18">
        <v>0</v>
      </c>
      <c r="HNN306" s="18">
        <v>0</v>
      </c>
      <c r="HNO306" s="18">
        <v>0</v>
      </c>
      <c r="HNP306" s="18">
        <v>0</v>
      </c>
      <c r="HNQ306" s="18">
        <v>0</v>
      </c>
      <c r="HNR306" s="18">
        <v>0</v>
      </c>
      <c r="HNS306" s="18">
        <v>0</v>
      </c>
      <c r="HNT306" s="18">
        <v>0</v>
      </c>
      <c r="HNU306" s="18">
        <v>0</v>
      </c>
      <c r="HNV306" s="18">
        <v>0</v>
      </c>
      <c r="HNW306" s="18">
        <v>0</v>
      </c>
      <c r="HNX306" s="18">
        <v>0</v>
      </c>
      <c r="HNY306" s="18">
        <v>0</v>
      </c>
      <c r="HNZ306" s="18">
        <v>0</v>
      </c>
      <c r="HOA306" s="18">
        <v>0</v>
      </c>
      <c r="HOB306" s="18">
        <v>0</v>
      </c>
      <c r="HOC306" s="18">
        <v>0</v>
      </c>
      <c r="HOD306" s="18">
        <v>0</v>
      </c>
      <c r="HOE306" s="18">
        <v>0</v>
      </c>
      <c r="HOF306" s="18">
        <v>0</v>
      </c>
      <c r="HOG306" s="18">
        <v>0</v>
      </c>
      <c r="HOH306" s="18">
        <v>0</v>
      </c>
      <c r="HOI306" s="18">
        <v>0</v>
      </c>
      <c r="HOJ306" s="18">
        <v>0</v>
      </c>
      <c r="HOK306" s="18">
        <v>0</v>
      </c>
      <c r="HOL306" s="18">
        <v>0</v>
      </c>
      <c r="HOM306" s="18">
        <v>0</v>
      </c>
      <c r="HON306" s="18">
        <v>0</v>
      </c>
      <c r="HOO306" s="18">
        <v>0</v>
      </c>
      <c r="HOP306" s="18">
        <v>0</v>
      </c>
      <c r="HOQ306" s="18">
        <v>0</v>
      </c>
      <c r="HOR306" s="18">
        <v>0</v>
      </c>
      <c r="HOS306" s="18">
        <v>0</v>
      </c>
      <c r="HOT306" s="18">
        <v>0</v>
      </c>
      <c r="HOU306" s="18">
        <v>0</v>
      </c>
      <c r="HOV306" s="18">
        <v>0</v>
      </c>
      <c r="HOW306" s="18">
        <v>0</v>
      </c>
      <c r="HOX306" s="18">
        <v>0</v>
      </c>
      <c r="HOY306" s="18">
        <v>0</v>
      </c>
      <c r="HOZ306" s="18">
        <v>0</v>
      </c>
      <c r="HPA306" s="18">
        <v>0</v>
      </c>
      <c r="HPB306" s="18">
        <v>0</v>
      </c>
      <c r="HPC306" s="18">
        <v>0</v>
      </c>
      <c r="HPD306" s="18">
        <v>0</v>
      </c>
      <c r="HPE306" s="18">
        <v>0</v>
      </c>
      <c r="HPF306" s="18">
        <v>0</v>
      </c>
      <c r="HPG306" s="18">
        <v>0</v>
      </c>
      <c r="HPH306" s="18">
        <v>0</v>
      </c>
      <c r="HPI306" s="18">
        <v>0</v>
      </c>
      <c r="HPJ306" s="18">
        <v>0</v>
      </c>
      <c r="HPK306" s="18">
        <v>0</v>
      </c>
      <c r="HPL306" s="18">
        <v>0</v>
      </c>
      <c r="HPM306" s="18">
        <v>0</v>
      </c>
      <c r="HPN306" s="18">
        <v>0</v>
      </c>
      <c r="HPO306" s="18">
        <v>0</v>
      </c>
      <c r="HPP306" s="18">
        <v>0</v>
      </c>
      <c r="HPQ306" s="18">
        <v>0</v>
      </c>
      <c r="HPR306" s="18">
        <v>0</v>
      </c>
      <c r="HPS306" s="18">
        <v>0</v>
      </c>
      <c r="HPT306" s="18">
        <v>0</v>
      </c>
      <c r="HPU306" s="18">
        <v>0</v>
      </c>
      <c r="HPV306" s="18">
        <v>0</v>
      </c>
      <c r="HPW306" s="18">
        <v>0</v>
      </c>
      <c r="HPX306" s="18">
        <v>0</v>
      </c>
      <c r="HPY306" s="18">
        <v>0</v>
      </c>
      <c r="HPZ306" s="18">
        <v>0</v>
      </c>
      <c r="HQA306" s="18">
        <v>0</v>
      </c>
      <c r="HQB306" s="18">
        <v>0</v>
      </c>
      <c r="HQC306" s="18">
        <v>0</v>
      </c>
      <c r="HQD306" s="18">
        <v>0</v>
      </c>
      <c r="HQE306" s="18">
        <v>0</v>
      </c>
      <c r="HQF306" s="18">
        <v>0</v>
      </c>
      <c r="HQG306" s="18">
        <v>0</v>
      </c>
      <c r="HQH306" s="18">
        <v>0</v>
      </c>
      <c r="HQI306" s="18">
        <v>0</v>
      </c>
      <c r="HQJ306" s="18">
        <v>0</v>
      </c>
      <c r="HQK306" s="18">
        <v>0</v>
      </c>
      <c r="HQL306" s="18">
        <v>0</v>
      </c>
      <c r="HQM306" s="18">
        <v>0</v>
      </c>
      <c r="HQN306" s="18">
        <v>0</v>
      </c>
      <c r="HQO306" s="18">
        <v>0</v>
      </c>
      <c r="HQP306" s="18">
        <v>0</v>
      </c>
      <c r="HQQ306" s="18">
        <v>0</v>
      </c>
      <c r="HQR306" s="18">
        <v>0</v>
      </c>
      <c r="HQS306" s="18">
        <v>0</v>
      </c>
      <c r="HQT306" s="18">
        <v>0</v>
      </c>
      <c r="HQU306" s="18">
        <v>0</v>
      </c>
      <c r="HQV306" s="18">
        <v>0</v>
      </c>
      <c r="HQW306" s="18">
        <v>0</v>
      </c>
      <c r="HQX306" s="18">
        <v>0</v>
      </c>
      <c r="HQY306" s="18">
        <v>0</v>
      </c>
      <c r="HQZ306" s="18">
        <v>0</v>
      </c>
      <c r="HRA306" s="18">
        <v>0</v>
      </c>
      <c r="HRB306" s="18">
        <v>0</v>
      </c>
      <c r="HRC306" s="18">
        <v>0</v>
      </c>
      <c r="HRD306" s="18">
        <v>0</v>
      </c>
      <c r="HRE306" s="18">
        <v>0</v>
      </c>
      <c r="HRF306" s="18">
        <v>0</v>
      </c>
      <c r="HRG306" s="18">
        <v>0</v>
      </c>
      <c r="HRH306" s="18">
        <v>0</v>
      </c>
      <c r="HRI306" s="18">
        <v>0</v>
      </c>
      <c r="HRJ306" s="18">
        <v>0</v>
      </c>
      <c r="HRK306" s="18">
        <v>0</v>
      </c>
      <c r="HRL306" s="18">
        <v>0</v>
      </c>
      <c r="HRM306" s="18">
        <v>0</v>
      </c>
      <c r="HRN306" s="18">
        <v>0</v>
      </c>
      <c r="HRO306" s="18">
        <v>0</v>
      </c>
      <c r="HRP306" s="18">
        <v>0</v>
      </c>
      <c r="HRQ306" s="18">
        <v>0</v>
      </c>
      <c r="HRR306" s="18">
        <v>0</v>
      </c>
      <c r="HRS306" s="18">
        <v>0</v>
      </c>
      <c r="HRT306" s="18">
        <v>0</v>
      </c>
      <c r="HRU306" s="18">
        <v>0</v>
      </c>
      <c r="HRV306" s="18">
        <v>0</v>
      </c>
      <c r="HRW306" s="18">
        <v>0</v>
      </c>
      <c r="HRX306" s="18">
        <v>0</v>
      </c>
      <c r="HRY306" s="18">
        <v>0</v>
      </c>
      <c r="HRZ306" s="18">
        <v>0</v>
      </c>
      <c r="HSA306" s="18">
        <v>0</v>
      </c>
      <c r="HSB306" s="18">
        <v>0</v>
      </c>
      <c r="HSC306" s="18">
        <v>0</v>
      </c>
      <c r="HSD306" s="18">
        <v>0</v>
      </c>
      <c r="HSE306" s="18">
        <v>0</v>
      </c>
      <c r="HSF306" s="18">
        <v>0</v>
      </c>
      <c r="HSG306" s="18">
        <v>0</v>
      </c>
      <c r="HSH306" s="18">
        <v>0</v>
      </c>
      <c r="HSI306" s="18">
        <v>0</v>
      </c>
      <c r="HSJ306" s="18">
        <v>0</v>
      </c>
      <c r="HSK306" s="18">
        <v>0</v>
      </c>
      <c r="HSL306" s="18">
        <v>0</v>
      </c>
      <c r="HSM306" s="18">
        <v>0</v>
      </c>
      <c r="HSN306" s="18">
        <v>0</v>
      </c>
      <c r="HSO306" s="18">
        <v>0</v>
      </c>
      <c r="HSP306" s="18">
        <v>0</v>
      </c>
      <c r="HSQ306" s="18">
        <v>0</v>
      </c>
      <c r="HSR306" s="18">
        <v>0</v>
      </c>
      <c r="HSS306" s="18">
        <v>0</v>
      </c>
      <c r="HST306" s="18">
        <v>0</v>
      </c>
      <c r="HSU306" s="18">
        <v>0</v>
      </c>
      <c r="HSV306" s="18">
        <v>0</v>
      </c>
      <c r="HSW306" s="18">
        <v>0</v>
      </c>
      <c r="HSX306" s="18">
        <v>0</v>
      </c>
      <c r="HSY306" s="18">
        <v>0</v>
      </c>
      <c r="HSZ306" s="18">
        <v>0</v>
      </c>
      <c r="HTA306" s="18">
        <v>0</v>
      </c>
      <c r="HTB306" s="18">
        <v>0</v>
      </c>
      <c r="HTC306" s="18">
        <v>0</v>
      </c>
      <c r="HTD306" s="18">
        <v>0</v>
      </c>
      <c r="HTE306" s="18">
        <v>0</v>
      </c>
      <c r="HTF306" s="18">
        <v>0</v>
      </c>
      <c r="HTG306" s="18">
        <v>0</v>
      </c>
      <c r="HTH306" s="18">
        <v>0</v>
      </c>
      <c r="HTI306" s="18">
        <v>0</v>
      </c>
      <c r="HTJ306" s="18">
        <v>0</v>
      </c>
      <c r="HTK306" s="18">
        <v>0</v>
      </c>
      <c r="HTL306" s="18">
        <v>0</v>
      </c>
      <c r="HTM306" s="18">
        <v>0</v>
      </c>
      <c r="HTN306" s="18">
        <v>0</v>
      </c>
      <c r="HTO306" s="18">
        <v>0</v>
      </c>
      <c r="HTP306" s="18">
        <v>0</v>
      </c>
      <c r="HTQ306" s="18">
        <v>0</v>
      </c>
      <c r="HTR306" s="18">
        <v>0</v>
      </c>
      <c r="HTS306" s="18">
        <v>0</v>
      </c>
      <c r="HTT306" s="18">
        <v>0</v>
      </c>
      <c r="HTU306" s="18">
        <v>0</v>
      </c>
      <c r="HTV306" s="18">
        <v>0</v>
      </c>
      <c r="HTW306" s="18">
        <v>0</v>
      </c>
      <c r="HTX306" s="18">
        <v>0</v>
      </c>
      <c r="HTY306" s="18">
        <v>0</v>
      </c>
      <c r="HTZ306" s="18">
        <v>0</v>
      </c>
      <c r="HUA306" s="18">
        <v>0</v>
      </c>
      <c r="HUB306" s="18">
        <v>0</v>
      </c>
      <c r="HUC306" s="18">
        <v>0</v>
      </c>
      <c r="HUD306" s="18">
        <v>0</v>
      </c>
      <c r="HUE306" s="18">
        <v>0</v>
      </c>
      <c r="HUF306" s="18">
        <v>0</v>
      </c>
      <c r="HUG306" s="18">
        <v>0</v>
      </c>
      <c r="HUH306" s="18">
        <v>0</v>
      </c>
      <c r="HUI306" s="18">
        <v>0</v>
      </c>
      <c r="HUJ306" s="18">
        <v>0</v>
      </c>
      <c r="HUK306" s="18">
        <v>0</v>
      </c>
      <c r="HUL306" s="18">
        <v>0</v>
      </c>
      <c r="HUM306" s="18">
        <v>0</v>
      </c>
      <c r="HUN306" s="18">
        <v>0</v>
      </c>
      <c r="HUO306" s="18">
        <v>0</v>
      </c>
      <c r="HUP306" s="18">
        <v>0</v>
      </c>
      <c r="HUQ306" s="18">
        <v>0</v>
      </c>
      <c r="HUR306" s="18">
        <v>0</v>
      </c>
      <c r="HUS306" s="18">
        <v>0</v>
      </c>
      <c r="HUT306" s="18">
        <v>0</v>
      </c>
      <c r="HUU306" s="18">
        <v>0</v>
      </c>
      <c r="HUV306" s="18">
        <v>0</v>
      </c>
      <c r="HUW306" s="18">
        <v>0</v>
      </c>
      <c r="HUX306" s="18">
        <v>0</v>
      </c>
      <c r="HUY306" s="18">
        <v>0</v>
      </c>
      <c r="HUZ306" s="18">
        <v>0</v>
      </c>
      <c r="HVA306" s="18">
        <v>0</v>
      </c>
      <c r="HVB306" s="18">
        <v>0</v>
      </c>
      <c r="HVC306" s="18">
        <v>0</v>
      </c>
      <c r="HVD306" s="18">
        <v>0</v>
      </c>
      <c r="HVE306" s="18">
        <v>0</v>
      </c>
      <c r="HVF306" s="18">
        <v>0</v>
      </c>
      <c r="HVG306" s="18">
        <v>0</v>
      </c>
      <c r="HVH306" s="18">
        <v>0</v>
      </c>
      <c r="HVI306" s="18">
        <v>0</v>
      </c>
      <c r="HVJ306" s="18">
        <v>0</v>
      </c>
      <c r="HVK306" s="18">
        <v>0</v>
      </c>
      <c r="HVL306" s="18">
        <v>0</v>
      </c>
      <c r="HVM306" s="18">
        <v>0</v>
      </c>
      <c r="HVN306" s="18">
        <v>0</v>
      </c>
      <c r="HVO306" s="18">
        <v>0</v>
      </c>
      <c r="HVP306" s="18">
        <v>0</v>
      </c>
      <c r="HVQ306" s="18">
        <v>0</v>
      </c>
      <c r="HVR306" s="18">
        <v>0</v>
      </c>
      <c r="HVS306" s="18">
        <v>0</v>
      </c>
      <c r="HVT306" s="18">
        <v>0</v>
      </c>
      <c r="HVU306" s="18">
        <v>0</v>
      </c>
      <c r="HVV306" s="18">
        <v>0</v>
      </c>
      <c r="HVW306" s="18">
        <v>0</v>
      </c>
      <c r="HVX306" s="18">
        <v>0</v>
      </c>
      <c r="HVY306" s="18">
        <v>0</v>
      </c>
      <c r="HVZ306" s="18">
        <v>0</v>
      </c>
      <c r="HWA306" s="18">
        <v>0</v>
      </c>
      <c r="HWB306" s="18">
        <v>0</v>
      </c>
      <c r="HWC306" s="18">
        <v>0</v>
      </c>
      <c r="HWD306" s="18">
        <v>0</v>
      </c>
      <c r="HWE306" s="18">
        <v>0</v>
      </c>
      <c r="HWF306" s="18">
        <v>0</v>
      </c>
      <c r="HWG306" s="18">
        <v>0</v>
      </c>
      <c r="HWH306" s="18">
        <v>0</v>
      </c>
      <c r="HWI306" s="18">
        <v>0</v>
      </c>
      <c r="HWJ306" s="18">
        <v>0</v>
      </c>
      <c r="HWK306" s="18">
        <v>0</v>
      </c>
      <c r="HWL306" s="18">
        <v>0</v>
      </c>
      <c r="HWM306" s="18">
        <v>0</v>
      </c>
      <c r="HWN306" s="18">
        <v>0</v>
      </c>
      <c r="HWO306" s="18">
        <v>0</v>
      </c>
      <c r="HWP306" s="18">
        <v>0</v>
      </c>
      <c r="HWQ306" s="18">
        <v>0</v>
      </c>
      <c r="HWR306" s="18">
        <v>0</v>
      </c>
      <c r="HWS306" s="18">
        <v>0</v>
      </c>
      <c r="HWT306" s="18">
        <v>0</v>
      </c>
      <c r="HWU306" s="18">
        <v>0</v>
      </c>
      <c r="HWV306" s="18">
        <v>0</v>
      </c>
      <c r="HWW306" s="18">
        <v>0</v>
      </c>
      <c r="HWX306" s="18">
        <v>0</v>
      </c>
      <c r="HWY306" s="18">
        <v>0</v>
      </c>
      <c r="HWZ306" s="18">
        <v>0</v>
      </c>
      <c r="HXA306" s="18">
        <v>0</v>
      </c>
      <c r="HXB306" s="18">
        <v>0</v>
      </c>
      <c r="HXC306" s="18">
        <v>0</v>
      </c>
      <c r="HXD306" s="18">
        <v>0</v>
      </c>
      <c r="HXE306" s="18">
        <v>0</v>
      </c>
      <c r="HXF306" s="18">
        <v>0</v>
      </c>
      <c r="HXG306" s="18">
        <v>0</v>
      </c>
      <c r="HXH306" s="18">
        <v>0</v>
      </c>
      <c r="HXI306" s="18">
        <v>0</v>
      </c>
      <c r="HXJ306" s="18">
        <v>0</v>
      </c>
      <c r="HXK306" s="18">
        <v>0</v>
      </c>
      <c r="HXL306" s="18">
        <v>0</v>
      </c>
      <c r="HXM306" s="18">
        <v>0</v>
      </c>
      <c r="HXN306" s="18">
        <v>0</v>
      </c>
      <c r="HXO306" s="18">
        <v>0</v>
      </c>
      <c r="HXP306" s="18">
        <v>0</v>
      </c>
      <c r="HXQ306" s="18">
        <v>0</v>
      </c>
      <c r="HXR306" s="18">
        <v>0</v>
      </c>
      <c r="HXS306" s="18">
        <v>0</v>
      </c>
      <c r="HXT306" s="18">
        <v>0</v>
      </c>
      <c r="HXU306" s="18">
        <v>0</v>
      </c>
      <c r="HXV306" s="18">
        <v>0</v>
      </c>
      <c r="HXW306" s="18">
        <v>0</v>
      </c>
      <c r="HXX306" s="18">
        <v>0</v>
      </c>
      <c r="HXY306" s="18">
        <v>0</v>
      </c>
      <c r="HXZ306" s="18">
        <v>0</v>
      </c>
      <c r="HYA306" s="18">
        <v>0</v>
      </c>
      <c r="HYB306" s="18">
        <v>0</v>
      </c>
      <c r="HYC306" s="18">
        <v>0</v>
      </c>
      <c r="HYD306" s="18">
        <v>0</v>
      </c>
      <c r="HYE306" s="18">
        <v>0</v>
      </c>
      <c r="HYF306" s="18">
        <v>0</v>
      </c>
      <c r="HYG306" s="18">
        <v>0</v>
      </c>
      <c r="HYH306" s="18">
        <v>0</v>
      </c>
      <c r="HYI306" s="18">
        <v>0</v>
      </c>
      <c r="HYJ306" s="18">
        <v>0</v>
      </c>
      <c r="HYK306" s="18">
        <v>0</v>
      </c>
      <c r="HYL306" s="18">
        <v>0</v>
      </c>
      <c r="HYM306" s="18">
        <v>0</v>
      </c>
      <c r="HYN306" s="18">
        <v>0</v>
      </c>
      <c r="HYO306" s="18">
        <v>0</v>
      </c>
      <c r="HYP306" s="18">
        <v>0</v>
      </c>
      <c r="HYQ306" s="18">
        <v>0</v>
      </c>
      <c r="HYR306" s="18">
        <v>0</v>
      </c>
      <c r="HYS306" s="18">
        <v>0</v>
      </c>
      <c r="HYT306" s="18">
        <v>0</v>
      </c>
      <c r="HYU306" s="18">
        <v>0</v>
      </c>
      <c r="HYV306" s="18">
        <v>0</v>
      </c>
      <c r="HYW306" s="18">
        <v>0</v>
      </c>
      <c r="HYX306" s="18">
        <v>0</v>
      </c>
      <c r="HYY306" s="18">
        <v>0</v>
      </c>
      <c r="HYZ306" s="18">
        <v>0</v>
      </c>
      <c r="HZA306" s="18">
        <v>0</v>
      </c>
      <c r="HZB306" s="18">
        <v>0</v>
      </c>
      <c r="HZC306" s="18">
        <v>0</v>
      </c>
      <c r="HZD306" s="18">
        <v>0</v>
      </c>
      <c r="HZE306" s="18">
        <v>0</v>
      </c>
      <c r="HZF306" s="18">
        <v>0</v>
      </c>
      <c r="HZG306" s="18">
        <v>0</v>
      </c>
      <c r="HZH306" s="18">
        <v>0</v>
      </c>
      <c r="HZI306" s="18">
        <v>0</v>
      </c>
      <c r="HZJ306" s="18">
        <v>0</v>
      </c>
      <c r="HZK306" s="18">
        <v>0</v>
      </c>
      <c r="HZL306" s="18">
        <v>0</v>
      </c>
      <c r="HZM306" s="18">
        <v>0</v>
      </c>
      <c r="HZN306" s="18">
        <v>0</v>
      </c>
      <c r="HZO306" s="18">
        <v>0</v>
      </c>
      <c r="HZP306" s="18">
        <v>0</v>
      </c>
      <c r="HZQ306" s="18">
        <v>0</v>
      </c>
      <c r="HZR306" s="18">
        <v>0</v>
      </c>
      <c r="HZS306" s="18">
        <v>0</v>
      </c>
      <c r="HZT306" s="18">
        <v>0</v>
      </c>
      <c r="HZU306" s="18">
        <v>0</v>
      </c>
      <c r="HZV306" s="18">
        <v>0</v>
      </c>
      <c r="HZW306" s="18">
        <v>0</v>
      </c>
      <c r="HZX306" s="18">
        <v>0</v>
      </c>
      <c r="HZY306" s="18">
        <v>0</v>
      </c>
      <c r="HZZ306" s="18">
        <v>0</v>
      </c>
      <c r="IAA306" s="18">
        <v>0</v>
      </c>
      <c r="IAB306" s="18">
        <v>0</v>
      </c>
      <c r="IAC306" s="18">
        <v>0</v>
      </c>
      <c r="IAD306" s="18">
        <v>0</v>
      </c>
      <c r="IAE306" s="18">
        <v>0</v>
      </c>
      <c r="IAF306" s="18">
        <v>0</v>
      </c>
      <c r="IAG306" s="18">
        <v>0</v>
      </c>
      <c r="IAH306" s="18">
        <v>0</v>
      </c>
      <c r="IAI306" s="18">
        <v>0</v>
      </c>
      <c r="IAJ306" s="18">
        <v>0</v>
      </c>
      <c r="IAK306" s="18">
        <v>0</v>
      </c>
      <c r="IAL306" s="18">
        <v>0</v>
      </c>
      <c r="IAM306" s="18">
        <v>0</v>
      </c>
      <c r="IAN306" s="18">
        <v>0</v>
      </c>
      <c r="IAO306" s="18">
        <v>0</v>
      </c>
      <c r="IAP306" s="18">
        <v>0</v>
      </c>
      <c r="IAQ306" s="18">
        <v>0</v>
      </c>
      <c r="IAR306" s="18">
        <v>0</v>
      </c>
      <c r="IAS306" s="18">
        <v>0</v>
      </c>
      <c r="IAT306" s="18">
        <v>0</v>
      </c>
      <c r="IAU306" s="18">
        <v>0</v>
      </c>
      <c r="IAV306" s="18">
        <v>0</v>
      </c>
      <c r="IAW306" s="18">
        <v>0</v>
      </c>
      <c r="IAX306" s="18">
        <v>0</v>
      </c>
      <c r="IAY306" s="18">
        <v>0</v>
      </c>
      <c r="IAZ306" s="18">
        <v>0</v>
      </c>
      <c r="IBA306" s="18">
        <v>0</v>
      </c>
      <c r="IBB306" s="18">
        <v>0</v>
      </c>
      <c r="IBC306" s="18">
        <v>0</v>
      </c>
      <c r="IBD306" s="18">
        <v>0</v>
      </c>
      <c r="IBE306" s="18">
        <v>0</v>
      </c>
      <c r="IBF306" s="18">
        <v>0</v>
      </c>
      <c r="IBG306" s="18">
        <v>0</v>
      </c>
      <c r="IBH306" s="18">
        <v>0</v>
      </c>
      <c r="IBI306" s="18">
        <v>0</v>
      </c>
      <c r="IBJ306" s="18">
        <v>0</v>
      </c>
      <c r="IBK306" s="18">
        <v>0</v>
      </c>
      <c r="IBL306" s="18">
        <v>0</v>
      </c>
      <c r="IBM306" s="18">
        <v>0</v>
      </c>
      <c r="IBN306" s="18">
        <v>0</v>
      </c>
      <c r="IBO306" s="18">
        <v>0</v>
      </c>
      <c r="IBP306" s="18">
        <v>0</v>
      </c>
      <c r="IBQ306" s="18">
        <v>0</v>
      </c>
      <c r="IBR306" s="18">
        <v>0</v>
      </c>
      <c r="IBS306" s="18">
        <v>0</v>
      </c>
      <c r="IBT306" s="18">
        <v>0</v>
      </c>
      <c r="IBU306" s="18">
        <v>0</v>
      </c>
      <c r="IBV306" s="18">
        <v>0</v>
      </c>
      <c r="IBW306" s="18">
        <v>0</v>
      </c>
      <c r="IBX306" s="18">
        <v>0</v>
      </c>
      <c r="IBY306" s="18">
        <v>0</v>
      </c>
      <c r="IBZ306" s="18">
        <v>0</v>
      </c>
      <c r="ICA306" s="18">
        <v>0</v>
      </c>
      <c r="ICB306" s="18">
        <v>0</v>
      </c>
      <c r="ICC306" s="18">
        <v>0</v>
      </c>
      <c r="ICD306" s="18">
        <v>0</v>
      </c>
      <c r="ICE306" s="18">
        <v>0</v>
      </c>
      <c r="ICF306" s="18">
        <v>0</v>
      </c>
      <c r="ICG306" s="18">
        <v>0</v>
      </c>
      <c r="ICH306" s="18">
        <v>0</v>
      </c>
      <c r="ICI306" s="18">
        <v>0</v>
      </c>
      <c r="ICJ306" s="18">
        <v>0</v>
      </c>
      <c r="ICK306" s="18">
        <v>0</v>
      </c>
      <c r="ICL306" s="18">
        <v>0</v>
      </c>
      <c r="ICM306" s="18">
        <v>0</v>
      </c>
      <c r="ICN306" s="18">
        <v>0</v>
      </c>
      <c r="ICO306" s="18">
        <v>0</v>
      </c>
      <c r="ICP306" s="18">
        <v>0</v>
      </c>
      <c r="ICQ306" s="18">
        <v>0</v>
      </c>
      <c r="ICR306" s="18">
        <v>0</v>
      </c>
      <c r="ICS306" s="18">
        <v>0</v>
      </c>
      <c r="ICT306" s="18">
        <v>0</v>
      </c>
      <c r="ICU306" s="18">
        <v>0</v>
      </c>
      <c r="ICV306" s="18">
        <v>0</v>
      </c>
      <c r="ICW306" s="18">
        <v>0</v>
      </c>
      <c r="ICX306" s="18">
        <v>0</v>
      </c>
      <c r="ICY306" s="18">
        <v>0</v>
      </c>
      <c r="ICZ306" s="18">
        <v>0</v>
      </c>
      <c r="IDA306" s="18">
        <v>0</v>
      </c>
      <c r="IDB306" s="18">
        <v>0</v>
      </c>
      <c r="IDC306" s="18">
        <v>0</v>
      </c>
      <c r="IDD306" s="18">
        <v>0</v>
      </c>
      <c r="IDE306" s="18">
        <v>0</v>
      </c>
      <c r="IDF306" s="18">
        <v>0</v>
      </c>
      <c r="IDG306" s="18">
        <v>0</v>
      </c>
      <c r="IDH306" s="18">
        <v>0</v>
      </c>
      <c r="IDI306" s="18">
        <v>0</v>
      </c>
      <c r="IDJ306" s="18">
        <v>0</v>
      </c>
      <c r="IDK306" s="18">
        <v>0</v>
      </c>
      <c r="IDL306" s="18">
        <v>0</v>
      </c>
      <c r="IDM306" s="18">
        <v>0</v>
      </c>
      <c r="IDN306" s="18">
        <v>0</v>
      </c>
      <c r="IDO306" s="18">
        <v>0</v>
      </c>
      <c r="IDP306" s="18">
        <v>0</v>
      </c>
      <c r="IDQ306" s="18">
        <v>0</v>
      </c>
      <c r="IDR306" s="18">
        <v>0</v>
      </c>
      <c r="IDS306" s="18">
        <v>0</v>
      </c>
      <c r="IDT306" s="18">
        <v>0</v>
      </c>
      <c r="IDU306" s="18">
        <v>0</v>
      </c>
      <c r="IDV306" s="18">
        <v>0</v>
      </c>
      <c r="IDW306" s="18">
        <v>0</v>
      </c>
      <c r="IDX306" s="18">
        <v>0</v>
      </c>
      <c r="IDY306" s="18">
        <v>0</v>
      </c>
      <c r="IDZ306" s="18">
        <v>0</v>
      </c>
      <c r="IEA306" s="18">
        <v>0</v>
      </c>
      <c r="IEB306" s="18">
        <v>0</v>
      </c>
      <c r="IEC306" s="18">
        <v>0</v>
      </c>
      <c r="IED306" s="18">
        <v>0</v>
      </c>
      <c r="IEE306" s="18">
        <v>0</v>
      </c>
      <c r="IEF306" s="18">
        <v>0</v>
      </c>
      <c r="IEG306" s="18">
        <v>0</v>
      </c>
      <c r="IEH306" s="18">
        <v>0</v>
      </c>
      <c r="IEI306" s="18">
        <v>0</v>
      </c>
      <c r="IEJ306" s="18">
        <v>0</v>
      </c>
      <c r="IEK306" s="18">
        <v>0</v>
      </c>
      <c r="IEL306" s="18">
        <v>0</v>
      </c>
      <c r="IEM306" s="18">
        <v>0</v>
      </c>
      <c r="IEN306" s="18">
        <v>0</v>
      </c>
      <c r="IEO306" s="18">
        <v>0</v>
      </c>
      <c r="IEP306" s="18">
        <v>0</v>
      </c>
      <c r="IEQ306" s="18">
        <v>0</v>
      </c>
      <c r="IER306" s="18">
        <v>0</v>
      </c>
      <c r="IES306" s="18">
        <v>0</v>
      </c>
      <c r="IET306" s="18">
        <v>0</v>
      </c>
      <c r="IEU306" s="18">
        <v>0</v>
      </c>
      <c r="IEV306" s="18">
        <v>0</v>
      </c>
      <c r="IEW306" s="18">
        <v>0</v>
      </c>
      <c r="IEX306" s="18">
        <v>0</v>
      </c>
      <c r="IEY306" s="18">
        <v>0</v>
      </c>
      <c r="IEZ306" s="18">
        <v>0</v>
      </c>
      <c r="IFA306" s="18">
        <v>0</v>
      </c>
      <c r="IFB306" s="18">
        <v>0</v>
      </c>
      <c r="IFC306" s="18">
        <v>0</v>
      </c>
      <c r="IFD306" s="18">
        <v>0</v>
      </c>
      <c r="IFE306" s="18">
        <v>0</v>
      </c>
      <c r="IFF306" s="18">
        <v>0</v>
      </c>
      <c r="IFG306" s="18">
        <v>0</v>
      </c>
      <c r="IFH306" s="18">
        <v>0</v>
      </c>
      <c r="IFI306" s="18">
        <v>0</v>
      </c>
      <c r="IFJ306" s="18">
        <v>0</v>
      </c>
      <c r="IFK306" s="18">
        <v>0</v>
      </c>
      <c r="IFL306" s="18">
        <v>0</v>
      </c>
      <c r="IFM306" s="18">
        <v>0</v>
      </c>
      <c r="IFN306" s="18">
        <v>0</v>
      </c>
      <c r="IFO306" s="18">
        <v>0</v>
      </c>
      <c r="IFP306" s="18">
        <v>0</v>
      </c>
      <c r="IFQ306" s="18">
        <v>0</v>
      </c>
      <c r="IFR306" s="18">
        <v>0</v>
      </c>
      <c r="IFS306" s="18">
        <v>0</v>
      </c>
      <c r="IFT306" s="18">
        <v>0</v>
      </c>
      <c r="IFU306" s="18">
        <v>0</v>
      </c>
      <c r="IFV306" s="18">
        <v>0</v>
      </c>
      <c r="IFW306" s="18">
        <v>0</v>
      </c>
      <c r="IFX306" s="18">
        <v>0</v>
      </c>
      <c r="IFY306" s="18">
        <v>0</v>
      </c>
      <c r="IFZ306" s="18">
        <v>0</v>
      </c>
      <c r="IGA306" s="18">
        <v>0</v>
      </c>
      <c r="IGB306" s="18">
        <v>0</v>
      </c>
      <c r="IGC306" s="18">
        <v>0</v>
      </c>
      <c r="IGD306" s="18">
        <v>0</v>
      </c>
      <c r="IGE306" s="18">
        <v>0</v>
      </c>
      <c r="IGF306" s="18">
        <v>0</v>
      </c>
      <c r="IGG306" s="18">
        <v>0</v>
      </c>
      <c r="IGH306" s="18">
        <v>0</v>
      </c>
      <c r="IGI306" s="18">
        <v>0</v>
      </c>
      <c r="IGJ306" s="18">
        <v>0</v>
      </c>
      <c r="IGK306" s="18">
        <v>0</v>
      </c>
      <c r="IGL306" s="18">
        <v>0</v>
      </c>
      <c r="IGM306" s="18">
        <v>0</v>
      </c>
      <c r="IGN306" s="18">
        <v>0</v>
      </c>
      <c r="IGO306" s="18">
        <v>0</v>
      </c>
      <c r="IGP306" s="18">
        <v>0</v>
      </c>
      <c r="IGQ306" s="18">
        <v>0</v>
      </c>
      <c r="IGR306" s="18">
        <v>0</v>
      </c>
      <c r="IGS306" s="18">
        <v>0</v>
      </c>
      <c r="IGT306" s="18">
        <v>0</v>
      </c>
      <c r="IGU306" s="18">
        <v>0</v>
      </c>
      <c r="IGV306" s="18">
        <v>0</v>
      </c>
      <c r="IGW306" s="18">
        <v>0</v>
      </c>
      <c r="IGX306" s="18">
        <v>0</v>
      </c>
      <c r="IGY306" s="18">
        <v>0</v>
      </c>
      <c r="IGZ306" s="18">
        <v>0</v>
      </c>
      <c r="IHA306" s="18">
        <v>0</v>
      </c>
      <c r="IHB306" s="18">
        <v>0</v>
      </c>
      <c r="IHC306" s="18">
        <v>0</v>
      </c>
      <c r="IHD306" s="18">
        <v>0</v>
      </c>
      <c r="IHE306" s="18">
        <v>0</v>
      </c>
      <c r="IHF306" s="18">
        <v>0</v>
      </c>
      <c r="IHG306" s="18">
        <v>0</v>
      </c>
      <c r="IHH306" s="18">
        <v>0</v>
      </c>
      <c r="IHI306" s="18">
        <v>0</v>
      </c>
      <c r="IHJ306" s="18">
        <v>0</v>
      </c>
      <c r="IHK306" s="18">
        <v>0</v>
      </c>
      <c r="IHL306" s="18">
        <v>0</v>
      </c>
      <c r="IHM306" s="18">
        <v>0</v>
      </c>
      <c r="IHN306" s="18">
        <v>0</v>
      </c>
      <c r="IHO306" s="18">
        <v>0</v>
      </c>
      <c r="IHP306" s="18">
        <v>0</v>
      </c>
      <c r="IHQ306" s="18">
        <v>0</v>
      </c>
      <c r="IHR306" s="18">
        <v>0</v>
      </c>
      <c r="IHS306" s="18">
        <v>0</v>
      </c>
      <c r="IHT306" s="18">
        <v>0</v>
      </c>
      <c r="IHU306" s="18">
        <v>0</v>
      </c>
      <c r="IHV306" s="18">
        <v>0</v>
      </c>
      <c r="IHW306" s="18">
        <v>0</v>
      </c>
      <c r="IHX306" s="18">
        <v>0</v>
      </c>
      <c r="IHY306" s="18">
        <v>0</v>
      </c>
      <c r="IHZ306" s="18">
        <v>0</v>
      </c>
      <c r="IIA306" s="18">
        <v>0</v>
      </c>
      <c r="IIB306" s="18">
        <v>0</v>
      </c>
      <c r="IIC306" s="18">
        <v>0</v>
      </c>
      <c r="IID306" s="18">
        <v>0</v>
      </c>
      <c r="IIE306" s="18">
        <v>0</v>
      </c>
      <c r="IIF306" s="18">
        <v>0</v>
      </c>
      <c r="IIG306" s="18">
        <v>0</v>
      </c>
      <c r="IIH306" s="18">
        <v>0</v>
      </c>
      <c r="III306" s="18">
        <v>0</v>
      </c>
      <c r="IIJ306" s="18">
        <v>0</v>
      </c>
      <c r="IIK306" s="18">
        <v>0</v>
      </c>
      <c r="IIL306" s="18">
        <v>0</v>
      </c>
      <c r="IIM306" s="18">
        <v>0</v>
      </c>
      <c r="IIN306" s="18">
        <v>0</v>
      </c>
      <c r="IIO306" s="18">
        <v>0</v>
      </c>
      <c r="IIP306" s="18">
        <v>0</v>
      </c>
      <c r="IIQ306" s="18">
        <v>0</v>
      </c>
      <c r="IIR306" s="18">
        <v>0</v>
      </c>
      <c r="IIS306" s="18">
        <v>0</v>
      </c>
      <c r="IIT306" s="18">
        <v>0</v>
      </c>
      <c r="IIU306" s="18">
        <v>0</v>
      </c>
      <c r="IIV306" s="18">
        <v>0</v>
      </c>
      <c r="IIW306" s="18">
        <v>0</v>
      </c>
      <c r="IIX306" s="18">
        <v>0</v>
      </c>
      <c r="IIY306" s="18">
        <v>0</v>
      </c>
      <c r="IIZ306" s="18">
        <v>0</v>
      </c>
      <c r="IJA306" s="18">
        <v>0</v>
      </c>
      <c r="IJB306" s="18">
        <v>0</v>
      </c>
      <c r="IJC306" s="18">
        <v>0</v>
      </c>
      <c r="IJD306" s="18">
        <v>0</v>
      </c>
      <c r="IJE306" s="18">
        <v>0</v>
      </c>
      <c r="IJF306" s="18">
        <v>0</v>
      </c>
      <c r="IJG306" s="18">
        <v>0</v>
      </c>
      <c r="IJH306" s="18">
        <v>0</v>
      </c>
      <c r="IJI306" s="18">
        <v>0</v>
      </c>
      <c r="IJJ306" s="18">
        <v>0</v>
      </c>
      <c r="IJK306" s="18">
        <v>0</v>
      </c>
      <c r="IJL306" s="18">
        <v>0</v>
      </c>
      <c r="IJM306" s="18">
        <v>0</v>
      </c>
      <c r="IJN306" s="18">
        <v>0</v>
      </c>
      <c r="IJO306" s="18">
        <v>0</v>
      </c>
      <c r="IJP306" s="18">
        <v>0</v>
      </c>
      <c r="IJQ306" s="18">
        <v>0</v>
      </c>
      <c r="IJR306" s="18">
        <v>0</v>
      </c>
      <c r="IJS306" s="18">
        <v>0</v>
      </c>
      <c r="IJT306" s="18">
        <v>0</v>
      </c>
      <c r="IJU306" s="18">
        <v>0</v>
      </c>
      <c r="IJV306" s="18">
        <v>0</v>
      </c>
      <c r="IJW306" s="18">
        <v>0</v>
      </c>
      <c r="IJX306" s="18">
        <v>0</v>
      </c>
      <c r="IJY306" s="18">
        <v>0</v>
      </c>
      <c r="IJZ306" s="18">
        <v>0</v>
      </c>
      <c r="IKA306" s="18">
        <v>0</v>
      </c>
      <c r="IKB306" s="18">
        <v>0</v>
      </c>
      <c r="IKC306" s="18">
        <v>0</v>
      </c>
      <c r="IKD306" s="18">
        <v>0</v>
      </c>
      <c r="IKE306" s="18">
        <v>0</v>
      </c>
      <c r="IKF306" s="18">
        <v>0</v>
      </c>
      <c r="IKG306" s="18">
        <v>0</v>
      </c>
      <c r="IKH306" s="18">
        <v>0</v>
      </c>
      <c r="IKI306" s="18">
        <v>0</v>
      </c>
      <c r="IKJ306" s="18">
        <v>0</v>
      </c>
      <c r="IKK306" s="18">
        <v>0</v>
      </c>
      <c r="IKL306" s="18">
        <v>0</v>
      </c>
      <c r="IKM306" s="18">
        <v>0</v>
      </c>
      <c r="IKN306" s="18">
        <v>0</v>
      </c>
      <c r="IKO306" s="18">
        <v>0</v>
      </c>
      <c r="IKP306" s="18">
        <v>0</v>
      </c>
      <c r="IKQ306" s="18">
        <v>0</v>
      </c>
      <c r="IKR306" s="18">
        <v>0</v>
      </c>
      <c r="IKS306" s="18">
        <v>0</v>
      </c>
      <c r="IKT306" s="18">
        <v>0</v>
      </c>
      <c r="IKU306" s="18">
        <v>0</v>
      </c>
      <c r="IKV306" s="18">
        <v>0</v>
      </c>
      <c r="IKW306" s="18">
        <v>0</v>
      </c>
      <c r="IKX306" s="18">
        <v>0</v>
      </c>
      <c r="IKY306" s="18">
        <v>0</v>
      </c>
      <c r="IKZ306" s="18">
        <v>0</v>
      </c>
      <c r="ILA306" s="18">
        <v>0</v>
      </c>
      <c r="ILB306" s="18">
        <v>0</v>
      </c>
      <c r="ILC306" s="18">
        <v>0</v>
      </c>
      <c r="ILD306" s="18">
        <v>0</v>
      </c>
      <c r="ILE306" s="18">
        <v>0</v>
      </c>
      <c r="ILF306" s="18">
        <v>0</v>
      </c>
      <c r="ILG306" s="18">
        <v>0</v>
      </c>
      <c r="ILH306" s="18">
        <v>0</v>
      </c>
      <c r="ILI306" s="18">
        <v>0</v>
      </c>
      <c r="ILJ306" s="18">
        <v>0</v>
      </c>
      <c r="ILK306" s="18">
        <v>0</v>
      </c>
      <c r="ILL306" s="18">
        <v>0</v>
      </c>
      <c r="ILM306" s="18">
        <v>0</v>
      </c>
      <c r="ILN306" s="18">
        <v>0</v>
      </c>
      <c r="ILO306" s="18">
        <v>0</v>
      </c>
      <c r="ILP306" s="18">
        <v>0</v>
      </c>
      <c r="ILQ306" s="18">
        <v>0</v>
      </c>
      <c r="ILR306" s="18">
        <v>0</v>
      </c>
      <c r="ILS306" s="18">
        <v>0</v>
      </c>
      <c r="ILT306" s="18">
        <v>0</v>
      </c>
      <c r="ILU306" s="18">
        <v>0</v>
      </c>
      <c r="ILV306" s="18">
        <v>0</v>
      </c>
      <c r="ILW306" s="18">
        <v>0</v>
      </c>
      <c r="ILX306" s="18">
        <v>0</v>
      </c>
      <c r="ILY306" s="18">
        <v>0</v>
      </c>
      <c r="ILZ306" s="18">
        <v>0</v>
      </c>
      <c r="IMA306" s="18">
        <v>0</v>
      </c>
      <c r="IMB306" s="18">
        <v>0</v>
      </c>
      <c r="IMC306" s="18">
        <v>0</v>
      </c>
      <c r="IMD306" s="18">
        <v>0</v>
      </c>
      <c r="IME306" s="18">
        <v>0</v>
      </c>
      <c r="IMF306" s="18">
        <v>0</v>
      </c>
      <c r="IMG306" s="18">
        <v>0</v>
      </c>
      <c r="IMH306" s="18">
        <v>0</v>
      </c>
      <c r="IMI306" s="18">
        <v>0</v>
      </c>
      <c r="IMJ306" s="18">
        <v>0</v>
      </c>
      <c r="IMK306" s="18">
        <v>0</v>
      </c>
      <c r="IML306" s="18">
        <v>0</v>
      </c>
      <c r="IMM306" s="18">
        <v>0</v>
      </c>
      <c r="IMN306" s="18">
        <v>0</v>
      </c>
      <c r="IMO306" s="18">
        <v>0</v>
      </c>
      <c r="IMP306" s="18">
        <v>0</v>
      </c>
      <c r="IMQ306" s="18">
        <v>0</v>
      </c>
      <c r="IMR306" s="18">
        <v>0</v>
      </c>
      <c r="IMS306" s="18">
        <v>0</v>
      </c>
      <c r="IMT306" s="18">
        <v>0</v>
      </c>
      <c r="IMU306" s="18">
        <v>0</v>
      </c>
      <c r="IMV306" s="18">
        <v>0</v>
      </c>
      <c r="IMW306" s="18">
        <v>0</v>
      </c>
      <c r="IMX306" s="18">
        <v>0</v>
      </c>
      <c r="IMY306" s="18">
        <v>0</v>
      </c>
      <c r="IMZ306" s="18">
        <v>0</v>
      </c>
      <c r="INA306" s="18">
        <v>0</v>
      </c>
      <c r="INB306" s="18">
        <v>0</v>
      </c>
      <c r="INC306" s="18">
        <v>0</v>
      </c>
      <c r="IND306" s="18">
        <v>0</v>
      </c>
      <c r="INE306" s="18">
        <v>0</v>
      </c>
      <c r="INF306" s="18">
        <v>0</v>
      </c>
      <c r="ING306" s="18">
        <v>0</v>
      </c>
      <c r="INH306" s="18">
        <v>0</v>
      </c>
      <c r="INI306" s="18">
        <v>0</v>
      </c>
      <c r="INJ306" s="18">
        <v>0</v>
      </c>
      <c r="INK306" s="18">
        <v>0</v>
      </c>
      <c r="INL306" s="18">
        <v>0</v>
      </c>
      <c r="INM306" s="18">
        <v>0</v>
      </c>
      <c r="INN306" s="18">
        <v>0</v>
      </c>
      <c r="INO306" s="18">
        <v>0</v>
      </c>
      <c r="INP306" s="18">
        <v>0</v>
      </c>
      <c r="INQ306" s="18">
        <v>0</v>
      </c>
      <c r="INR306" s="18">
        <v>0</v>
      </c>
      <c r="INS306" s="18">
        <v>0</v>
      </c>
      <c r="INT306" s="18">
        <v>0</v>
      </c>
      <c r="INU306" s="18">
        <v>0</v>
      </c>
      <c r="INV306" s="18">
        <v>0</v>
      </c>
      <c r="INW306" s="18">
        <v>0</v>
      </c>
      <c r="INX306" s="18">
        <v>0</v>
      </c>
      <c r="INY306" s="18">
        <v>0</v>
      </c>
      <c r="INZ306" s="18">
        <v>0</v>
      </c>
      <c r="IOA306" s="18">
        <v>0</v>
      </c>
      <c r="IOB306" s="18">
        <v>0</v>
      </c>
      <c r="IOC306" s="18">
        <v>0</v>
      </c>
      <c r="IOD306" s="18">
        <v>0</v>
      </c>
      <c r="IOE306" s="18">
        <v>0</v>
      </c>
      <c r="IOF306" s="18">
        <v>0</v>
      </c>
      <c r="IOG306" s="18">
        <v>0</v>
      </c>
      <c r="IOH306" s="18">
        <v>0</v>
      </c>
      <c r="IOI306" s="18">
        <v>0</v>
      </c>
      <c r="IOJ306" s="18">
        <v>0</v>
      </c>
      <c r="IOK306" s="18">
        <v>0</v>
      </c>
      <c r="IOL306" s="18">
        <v>0</v>
      </c>
      <c r="IOM306" s="18">
        <v>0</v>
      </c>
      <c r="ION306" s="18">
        <v>0</v>
      </c>
      <c r="IOO306" s="18">
        <v>0</v>
      </c>
      <c r="IOP306" s="18">
        <v>0</v>
      </c>
      <c r="IOQ306" s="18">
        <v>0</v>
      </c>
      <c r="IOR306" s="18">
        <v>0</v>
      </c>
      <c r="IOS306" s="18">
        <v>0</v>
      </c>
      <c r="IOT306" s="18">
        <v>0</v>
      </c>
      <c r="IOU306" s="18">
        <v>0</v>
      </c>
      <c r="IOV306" s="18">
        <v>0</v>
      </c>
      <c r="IOW306" s="18">
        <v>0</v>
      </c>
      <c r="IOX306" s="18">
        <v>0</v>
      </c>
      <c r="IOY306" s="18">
        <v>0</v>
      </c>
      <c r="IOZ306" s="18">
        <v>0</v>
      </c>
      <c r="IPA306" s="18">
        <v>0</v>
      </c>
      <c r="IPB306" s="18">
        <v>0</v>
      </c>
      <c r="IPC306" s="18">
        <v>0</v>
      </c>
      <c r="IPD306" s="18">
        <v>0</v>
      </c>
      <c r="IPE306" s="18">
        <v>0</v>
      </c>
      <c r="IPF306" s="18">
        <v>0</v>
      </c>
      <c r="IPG306" s="18">
        <v>0</v>
      </c>
      <c r="IPH306" s="18">
        <v>0</v>
      </c>
      <c r="IPI306" s="18">
        <v>0</v>
      </c>
      <c r="IPJ306" s="18">
        <v>0</v>
      </c>
      <c r="IPK306" s="18">
        <v>0</v>
      </c>
      <c r="IPL306" s="18">
        <v>0</v>
      </c>
      <c r="IPM306" s="18">
        <v>0</v>
      </c>
      <c r="IPN306" s="18">
        <v>0</v>
      </c>
      <c r="IPO306" s="18">
        <v>0</v>
      </c>
      <c r="IPP306" s="18">
        <v>0</v>
      </c>
      <c r="IPQ306" s="18">
        <v>0</v>
      </c>
      <c r="IPR306" s="18">
        <v>0</v>
      </c>
      <c r="IPS306" s="18">
        <v>0</v>
      </c>
      <c r="IPT306" s="18">
        <v>0</v>
      </c>
      <c r="IPU306" s="18">
        <v>0</v>
      </c>
      <c r="IPV306" s="18">
        <v>0</v>
      </c>
      <c r="IPW306" s="18">
        <v>0</v>
      </c>
      <c r="IPX306" s="18">
        <v>0</v>
      </c>
      <c r="IPY306" s="18">
        <v>0</v>
      </c>
      <c r="IPZ306" s="18">
        <v>0</v>
      </c>
      <c r="IQA306" s="18">
        <v>0</v>
      </c>
      <c r="IQB306" s="18">
        <v>0</v>
      </c>
      <c r="IQC306" s="18">
        <v>0</v>
      </c>
      <c r="IQD306" s="18">
        <v>0</v>
      </c>
      <c r="IQE306" s="18">
        <v>0</v>
      </c>
      <c r="IQF306" s="18">
        <v>0</v>
      </c>
      <c r="IQG306" s="18">
        <v>0</v>
      </c>
      <c r="IQH306" s="18">
        <v>0</v>
      </c>
      <c r="IQI306" s="18">
        <v>0</v>
      </c>
      <c r="IQJ306" s="18">
        <v>0</v>
      </c>
      <c r="IQK306" s="18">
        <v>0</v>
      </c>
      <c r="IQL306" s="18">
        <v>0</v>
      </c>
      <c r="IQM306" s="18">
        <v>0</v>
      </c>
      <c r="IQN306" s="18">
        <v>0</v>
      </c>
      <c r="IQO306" s="18">
        <v>0</v>
      </c>
      <c r="IQP306" s="18">
        <v>0</v>
      </c>
      <c r="IQQ306" s="18">
        <v>0</v>
      </c>
      <c r="IQR306" s="18">
        <v>0</v>
      </c>
      <c r="IQS306" s="18">
        <v>0</v>
      </c>
      <c r="IQT306" s="18">
        <v>0</v>
      </c>
      <c r="IQU306" s="18">
        <v>0</v>
      </c>
      <c r="IQV306" s="18">
        <v>0</v>
      </c>
      <c r="IQW306" s="18">
        <v>0</v>
      </c>
      <c r="IQX306" s="18">
        <v>0</v>
      </c>
      <c r="IQY306" s="18">
        <v>0</v>
      </c>
      <c r="IQZ306" s="18">
        <v>0</v>
      </c>
      <c r="IRA306" s="18">
        <v>0</v>
      </c>
      <c r="IRB306" s="18">
        <v>0</v>
      </c>
      <c r="IRC306" s="18">
        <v>0</v>
      </c>
      <c r="IRD306" s="18">
        <v>0</v>
      </c>
      <c r="IRE306" s="18">
        <v>0</v>
      </c>
      <c r="IRF306" s="18">
        <v>0</v>
      </c>
      <c r="IRG306" s="18">
        <v>0</v>
      </c>
      <c r="IRH306" s="18">
        <v>0</v>
      </c>
      <c r="IRI306" s="18">
        <v>0</v>
      </c>
      <c r="IRJ306" s="18">
        <v>0</v>
      </c>
      <c r="IRK306" s="18">
        <v>0</v>
      </c>
      <c r="IRL306" s="18">
        <v>0</v>
      </c>
      <c r="IRM306" s="18">
        <v>0</v>
      </c>
      <c r="IRN306" s="18">
        <v>0</v>
      </c>
      <c r="IRO306" s="18">
        <v>0</v>
      </c>
      <c r="IRP306" s="18">
        <v>0</v>
      </c>
      <c r="IRQ306" s="18">
        <v>0</v>
      </c>
      <c r="IRR306" s="18">
        <v>0</v>
      </c>
      <c r="IRS306" s="18">
        <v>0</v>
      </c>
      <c r="IRT306" s="18">
        <v>0</v>
      </c>
      <c r="IRU306" s="18">
        <v>0</v>
      </c>
      <c r="IRV306" s="18">
        <v>0</v>
      </c>
      <c r="IRW306" s="18">
        <v>0</v>
      </c>
      <c r="IRX306" s="18">
        <v>0</v>
      </c>
      <c r="IRY306" s="18">
        <v>0</v>
      </c>
      <c r="IRZ306" s="18">
        <v>0</v>
      </c>
      <c r="ISA306" s="18">
        <v>0</v>
      </c>
      <c r="ISB306" s="18">
        <v>0</v>
      </c>
      <c r="ISC306" s="18">
        <v>0</v>
      </c>
      <c r="ISD306" s="18">
        <v>0</v>
      </c>
      <c r="ISE306" s="18">
        <v>0</v>
      </c>
      <c r="ISF306" s="18">
        <v>0</v>
      </c>
      <c r="ISG306" s="18">
        <v>0</v>
      </c>
      <c r="ISH306" s="18">
        <v>0</v>
      </c>
      <c r="ISI306" s="18">
        <v>0</v>
      </c>
      <c r="ISJ306" s="18">
        <v>0</v>
      </c>
      <c r="ISK306" s="18">
        <v>0</v>
      </c>
      <c r="ISL306" s="18">
        <v>0</v>
      </c>
      <c r="ISM306" s="18">
        <v>0</v>
      </c>
      <c r="ISN306" s="18">
        <v>0</v>
      </c>
      <c r="ISO306" s="18">
        <v>0</v>
      </c>
      <c r="ISP306" s="18">
        <v>0</v>
      </c>
      <c r="ISQ306" s="18">
        <v>0</v>
      </c>
      <c r="ISR306" s="18">
        <v>0</v>
      </c>
      <c r="ISS306" s="18">
        <v>0</v>
      </c>
      <c r="IST306" s="18">
        <v>0</v>
      </c>
      <c r="ISU306" s="18">
        <v>0</v>
      </c>
      <c r="ISV306" s="18">
        <v>0</v>
      </c>
      <c r="ISW306" s="18">
        <v>0</v>
      </c>
      <c r="ISX306" s="18">
        <v>0</v>
      </c>
      <c r="ISY306" s="18">
        <v>0</v>
      </c>
      <c r="ISZ306" s="18">
        <v>0</v>
      </c>
      <c r="ITA306" s="18">
        <v>0</v>
      </c>
      <c r="ITB306" s="18">
        <v>0</v>
      </c>
      <c r="ITC306" s="18">
        <v>0</v>
      </c>
      <c r="ITD306" s="18">
        <v>0</v>
      </c>
      <c r="ITE306" s="18">
        <v>0</v>
      </c>
      <c r="ITF306" s="18">
        <v>0</v>
      </c>
      <c r="ITG306" s="18">
        <v>0</v>
      </c>
      <c r="ITH306" s="18">
        <v>0</v>
      </c>
      <c r="ITI306" s="18">
        <v>0</v>
      </c>
      <c r="ITJ306" s="18">
        <v>0</v>
      </c>
      <c r="ITK306" s="18">
        <v>0</v>
      </c>
      <c r="ITL306" s="18">
        <v>0</v>
      </c>
      <c r="ITM306" s="18">
        <v>0</v>
      </c>
      <c r="ITN306" s="18">
        <v>0</v>
      </c>
      <c r="ITO306" s="18">
        <v>0</v>
      </c>
      <c r="ITP306" s="18">
        <v>0</v>
      </c>
      <c r="ITQ306" s="18">
        <v>0</v>
      </c>
      <c r="ITR306" s="18">
        <v>0</v>
      </c>
      <c r="ITS306" s="18">
        <v>0</v>
      </c>
      <c r="ITT306" s="18">
        <v>0</v>
      </c>
      <c r="ITU306" s="18">
        <v>0</v>
      </c>
      <c r="ITV306" s="18">
        <v>0</v>
      </c>
      <c r="ITW306" s="18">
        <v>0</v>
      </c>
      <c r="ITX306" s="18">
        <v>0</v>
      </c>
      <c r="ITY306" s="18">
        <v>0</v>
      </c>
      <c r="ITZ306" s="18">
        <v>0</v>
      </c>
      <c r="IUA306" s="18">
        <v>0</v>
      </c>
      <c r="IUB306" s="18">
        <v>0</v>
      </c>
      <c r="IUC306" s="18">
        <v>0</v>
      </c>
      <c r="IUD306" s="18">
        <v>0</v>
      </c>
      <c r="IUE306" s="18">
        <v>0</v>
      </c>
      <c r="IUF306" s="18">
        <v>0</v>
      </c>
      <c r="IUG306" s="18">
        <v>0</v>
      </c>
      <c r="IUH306" s="18">
        <v>0</v>
      </c>
      <c r="IUI306" s="18">
        <v>0</v>
      </c>
      <c r="IUJ306" s="18">
        <v>0</v>
      </c>
      <c r="IUK306" s="18">
        <v>0</v>
      </c>
      <c r="IUL306" s="18">
        <v>0</v>
      </c>
      <c r="IUM306" s="18">
        <v>0</v>
      </c>
      <c r="IUN306" s="18">
        <v>0</v>
      </c>
      <c r="IUO306" s="18">
        <v>0</v>
      </c>
      <c r="IUP306" s="18">
        <v>0</v>
      </c>
      <c r="IUQ306" s="18">
        <v>0</v>
      </c>
      <c r="IUR306" s="18">
        <v>0</v>
      </c>
      <c r="IUS306" s="18">
        <v>0</v>
      </c>
      <c r="IUT306" s="18">
        <v>0</v>
      </c>
      <c r="IUU306" s="18">
        <v>0</v>
      </c>
      <c r="IUV306" s="18">
        <v>0</v>
      </c>
      <c r="IUW306" s="18">
        <v>0</v>
      </c>
      <c r="IUX306" s="18">
        <v>0</v>
      </c>
      <c r="IUY306" s="18">
        <v>0</v>
      </c>
      <c r="IUZ306" s="18">
        <v>0</v>
      </c>
      <c r="IVA306" s="18">
        <v>0</v>
      </c>
      <c r="IVB306" s="18">
        <v>0</v>
      </c>
      <c r="IVC306" s="18">
        <v>0</v>
      </c>
      <c r="IVD306" s="18">
        <v>0</v>
      </c>
      <c r="IVE306" s="18">
        <v>0</v>
      </c>
      <c r="IVF306" s="18">
        <v>0</v>
      </c>
      <c r="IVG306" s="18">
        <v>0</v>
      </c>
      <c r="IVH306" s="18">
        <v>0</v>
      </c>
      <c r="IVI306" s="18">
        <v>0</v>
      </c>
      <c r="IVJ306" s="18">
        <v>0</v>
      </c>
      <c r="IVK306" s="18">
        <v>0</v>
      </c>
      <c r="IVL306" s="18">
        <v>0</v>
      </c>
      <c r="IVM306" s="18">
        <v>0</v>
      </c>
      <c r="IVN306" s="18">
        <v>0</v>
      </c>
      <c r="IVO306" s="18">
        <v>0</v>
      </c>
      <c r="IVP306" s="18">
        <v>0</v>
      </c>
      <c r="IVQ306" s="18">
        <v>0</v>
      </c>
      <c r="IVR306" s="18">
        <v>0</v>
      </c>
      <c r="IVS306" s="18">
        <v>0</v>
      </c>
      <c r="IVT306" s="18">
        <v>0</v>
      </c>
      <c r="IVU306" s="18">
        <v>0</v>
      </c>
      <c r="IVV306" s="18">
        <v>0</v>
      </c>
      <c r="IVW306" s="18">
        <v>0</v>
      </c>
      <c r="IVX306" s="18">
        <v>0</v>
      </c>
      <c r="IVY306" s="18">
        <v>0</v>
      </c>
      <c r="IVZ306" s="18">
        <v>0</v>
      </c>
      <c r="IWA306" s="18">
        <v>0</v>
      </c>
      <c r="IWB306" s="18">
        <v>0</v>
      </c>
      <c r="IWC306" s="18">
        <v>0</v>
      </c>
      <c r="IWD306" s="18">
        <v>0</v>
      </c>
      <c r="IWE306" s="18">
        <v>0</v>
      </c>
      <c r="IWF306" s="18">
        <v>0</v>
      </c>
      <c r="IWG306" s="18">
        <v>0</v>
      </c>
      <c r="IWH306" s="18">
        <v>0</v>
      </c>
      <c r="IWI306" s="18">
        <v>0</v>
      </c>
      <c r="IWJ306" s="18">
        <v>0</v>
      </c>
      <c r="IWK306" s="18">
        <v>0</v>
      </c>
      <c r="IWL306" s="18">
        <v>0</v>
      </c>
      <c r="IWM306" s="18">
        <v>0</v>
      </c>
      <c r="IWN306" s="18">
        <v>0</v>
      </c>
      <c r="IWO306" s="18">
        <v>0</v>
      </c>
      <c r="IWP306" s="18">
        <v>0</v>
      </c>
      <c r="IWQ306" s="18">
        <v>0</v>
      </c>
      <c r="IWR306" s="18">
        <v>0</v>
      </c>
      <c r="IWS306" s="18">
        <v>0</v>
      </c>
      <c r="IWT306" s="18">
        <v>0</v>
      </c>
      <c r="IWU306" s="18">
        <v>0</v>
      </c>
      <c r="IWV306" s="18">
        <v>0</v>
      </c>
      <c r="IWW306" s="18">
        <v>0</v>
      </c>
      <c r="IWX306" s="18">
        <v>0</v>
      </c>
      <c r="IWY306" s="18">
        <v>0</v>
      </c>
      <c r="IWZ306" s="18">
        <v>0</v>
      </c>
      <c r="IXA306" s="18">
        <v>0</v>
      </c>
      <c r="IXB306" s="18">
        <v>0</v>
      </c>
      <c r="IXC306" s="18">
        <v>0</v>
      </c>
      <c r="IXD306" s="18">
        <v>0</v>
      </c>
      <c r="IXE306" s="18">
        <v>0</v>
      </c>
      <c r="IXF306" s="18">
        <v>0</v>
      </c>
      <c r="IXG306" s="18">
        <v>0</v>
      </c>
      <c r="IXH306" s="18">
        <v>0</v>
      </c>
      <c r="IXI306" s="18">
        <v>0</v>
      </c>
      <c r="IXJ306" s="18">
        <v>0</v>
      </c>
      <c r="IXK306" s="18">
        <v>0</v>
      </c>
      <c r="IXL306" s="18">
        <v>0</v>
      </c>
      <c r="IXM306" s="18">
        <v>0</v>
      </c>
      <c r="IXN306" s="18">
        <v>0</v>
      </c>
      <c r="IXO306" s="18">
        <v>0</v>
      </c>
      <c r="IXP306" s="18">
        <v>0</v>
      </c>
      <c r="IXQ306" s="18">
        <v>0</v>
      </c>
      <c r="IXR306" s="18">
        <v>0</v>
      </c>
      <c r="IXS306" s="18">
        <v>0</v>
      </c>
      <c r="IXT306" s="18">
        <v>0</v>
      </c>
      <c r="IXU306" s="18">
        <v>0</v>
      </c>
      <c r="IXV306" s="18">
        <v>0</v>
      </c>
      <c r="IXW306" s="18">
        <v>0</v>
      </c>
      <c r="IXX306" s="18">
        <v>0</v>
      </c>
      <c r="IXY306" s="18">
        <v>0</v>
      </c>
      <c r="IXZ306" s="18">
        <v>0</v>
      </c>
      <c r="IYA306" s="18">
        <v>0</v>
      </c>
      <c r="IYB306" s="18">
        <v>0</v>
      </c>
      <c r="IYC306" s="18">
        <v>0</v>
      </c>
      <c r="IYD306" s="18">
        <v>0</v>
      </c>
      <c r="IYE306" s="18">
        <v>0</v>
      </c>
      <c r="IYF306" s="18">
        <v>0</v>
      </c>
      <c r="IYG306" s="18">
        <v>0</v>
      </c>
      <c r="IYH306" s="18">
        <v>0</v>
      </c>
      <c r="IYI306" s="18">
        <v>0</v>
      </c>
      <c r="IYJ306" s="18">
        <v>0</v>
      </c>
      <c r="IYK306" s="18">
        <v>0</v>
      </c>
      <c r="IYL306" s="18">
        <v>0</v>
      </c>
      <c r="IYM306" s="18">
        <v>0</v>
      </c>
      <c r="IYN306" s="18">
        <v>0</v>
      </c>
      <c r="IYO306" s="18">
        <v>0</v>
      </c>
      <c r="IYP306" s="18">
        <v>0</v>
      </c>
      <c r="IYQ306" s="18">
        <v>0</v>
      </c>
      <c r="IYR306" s="18">
        <v>0</v>
      </c>
      <c r="IYS306" s="18">
        <v>0</v>
      </c>
      <c r="IYT306" s="18">
        <v>0</v>
      </c>
      <c r="IYU306" s="18">
        <v>0</v>
      </c>
      <c r="IYV306" s="18">
        <v>0</v>
      </c>
      <c r="IYW306" s="18">
        <v>0</v>
      </c>
      <c r="IYX306" s="18">
        <v>0</v>
      </c>
      <c r="IYY306" s="18">
        <v>0</v>
      </c>
      <c r="IYZ306" s="18">
        <v>0</v>
      </c>
      <c r="IZA306" s="18">
        <v>0</v>
      </c>
      <c r="IZB306" s="18">
        <v>0</v>
      </c>
      <c r="IZC306" s="18">
        <v>0</v>
      </c>
      <c r="IZD306" s="18">
        <v>0</v>
      </c>
      <c r="IZE306" s="18">
        <v>0</v>
      </c>
      <c r="IZF306" s="18">
        <v>0</v>
      </c>
      <c r="IZG306" s="18">
        <v>0</v>
      </c>
      <c r="IZH306" s="18">
        <v>0</v>
      </c>
      <c r="IZI306" s="18">
        <v>0</v>
      </c>
      <c r="IZJ306" s="18">
        <v>0</v>
      </c>
      <c r="IZK306" s="18">
        <v>0</v>
      </c>
      <c r="IZL306" s="18">
        <v>0</v>
      </c>
      <c r="IZM306" s="18">
        <v>0</v>
      </c>
      <c r="IZN306" s="18">
        <v>0</v>
      </c>
      <c r="IZO306" s="18">
        <v>0</v>
      </c>
      <c r="IZP306" s="18">
        <v>0</v>
      </c>
      <c r="IZQ306" s="18">
        <v>0</v>
      </c>
      <c r="IZR306" s="18">
        <v>0</v>
      </c>
      <c r="IZS306" s="18">
        <v>0</v>
      </c>
      <c r="IZT306" s="18">
        <v>0</v>
      </c>
      <c r="IZU306" s="18">
        <v>0</v>
      </c>
      <c r="IZV306" s="18">
        <v>0</v>
      </c>
      <c r="IZW306" s="18">
        <v>0</v>
      </c>
      <c r="IZX306" s="18">
        <v>0</v>
      </c>
      <c r="IZY306" s="18">
        <v>0</v>
      </c>
      <c r="IZZ306" s="18">
        <v>0</v>
      </c>
      <c r="JAA306" s="18">
        <v>0</v>
      </c>
      <c r="JAB306" s="18">
        <v>0</v>
      </c>
      <c r="JAC306" s="18">
        <v>0</v>
      </c>
      <c r="JAD306" s="18">
        <v>0</v>
      </c>
      <c r="JAE306" s="18">
        <v>0</v>
      </c>
      <c r="JAF306" s="18">
        <v>0</v>
      </c>
      <c r="JAG306" s="18">
        <v>0</v>
      </c>
      <c r="JAH306" s="18">
        <v>0</v>
      </c>
      <c r="JAI306" s="18">
        <v>0</v>
      </c>
      <c r="JAJ306" s="18">
        <v>0</v>
      </c>
      <c r="JAK306" s="18">
        <v>0</v>
      </c>
      <c r="JAL306" s="18">
        <v>0</v>
      </c>
      <c r="JAM306" s="18">
        <v>0</v>
      </c>
      <c r="JAN306" s="18">
        <v>0</v>
      </c>
      <c r="JAO306" s="18">
        <v>0</v>
      </c>
      <c r="JAP306" s="18">
        <v>0</v>
      </c>
      <c r="JAQ306" s="18">
        <v>0</v>
      </c>
      <c r="JAR306" s="18">
        <v>0</v>
      </c>
      <c r="JAS306" s="18">
        <v>0</v>
      </c>
      <c r="JAT306" s="18">
        <v>0</v>
      </c>
      <c r="JAU306" s="18">
        <v>0</v>
      </c>
      <c r="JAV306" s="18">
        <v>0</v>
      </c>
      <c r="JAW306" s="18">
        <v>0</v>
      </c>
      <c r="JAX306" s="18">
        <v>0</v>
      </c>
      <c r="JAY306" s="18">
        <v>0</v>
      </c>
      <c r="JAZ306" s="18">
        <v>0</v>
      </c>
      <c r="JBA306" s="18">
        <v>0</v>
      </c>
      <c r="JBB306" s="18">
        <v>0</v>
      </c>
      <c r="JBC306" s="18">
        <v>0</v>
      </c>
      <c r="JBD306" s="18">
        <v>0</v>
      </c>
      <c r="JBE306" s="18">
        <v>0</v>
      </c>
      <c r="JBF306" s="18">
        <v>0</v>
      </c>
      <c r="JBG306" s="18">
        <v>0</v>
      </c>
      <c r="JBH306" s="18">
        <v>0</v>
      </c>
      <c r="JBI306" s="18">
        <v>0</v>
      </c>
      <c r="JBJ306" s="18">
        <v>0</v>
      </c>
      <c r="JBK306" s="18">
        <v>0</v>
      </c>
      <c r="JBL306" s="18">
        <v>0</v>
      </c>
      <c r="JBM306" s="18">
        <v>0</v>
      </c>
      <c r="JBN306" s="18">
        <v>0</v>
      </c>
      <c r="JBO306" s="18">
        <v>0</v>
      </c>
      <c r="JBP306" s="18">
        <v>0</v>
      </c>
      <c r="JBQ306" s="18">
        <v>0</v>
      </c>
      <c r="JBR306" s="18">
        <v>0</v>
      </c>
      <c r="JBS306" s="18">
        <v>0</v>
      </c>
      <c r="JBT306" s="18">
        <v>0</v>
      </c>
      <c r="JBU306" s="18">
        <v>0</v>
      </c>
      <c r="JBV306" s="18">
        <v>0</v>
      </c>
      <c r="JBW306" s="18">
        <v>0</v>
      </c>
      <c r="JBX306" s="18">
        <v>0</v>
      </c>
      <c r="JBY306" s="18">
        <v>0</v>
      </c>
      <c r="JBZ306" s="18">
        <v>0</v>
      </c>
      <c r="JCA306" s="18">
        <v>0</v>
      </c>
      <c r="JCB306" s="18">
        <v>0</v>
      </c>
      <c r="JCC306" s="18">
        <v>0</v>
      </c>
      <c r="JCD306" s="18">
        <v>0</v>
      </c>
      <c r="JCE306" s="18">
        <v>0</v>
      </c>
      <c r="JCF306" s="18">
        <v>0</v>
      </c>
      <c r="JCG306" s="18">
        <v>0</v>
      </c>
      <c r="JCH306" s="18">
        <v>0</v>
      </c>
      <c r="JCI306" s="18">
        <v>0</v>
      </c>
      <c r="JCJ306" s="18">
        <v>0</v>
      </c>
      <c r="JCK306" s="18">
        <v>0</v>
      </c>
      <c r="JCL306" s="18">
        <v>0</v>
      </c>
      <c r="JCM306" s="18">
        <v>0</v>
      </c>
      <c r="JCN306" s="18">
        <v>0</v>
      </c>
      <c r="JCO306" s="18">
        <v>0</v>
      </c>
      <c r="JCP306" s="18">
        <v>0</v>
      </c>
      <c r="JCQ306" s="18">
        <v>0</v>
      </c>
      <c r="JCR306" s="18">
        <v>0</v>
      </c>
      <c r="JCS306" s="18">
        <v>0</v>
      </c>
      <c r="JCT306" s="18">
        <v>0</v>
      </c>
      <c r="JCU306" s="18">
        <v>0</v>
      </c>
      <c r="JCV306" s="18">
        <v>0</v>
      </c>
      <c r="JCW306" s="18">
        <v>0</v>
      </c>
      <c r="JCX306" s="18">
        <v>0</v>
      </c>
      <c r="JCY306" s="18">
        <v>0</v>
      </c>
      <c r="JCZ306" s="18">
        <v>0</v>
      </c>
      <c r="JDA306" s="18">
        <v>0</v>
      </c>
      <c r="JDB306" s="18">
        <v>0</v>
      </c>
      <c r="JDC306" s="18">
        <v>0</v>
      </c>
      <c r="JDD306" s="18">
        <v>0</v>
      </c>
      <c r="JDE306" s="18">
        <v>0</v>
      </c>
      <c r="JDF306" s="18">
        <v>0</v>
      </c>
      <c r="JDG306" s="18">
        <v>0</v>
      </c>
      <c r="JDH306" s="18">
        <v>0</v>
      </c>
      <c r="JDI306" s="18">
        <v>0</v>
      </c>
      <c r="JDJ306" s="18">
        <v>0</v>
      </c>
      <c r="JDK306" s="18">
        <v>0</v>
      </c>
      <c r="JDL306" s="18">
        <v>0</v>
      </c>
      <c r="JDM306" s="18">
        <v>0</v>
      </c>
      <c r="JDN306" s="18">
        <v>0</v>
      </c>
      <c r="JDO306" s="18">
        <v>0</v>
      </c>
      <c r="JDP306" s="18">
        <v>0</v>
      </c>
      <c r="JDQ306" s="18">
        <v>0</v>
      </c>
      <c r="JDR306" s="18">
        <v>0</v>
      </c>
      <c r="JDS306" s="18">
        <v>0</v>
      </c>
      <c r="JDT306" s="18">
        <v>0</v>
      </c>
      <c r="JDU306" s="18">
        <v>0</v>
      </c>
      <c r="JDV306" s="18">
        <v>0</v>
      </c>
      <c r="JDW306" s="18">
        <v>0</v>
      </c>
      <c r="JDX306" s="18">
        <v>0</v>
      </c>
      <c r="JDY306" s="18">
        <v>0</v>
      </c>
      <c r="JDZ306" s="18">
        <v>0</v>
      </c>
      <c r="JEA306" s="18">
        <v>0</v>
      </c>
      <c r="JEB306" s="18">
        <v>0</v>
      </c>
      <c r="JEC306" s="18">
        <v>0</v>
      </c>
      <c r="JED306" s="18">
        <v>0</v>
      </c>
      <c r="JEE306" s="18">
        <v>0</v>
      </c>
      <c r="JEF306" s="18">
        <v>0</v>
      </c>
      <c r="JEG306" s="18">
        <v>0</v>
      </c>
      <c r="JEH306" s="18">
        <v>0</v>
      </c>
      <c r="JEI306" s="18">
        <v>0</v>
      </c>
      <c r="JEJ306" s="18">
        <v>0</v>
      </c>
      <c r="JEK306" s="18">
        <v>0</v>
      </c>
      <c r="JEL306" s="18">
        <v>0</v>
      </c>
      <c r="JEM306" s="18">
        <v>0</v>
      </c>
      <c r="JEN306" s="18">
        <v>0</v>
      </c>
      <c r="JEO306" s="18">
        <v>0</v>
      </c>
      <c r="JEP306" s="18">
        <v>0</v>
      </c>
      <c r="JEQ306" s="18">
        <v>0</v>
      </c>
      <c r="JER306" s="18">
        <v>0</v>
      </c>
      <c r="JES306" s="18">
        <v>0</v>
      </c>
      <c r="JET306" s="18">
        <v>0</v>
      </c>
      <c r="JEU306" s="18">
        <v>0</v>
      </c>
      <c r="JEV306" s="18">
        <v>0</v>
      </c>
      <c r="JEW306" s="18">
        <v>0</v>
      </c>
      <c r="JEX306" s="18">
        <v>0</v>
      </c>
      <c r="JEY306" s="18">
        <v>0</v>
      </c>
      <c r="JEZ306" s="18">
        <v>0</v>
      </c>
      <c r="JFA306" s="18">
        <v>0</v>
      </c>
      <c r="JFB306" s="18">
        <v>0</v>
      </c>
      <c r="JFC306" s="18">
        <v>0</v>
      </c>
      <c r="JFD306" s="18">
        <v>0</v>
      </c>
      <c r="JFE306" s="18">
        <v>0</v>
      </c>
      <c r="JFF306" s="18">
        <v>0</v>
      </c>
      <c r="JFG306" s="18">
        <v>0</v>
      </c>
      <c r="JFH306" s="18">
        <v>0</v>
      </c>
      <c r="JFI306" s="18">
        <v>0</v>
      </c>
      <c r="JFJ306" s="18">
        <v>0</v>
      </c>
      <c r="JFK306" s="18">
        <v>0</v>
      </c>
      <c r="JFL306" s="18">
        <v>0</v>
      </c>
      <c r="JFM306" s="18">
        <v>0</v>
      </c>
      <c r="JFN306" s="18">
        <v>0</v>
      </c>
      <c r="JFO306" s="18">
        <v>0</v>
      </c>
      <c r="JFP306" s="18">
        <v>0</v>
      </c>
      <c r="JFQ306" s="18">
        <v>0</v>
      </c>
      <c r="JFR306" s="18">
        <v>0</v>
      </c>
      <c r="JFS306" s="18">
        <v>0</v>
      </c>
      <c r="JFT306" s="18">
        <v>0</v>
      </c>
      <c r="JFU306" s="18">
        <v>0</v>
      </c>
      <c r="JFV306" s="18">
        <v>0</v>
      </c>
      <c r="JFW306" s="18">
        <v>0</v>
      </c>
      <c r="JFX306" s="18">
        <v>0</v>
      </c>
      <c r="JFY306" s="18">
        <v>0</v>
      </c>
      <c r="JFZ306" s="18">
        <v>0</v>
      </c>
      <c r="JGA306" s="18">
        <v>0</v>
      </c>
      <c r="JGB306" s="18">
        <v>0</v>
      </c>
      <c r="JGC306" s="18">
        <v>0</v>
      </c>
      <c r="JGD306" s="18">
        <v>0</v>
      </c>
      <c r="JGE306" s="18">
        <v>0</v>
      </c>
      <c r="JGF306" s="18">
        <v>0</v>
      </c>
      <c r="JGG306" s="18">
        <v>0</v>
      </c>
      <c r="JGH306" s="18">
        <v>0</v>
      </c>
      <c r="JGI306" s="18">
        <v>0</v>
      </c>
      <c r="JGJ306" s="18">
        <v>0</v>
      </c>
      <c r="JGK306" s="18">
        <v>0</v>
      </c>
      <c r="JGL306" s="18">
        <v>0</v>
      </c>
      <c r="JGM306" s="18">
        <v>0</v>
      </c>
      <c r="JGN306" s="18">
        <v>0</v>
      </c>
      <c r="JGO306" s="18">
        <v>0</v>
      </c>
      <c r="JGP306" s="18">
        <v>0</v>
      </c>
      <c r="JGQ306" s="18">
        <v>0</v>
      </c>
      <c r="JGR306" s="18">
        <v>0</v>
      </c>
      <c r="JGS306" s="18">
        <v>0</v>
      </c>
      <c r="JGT306" s="18">
        <v>0</v>
      </c>
      <c r="JGU306" s="18">
        <v>0</v>
      </c>
      <c r="JGV306" s="18">
        <v>0</v>
      </c>
      <c r="JGW306" s="18">
        <v>0</v>
      </c>
      <c r="JGX306" s="18">
        <v>0</v>
      </c>
      <c r="JGY306" s="18">
        <v>0</v>
      </c>
      <c r="JGZ306" s="18">
        <v>0</v>
      </c>
      <c r="JHA306" s="18">
        <v>0</v>
      </c>
      <c r="JHB306" s="18">
        <v>0</v>
      </c>
      <c r="JHC306" s="18">
        <v>0</v>
      </c>
      <c r="JHD306" s="18">
        <v>0</v>
      </c>
      <c r="JHE306" s="18">
        <v>0</v>
      </c>
      <c r="JHF306" s="18">
        <v>0</v>
      </c>
      <c r="JHG306" s="18">
        <v>0</v>
      </c>
      <c r="JHH306" s="18">
        <v>0</v>
      </c>
      <c r="JHI306" s="18">
        <v>0</v>
      </c>
      <c r="JHJ306" s="18">
        <v>0</v>
      </c>
      <c r="JHK306" s="18">
        <v>0</v>
      </c>
      <c r="JHL306" s="18">
        <v>0</v>
      </c>
      <c r="JHM306" s="18">
        <v>0</v>
      </c>
      <c r="JHN306" s="18">
        <v>0</v>
      </c>
      <c r="JHO306" s="18">
        <v>0</v>
      </c>
      <c r="JHP306" s="18">
        <v>0</v>
      </c>
      <c r="JHQ306" s="18">
        <v>0</v>
      </c>
      <c r="JHR306" s="18">
        <v>0</v>
      </c>
      <c r="JHS306" s="18">
        <v>0</v>
      </c>
      <c r="JHT306" s="18">
        <v>0</v>
      </c>
      <c r="JHU306" s="18">
        <v>0</v>
      </c>
      <c r="JHV306" s="18">
        <v>0</v>
      </c>
      <c r="JHW306" s="18">
        <v>0</v>
      </c>
      <c r="JHX306" s="18">
        <v>0</v>
      </c>
      <c r="JHY306" s="18">
        <v>0</v>
      </c>
      <c r="JHZ306" s="18">
        <v>0</v>
      </c>
      <c r="JIA306" s="18">
        <v>0</v>
      </c>
      <c r="JIB306" s="18">
        <v>0</v>
      </c>
      <c r="JIC306" s="18">
        <v>0</v>
      </c>
      <c r="JID306" s="18">
        <v>0</v>
      </c>
      <c r="JIE306" s="18">
        <v>0</v>
      </c>
      <c r="JIF306" s="18">
        <v>0</v>
      </c>
      <c r="JIG306" s="18">
        <v>0</v>
      </c>
      <c r="JIH306" s="18">
        <v>0</v>
      </c>
      <c r="JII306" s="18">
        <v>0</v>
      </c>
      <c r="JIJ306" s="18">
        <v>0</v>
      </c>
      <c r="JIK306" s="18">
        <v>0</v>
      </c>
      <c r="JIL306" s="18">
        <v>0</v>
      </c>
      <c r="JIM306" s="18">
        <v>0</v>
      </c>
      <c r="JIN306" s="18">
        <v>0</v>
      </c>
      <c r="JIO306" s="18">
        <v>0</v>
      </c>
      <c r="JIP306" s="18">
        <v>0</v>
      </c>
      <c r="JIQ306" s="18">
        <v>0</v>
      </c>
      <c r="JIR306" s="18">
        <v>0</v>
      </c>
      <c r="JIS306" s="18">
        <v>0</v>
      </c>
      <c r="JIT306" s="18">
        <v>0</v>
      </c>
      <c r="JIU306" s="18">
        <v>0</v>
      </c>
      <c r="JIV306" s="18">
        <v>0</v>
      </c>
      <c r="JIW306" s="18">
        <v>0</v>
      </c>
      <c r="JIX306" s="18">
        <v>0</v>
      </c>
      <c r="JIY306" s="18">
        <v>0</v>
      </c>
      <c r="JIZ306" s="18">
        <v>0</v>
      </c>
      <c r="JJA306" s="18">
        <v>0</v>
      </c>
      <c r="JJB306" s="18">
        <v>0</v>
      </c>
      <c r="JJC306" s="18">
        <v>0</v>
      </c>
      <c r="JJD306" s="18">
        <v>0</v>
      </c>
      <c r="JJE306" s="18">
        <v>0</v>
      </c>
      <c r="JJF306" s="18">
        <v>0</v>
      </c>
      <c r="JJG306" s="18">
        <v>0</v>
      </c>
      <c r="JJH306" s="18">
        <v>0</v>
      </c>
      <c r="JJI306" s="18">
        <v>0</v>
      </c>
      <c r="JJJ306" s="18">
        <v>0</v>
      </c>
      <c r="JJK306" s="18">
        <v>0</v>
      </c>
      <c r="JJL306" s="18">
        <v>0</v>
      </c>
      <c r="JJM306" s="18">
        <v>0</v>
      </c>
      <c r="JJN306" s="18">
        <v>0</v>
      </c>
      <c r="JJO306" s="18">
        <v>0</v>
      </c>
      <c r="JJP306" s="18">
        <v>0</v>
      </c>
      <c r="JJQ306" s="18">
        <v>0</v>
      </c>
      <c r="JJR306" s="18">
        <v>0</v>
      </c>
      <c r="JJS306" s="18">
        <v>0</v>
      </c>
      <c r="JJT306" s="18">
        <v>0</v>
      </c>
      <c r="JJU306" s="18">
        <v>0</v>
      </c>
      <c r="JJV306" s="18">
        <v>0</v>
      </c>
      <c r="JJW306" s="18">
        <v>0</v>
      </c>
      <c r="JJX306" s="18">
        <v>0</v>
      </c>
      <c r="JJY306" s="18">
        <v>0</v>
      </c>
      <c r="JJZ306" s="18">
        <v>0</v>
      </c>
      <c r="JKA306" s="18">
        <v>0</v>
      </c>
      <c r="JKB306" s="18">
        <v>0</v>
      </c>
      <c r="JKC306" s="18">
        <v>0</v>
      </c>
      <c r="JKD306" s="18">
        <v>0</v>
      </c>
      <c r="JKE306" s="18">
        <v>0</v>
      </c>
      <c r="JKF306" s="18">
        <v>0</v>
      </c>
      <c r="JKG306" s="18">
        <v>0</v>
      </c>
      <c r="JKH306" s="18">
        <v>0</v>
      </c>
      <c r="JKI306" s="18">
        <v>0</v>
      </c>
      <c r="JKJ306" s="18">
        <v>0</v>
      </c>
      <c r="JKK306" s="18">
        <v>0</v>
      </c>
      <c r="JKL306" s="18">
        <v>0</v>
      </c>
      <c r="JKM306" s="18">
        <v>0</v>
      </c>
      <c r="JKN306" s="18">
        <v>0</v>
      </c>
      <c r="JKO306" s="18">
        <v>0</v>
      </c>
      <c r="JKP306" s="18">
        <v>0</v>
      </c>
      <c r="JKQ306" s="18">
        <v>0</v>
      </c>
      <c r="JKR306" s="18">
        <v>0</v>
      </c>
      <c r="JKS306" s="18">
        <v>0</v>
      </c>
      <c r="JKT306" s="18">
        <v>0</v>
      </c>
      <c r="JKU306" s="18">
        <v>0</v>
      </c>
      <c r="JKV306" s="18">
        <v>0</v>
      </c>
      <c r="JKW306" s="18">
        <v>0</v>
      </c>
      <c r="JKX306" s="18">
        <v>0</v>
      </c>
      <c r="JKY306" s="18">
        <v>0</v>
      </c>
      <c r="JKZ306" s="18">
        <v>0</v>
      </c>
      <c r="JLA306" s="18">
        <v>0</v>
      </c>
      <c r="JLB306" s="18">
        <v>0</v>
      </c>
      <c r="JLC306" s="18">
        <v>0</v>
      </c>
      <c r="JLD306" s="18">
        <v>0</v>
      </c>
      <c r="JLE306" s="18">
        <v>0</v>
      </c>
      <c r="JLF306" s="18">
        <v>0</v>
      </c>
      <c r="JLG306" s="18">
        <v>0</v>
      </c>
      <c r="JLH306" s="18">
        <v>0</v>
      </c>
      <c r="JLI306" s="18">
        <v>0</v>
      </c>
      <c r="JLJ306" s="18">
        <v>0</v>
      </c>
      <c r="JLK306" s="18">
        <v>0</v>
      </c>
      <c r="JLL306" s="18">
        <v>0</v>
      </c>
      <c r="JLM306" s="18">
        <v>0</v>
      </c>
      <c r="JLN306" s="18">
        <v>0</v>
      </c>
      <c r="JLO306" s="18">
        <v>0</v>
      </c>
      <c r="JLP306" s="18">
        <v>0</v>
      </c>
      <c r="JLQ306" s="18">
        <v>0</v>
      </c>
      <c r="JLR306" s="18">
        <v>0</v>
      </c>
      <c r="JLS306" s="18">
        <v>0</v>
      </c>
      <c r="JLT306" s="18">
        <v>0</v>
      </c>
      <c r="JLU306" s="18">
        <v>0</v>
      </c>
      <c r="JLV306" s="18">
        <v>0</v>
      </c>
      <c r="JLW306" s="18">
        <v>0</v>
      </c>
      <c r="JLX306" s="18">
        <v>0</v>
      </c>
      <c r="JLY306" s="18">
        <v>0</v>
      </c>
      <c r="JLZ306" s="18">
        <v>0</v>
      </c>
      <c r="JMA306" s="18">
        <v>0</v>
      </c>
      <c r="JMB306" s="18">
        <v>0</v>
      </c>
      <c r="JMC306" s="18">
        <v>0</v>
      </c>
      <c r="JMD306" s="18">
        <v>0</v>
      </c>
      <c r="JME306" s="18">
        <v>0</v>
      </c>
      <c r="JMF306" s="18">
        <v>0</v>
      </c>
      <c r="JMG306" s="18">
        <v>0</v>
      </c>
      <c r="JMH306" s="18">
        <v>0</v>
      </c>
      <c r="JMI306" s="18">
        <v>0</v>
      </c>
      <c r="JMJ306" s="18">
        <v>0</v>
      </c>
      <c r="JMK306" s="18">
        <v>0</v>
      </c>
      <c r="JML306" s="18">
        <v>0</v>
      </c>
      <c r="JMM306" s="18">
        <v>0</v>
      </c>
      <c r="JMN306" s="18">
        <v>0</v>
      </c>
      <c r="JMO306" s="18">
        <v>0</v>
      </c>
      <c r="JMP306" s="18">
        <v>0</v>
      </c>
      <c r="JMQ306" s="18">
        <v>0</v>
      </c>
      <c r="JMR306" s="18">
        <v>0</v>
      </c>
      <c r="JMS306" s="18">
        <v>0</v>
      </c>
      <c r="JMT306" s="18">
        <v>0</v>
      </c>
      <c r="JMU306" s="18">
        <v>0</v>
      </c>
      <c r="JMV306" s="18">
        <v>0</v>
      </c>
      <c r="JMW306" s="18">
        <v>0</v>
      </c>
      <c r="JMX306" s="18">
        <v>0</v>
      </c>
      <c r="JMY306" s="18">
        <v>0</v>
      </c>
      <c r="JMZ306" s="18">
        <v>0</v>
      </c>
      <c r="JNA306" s="18">
        <v>0</v>
      </c>
      <c r="JNB306" s="18">
        <v>0</v>
      </c>
      <c r="JNC306" s="18">
        <v>0</v>
      </c>
      <c r="JND306" s="18">
        <v>0</v>
      </c>
      <c r="JNE306" s="18">
        <v>0</v>
      </c>
      <c r="JNF306" s="18">
        <v>0</v>
      </c>
      <c r="JNG306" s="18">
        <v>0</v>
      </c>
      <c r="JNH306" s="18">
        <v>0</v>
      </c>
      <c r="JNI306" s="18">
        <v>0</v>
      </c>
      <c r="JNJ306" s="18">
        <v>0</v>
      </c>
      <c r="JNK306" s="18">
        <v>0</v>
      </c>
      <c r="JNL306" s="18">
        <v>0</v>
      </c>
      <c r="JNM306" s="18">
        <v>0</v>
      </c>
      <c r="JNN306" s="18">
        <v>0</v>
      </c>
      <c r="JNO306" s="18">
        <v>0</v>
      </c>
      <c r="JNP306" s="18">
        <v>0</v>
      </c>
      <c r="JNQ306" s="18">
        <v>0</v>
      </c>
      <c r="JNR306" s="18">
        <v>0</v>
      </c>
      <c r="JNS306" s="18">
        <v>0</v>
      </c>
      <c r="JNT306" s="18">
        <v>0</v>
      </c>
      <c r="JNU306" s="18">
        <v>0</v>
      </c>
      <c r="JNV306" s="18">
        <v>0</v>
      </c>
      <c r="JNW306" s="18">
        <v>0</v>
      </c>
      <c r="JNX306" s="18">
        <v>0</v>
      </c>
      <c r="JNY306" s="18">
        <v>0</v>
      </c>
      <c r="JNZ306" s="18">
        <v>0</v>
      </c>
      <c r="JOA306" s="18">
        <v>0</v>
      </c>
      <c r="JOB306" s="18">
        <v>0</v>
      </c>
      <c r="JOC306" s="18">
        <v>0</v>
      </c>
      <c r="JOD306" s="18">
        <v>0</v>
      </c>
      <c r="JOE306" s="18">
        <v>0</v>
      </c>
      <c r="JOF306" s="18">
        <v>0</v>
      </c>
      <c r="JOG306" s="18">
        <v>0</v>
      </c>
      <c r="JOH306" s="18">
        <v>0</v>
      </c>
      <c r="JOI306" s="18">
        <v>0</v>
      </c>
      <c r="JOJ306" s="18">
        <v>0</v>
      </c>
      <c r="JOK306" s="18">
        <v>0</v>
      </c>
      <c r="JOL306" s="18">
        <v>0</v>
      </c>
      <c r="JOM306" s="18">
        <v>0</v>
      </c>
      <c r="JON306" s="18">
        <v>0</v>
      </c>
      <c r="JOO306" s="18">
        <v>0</v>
      </c>
      <c r="JOP306" s="18">
        <v>0</v>
      </c>
      <c r="JOQ306" s="18">
        <v>0</v>
      </c>
      <c r="JOR306" s="18">
        <v>0</v>
      </c>
      <c r="JOS306" s="18">
        <v>0</v>
      </c>
      <c r="JOT306" s="18">
        <v>0</v>
      </c>
      <c r="JOU306" s="18">
        <v>0</v>
      </c>
      <c r="JOV306" s="18">
        <v>0</v>
      </c>
      <c r="JOW306" s="18">
        <v>0</v>
      </c>
      <c r="JOX306" s="18">
        <v>0</v>
      </c>
      <c r="JOY306" s="18">
        <v>0</v>
      </c>
      <c r="JOZ306" s="18">
        <v>0</v>
      </c>
      <c r="JPA306" s="18">
        <v>0</v>
      </c>
      <c r="JPB306" s="18">
        <v>0</v>
      </c>
      <c r="JPC306" s="18">
        <v>0</v>
      </c>
      <c r="JPD306" s="18">
        <v>0</v>
      </c>
      <c r="JPE306" s="18">
        <v>0</v>
      </c>
      <c r="JPF306" s="18">
        <v>0</v>
      </c>
      <c r="JPG306" s="18">
        <v>0</v>
      </c>
      <c r="JPH306" s="18">
        <v>0</v>
      </c>
      <c r="JPI306" s="18">
        <v>0</v>
      </c>
      <c r="JPJ306" s="18">
        <v>0</v>
      </c>
      <c r="JPK306" s="18">
        <v>0</v>
      </c>
      <c r="JPL306" s="18">
        <v>0</v>
      </c>
      <c r="JPM306" s="18">
        <v>0</v>
      </c>
      <c r="JPN306" s="18">
        <v>0</v>
      </c>
      <c r="JPO306" s="18">
        <v>0</v>
      </c>
      <c r="JPP306" s="18">
        <v>0</v>
      </c>
      <c r="JPQ306" s="18">
        <v>0</v>
      </c>
      <c r="JPR306" s="18">
        <v>0</v>
      </c>
      <c r="JPS306" s="18">
        <v>0</v>
      </c>
      <c r="JPT306" s="18">
        <v>0</v>
      </c>
      <c r="JPU306" s="18">
        <v>0</v>
      </c>
      <c r="JPV306" s="18">
        <v>0</v>
      </c>
      <c r="JPW306" s="18">
        <v>0</v>
      </c>
      <c r="JPX306" s="18">
        <v>0</v>
      </c>
      <c r="JPY306" s="18">
        <v>0</v>
      </c>
      <c r="JPZ306" s="18">
        <v>0</v>
      </c>
      <c r="JQA306" s="18">
        <v>0</v>
      </c>
      <c r="JQB306" s="18">
        <v>0</v>
      </c>
      <c r="JQC306" s="18">
        <v>0</v>
      </c>
      <c r="JQD306" s="18">
        <v>0</v>
      </c>
      <c r="JQE306" s="18">
        <v>0</v>
      </c>
      <c r="JQF306" s="18">
        <v>0</v>
      </c>
      <c r="JQG306" s="18">
        <v>0</v>
      </c>
      <c r="JQH306" s="18">
        <v>0</v>
      </c>
      <c r="JQI306" s="18">
        <v>0</v>
      </c>
      <c r="JQJ306" s="18">
        <v>0</v>
      </c>
      <c r="JQK306" s="18">
        <v>0</v>
      </c>
      <c r="JQL306" s="18">
        <v>0</v>
      </c>
      <c r="JQM306" s="18">
        <v>0</v>
      </c>
      <c r="JQN306" s="18">
        <v>0</v>
      </c>
      <c r="JQO306" s="18">
        <v>0</v>
      </c>
      <c r="JQP306" s="18">
        <v>0</v>
      </c>
      <c r="JQQ306" s="18">
        <v>0</v>
      </c>
      <c r="JQR306" s="18">
        <v>0</v>
      </c>
      <c r="JQS306" s="18">
        <v>0</v>
      </c>
      <c r="JQT306" s="18">
        <v>0</v>
      </c>
      <c r="JQU306" s="18">
        <v>0</v>
      </c>
      <c r="JQV306" s="18">
        <v>0</v>
      </c>
      <c r="JQW306" s="18">
        <v>0</v>
      </c>
      <c r="JQX306" s="18">
        <v>0</v>
      </c>
      <c r="JQY306" s="18">
        <v>0</v>
      </c>
      <c r="JQZ306" s="18">
        <v>0</v>
      </c>
      <c r="JRA306" s="18">
        <v>0</v>
      </c>
      <c r="JRB306" s="18">
        <v>0</v>
      </c>
      <c r="JRC306" s="18">
        <v>0</v>
      </c>
      <c r="JRD306" s="18">
        <v>0</v>
      </c>
      <c r="JRE306" s="18">
        <v>0</v>
      </c>
      <c r="JRF306" s="18">
        <v>0</v>
      </c>
      <c r="JRG306" s="18">
        <v>0</v>
      </c>
      <c r="JRH306" s="18">
        <v>0</v>
      </c>
      <c r="JRI306" s="18">
        <v>0</v>
      </c>
      <c r="JRJ306" s="18">
        <v>0</v>
      </c>
      <c r="JRK306" s="18">
        <v>0</v>
      </c>
      <c r="JRL306" s="18">
        <v>0</v>
      </c>
      <c r="JRM306" s="18">
        <v>0</v>
      </c>
      <c r="JRN306" s="18">
        <v>0</v>
      </c>
      <c r="JRO306" s="18">
        <v>0</v>
      </c>
      <c r="JRP306" s="18">
        <v>0</v>
      </c>
      <c r="JRQ306" s="18">
        <v>0</v>
      </c>
      <c r="JRR306" s="18">
        <v>0</v>
      </c>
      <c r="JRS306" s="18">
        <v>0</v>
      </c>
      <c r="JRT306" s="18">
        <v>0</v>
      </c>
      <c r="JRU306" s="18">
        <v>0</v>
      </c>
      <c r="JRV306" s="18">
        <v>0</v>
      </c>
      <c r="JRW306" s="18">
        <v>0</v>
      </c>
      <c r="JRX306" s="18">
        <v>0</v>
      </c>
      <c r="JRY306" s="18">
        <v>0</v>
      </c>
      <c r="JRZ306" s="18">
        <v>0</v>
      </c>
      <c r="JSA306" s="18">
        <v>0</v>
      </c>
      <c r="JSB306" s="18">
        <v>0</v>
      </c>
      <c r="JSC306" s="18">
        <v>0</v>
      </c>
      <c r="JSD306" s="18">
        <v>0</v>
      </c>
      <c r="JSE306" s="18">
        <v>0</v>
      </c>
      <c r="JSF306" s="18">
        <v>0</v>
      </c>
      <c r="JSG306" s="18">
        <v>0</v>
      </c>
      <c r="JSH306" s="18">
        <v>0</v>
      </c>
      <c r="JSI306" s="18">
        <v>0</v>
      </c>
      <c r="JSJ306" s="18">
        <v>0</v>
      </c>
      <c r="JSK306" s="18">
        <v>0</v>
      </c>
      <c r="JSL306" s="18">
        <v>0</v>
      </c>
      <c r="JSM306" s="18">
        <v>0</v>
      </c>
      <c r="JSN306" s="18">
        <v>0</v>
      </c>
      <c r="JSO306" s="18">
        <v>0</v>
      </c>
      <c r="JSP306" s="18">
        <v>0</v>
      </c>
      <c r="JSQ306" s="18">
        <v>0</v>
      </c>
      <c r="JSR306" s="18">
        <v>0</v>
      </c>
      <c r="JSS306" s="18">
        <v>0</v>
      </c>
      <c r="JST306" s="18">
        <v>0</v>
      </c>
      <c r="JSU306" s="18">
        <v>0</v>
      </c>
      <c r="JSV306" s="18">
        <v>0</v>
      </c>
      <c r="JSW306" s="18">
        <v>0</v>
      </c>
      <c r="JSX306" s="18">
        <v>0</v>
      </c>
      <c r="JSY306" s="18">
        <v>0</v>
      </c>
      <c r="JSZ306" s="18">
        <v>0</v>
      </c>
      <c r="JTA306" s="18">
        <v>0</v>
      </c>
      <c r="JTB306" s="18">
        <v>0</v>
      </c>
      <c r="JTC306" s="18">
        <v>0</v>
      </c>
      <c r="JTD306" s="18">
        <v>0</v>
      </c>
      <c r="JTE306" s="18">
        <v>0</v>
      </c>
      <c r="JTF306" s="18">
        <v>0</v>
      </c>
      <c r="JTG306" s="18">
        <v>0</v>
      </c>
      <c r="JTH306" s="18">
        <v>0</v>
      </c>
      <c r="JTI306" s="18">
        <v>0</v>
      </c>
      <c r="JTJ306" s="18">
        <v>0</v>
      </c>
      <c r="JTK306" s="18">
        <v>0</v>
      </c>
      <c r="JTL306" s="18">
        <v>0</v>
      </c>
      <c r="JTM306" s="18">
        <v>0</v>
      </c>
      <c r="JTN306" s="18">
        <v>0</v>
      </c>
      <c r="JTO306" s="18">
        <v>0</v>
      </c>
      <c r="JTP306" s="18">
        <v>0</v>
      </c>
      <c r="JTQ306" s="18">
        <v>0</v>
      </c>
      <c r="JTR306" s="18">
        <v>0</v>
      </c>
      <c r="JTS306" s="18">
        <v>0</v>
      </c>
      <c r="JTT306" s="18">
        <v>0</v>
      </c>
      <c r="JTU306" s="18">
        <v>0</v>
      </c>
      <c r="JTV306" s="18">
        <v>0</v>
      </c>
      <c r="JTW306" s="18">
        <v>0</v>
      </c>
      <c r="JTX306" s="18">
        <v>0</v>
      </c>
      <c r="JTY306" s="18">
        <v>0</v>
      </c>
      <c r="JTZ306" s="18">
        <v>0</v>
      </c>
      <c r="JUA306" s="18">
        <v>0</v>
      </c>
      <c r="JUB306" s="18">
        <v>0</v>
      </c>
      <c r="JUC306" s="18">
        <v>0</v>
      </c>
      <c r="JUD306" s="18">
        <v>0</v>
      </c>
      <c r="JUE306" s="18">
        <v>0</v>
      </c>
      <c r="JUF306" s="18">
        <v>0</v>
      </c>
      <c r="JUG306" s="18">
        <v>0</v>
      </c>
      <c r="JUH306" s="18">
        <v>0</v>
      </c>
      <c r="JUI306" s="18">
        <v>0</v>
      </c>
      <c r="JUJ306" s="18">
        <v>0</v>
      </c>
      <c r="JUK306" s="18">
        <v>0</v>
      </c>
      <c r="JUL306" s="18">
        <v>0</v>
      </c>
      <c r="JUM306" s="18">
        <v>0</v>
      </c>
      <c r="JUN306" s="18">
        <v>0</v>
      </c>
      <c r="JUO306" s="18">
        <v>0</v>
      </c>
      <c r="JUP306" s="18">
        <v>0</v>
      </c>
      <c r="JUQ306" s="18">
        <v>0</v>
      </c>
      <c r="JUR306" s="18">
        <v>0</v>
      </c>
      <c r="JUS306" s="18">
        <v>0</v>
      </c>
      <c r="JUT306" s="18">
        <v>0</v>
      </c>
      <c r="JUU306" s="18">
        <v>0</v>
      </c>
      <c r="JUV306" s="18">
        <v>0</v>
      </c>
      <c r="JUW306" s="18">
        <v>0</v>
      </c>
      <c r="JUX306" s="18">
        <v>0</v>
      </c>
      <c r="JUY306" s="18">
        <v>0</v>
      </c>
      <c r="JUZ306" s="18">
        <v>0</v>
      </c>
      <c r="JVA306" s="18">
        <v>0</v>
      </c>
      <c r="JVB306" s="18">
        <v>0</v>
      </c>
      <c r="JVC306" s="18">
        <v>0</v>
      </c>
      <c r="JVD306" s="18">
        <v>0</v>
      </c>
      <c r="JVE306" s="18">
        <v>0</v>
      </c>
      <c r="JVF306" s="18">
        <v>0</v>
      </c>
      <c r="JVG306" s="18">
        <v>0</v>
      </c>
      <c r="JVH306" s="18">
        <v>0</v>
      </c>
      <c r="JVI306" s="18">
        <v>0</v>
      </c>
      <c r="JVJ306" s="18">
        <v>0</v>
      </c>
      <c r="JVK306" s="18">
        <v>0</v>
      </c>
      <c r="JVL306" s="18">
        <v>0</v>
      </c>
      <c r="JVM306" s="18">
        <v>0</v>
      </c>
      <c r="JVN306" s="18">
        <v>0</v>
      </c>
      <c r="JVO306" s="18">
        <v>0</v>
      </c>
      <c r="JVP306" s="18">
        <v>0</v>
      </c>
      <c r="JVQ306" s="18">
        <v>0</v>
      </c>
      <c r="JVR306" s="18">
        <v>0</v>
      </c>
      <c r="JVS306" s="18">
        <v>0</v>
      </c>
      <c r="JVT306" s="18">
        <v>0</v>
      </c>
      <c r="JVU306" s="18">
        <v>0</v>
      </c>
      <c r="JVV306" s="18">
        <v>0</v>
      </c>
      <c r="JVW306" s="18">
        <v>0</v>
      </c>
      <c r="JVX306" s="18">
        <v>0</v>
      </c>
      <c r="JVY306" s="18">
        <v>0</v>
      </c>
      <c r="JVZ306" s="18">
        <v>0</v>
      </c>
      <c r="JWA306" s="18">
        <v>0</v>
      </c>
      <c r="JWB306" s="18">
        <v>0</v>
      </c>
      <c r="JWC306" s="18">
        <v>0</v>
      </c>
      <c r="JWD306" s="18">
        <v>0</v>
      </c>
      <c r="JWE306" s="18">
        <v>0</v>
      </c>
      <c r="JWF306" s="18">
        <v>0</v>
      </c>
      <c r="JWG306" s="18">
        <v>0</v>
      </c>
      <c r="JWH306" s="18">
        <v>0</v>
      </c>
      <c r="JWI306" s="18">
        <v>0</v>
      </c>
      <c r="JWJ306" s="18">
        <v>0</v>
      </c>
      <c r="JWK306" s="18">
        <v>0</v>
      </c>
      <c r="JWL306" s="18">
        <v>0</v>
      </c>
      <c r="JWM306" s="18">
        <v>0</v>
      </c>
      <c r="JWN306" s="18">
        <v>0</v>
      </c>
      <c r="JWO306" s="18">
        <v>0</v>
      </c>
      <c r="JWP306" s="18">
        <v>0</v>
      </c>
      <c r="JWQ306" s="18">
        <v>0</v>
      </c>
      <c r="JWR306" s="18">
        <v>0</v>
      </c>
      <c r="JWS306" s="18">
        <v>0</v>
      </c>
      <c r="JWT306" s="18">
        <v>0</v>
      </c>
      <c r="JWU306" s="18">
        <v>0</v>
      </c>
      <c r="JWV306" s="18">
        <v>0</v>
      </c>
      <c r="JWW306" s="18">
        <v>0</v>
      </c>
      <c r="JWX306" s="18">
        <v>0</v>
      </c>
      <c r="JWY306" s="18">
        <v>0</v>
      </c>
      <c r="JWZ306" s="18">
        <v>0</v>
      </c>
      <c r="JXA306" s="18">
        <v>0</v>
      </c>
      <c r="JXB306" s="18">
        <v>0</v>
      </c>
      <c r="JXC306" s="18">
        <v>0</v>
      </c>
      <c r="JXD306" s="18">
        <v>0</v>
      </c>
      <c r="JXE306" s="18">
        <v>0</v>
      </c>
      <c r="JXF306" s="18">
        <v>0</v>
      </c>
      <c r="JXG306" s="18">
        <v>0</v>
      </c>
      <c r="JXH306" s="18">
        <v>0</v>
      </c>
      <c r="JXI306" s="18">
        <v>0</v>
      </c>
      <c r="JXJ306" s="18">
        <v>0</v>
      </c>
      <c r="JXK306" s="18">
        <v>0</v>
      </c>
      <c r="JXL306" s="18">
        <v>0</v>
      </c>
      <c r="JXM306" s="18">
        <v>0</v>
      </c>
      <c r="JXN306" s="18">
        <v>0</v>
      </c>
      <c r="JXO306" s="18">
        <v>0</v>
      </c>
      <c r="JXP306" s="18">
        <v>0</v>
      </c>
      <c r="JXQ306" s="18">
        <v>0</v>
      </c>
      <c r="JXR306" s="18">
        <v>0</v>
      </c>
      <c r="JXS306" s="18">
        <v>0</v>
      </c>
      <c r="JXT306" s="18">
        <v>0</v>
      </c>
      <c r="JXU306" s="18">
        <v>0</v>
      </c>
      <c r="JXV306" s="18">
        <v>0</v>
      </c>
      <c r="JXW306" s="18">
        <v>0</v>
      </c>
      <c r="JXX306" s="18">
        <v>0</v>
      </c>
      <c r="JXY306" s="18">
        <v>0</v>
      </c>
      <c r="JXZ306" s="18">
        <v>0</v>
      </c>
      <c r="JYA306" s="18">
        <v>0</v>
      </c>
      <c r="JYB306" s="18">
        <v>0</v>
      </c>
      <c r="JYC306" s="18">
        <v>0</v>
      </c>
      <c r="JYD306" s="18">
        <v>0</v>
      </c>
      <c r="JYE306" s="18">
        <v>0</v>
      </c>
      <c r="JYF306" s="18">
        <v>0</v>
      </c>
      <c r="JYG306" s="18">
        <v>0</v>
      </c>
      <c r="JYH306" s="18">
        <v>0</v>
      </c>
      <c r="JYI306" s="18">
        <v>0</v>
      </c>
      <c r="JYJ306" s="18">
        <v>0</v>
      </c>
      <c r="JYK306" s="18">
        <v>0</v>
      </c>
      <c r="JYL306" s="18">
        <v>0</v>
      </c>
      <c r="JYM306" s="18">
        <v>0</v>
      </c>
      <c r="JYN306" s="18">
        <v>0</v>
      </c>
      <c r="JYO306" s="18">
        <v>0</v>
      </c>
      <c r="JYP306" s="18">
        <v>0</v>
      </c>
      <c r="JYQ306" s="18">
        <v>0</v>
      </c>
      <c r="JYR306" s="18">
        <v>0</v>
      </c>
      <c r="JYS306" s="18">
        <v>0</v>
      </c>
      <c r="JYT306" s="18">
        <v>0</v>
      </c>
      <c r="JYU306" s="18">
        <v>0</v>
      </c>
      <c r="JYV306" s="18">
        <v>0</v>
      </c>
      <c r="JYW306" s="18">
        <v>0</v>
      </c>
      <c r="JYX306" s="18">
        <v>0</v>
      </c>
      <c r="JYY306" s="18">
        <v>0</v>
      </c>
      <c r="JYZ306" s="18">
        <v>0</v>
      </c>
      <c r="JZA306" s="18">
        <v>0</v>
      </c>
      <c r="JZB306" s="18">
        <v>0</v>
      </c>
      <c r="JZC306" s="18">
        <v>0</v>
      </c>
      <c r="JZD306" s="18">
        <v>0</v>
      </c>
      <c r="JZE306" s="18">
        <v>0</v>
      </c>
      <c r="JZF306" s="18">
        <v>0</v>
      </c>
      <c r="JZG306" s="18">
        <v>0</v>
      </c>
      <c r="JZH306" s="18">
        <v>0</v>
      </c>
      <c r="JZI306" s="18">
        <v>0</v>
      </c>
      <c r="JZJ306" s="18">
        <v>0</v>
      </c>
      <c r="JZK306" s="18">
        <v>0</v>
      </c>
      <c r="JZL306" s="18">
        <v>0</v>
      </c>
      <c r="JZM306" s="18">
        <v>0</v>
      </c>
      <c r="JZN306" s="18">
        <v>0</v>
      </c>
      <c r="JZO306" s="18">
        <v>0</v>
      </c>
      <c r="JZP306" s="18">
        <v>0</v>
      </c>
      <c r="JZQ306" s="18">
        <v>0</v>
      </c>
      <c r="JZR306" s="18">
        <v>0</v>
      </c>
      <c r="JZS306" s="18">
        <v>0</v>
      </c>
      <c r="JZT306" s="18">
        <v>0</v>
      </c>
      <c r="JZU306" s="18">
        <v>0</v>
      </c>
      <c r="JZV306" s="18">
        <v>0</v>
      </c>
      <c r="JZW306" s="18">
        <v>0</v>
      </c>
      <c r="JZX306" s="18">
        <v>0</v>
      </c>
      <c r="JZY306" s="18">
        <v>0</v>
      </c>
      <c r="JZZ306" s="18">
        <v>0</v>
      </c>
      <c r="KAA306" s="18">
        <v>0</v>
      </c>
      <c r="KAB306" s="18">
        <v>0</v>
      </c>
      <c r="KAC306" s="18">
        <v>0</v>
      </c>
      <c r="KAD306" s="18">
        <v>0</v>
      </c>
      <c r="KAE306" s="18">
        <v>0</v>
      </c>
      <c r="KAF306" s="18">
        <v>0</v>
      </c>
      <c r="KAG306" s="18">
        <v>0</v>
      </c>
      <c r="KAH306" s="18">
        <v>0</v>
      </c>
      <c r="KAI306" s="18">
        <v>0</v>
      </c>
      <c r="KAJ306" s="18">
        <v>0</v>
      </c>
      <c r="KAK306" s="18">
        <v>0</v>
      </c>
      <c r="KAL306" s="18">
        <v>0</v>
      </c>
      <c r="KAM306" s="18">
        <v>0</v>
      </c>
      <c r="KAN306" s="18">
        <v>0</v>
      </c>
      <c r="KAO306" s="18">
        <v>0</v>
      </c>
      <c r="KAP306" s="18">
        <v>0</v>
      </c>
      <c r="KAQ306" s="18">
        <v>0</v>
      </c>
      <c r="KAR306" s="18">
        <v>0</v>
      </c>
      <c r="KAS306" s="18">
        <v>0</v>
      </c>
      <c r="KAT306" s="18">
        <v>0</v>
      </c>
      <c r="KAU306" s="18">
        <v>0</v>
      </c>
      <c r="KAV306" s="18">
        <v>0</v>
      </c>
      <c r="KAW306" s="18">
        <v>0</v>
      </c>
      <c r="KAX306" s="18">
        <v>0</v>
      </c>
      <c r="KAY306" s="18">
        <v>0</v>
      </c>
      <c r="KAZ306" s="18">
        <v>0</v>
      </c>
      <c r="KBA306" s="18">
        <v>0</v>
      </c>
      <c r="KBB306" s="18">
        <v>0</v>
      </c>
      <c r="KBC306" s="18">
        <v>0</v>
      </c>
      <c r="KBD306" s="18">
        <v>0</v>
      </c>
      <c r="KBE306" s="18">
        <v>0</v>
      </c>
      <c r="KBF306" s="18">
        <v>0</v>
      </c>
      <c r="KBG306" s="18">
        <v>0</v>
      </c>
      <c r="KBH306" s="18">
        <v>0</v>
      </c>
      <c r="KBI306" s="18">
        <v>0</v>
      </c>
      <c r="KBJ306" s="18">
        <v>0</v>
      </c>
      <c r="KBK306" s="18">
        <v>0</v>
      </c>
      <c r="KBL306" s="18">
        <v>0</v>
      </c>
      <c r="KBM306" s="18">
        <v>0</v>
      </c>
      <c r="KBN306" s="18">
        <v>0</v>
      </c>
      <c r="KBO306" s="18">
        <v>0</v>
      </c>
      <c r="KBP306" s="18">
        <v>0</v>
      </c>
      <c r="KBQ306" s="18">
        <v>0</v>
      </c>
      <c r="KBR306" s="18">
        <v>0</v>
      </c>
      <c r="KBS306" s="18">
        <v>0</v>
      </c>
      <c r="KBT306" s="18">
        <v>0</v>
      </c>
      <c r="KBU306" s="18">
        <v>0</v>
      </c>
      <c r="KBV306" s="18">
        <v>0</v>
      </c>
      <c r="KBW306" s="18">
        <v>0</v>
      </c>
      <c r="KBX306" s="18">
        <v>0</v>
      </c>
      <c r="KBY306" s="18">
        <v>0</v>
      </c>
      <c r="KBZ306" s="18">
        <v>0</v>
      </c>
      <c r="KCA306" s="18">
        <v>0</v>
      </c>
      <c r="KCB306" s="18">
        <v>0</v>
      </c>
      <c r="KCC306" s="18">
        <v>0</v>
      </c>
      <c r="KCD306" s="18">
        <v>0</v>
      </c>
      <c r="KCE306" s="18">
        <v>0</v>
      </c>
      <c r="KCF306" s="18">
        <v>0</v>
      </c>
      <c r="KCG306" s="18">
        <v>0</v>
      </c>
      <c r="KCH306" s="18">
        <v>0</v>
      </c>
      <c r="KCI306" s="18">
        <v>0</v>
      </c>
      <c r="KCJ306" s="18">
        <v>0</v>
      </c>
      <c r="KCK306" s="18">
        <v>0</v>
      </c>
      <c r="KCL306" s="18">
        <v>0</v>
      </c>
      <c r="KCM306" s="18">
        <v>0</v>
      </c>
      <c r="KCN306" s="18">
        <v>0</v>
      </c>
      <c r="KCO306" s="18">
        <v>0</v>
      </c>
      <c r="KCP306" s="18">
        <v>0</v>
      </c>
      <c r="KCQ306" s="18">
        <v>0</v>
      </c>
      <c r="KCR306" s="18">
        <v>0</v>
      </c>
      <c r="KCS306" s="18">
        <v>0</v>
      </c>
      <c r="KCT306" s="18">
        <v>0</v>
      </c>
      <c r="KCU306" s="18">
        <v>0</v>
      </c>
      <c r="KCV306" s="18">
        <v>0</v>
      </c>
      <c r="KCW306" s="18">
        <v>0</v>
      </c>
      <c r="KCX306" s="18">
        <v>0</v>
      </c>
      <c r="KCY306" s="18">
        <v>0</v>
      </c>
      <c r="KCZ306" s="18">
        <v>0</v>
      </c>
      <c r="KDA306" s="18">
        <v>0</v>
      </c>
      <c r="KDB306" s="18">
        <v>0</v>
      </c>
      <c r="KDC306" s="18">
        <v>0</v>
      </c>
      <c r="KDD306" s="18">
        <v>0</v>
      </c>
      <c r="KDE306" s="18">
        <v>0</v>
      </c>
      <c r="KDF306" s="18">
        <v>0</v>
      </c>
      <c r="KDG306" s="18">
        <v>0</v>
      </c>
      <c r="KDH306" s="18">
        <v>0</v>
      </c>
      <c r="KDI306" s="18">
        <v>0</v>
      </c>
      <c r="KDJ306" s="18">
        <v>0</v>
      </c>
      <c r="KDK306" s="18">
        <v>0</v>
      </c>
      <c r="KDL306" s="18">
        <v>0</v>
      </c>
      <c r="KDM306" s="18">
        <v>0</v>
      </c>
      <c r="KDN306" s="18">
        <v>0</v>
      </c>
      <c r="KDO306" s="18">
        <v>0</v>
      </c>
      <c r="KDP306" s="18">
        <v>0</v>
      </c>
      <c r="KDQ306" s="18">
        <v>0</v>
      </c>
      <c r="KDR306" s="18">
        <v>0</v>
      </c>
      <c r="KDS306" s="18">
        <v>0</v>
      </c>
      <c r="KDT306" s="18">
        <v>0</v>
      </c>
      <c r="KDU306" s="18">
        <v>0</v>
      </c>
      <c r="KDV306" s="18">
        <v>0</v>
      </c>
      <c r="KDW306" s="18">
        <v>0</v>
      </c>
      <c r="KDX306" s="18">
        <v>0</v>
      </c>
      <c r="KDY306" s="18">
        <v>0</v>
      </c>
      <c r="KDZ306" s="18">
        <v>0</v>
      </c>
      <c r="KEA306" s="18">
        <v>0</v>
      </c>
      <c r="KEB306" s="18">
        <v>0</v>
      </c>
      <c r="KEC306" s="18">
        <v>0</v>
      </c>
      <c r="KED306" s="18">
        <v>0</v>
      </c>
      <c r="KEE306" s="18">
        <v>0</v>
      </c>
      <c r="KEF306" s="18">
        <v>0</v>
      </c>
      <c r="KEG306" s="18">
        <v>0</v>
      </c>
      <c r="KEH306" s="18">
        <v>0</v>
      </c>
      <c r="KEI306" s="18">
        <v>0</v>
      </c>
      <c r="KEJ306" s="18">
        <v>0</v>
      </c>
      <c r="KEK306" s="18">
        <v>0</v>
      </c>
      <c r="KEL306" s="18">
        <v>0</v>
      </c>
      <c r="KEM306" s="18">
        <v>0</v>
      </c>
      <c r="KEN306" s="18">
        <v>0</v>
      </c>
      <c r="KEO306" s="18">
        <v>0</v>
      </c>
      <c r="KEP306" s="18">
        <v>0</v>
      </c>
      <c r="KEQ306" s="18">
        <v>0</v>
      </c>
      <c r="KER306" s="18">
        <v>0</v>
      </c>
      <c r="KES306" s="18">
        <v>0</v>
      </c>
      <c r="KET306" s="18">
        <v>0</v>
      </c>
      <c r="KEU306" s="18">
        <v>0</v>
      </c>
      <c r="KEV306" s="18">
        <v>0</v>
      </c>
      <c r="KEW306" s="18">
        <v>0</v>
      </c>
      <c r="KEX306" s="18">
        <v>0</v>
      </c>
      <c r="KEY306" s="18">
        <v>0</v>
      </c>
      <c r="KEZ306" s="18">
        <v>0</v>
      </c>
      <c r="KFA306" s="18">
        <v>0</v>
      </c>
      <c r="KFB306" s="18">
        <v>0</v>
      </c>
      <c r="KFC306" s="18">
        <v>0</v>
      </c>
      <c r="KFD306" s="18">
        <v>0</v>
      </c>
      <c r="KFE306" s="18">
        <v>0</v>
      </c>
      <c r="KFF306" s="18">
        <v>0</v>
      </c>
      <c r="KFG306" s="18">
        <v>0</v>
      </c>
      <c r="KFH306" s="18">
        <v>0</v>
      </c>
      <c r="KFI306" s="18">
        <v>0</v>
      </c>
      <c r="KFJ306" s="18">
        <v>0</v>
      </c>
      <c r="KFK306" s="18">
        <v>0</v>
      </c>
      <c r="KFL306" s="18">
        <v>0</v>
      </c>
      <c r="KFM306" s="18">
        <v>0</v>
      </c>
      <c r="KFN306" s="18">
        <v>0</v>
      </c>
      <c r="KFO306" s="18">
        <v>0</v>
      </c>
      <c r="KFP306" s="18">
        <v>0</v>
      </c>
      <c r="KFQ306" s="18">
        <v>0</v>
      </c>
      <c r="KFR306" s="18">
        <v>0</v>
      </c>
      <c r="KFS306" s="18">
        <v>0</v>
      </c>
      <c r="KFT306" s="18">
        <v>0</v>
      </c>
      <c r="KFU306" s="18">
        <v>0</v>
      </c>
      <c r="KFV306" s="18">
        <v>0</v>
      </c>
      <c r="KFW306" s="18">
        <v>0</v>
      </c>
      <c r="KFX306" s="18">
        <v>0</v>
      </c>
      <c r="KFY306" s="18">
        <v>0</v>
      </c>
      <c r="KFZ306" s="18">
        <v>0</v>
      </c>
      <c r="KGA306" s="18">
        <v>0</v>
      </c>
      <c r="KGB306" s="18">
        <v>0</v>
      </c>
      <c r="KGC306" s="18">
        <v>0</v>
      </c>
      <c r="KGD306" s="18">
        <v>0</v>
      </c>
      <c r="KGE306" s="18">
        <v>0</v>
      </c>
      <c r="KGF306" s="18">
        <v>0</v>
      </c>
      <c r="KGG306" s="18">
        <v>0</v>
      </c>
      <c r="KGH306" s="18">
        <v>0</v>
      </c>
      <c r="KGI306" s="18">
        <v>0</v>
      </c>
      <c r="KGJ306" s="18">
        <v>0</v>
      </c>
      <c r="KGK306" s="18">
        <v>0</v>
      </c>
      <c r="KGL306" s="18">
        <v>0</v>
      </c>
      <c r="KGM306" s="18">
        <v>0</v>
      </c>
      <c r="KGN306" s="18">
        <v>0</v>
      </c>
      <c r="KGO306" s="18">
        <v>0</v>
      </c>
      <c r="KGP306" s="18">
        <v>0</v>
      </c>
      <c r="KGQ306" s="18">
        <v>0</v>
      </c>
      <c r="KGR306" s="18">
        <v>0</v>
      </c>
      <c r="KGS306" s="18">
        <v>0</v>
      </c>
      <c r="KGT306" s="18">
        <v>0</v>
      </c>
      <c r="KGU306" s="18">
        <v>0</v>
      </c>
      <c r="KGV306" s="18">
        <v>0</v>
      </c>
      <c r="KGW306" s="18">
        <v>0</v>
      </c>
      <c r="KGX306" s="18">
        <v>0</v>
      </c>
      <c r="KGY306" s="18">
        <v>0</v>
      </c>
      <c r="KGZ306" s="18">
        <v>0</v>
      </c>
      <c r="KHA306" s="18">
        <v>0</v>
      </c>
      <c r="KHB306" s="18">
        <v>0</v>
      </c>
      <c r="KHC306" s="18">
        <v>0</v>
      </c>
      <c r="KHD306" s="18">
        <v>0</v>
      </c>
      <c r="KHE306" s="18">
        <v>0</v>
      </c>
      <c r="KHF306" s="18">
        <v>0</v>
      </c>
      <c r="KHG306" s="18">
        <v>0</v>
      </c>
      <c r="KHH306" s="18">
        <v>0</v>
      </c>
      <c r="KHI306" s="18">
        <v>0</v>
      </c>
      <c r="KHJ306" s="18">
        <v>0</v>
      </c>
      <c r="KHK306" s="18">
        <v>0</v>
      </c>
      <c r="KHL306" s="18">
        <v>0</v>
      </c>
      <c r="KHM306" s="18">
        <v>0</v>
      </c>
      <c r="KHN306" s="18">
        <v>0</v>
      </c>
      <c r="KHO306" s="18">
        <v>0</v>
      </c>
      <c r="KHP306" s="18">
        <v>0</v>
      </c>
      <c r="KHQ306" s="18">
        <v>0</v>
      </c>
      <c r="KHR306" s="18">
        <v>0</v>
      </c>
      <c r="KHS306" s="18">
        <v>0</v>
      </c>
      <c r="KHT306" s="18">
        <v>0</v>
      </c>
      <c r="KHU306" s="18">
        <v>0</v>
      </c>
      <c r="KHV306" s="18">
        <v>0</v>
      </c>
      <c r="KHW306" s="18">
        <v>0</v>
      </c>
      <c r="KHX306" s="18">
        <v>0</v>
      </c>
      <c r="KHY306" s="18">
        <v>0</v>
      </c>
      <c r="KHZ306" s="18">
        <v>0</v>
      </c>
      <c r="KIA306" s="18">
        <v>0</v>
      </c>
      <c r="KIB306" s="18">
        <v>0</v>
      </c>
      <c r="KIC306" s="18">
        <v>0</v>
      </c>
      <c r="KID306" s="18">
        <v>0</v>
      </c>
      <c r="KIE306" s="18">
        <v>0</v>
      </c>
      <c r="KIF306" s="18">
        <v>0</v>
      </c>
      <c r="KIG306" s="18">
        <v>0</v>
      </c>
      <c r="KIH306" s="18">
        <v>0</v>
      </c>
      <c r="KII306" s="18">
        <v>0</v>
      </c>
      <c r="KIJ306" s="18">
        <v>0</v>
      </c>
      <c r="KIK306" s="18">
        <v>0</v>
      </c>
      <c r="KIL306" s="18">
        <v>0</v>
      </c>
      <c r="KIM306" s="18">
        <v>0</v>
      </c>
      <c r="KIN306" s="18">
        <v>0</v>
      </c>
      <c r="KIO306" s="18">
        <v>0</v>
      </c>
      <c r="KIP306" s="18">
        <v>0</v>
      </c>
      <c r="KIQ306" s="18">
        <v>0</v>
      </c>
      <c r="KIR306" s="18">
        <v>0</v>
      </c>
      <c r="KIS306" s="18">
        <v>0</v>
      </c>
      <c r="KIT306" s="18">
        <v>0</v>
      </c>
      <c r="KIU306" s="18">
        <v>0</v>
      </c>
      <c r="KIV306" s="18">
        <v>0</v>
      </c>
      <c r="KIW306" s="18">
        <v>0</v>
      </c>
      <c r="KIX306" s="18">
        <v>0</v>
      </c>
      <c r="KIY306" s="18">
        <v>0</v>
      </c>
      <c r="KIZ306" s="18">
        <v>0</v>
      </c>
      <c r="KJA306" s="18">
        <v>0</v>
      </c>
      <c r="KJB306" s="18">
        <v>0</v>
      </c>
      <c r="KJC306" s="18">
        <v>0</v>
      </c>
      <c r="KJD306" s="18">
        <v>0</v>
      </c>
      <c r="KJE306" s="18">
        <v>0</v>
      </c>
      <c r="KJF306" s="18">
        <v>0</v>
      </c>
      <c r="KJG306" s="18">
        <v>0</v>
      </c>
      <c r="KJH306" s="18">
        <v>0</v>
      </c>
      <c r="KJI306" s="18">
        <v>0</v>
      </c>
      <c r="KJJ306" s="18">
        <v>0</v>
      </c>
      <c r="KJK306" s="18">
        <v>0</v>
      </c>
      <c r="KJL306" s="18">
        <v>0</v>
      </c>
      <c r="KJM306" s="18">
        <v>0</v>
      </c>
      <c r="KJN306" s="18">
        <v>0</v>
      </c>
      <c r="KJO306" s="18">
        <v>0</v>
      </c>
      <c r="KJP306" s="18">
        <v>0</v>
      </c>
      <c r="KJQ306" s="18">
        <v>0</v>
      </c>
      <c r="KJR306" s="18">
        <v>0</v>
      </c>
      <c r="KJS306" s="18">
        <v>0</v>
      </c>
      <c r="KJT306" s="18">
        <v>0</v>
      </c>
      <c r="KJU306" s="18">
        <v>0</v>
      </c>
      <c r="KJV306" s="18">
        <v>0</v>
      </c>
      <c r="KJW306" s="18">
        <v>0</v>
      </c>
      <c r="KJX306" s="18">
        <v>0</v>
      </c>
      <c r="KJY306" s="18">
        <v>0</v>
      </c>
      <c r="KJZ306" s="18">
        <v>0</v>
      </c>
      <c r="KKA306" s="18">
        <v>0</v>
      </c>
      <c r="KKB306" s="18">
        <v>0</v>
      </c>
      <c r="KKC306" s="18">
        <v>0</v>
      </c>
      <c r="KKD306" s="18">
        <v>0</v>
      </c>
      <c r="KKE306" s="18">
        <v>0</v>
      </c>
      <c r="KKF306" s="18">
        <v>0</v>
      </c>
      <c r="KKG306" s="18">
        <v>0</v>
      </c>
      <c r="KKH306" s="18">
        <v>0</v>
      </c>
      <c r="KKI306" s="18">
        <v>0</v>
      </c>
      <c r="KKJ306" s="18">
        <v>0</v>
      </c>
      <c r="KKK306" s="18">
        <v>0</v>
      </c>
      <c r="KKL306" s="18">
        <v>0</v>
      </c>
      <c r="KKM306" s="18">
        <v>0</v>
      </c>
      <c r="KKN306" s="18">
        <v>0</v>
      </c>
      <c r="KKO306" s="18">
        <v>0</v>
      </c>
      <c r="KKP306" s="18">
        <v>0</v>
      </c>
      <c r="KKQ306" s="18">
        <v>0</v>
      </c>
      <c r="KKR306" s="18">
        <v>0</v>
      </c>
      <c r="KKS306" s="18">
        <v>0</v>
      </c>
      <c r="KKT306" s="18">
        <v>0</v>
      </c>
      <c r="KKU306" s="18">
        <v>0</v>
      </c>
      <c r="KKV306" s="18">
        <v>0</v>
      </c>
      <c r="KKW306" s="18">
        <v>0</v>
      </c>
      <c r="KKX306" s="18">
        <v>0</v>
      </c>
      <c r="KKY306" s="18">
        <v>0</v>
      </c>
      <c r="KKZ306" s="18">
        <v>0</v>
      </c>
      <c r="KLA306" s="18">
        <v>0</v>
      </c>
      <c r="KLB306" s="18">
        <v>0</v>
      </c>
      <c r="KLC306" s="18">
        <v>0</v>
      </c>
      <c r="KLD306" s="18">
        <v>0</v>
      </c>
      <c r="KLE306" s="18">
        <v>0</v>
      </c>
      <c r="KLF306" s="18">
        <v>0</v>
      </c>
      <c r="KLG306" s="18">
        <v>0</v>
      </c>
      <c r="KLH306" s="18">
        <v>0</v>
      </c>
      <c r="KLI306" s="18">
        <v>0</v>
      </c>
      <c r="KLJ306" s="18">
        <v>0</v>
      </c>
      <c r="KLK306" s="18">
        <v>0</v>
      </c>
      <c r="KLL306" s="18">
        <v>0</v>
      </c>
      <c r="KLM306" s="18">
        <v>0</v>
      </c>
      <c r="KLN306" s="18">
        <v>0</v>
      </c>
      <c r="KLO306" s="18">
        <v>0</v>
      </c>
      <c r="KLP306" s="18">
        <v>0</v>
      </c>
      <c r="KLQ306" s="18">
        <v>0</v>
      </c>
      <c r="KLR306" s="18">
        <v>0</v>
      </c>
      <c r="KLS306" s="18">
        <v>0</v>
      </c>
      <c r="KLT306" s="18">
        <v>0</v>
      </c>
      <c r="KLU306" s="18">
        <v>0</v>
      </c>
      <c r="KLV306" s="18">
        <v>0</v>
      </c>
      <c r="KLW306" s="18">
        <v>0</v>
      </c>
      <c r="KLX306" s="18">
        <v>0</v>
      </c>
      <c r="KLY306" s="18">
        <v>0</v>
      </c>
      <c r="KLZ306" s="18">
        <v>0</v>
      </c>
      <c r="KMA306" s="18">
        <v>0</v>
      </c>
      <c r="KMB306" s="18">
        <v>0</v>
      </c>
      <c r="KMC306" s="18">
        <v>0</v>
      </c>
      <c r="KMD306" s="18">
        <v>0</v>
      </c>
      <c r="KME306" s="18">
        <v>0</v>
      </c>
      <c r="KMF306" s="18">
        <v>0</v>
      </c>
      <c r="KMG306" s="18">
        <v>0</v>
      </c>
      <c r="KMH306" s="18">
        <v>0</v>
      </c>
      <c r="KMI306" s="18">
        <v>0</v>
      </c>
      <c r="KMJ306" s="18">
        <v>0</v>
      </c>
      <c r="KMK306" s="18">
        <v>0</v>
      </c>
      <c r="KML306" s="18">
        <v>0</v>
      </c>
      <c r="KMM306" s="18">
        <v>0</v>
      </c>
      <c r="KMN306" s="18">
        <v>0</v>
      </c>
      <c r="KMO306" s="18">
        <v>0</v>
      </c>
      <c r="KMP306" s="18">
        <v>0</v>
      </c>
      <c r="KMQ306" s="18">
        <v>0</v>
      </c>
      <c r="KMR306" s="18">
        <v>0</v>
      </c>
      <c r="KMS306" s="18">
        <v>0</v>
      </c>
      <c r="KMT306" s="18">
        <v>0</v>
      </c>
      <c r="KMU306" s="18">
        <v>0</v>
      </c>
      <c r="KMV306" s="18">
        <v>0</v>
      </c>
      <c r="KMW306" s="18">
        <v>0</v>
      </c>
      <c r="KMX306" s="18">
        <v>0</v>
      </c>
      <c r="KMY306" s="18">
        <v>0</v>
      </c>
      <c r="KMZ306" s="18">
        <v>0</v>
      </c>
      <c r="KNA306" s="18">
        <v>0</v>
      </c>
      <c r="KNB306" s="18">
        <v>0</v>
      </c>
      <c r="KNC306" s="18">
        <v>0</v>
      </c>
      <c r="KND306" s="18">
        <v>0</v>
      </c>
      <c r="KNE306" s="18">
        <v>0</v>
      </c>
      <c r="KNF306" s="18">
        <v>0</v>
      </c>
      <c r="KNG306" s="18">
        <v>0</v>
      </c>
      <c r="KNH306" s="18">
        <v>0</v>
      </c>
      <c r="KNI306" s="18">
        <v>0</v>
      </c>
      <c r="KNJ306" s="18">
        <v>0</v>
      </c>
      <c r="KNK306" s="18">
        <v>0</v>
      </c>
      <c r="KNL306" s="18">
        <v>0</v>
      </c>
      <c r="KNM306" s="18">
        <v>0</v>
      </c>
      <c r="KNN306" s="18">
        <v>0</v>
      </c>
      <c r="KNO306" s="18">
        <v>0</v>
      </c>
      <c r="KNP306" s="18">
        <v>0</v>
      </c>
      <c r="KNQ306" s="18">
        <v>0</v>
      </c>
      <c r="KNR306" s="18">
        <v>0</v>
      </c>
      <c r="KNS306" s="18">
        <v>0</v>
      </c>
      <c r="KNT306" s="18">
        <v>0</v>
      </c>
      <c r="KNU306" s="18">
        <v>0</v>
      </c>
      <c r="KNV306" s="18">
        <v>0</v>
      </c>
      <c r="KNW306" s="18">
        <v>0</v>
      </c>
      <c r="KNX306" s="18">
        <v>0</v>
      </c>
      <c r="KNY306" s="18">
        <v>0</v>
      </c>
      <c r="KNZ306" s="18">
        <v>0</v>
      </c>
      <c r="KOA306" s="18">
        <v>0</v>
      </c>
      <c r="KOB306" s="18">
        <v>0</v>
      </c>
      <c r="KOC306" s="18">
        <v>0</v>
      </c>
      <c r="KOD306" s="18">
        <v>0</v>
      </c>
      <c r="KOE306" s="18">
        <v>0</v>
      </c>
      <c r="KOF306" s="18">
        <v>0</v>
      </c>
      <c r="KOG306" s="18">
        <v>0</v>
      </c>
      <c r="KOH306" s="18">
        <v>0</v>
      </c>
      <c r="KOI306" s="18">
        <v>0</v>
      </c>
      <c r="KOJ306" s="18">
        <v>0</v>
      </c>
      <c r="KOK306" s="18">
        <v>0</v>
      </c>
      <c r="KOL306" s="18">
        <v>0</v>
      </c>
      <c r="KOM306" s="18">
        <v>0</v>
      </c>
      <c r="KON306" s="18">
        <v>0</v>
      </c>
      <c r="KOO306" s="18">
        <v>0</v>
      </c>
      <c r="KOP306" s="18">
        <v>0</v>
      </c>
      <c r="KOQ306" s="18">
        <v>0</v>
      </c>
      <c r="KOR306" s="18">
        <v>0</v>
      </c>
      <c r="KOS306" s="18">
        <v>0</v>
      </c>
      <c r="KOT306" s="18">
        <v>0</v>
      </c>
      <c r="KOU306" s="18">
        <v>0</v>
      </c>
      <c r="KOV306" s="18">
        <v>0</v>
      </c>
      <c r="KOW306" s="18">
        <v>0</v>
      </c>
      <c r="KOX306" s="18">
        <v>0</v>
      </c>
      <c r="KOY306" s="18">
        <v>0</v>
      </c>
      <c r="KOZ306" s="18">
        <v>0</v>
      </c>
      <c r="KPA306" s="18">
        <v>0</v>
      </c>
      <c r="KPB306" s="18">
        <v>0</v>
      </c>
      <c r="KPC306" s="18">
        <v>0</v>
      </c>
      <c r="KPD306" s="18">
        <v>0</v>
      </c>
      <c r="KPE306" s="18">
        <v>0</v>
      </c>
      <c r="KPF306" s="18">
        <v>0</v>
      </c>
      <c r="KPG306" s="18">
        <v>0</v>
      </c>
      <c r="KPH306" s="18">
        <v>0</v>
      </c>
      <c r="KPI306" s="18">
        <v>0</v>
      </c>
      <c r="KPJ306" s="18">
        <v>0</v>
      </c>
      <c r="KPK306" s="18">
        <v>0</v>
      </c>
      <c r="KPL306" s="18">
        <v>0</v>
      </c>
      <c r="KPM306" s="18">
        <v>0</v>
      </c>
      <c r="KPN306" s="18">
        <v>0</v>
      </c>
      <c r="KPO306" s="18">
        <v>0</v>
      </c>
      <c r="KPP306" s="18">
        <v>0</v>
      </c>
      <c r="KPQ306" s="18">
        <v>0</v>
      </c>
      <c r="KPR306" s="18">
        <v>0</v>
      </c>
      <c r="KPS306" s="18">
        <v>0</v>
      </c>
      <c r="KPT306" s="18">
        <v>0</v>
      </c>
      <c r="KPU306" s="18">
        <v>0</v>
      </c>
      <c r="KPV306" s="18">
        <v>0</v>
      </c>
      <c r="KPW306" s="18">
        <v>0</v>
      </c>
      <c r="KPX306" s="18">
        <v>0</v>
      </c>
      <c r="KPY306" s="18">
        <v>0</v>
      </c>
      <c r="KPZ306" s="18">
        <v>0</v>
      </c>
      <c r="KQA306" s="18">
        <v>0</v>
      </c>
      <c r="KQB306" s="18">
        <v>0</v>
      </c>
      <c r="KQC306" s="18">
        <v>0</v>
      </c>
      <c r="KQD306" s="18">
        <v>0</v>
      </c>
      <c r="KQE306" s="18">
        <v>0</v>
      </c>
      <c r="KQF306" s="18">
        <v>0</v>
      </c>
      <c r="KQG306" s="18">
        <v>0</v>
      </c>
      <c r="KQH306" s="18">
        <v>0</v>
      </c>
      <c r="KQI306" s="18">
        <v>0</v>
      </c>
      <c r="KQJ306" s="18">
        <v>0</v>
      </c>
      <c r="KQK306" s="18">
        <v>0</v>
      </c>
      <c r="KQL306" s="18">
        <v>0</v>
      </c>
      <c r="KQM306" s="18">
        <v>0</v>
      </c>
      <c r="KQN306" s="18">
        <v>0</v>
      </c>
      <c r="KQO306" s="18">
        <v>0</v>
      </c>
      <c r="KQP306" s="18">
        <v>0</v>
      </c>
      <c r="KQQ306" s="18">
        <v>0</v>
      </c>
      <c r="KQR306" s="18">
        <v>0</v>
      </c>
      <c r="KQS306" s="18">
        <v>0</v>
      </c>
      <c r="KQT306" s="18">
        <v>0</v>
      </c>
      <c r="KQU306" s="18">
        <v>0</v>
      </c>
      <c r="KQV306" s="18">
        <v>0</v>
      </c>
      <c r="KQW306" s="18">
        <v>0</v>
      </c>
      <c r="KQX306" s="18">
        <v>0</v>
      </c>
      <c r="KQY306" s="18">
        <v>0</v>
      </c>
      <c r="KQZ306" s="18">
        <v>0</v>
      </c>
      <c r="KRA306" s="18">
        <v>0</v>
      </c>
      <c r="KRB306" s="18">
        <v>0</v>
      </c>
      <c r="KRC306" s="18">
        <v>0</v>
      </c>
      <c r="KRD306" s="18">
        <v>0</v>
      </c>
      <c r="KRE306" s="18">
        <v>0</v>
      </c>
      <c r="KRF306" s="18">
        <v>0</v>
      </c>
      <c r="KRG306" s="18">
        <v>0</v>
      </c>
      <c r="KRH306" s="18">
        <v>0</v>
      </c>
      <c r="KRI306" s="18">
        <v>0</v>
      </c>
      <c r="KRJ306" s="18">
        <v>0</v>
      </c>
      <c r="KRK306" s="18">
        <v>0</v>
      </c>
      <c r="KRL306" s="18">
        <v>0</v>
      </c>
      <c r="KRM306" s="18">
        <v>0</v>
      </c>
      <c r="KRN306" s="18">
        <v>0</v>
      </c>
      <c r="KRO306" s="18">
        <v>0</v>
      </c>
      <c r="KRP306" s="18">
        <v>0</v>
      </c>
      <c r="KRQ306" s="18">
        <v>0</v>
      </c>
      <c r="KRR306" s="18">
        <v>0</v>
      </c>
      <c r="KRS306" s="18">
        <v>0</v>
      </c>
      <c r="KRT306" s="18">
        <v>0</v>
      </c>
      <c r="KRU306" s="18">
        <v>0</v>
      </c>
      <c r="KRV306" s="18">
        <v>0</v>
      </c>
      <c r="KRW306" s="18">
        <v>0</v>
      </c>
      <c r="KRX306" s="18">
        <v>0</v>
      </c>
      <c r="KRY306" s="18">
        <v>0</v>
      </c>
      <c r="KRZ306" s="18">
        <v>0</v>
      </c>
      <c r="KSA306" s="18">
        <v>0</v>
      </c>
      <c r="KSB306" s="18">
        <v>0</v>
      </c>
      <c r="KSC306" s="18">
        <v>0</v>
      </c>
      <c r="KSD306" s="18">
        <v>0</v>
      </c>
      <c r="KSE306" s="18">
        <v>0</v>
      </c>
      <c r="KSF306" s="18">
        <v>0</v>
      </c>
      <c r="KSG306" s="18">
        <v>0</v>
      </c>
      <c r="KSH306" s="18">
        <v>0</v>
      </c>
      <c r="KSI306" s="18">
        <v>0</v>
      </c>
      <c r="KSJ306" s="18">
        <v>0</v>
      </c>
      <c r="KSK306" s="18">
        <v>0</v>
      </c>
      <c r="KSL306" s="18">
        <v>0</v>
      </c>
      <c r="KSM306" s="18">
        <v>0</v>
      </c>
      <c r="KSN306" s="18">
        <v>0</v>
      </c>
      <c r="KSO306" s="18">
        <v>0</v>
      </c>
      <c r="KSP306" s="18">
        <v>0</v>
      </c>
      <c r="KSQ306" s="18">
        <v>0</v>
      </c>
      <c r="KSR306" s="18">
        <v>0</v>
      </c>
      <c r="KSS306" s="18">
        <v>0</v>
      </c>
      <c r="KST306" s="18">
        <v>0</v>
      </c>
      <c r="KSU306" s="18">
        <v>0</v>
      </c>
      <c r="KSV306" s="18">
        <v>0</v>
      </c>
      <c r="KSW306" s="18">
        <v>0</v>
      </c>
      <c r="KSX306" s="18">
        <v>0</v>
      </c>
      <c r="KSY306" s="18">
        <v>0</v>
      </c>
      <c r="KSZ306" s="18">
        <v>0</v>
      </c>
      <c r="KTA306" s="18">
        <v>0</v>
      </c>
      <c r="KTB306" s="18">
        <v>0</v>
      </c>
      <c r="KTC306" s="18">
        <v>0</v>
      </c>
      <c r="KTD306" s="18">
        <v>0</v>
      </c>
      <c r="KTE306" s="18">
        <v>0</v>
      </c>
      <c r="KTF306" s="18">
        <v>0</v>
      </c>
      <c r="KTG306" s="18">
        <v>0</v>
      </c>
      <c r="KTH306" s="18">
        <v>0</v>
      </c>
      <c r="KTI306" s="18">
        <v>0</v>
      </c>
      <c r="KTJ306" s="18">
        <v>0</v>
      </c>
      <c r="KTK306" s="18">
        <v>0</v>
      </c>
      <c r="KTL306" s="18">
        <v>0</v>
      </c>
      <c r="KTM306" s="18">
        <v>0</v>
      </c>
      <c r="KTN306" s="18">
        <v>0</v>
      </c>
      <c r="KTO306" s="18">
        <v>0</v>
      </c>
      <c r="KTP306" s="18">
        <v>0</v>
      </c>
      <c r="KTQ306" s="18">
        <v>0</v>
      </c>
      <c r="KTR306" s="18">
        <v>0</v>
      </c>
      <c r="KTS306" s="18">
        <v>0</v>
      </c>
      <c r="KTT306" s="18">
        <v>0</v>
      </c>
      <c r="KTU306" s="18">
        <v>0</v>
      </c>
      <c r="KTV306" s="18">
        <v>0</v>
      </c>
      <c r="KTW306" s="18">
        <v>0</v>
      </c>
      <c r="KTX306" s="18">
        <v>0</v>
      </c>
      <c r="KTY306" s="18">
        <v>0</v>
      </c>
      <c r="KTZ306" s="18">
        <v>0</v>
      </c>
      <c r="KUA306" s="18">
        <v>0</v>
      </c>
      <c r="KUB306" s="18">
        <v>0</v>
      </c>
      <c r="KUC306" s="18">
        <v>0</v>
      </c>
      <c r="KUD306" s="18">
        <v>0</v>
      </c>
      <c r="KUE306" s="18">
        <v>0</v>
      </c>
      <c r="KUF306" s="18">
        <v>0</v>
      </c>
      <c r="KUG306" s="18">
        <v>0</v>
      </c>
      <c r="KUH306" s="18">
        <v>0</v>
      </c>
      <c r="KUI306" s="18">
        <v>0</v>
      </c>
      <c r="KUJ306" s="18">
        <v>0</v>
      </c>
      <c r="KUK306" s="18">
        <v>0</v>
      </c>
      <c r="KUL306" s="18">
        <v>0</v>
      </c>
      <c r="KUM306" s="18">
        <v>0</v>
      </c>
      <c r="KUN306" s="18">
        <v>0</v>
      </c>
      <c r="KUO306" s="18">
        <v>0</v>
      </c>
      <c r="KUP306" s="18">
        <v>0</v>
      </c>
      <c r="KUQ306" s="18">
        <v>0</v>
      </c>
      <c r="KUR306" s="18">
        <v>0</v>
      </c>
      <c r="KUS306" s="18">
        <v>0</v>
      </c>
      <c r="KUT306" s="18">
        <v>0</v>
      </c>
      <c r="KUU306" s="18">
        <v>0</v>
      </c>
      <c r="KUV306" s="18">
        <v>0</v>
      </c>
      <c r="KUW306" s="18">
        <v>0</v>
      </c>
      <c r="KUX306" s="18">
        <v>0</v>
      </c>
      <c r="KUY306" s="18">
        <v>0</v>
      </c>
      <c r="KUZ306" s="18">
        <v>0</v>
      </c>
      <c r="KVA306" s="18">
        <v>0</v>
      </c>
      <c r="KVB306" s="18">
        <v>0</v>
      </c>
      <c r="KVC306" s="18">
        <v>0</v>
      </c>
      <c r="KVD306" s="18">
        <v>0</v>
      </c>
      <c r="KVE306" s="18">
        <v>0</v>
      </c>
      <c r="KVF306" s="18">
        <v>0</v>
      </c>
      <c r="KVG306" s="18">
        <v>0</v>
      </c>
      <c r="KVH306" s="18">
        <v>0</v>
      </c>
      <c r="KVI306" s="18">
        <v>0</v>
      </c>
      <c r="KVJ306" s="18">
        <v>0</v>
      </c>
      <c r="KVK306" s="18">
        <v>0</v>
      </c>
      <c r="KVL306" s="18">
        <v>0</v>
      </c>
      <c r="KVM306" s="18">
        <v>0</v>
      </c>
      <c r="KVN306" s="18">
        <v>0</v>
      </c>
      <c r="KVO306" s="18">
        <v>0</v>
      </c>
      <c r="KVP306" s="18">
        <v>0</v>
      </c>
      <c r="KVQ306" s="18">
        <v>0</v>
      </c>
      <c r="KVR306" s="18">
        <v>0</v>
      </c>
      <c r="KVS306" s="18">
        <v>0</v>
      </c>
      <c r="KVT306" s="18">
        <v>0</v>
      </c>
      <c r="KVU306" s="18">
        <v>0</v>
      </c>
      <c r="KVV306" s="18">
        <v>0</v>
      </c>
      <c r="KVW306" s="18">
        <v>0</v>
      </c>
      <c r="KVX306" s="18">
        <v>0</v>
      </c>
      <c r="KVY306" s="18">
        <v>0</v>
      </c>
      <c r="KVZ306" s="18">
        <v>0</v>
      </c>
      <c r="KWA306" s="18">
        <v>0</v>
      </c>
      <c r="KWB306" s="18">
        <v>0</v>
      </c>
      <c r="KWC306" s="18">
        <v>0</v>
      </c>
      <c r="KWD306" s="18">
        <v>0</v>
      </c>
      <c r="KWE306" s="18">
        <v>0</v>
      </c>
      <c r="KWF306" s="18">
        <v>0</v>
      </c>
      <c r="KWG306" s="18">
        <v>0</v>
      </c>
      <c r="KWH306" s="18">
        <v>0</v>
      </c>
      <c r="KWI306" s="18">
        <v>0</v>
      </c>
      <c r="KWJ306" s="18">
        <v>0</v>
      </c>
      <c r="KWK306" s="18">
        <v>0</v>
      </c>
      <c r="KWL306" s="18">
        <v>0</v>
      </c>
      <c r="KWM306" s="18">
        <v>0</v>
      </c>
      <c r="KWN306" s="18">
        <v>0</v>
      </c>
      <c r="KWO306" s="18">
        <v>0</v>
      </c>
      <c r="KWP306" s="18">
        <v>0</v>
      </c>
      <c r="KWQ306" s="18">
        <v>0</v>
      </c>
      <c r="KWR306" s="18">
        <v>0</v>
      </c>
      <c r="KWS306" s="18">
        <v>0</v>
      </c>
      <c r="KWT306" s="18">
        <v>0</v>
      </c>
      <c r="KWU306" s="18">
        <v>0</v>
      </c>
      <c r="KWV306" s="18">
        <v>0</v>
      </c>
      <c r="KWW306" s="18">
        <v>0</v>
      </c>
      <c r="KWX306" s="18">
        <v>0</v>
      </c>
      <c r="KWY306" s="18">
        <v>0</v>
      </c>
      <c r="KWZ306" s="18">
        <v>0</v>
      </c>
      <c r="KXA306" s="18">
        <v>0</v>
      </c>
      <c r="KXB306" s="18">
        <v>0</v>
      </c>
      <c r="KXC306" s="18">
        <v>0</v>
      </c>
      <c r="KXD306" s="18">
        <v>0</v>
      </c>
      <c r="KXE306" s="18">
        <v>0</v>
      </c>
      <c r="KXF306" s="18">
        <v>0</v>
      </c>
      <c r="KXG306" s="18">
        <v>0</v>
      </c>
      <c r="KXH306" s="18">
        <v>0</v>
      </c>
      <c r="KXI306" s="18">
        <v>0</v>
      </c>
      <c r="KXJ306" s="18">
        <v>0</v>
      </c>
      <c r="KXK306" s="18">
        <v>0</v>
      </c>
      <c r="KXL306" s="18">
        <v>0</v>
      </c>
      <c r="KXM306" s="18">
        <v>0</v>
      </c>
      <c r="KXN306" s="18">
        <v>0</v>
      </c>
      <c r="KXO306" s="18">
        <v>0</v>
      </c>
      <c r="KXP306" s="18">
        <v>0</v>
      </c>
      <c r="KXQ306" s="18">
        <v>0</v>
      </c>
      <c r="KXR306" s="18">
        <v>0</v>
      </c>
      <c r="KXS306" s="18">
        <v>0</v>
      </c>
      <c r="KXT306" s="18">
        <v>0</v>
      </c>
      <c r="KXU306" s="18">
        <v>0</v>
      </c>
      <c r="KXV306" s="18">
        <v>0</v>
      </c>
      <c r="KXW306" s="18">
        <v>0</v>
      </c>
      <c r="KXX306" s="18">
        <v>0</v>
      </c>
      <c r="KXY306" s="18">
        <v>0</v>
      </c>
      <c r="KXZ306" s="18">
        <v>0</v>
      </c>
      <c r="KYA306" s="18">
        <v>0</v>
      </c>
      <c r="KYB306" s="18">
        <v>0</v>
      </c>
      <c r="KYC306" s="18">
        <v>0</v>
      </c>
      <c r="KYD306" s="18">
        <v>0</v>
      </c>
      <c r="KYE306" s="18">
        <v>0</v>
      </c>
      <c r="KYF306" s="18">
        <v>0</v>
      </c>
      <c r="KYG306" s="18">
        <v>0</v>
      </c>
      <c r="KYH306" s="18">
        <v>0</v>
      </c>
      <c r="KYI306" s="18">
        <v>0</v>
      </c>
      <c r="KYJ306" s="18">
        <v>0</v>
      </c>
      <c r="KYK306" s="18">
        <v>0</v>
      </c>
      <c r="KYL306" s="18">
        <v>0</v>
      </c>
      <c r="KYM306" s="18">
        <v>0</v>
      </c>
      <c r="KYN306" s="18">
        <v>0</v>
      </c>
      <c r="KYO306" s="18">
        <v>0</v>
      </c>
      <c r="KYP306" s="18">
        <v>0</v>
      </c>
      <c r="KYQ306" s="18">
        <v>0</v>
      </c>
      <c r="KYR306" s="18">
        <v>0</v>
      </c>
      <c r="KYS306" s="18">
        <v>0</v>
      </c>
      <c r="KYT306" s="18">
        <v>0</v>
      </c>
      <c r="KYU306" s="18">
        <v>0</v>
      </c>
      <c r="KYV306" s="18">
        <v>0</v>
      </c>
      <c r="KYW306" s="18">
        <v>0</v>
      </c>
      <c r="KYX306" s="18">
        <v>0</v>
      </c>
      <c r="KYY306" s="18">
        <v>0</v>
      </c>
      <c r="KYZ306" s="18">
        <v>0</v>
      </c>
      <c r="KZA306" s="18">
        <v>0</v>
      </c>
      <c r="KZB306" s="18">
        <v>0</v>
      </c>
      <c r="KZC306" s="18">
        <v>0</v>
      </c>
      <c r="KZD306" s="18">
        <v>0</v>
      </c>
      <c r="KZE306" s="18">
        <v>0</v>
      </c>
      <c r="KZF306" s="18">
        <v>0</v>
      </c>
      <c r="KZG306" s="18">
        <v>0</v>
      </c>
      <c r="KZH306" s="18">
        <v>0</v>
      </c>
      <c r="KZI306" s="18">
        <v>0</v>
      </c>
      <c r="KZJ306" s="18">
        <v>0</v>
      </c>
      <c r="KZK306" s="18">
        <v>0</v>
      </c>
      <c r="KZL306" s="18">
        <v>0</v>
      </c>
      <c r="KZM306" s="18">
        <v>0</v>
      </c>
      <c r="KZN306" s="18">
        <v>0</v>
      </c>
      <c r="KZO306" s="18">
        <v>0</v>
      </c>
      <c r="KZP306" s="18">
        <v>0</v>
      </c>
      <c r="KZQ306" s="18">
        <v>0</v>
      </c>
      <c r="KZR306" s="18">
        <v>0</v>
      </c>
      <c r="KZS306" s="18">
        <v>0</v>
      </c>
      <c r="KZT306" s="18">
        <v>0</v>
      </c>
      <c r="KZU306" s="18">
        <v>0</v>
      </c>
      <c r="KZV306" s="18">
        <v>0</v>
      </c>
      <c r="KZW306" s="18">
        <v>0</v>
      </c>
      <c r="KZX306" s="18">
        <v>0</v>
      </c>
      <c r="KZY306" s="18">
        <v>0</v>
      </c>
      <c r="KZZ306" s="18">
        <v>0</v>
      </c>
      <c r="LAA306" s="18">
        <v>0</v>
      </c>
      <c r="LAB306" s="18">
        <v>0</v>
      </c>
      <c r="LAC306" s="18">
        <v>0</v>
      </c>
      <c r="LAD306" s="18">
        <v>0</v>
      </c>
      <c r="LAE306" s="18">
        <v>0</v>
      </c>
      <c r="LAF306" s="18">
        <v>0</v>
      </c>
      <c r="LAG306" s="18">
        <v>0</v>
      </c>
      <c r="LAH306" s="18">
        <v>0</v>
      </c>
      <c r="LAI306" s="18">
        <v>0</v>
      </c>
      <c r="LAJ306" s="18">
        <v>0</v>
      </c>
      <c r="LAK306" s="18">
        <v>0</v>
      </c>
      <c r="LAL306" s="18">
        <v>0</v>
      </c>
      <c r="LAM306" s="18">
        <v>0</v>
      </c>
      <c r="LAN306" s="18">
        <v>0</v>
      </c>
      <c r="LAO306" s="18">
        <v>0</v>
      </c>
      <c r="LAP306" s="18">
        <v>0</v>
      </c>
      <c r="LAQ306" s="18">
        <v>0</v>
      </c>
      <c r="LAR306" s="18">
        <v>0</v>
      </c>
      <c r="LAS306" s="18">
        <v>0</v>
      </c>
      <c r="LAT306" s="18">
        <v>0</v>
      </c>
      <c r="LAU306" s="18">
        <v>0</v>
      </c>
      <c r="LAV306" s="18">
        <v>0</v>
      </c>
      <c r="LAW306" s="18">
        <v>0</v>
      </c>
      <c r="LAX306" s="18">
        <v>0</v>
      </c>
      <c r="LAY306" s="18">
        <v>0</v>
      </c>
      <c r="LAZ306" s="18">
        <v>0</v>
      </c>
      <c r="LBA306" s="18">
        <v>0</v>
      </c>
      <c r="LBB306" s="18">
        <v>0</v>
      </c>
      <c r="LBC306" s="18">
        <v>0</v>
      </c>
      <c r="LBD306" s="18">
        <v>0</v>
      </c>
      <c r="LBE306" s="18">
        <v>0</v>
      </c>
      <c r="LBF306" s="18">
        <v>0</v>
      </c>
      <c r="LBG306" s="18">
        <v>0</v>
      </c>
      <c r="LBH306" s="18">
        <v>0</v>
      </c>
      <c r="LBI306" s="18">
        <v>0</v>
      </c>
      <c r="LBJ306" s="18">
        <v>0</v>
      </c>
      <c r="LBK306" s="18">
        <v>0</v>
      </c>
      <c r="LBL306" s="18">
        <v>0</v>
      </c>
      <c r="LBM306" s="18">
        <v>0</v>
      </c>
      <c r="LBN306" s="18">
        <v>0</v>
      </c>
      <c r="LBO306" s="18">
        <v>0</v>
      </c>
      <c r="LBP306" s="18">
        <v>0</v>
      </c>
      <c r="LBQ306" s="18">
        <v>0</v>
      </c>
      <c r="LBR306" s="18">
        <v>0</v>
      </c>
      <c r="LBS306" s="18">
        <v>0</v>
      </c>
      <c r="LBT306" s="18">
        <v>0</v>
      </c>
      <c r="LBU306" s="18">
        <v>0</v>
      </c>
      <c r="LBV306" s="18">
        <v>0</v>
      </c>
      <c r="LBW306" s="18">
        <v>0</v>
      </c>
      <c r="LBX306" s="18">
        <v>0</v>
      </c>
      <c r="LBY306" s="18">
        <v>0</v>
      </c>
      <c r="LBZ306" s="18">
        <v>0</v>
      </c>
      <c r="LCA306" s="18">
        <v>0</v>
      </c>
      <c r="LCB306" s="18">
        <v>0</v>
      </c>
      <c r="LCC306" s="18">
        <v>0</v>
      </c>
      <c r="LCD306" s="18">
        <v>0</v>
      </c>
      <c r="LCE306" s="18">
        <v>0</v>
      </c>
      <c r="LCF306" s="18">
        <v>0</v>
      </c>
      <c r="LCG306" s="18">
        <v>0</v>
      </c>
      <c r="LCH306" s="18">
        <v>0</v>
      </c>
      <c r="LCI306" s="18">
        <v>0</v>
      </c>
      <c r="LCJ306" s="18">
        <v>0</v>
      </c>
      <c r="LCK306" s="18">
        <v>0</v>
      </c>
      <c r="LCL306" s="18">
        <v>0</v>
      </c>
      <c r="LCM306" s="18">
        <v>0</v>
      </c>
      <c r="LCN306" s="18">
        <v>0</v>
      </c>
      <c r="LCO306" s="18">
        <v>0</v>
      </c>
      <c r="LCP306" s="18">
        <v>0</v>
      </c>
      <c r="LCQ306" s="18">
        <v>0</v>
      </c>
      <c r="LCR306" s="18">
        <v>0</v>
      </c>
      <c r="LCS306" s="18">
        <v>0</v>
      </c>
      <c r="LCT306" s="18">
        <v>0</v>
      </c>
      <c r="LCU306" s="18">
        <v>0</v>
      </c>
      <c r="LCV306" s="18">
        <v>0</v>
      </c>
      <c r="LCW306" s="18">
        <v>0</v>
      </c>
      <c r="LCX306" s="18">
        <v>0</v>
      </c>
      <c r="LCY306" s="18">
        <v>0</v>
      </c>
      <c r="LCZ306" s="18">
        <v>0</v>
      </c>
      <c r="LDA306" s="18">
        <v>0</v>
      </c>
      <c r="LDB306" s="18">
        <v>0</v>
      </c>
      <c r="LDC306" s="18">
        <v>0</v>
      </c>
      <c r="LDD306" s="18">
        <v>0</v>
      </c>
      <c r="LDE306" s="18">
        <v>0</v>
      </c>
      <c r="LDF306" s="18">
        <v>0</v>
      </c>
      <c r="LDG306" s="18">
        <v>0</v>
      </c>
      <c r="LDH306" s="18">
        <v>0</v>
      </c>
      <c r="LDI306" s="18">
        <v>0</v>
      </c>
      <c r="LDJ306" s="18">
        <v>0</v>
      </c>
      <c r="LDK306" s="18">
        <v>0</v>
      </c>
      <c r="LDL306" s="18">
        <v>0</v>
      </c>
      <c r="LDM306" s="18">
        <v>0</v>
      </c>
      <c r="LDN306" s="18">
        <v>0</v>
      </c>
      <c r="LDO306" s="18">
        <v>0</v>
      </c>
      <c r="LDP306" s="18">
        <v>0</v>
      </c>
      <c r="LDQ306" s="18">
        <v>0</v>
      </c>
      <c r="LDR306" s="18">
        <v>0</v>
      </c>
      <c r="LDS306" s="18">
        <v>0</v>
      </c>
      <c r="LDT306" s="18">
        <v>0</v>
      </c>
      <c r="LDU306" s="18">
        <v>0</v>
      </c>
      <c r="LDV306" s="18">
        <v>0</v>
      </c>
      <c r="LDW306" s="18">
        <v>0</v>
      </c>
      <c r="LDX306" s="18">
        <v>0</v>
      </c>
      <c r="LDY306" s="18">
        <v>0</v>
      </c>
      <c r="LDZ306" s="18">
        <v>0</v>
      </c>
      <c r="LEA306" s="18">
        <v>0</v>
      </c>
      <c r="LEB306" s="18">
        <v>0</v>
      </c>
      <c r="LEC306" s="18">
        <v>0</v>
      </c>
      <c r="LED306" s="18">
        <v>0</v>
      </c>
      <c r="LEE306" s="18">
        <v>0</v>
      </c>
      <c r="LEF306" s="18">
        <v>0</v>
      </c>
      <c r="LEG306" s="18">
        <v>0</v>
      </c>
      <c r="LEH306" s="18">
        <v>0</v>
      </c>
      <c r="LEI306" s="18">
        <v>0</v>
      </c>
      <c r="LEJ306" s="18">
        <v>0</v>
      </c>
      <c r="LEK306" s="18">
        <v>0</v>
      </c>
      <c r="LEL306" s="18">
        <v>0</v>
      </c>
      <c r="LEM306" s="18">
        <v>0</v>
      </c>
      <c r="LEN306" s="18">
        <v>0</v>
      </c>
      <c r="LEO306" s="18">
        <v>0</v>
      </c>
      <c r="LEP306" s="18">
        <v>0</v>
      </c>
      <c r="LEQ306" s="18">
        <v>0</v>
      </c>
      <c r="LER306" s="18">
        <v>0</v>
      </c>
      <c r="LES306" s="18">
        <v>0</v>
      </c>
      <c r="LET306" s="18">
        <v>0</v>
      </c>
      <c r="LEU306" s="18">
        <v>0</v>
      </c>
      <c r="LEV306" s="18">
        <v>0</v>
      </c>
      <c r="LEW306" s="18">
        <v>0</v>
      </c>
      <c r="LEX306" s="18">
        <v>0</v>
      </c>
      <c r="LEY306" s="18">
        <v>0</v>
      </c>
      <c r="LEZ306" s="18">
        <v>0</v>
      </c>
      <c r="LFA306" s="18">
        <v>0</v>
      </c>
      <c r="LFB306" s="18">
        <v>0</v>
      </c>
      <c r="LFC306" s="18">
        <v>0</v>
      </c>
      <c r="LFD306" s="18">
        <v>0</v>
      </c>
      <c r="LFE306" s="18">
        <v>0</v>
      </c>
      <c r="LFF306" s="18">
        <v>0</v>
      </c>
      <c r="LFG306" s="18">
        <v>0</v>
      </c>
      <c r="LFH306" s="18">
        <v>0</v>
      </c>
      <c r="LFI306" s="18">
        <v>0</v>
      </c>
      <c r="LFJ306" s="18">
        <v>0</v>
      </c>
      <c r="LFK306" s="18">
        <v>0</v>
      </c>
      <c r="LFL306" s="18">
        <v>0</v>
      </c>
      <c r="LFM306" s="18">
        <v>0</v>
      </c>
      <c r="LFN306" s="18">
        <v>0</v>
      </c>
      <c r="LFO306" s="18">
        <v>0</v>
      </c>
      <c r="LFP306" s="18">
        <v>0</v>
      </c>
      <c r="LFQ306" s="18">
        <v>0</v>
      </c>
      <c r="LFR306" s="18">
        <v>0</v>
      </c>
      <c r="LFS306" s="18">
        <v>0</v>
      </c>
      <c r="LFT306" s="18">
        <v>0</v>
      </c>
      <c r="LFU306" s="18">
        <v>0</v>
      </c>
      <c r="LFV306" s="18">
        <v>0</v>
      </c>
      <c r="LFW306" s="18">
        <v>0</v>
      </c>
      <c r="LFX306" s="18">
        <v>0</v>
      </c>
      <c r="LFY306" s="18">
        <v>0</v>
      </c>
      <c r="LFZ306" s="18">
        <v>0</v>
      </c>
      <c r="LGA306" s="18">
        <v>0</v>
      </c>
      <c r="LGB306" s="18">
        <v>0</v>
      </c>
      <c r="LGC306" s="18">
        <v>0</v>
      </c>
      <c r="LGD306" s="18">
        <v>0</v>
      </c>
      <c r="LGE306" s="18">
        <v>0</v>
      </c>
      <c r="LGF306" s="18">
        <v>0</v>
      </c>
      <c r="LGG306" s="18">
        <v>0</v>
      </c>
      <c r="LGH306" s="18">
        <v>0</v>
      </c>
      <c r="LGI306" s="18">
        <v>0</v>
      </c>
      <c r="LGJ306" s="18">
        <v>0</v>
      </c>
      <c r="LGK306" s="18">
        <v>0</v>
      </c>
      <c r="LGL306" s="18">
        <v>0</v>
      </c>
      <c r="LGM306" s="18">
        <v>0</v>
      </c>
      <c r="LGN306" s="18">
        <v>0</v>
      </c>
      <c r="LGO306" s="18">
        <v>0</v>
      </c>
      <c r="LGP306" s="18">
        <v>0</v>
      </c>
      <c r="LGQ306" s="18">
        <v>0</v>
      </c>
      <c r="LGR306" s="18">
        <v>0</v>
      </c>
      <c r="LGS306" s="18">
        <v>0</v>
      </c>
      <c r="LGT306" s="18">
        <v>0</v>
      </c>
      <c r="LGU306" s="18">
        <v>0</v>
      </c>
      <c r="LGV306" s="18">
        <v>0</v>
      </c>
      <c r="LGW306" s="18">
        <v>0</v>
      </c>
      <c r="LGX306" s="18">
        <v>0</v>
      </c>
      <c r="LGY306" s="18">
        <v>0</v>
      </c>
      <c r="LGZ306" s="18">
        <v>0</v>
      </c>
      <c r="LHA306" s="18">
        <v>0</v>
      </c>
      <c r="LHB306" s="18">
        <v>0</v>
      </c>
      <c r="LHC306" s="18">
        <v>0</v>
      </c>
      <c r="LHD306" s="18">
        <v>0</v>
      </c>
      <c r="LHE306" s="18">
        <v>0</v>
      </c>
      <c r="LHF306" s="18">
        <v>0</v>
      </c>
      <c r="LHG306" s="18">
        <v>0</v>
      </c>
      <c r="LHH306" s="18">
        <v>0</v>
      </c>
      <c r="LHI306" s="18">
        <v>0</v>
      </c>
      <c r="LHJ306" s="18">
        <v>0</v>
      </c>
      <c r="LHK306" s="18">
        <v>0</v>
      </c>
      <c r="LHL306" s="18">
        <v>0</v>
      </c>
      <c r="LHM306" s="18">
        <v>0</v>
      </c>
      <c r="LHN306" s="18">
        <v>0</v>
      </c>
      <c r="LHO306" s="18">
        <v>0</v>
      </c>
      <c r="LHP306" s="18">
        <v>0</v>
      </c>
      <c r="LHQ306" s="18">
        <v>0</v>
      </c>
      <c r="LHR306" s="18">
        <v>0</v>
      </c>
      <c r="LHS306" s="18">
        <v>0</v>
      </c>
      <c r="LHT306" s="18">
        <v>0</v>
      </c>
      <c r="LHU306" s="18">
        <v>0</v>
      </c>
      <c r="LHV306" s="18">
        <v>0</v>
      </c>
      <c r="LHW306" s="18">
        <v>0</v>
      </c>
      <c r="LHX306" s="18">
        <v>0</v>
      </c>
      <c r="LHY306" s="18">
        <v>0</v>
      </c>
      <c r="LHZ306" s="18">
        <v>0</v>
      </c>
      <c r="LIA306" s="18">
        <v>0</v>
      </c>
      <c r="LIB306" s="18">
        <v>0</v>
      </c>
      <c r="LIC306" s="18">
        <v>0</v>
      </c>
      <c r="LID306" s="18">
        <v>0</v>
      </c>
      <c r="LIE306" s="18">
        <v>0</v>
      </c>
      <c r="LIF306" s="18">
        <v>0</v>
      </c>
      <c r="LIG306" s="18">
        <v>0</v>
      </c>
      <c r="LIH306" s="18">
        <v>0</v>
      </c>
      <c r="LII306" s="18">
        <v>0</v>
      </c>
      <c r="LIJ306" s="18">
        <v>0</v>
      </c>
      <c r="LIK306" s="18">
        <v>0</v>
      </c>
      <c r="LIL306" s="18">
        <v>0</v>
      </c>
      <c r="LIM306" s="18">
        <v>0</v>
      </c>
      <c r="LIN306" s="18">
        <v>0</v>
      </c>
      <c r="LIO306" s="18">
        <v>0</v>
      </c>
      <c r="LIP306" s="18">
        <v>0</v>
      </c>
      <c r="LIQ306" s="18">
        <v>0</v>
      </c>
      <c r="LIR306" s="18">
        <v>0</v>
      </c>
      <c r="LIS306" s="18">
        <v>0</v>
      </c>
      <c r="LIT306" s="18">
        <v>0</v>
      </c>
      <c r="LIU306" s="18">
        <v>0</v>
      </c>
      <c r="LIV306" s="18">
        <v>0</v>
      </c>
      <c r="LIW306" s="18">
        <v>0</v>
      </c>
      <c r="LIX306" s="18">
        <v>0</v>
      </c>
      <c r="LIY306" s="18">
        <v>0</v>
      </c>
      <c r="LIZ306" s="18">
        <v>0</v>
      </c>
      <c r="LJA306" s="18">
        <v>0</v>
      </c>
      <c r="LJB306" s="18">
        <v>0</v>
      </c>
      <c r="LJC306" s="18">
        <v>0</v>
      </c>
      <c r="LJD306" s="18">
        <v>0</v>
      </c>
      <c r="LJE306" s="18">
        <v>0</v>
      </c>
      <c r="LJF306" s="18">
        <v>0</v>
      </c>
      <c r="LJG306" s="18">
        <v>0</v>
      </c>
      <c r="LJH306" s="18">
        <v>0</v>
      </c>
      <c r="LJI306" s="18">
        <v>0</v>
      </c>
      <c r="LJJ306" s="18">
        <v>0</v>
      </c>
      <c r="LJK306" s="18">
        <v>0</v>
      </c>
      <c r="LJL306" s="18">
        <v>0</v>
      </c>
      <c r="LJM306" s="18">
        <v>0</v>
      </c>
      <c r="LJN306" s="18">
        <v>0</v>
      </c>
      <c r="LJO306" s="18">
        <v>0</v>
      </c>
      <c r="LJP306" s="18">
        <v>0</v>
      </c>
      <c r="LJQ306" s="18">
        <v>0</v>
      </c>
      <c r="LJR306" s="18">
        <v>0</v>
      </c>
      <c r="LJS306" s="18">
        <v>0</v>
      </c>
      <c r="LJT306" s="18">
        <v>0</v>
      </c>
      <c r="LJU306" s="18">
        <v>0</v>
      </c>
      <c r="LJV306" s="18">
        <v>0</v>
      </c>
      <c r="LJW306" s="18">
        <v>0</v>
      </c>
      <c r="LJX306" s="18">
        <v>0</v>
      </c>
      <c r="LJY306" s="18">
        <v>0</v>
      </c>
      <c r="LJZ306" s="18">
        <v>0</v>
      </c>
      <c r="LKA306" s="18">
        <v>0</v>
      </c>
      <c r="LKB306" s="18">
        <v>0</v>
      </c>
      <c r="LKC306" s="18">
        <v>0</v>
      </c>
      <c r="LKD306" s="18">
        <v>0</v>
      </c>
      <c r="LKE306" s="18">
        <v>0</v>
      </c>
      <c r="LKF306" s="18">
        <v>0</v>
      </c>
      <c r="LKG306" s="18">
        <v>0</v>
      </c>
      <c r="LKH306" s="18">
        <v>0</v>
      </c>
      <c r="LKI306" s="18">
        <v>0</v>
      </c>
      <c r="LKJ306" s="18">
        <v>0</v>
      </c>
      <c r="LKK306" s="18">
        <v>0</v>
      </c>
      <c r="LKL306" s="18">
        <v>0</v>
      </c>
      <c r="LKM306" s="18">
        <v>0</v>
      </c>
      <c r="LKN306" s="18">
        <v>0</v>
      </c>
      <c r="LKO306" s="18">
        <v>0</v>
      </c>
      <c r="LKP306" s="18">
        <v>0</v>
      </c>
      <c r="LKQ306" s="18">
        <v>0</v>
      </c>
      <c r="LKR306" s="18">
        <v>0</v>
      </c>
      <c r="LKS306" s="18">
        <v>0</v>
      </c>
      <c r="LKT306" s="18">
        <v>0</v>
      </c>
      <c r="LKU306" s="18">
        <v>0</v>
      </c>
      <c r="LKV306" s="18">
        <v>0</v>
      </c>
      <c r="LKW306" s="18">
        <v>0</v>
      </c>
      <c r="LKX306" s="18">
        <v>0</v>
      </c>
      <c r="LKY306" s="18">
        <v>0</v>
      </c>
      <c r="LKZ306" s="18">
        <v>0</v>
      </c>
      <c r="LLA306" s="18">
        <v>0</v>
      </c>
      <c r="LLB306" s="18">
        <v>0</v>
      </c>
      <c r="LLC306" s="18">
        <v>0</v>
      </c>
      <c r="LLD306" s="18">
        <v>0</v>
      </c>
      <c r="LLE306" s="18">
        <v>0</v>
      </c>
      <c r="LLF306" s="18">
        <v>0</v>
      </c>
      <c r="LLG306" s="18">
        <v>0</v>
      </c>
      <c r="LLH306" s="18">
        <v>0</v>
      </c>
      <c r="LLI306" s="18">
        <v>0</v>
      </c>
      <c r="LLJ306" s="18">
        <v>0</v>
      </c>
      <c r="LLK306" s="18">
        <v>0</v>
      </c>
      <c r="LLL306" s="18">
        <v>0</v>
      </c>
      <c r="LLM306" s="18">
        <v>0</v>
      </c>
      <c r="LLN306" s="18">
        <v>0</v>
      </c>
      <c r="LLO306" s="18">
        <v>0</v>
      </c>
      <c r="LLP306" s="18">
        <v>0</v>
      </c>
      <c r="LLQ306" s="18">
        <v>0</v>
      </c>
      <c r="LLR306" s="18">
        <v>0</v>
      </c>
      <c r="LLS306" s="18">
        <v>0</v>
      </c>
      <c r="LLT306" s="18">
        <v>0</v>
      </c>
      <c r="LLU306" s="18">
        <v>0</v>
      </c>
      <c r="LLV306" s="18">
        <v>0</v>
      </c>
      <c r="LLW306" s="18">
        <v>0</v>
      </c>
      <c r="LLX306" s="18">
        <v>0</v>
      </c>
      <c r="LLY306" s="18">
        <v>0</v>
      </c>
      <c r="LLZ306" s="18">
        <v>0</v>
      </c>
      <c r="LMA306" s="18">
        <v>0</v>
      </c>
      <c r="LMB306" s="18">
        <v>0</v>
      </c>
      <c r="LMC306" s="18">
        <v>0</v>
      </c>
      <c r="LMD306" s="18">
        <v>0</v>
      </c>
      <c r="LME306" s="18">
        <v>0</v>
      </c>
      <c r="LMF306" s="18">
        <v>0</v>
      </c>
      <c r="LMG306" s="18">
        <v>0</v>
      </c>
      <c r="LMH306" s="18">
        <v>0</v>
      </c>
      <c r="LMI306" s="18">
        <v>0</v>
      </c>
      <c r="LMJ306" s="18">
        <v>0</v>
      </c>
      <c r="LMK306" s="18">
        <v>0</v>
      </c>
      <c r="LML306" s="18">
        <v>0</v>
      </c>
      <c r="LMM306" s="18">
        <v>0</v>
      </c>
      <c r="LMN306" s="18">
        <v>0</v>
      </c>
      <c r="LMO306" s="18">
        <v>0</v>
      </c>
      <c r="LMP306" s="18">
        <v>0</v>
      </c>
      <c r="LMQ306" s="18">
        <v>0</v>
      </c>
      <c r="LMR306" s="18">
        <v>0</v>
      </c>
      <c r="LMS306" s="18">
        <v>0</v>
      </c>
      <c r="LMT306" s="18">
        <v>0</v>
      </c>
      <c r="LMU306" s="18">
        <v>0</v>
      </c>
      <c r="LMV306" s="18">
        <v>0</v>
      </c>
      <c r="LMW306" s="18">
        <v>0</v>
      </c>
      <c r="LMX306" s="18">
        <v>0</v>
      </c>
      <c r="LMY306" s="18">
        <v>0</v>
      </c>
      <c r="LMZ306" s="18">
        <v>0</v>
      </c>
      <c r="LNA306" s="18">
        <v>0</v>
      </c>
      <c r="LNB306" s="18">
        <v>0</v>
      </c>
      <c r="LNC306" s="18">
        <v>0</v>
      </c>
      <c r="LND306" s="18">
        <v>0</v>
      </c>
      <c r="LNE306" s="18">
        <v>0</v>
      </c>
      <c r="LNF306" s="18">
        <v>0</v>
      </c>
      <c r="LNG306" s="18">
        <v>0</v>
      </c>
      <c r="LNH306" s="18">
        <v>0</v>
      </c>
      <c r="LNI306" s="18">
        <v>0</v>
      </c>
      <c r="LNJ306" s="18">
        <v>0</v>
      </c>
      <c r="LNK306" s="18">
        <v>0</v>
      </c>
      <c r="LNL306" s="18">
        <v>0</v>
      </c>
      <c r="LNM306" s="18">
        <v>0</v>
      </c>
      <c r="LNN306" s="18">
        <v>0</v>
      </c>
      <c r="LNO306" s="18">
        <v>0</v>
      </c>
      <c r="LNP306" s="18">
        <v>0</v>
      </c>
      <c r="LNQ306" s="18">
        <v>0</v>
      </c>
      <c r="LNR306" s="18">
        <v>0</v>
      </c>
      <c r="LNS306" s="18">
        <v>0</v>
      </c>
      <c r="LNT306" s="18">
        <v>0</v>
      </c>
      <c r="LNU306" s="18">
        <v>0</v>
      </c>
      <c r="LNV306" s="18">
        <v>0</v>
      </c>
      <c r="LNW306" s="18">
        <v>0</v>
      </c>
      <c r="LNX306" s="18">
        <v>0</v>
      </c>
      <c r="LNY306" s="18">
        <v>0</v>
      </c>
      <c r="LNZ306" s="18">
        <v>0</v>
      </c>
      <c r="LOA306" s="18">
        <v>0</v>
      </c>
      <c r="LOB306" s="18">
        <v>0</v>
      </c>
      <c r="LOC306" s="18">
        <v>0</v>
      </c>
      <c r="LOD306" s="18">
        <v>0</v>
      </c>
      <c r="LOE306" s="18">
        <v>0</v>
      </c>
      <c r="LOF306" s="18">
        <v>0</v>
      </c>
      <c r="LOG306" s="18">
        <v>0</v>
      </c>
      <c r="LOH306" s="18">
        <v>0</v>
      </c>
      <c r="LOI306" s="18">
        <v>0</v>
      </c>
      <c r="LOJ306" s="18">
        <v>0</v>
      </c>
      <c r="LOK306" s="18">
        <v>0</v>
      </c>
      <c r="LOL306" s="18">
        <v>0</v>
      </c>
      <c r="LOM306" s="18">
        <v>0</v>
      </c>
      <c r="LON306" s="18">
        <v>0</v>
      </c>
      <c r="LOO306" s="18">
        <v>0</v>
      </c>
      <c r="LOP306" s="18">
        <v>0</v>
      </c>
      <c r="LOQ306" s="18">
        <v>0</v>
      </c>
      <c r="LOR306" s="18">
        <v>0</v>
      </c>
      <c r="LOS306" s="18">
        <v>0</v>
      </c>
      <c r="LOT306" s="18">
        <v>0</v>
      </c>
      <c r="LOU306" s="18">
        <v>0</v>
      </c>
      <c r="LOV306" s="18">
        <v>0</v>
      </c>
      <c r="LOW306" s="18">
        <v>0</v>
      </c>
      <c r="LOX306" s="18">
        <v>0</v>
      </c>
      <c r="LOY306" s="18">
        <v>0</v>
      </c>
      <c r="LOZ306" s="18">
        <v>0</v>
      </c>
      <c r="LPA306" s="18">
        <v>0</v>
      </c>
      <c r="LPB306" s="18">
        <v>0</v>
      </c>
      <c r="LPC306" s="18">
        <v>0</v>
      </c>
      <c r="LPD306" s="18">
        <v>0</v>
      </c>
      <c r="LPE306" s="18">
        <v>0</v>
      </c>
      <c r="LPF306" s="18">
        <v>0</v>
      </c>
      <c r="LPG306" s="18">
        <v>0</v>
      </c>
      <c r="LPH306" s="18">
        <v>0</v>
      </c>
      <c r="LPI306" s="18">
        <v>0</v>
      </c>
      <c r="LPJ306" s="18">
        <v>0</v>
      </c>
      <c r="LPK306" s="18">
        <v>0</v>
      </c>
      <c r="LPL306" s="18">
        <v>0</v>
      </c>
      <c r="LPM306" s="18">
        <v>0</v>
      </c>
      <c r="LPN306" s="18">
        <v>0</v>
      </c>
      <c r="LPO306" s="18">
        <v>0</v>
      </c>
      <c r="LPP306" s="18">
        <v>0</v>
      </c>
      <c r="LPQ306" s="18">
        <v>0</v>
      </c>
      <c r="LPR306" s="18">
        <v>0</v>
      </c>
      <c r="LPS306" s="18">
        <v>0</v>
      </c>
      <c r="LPT306" s="18">
        <v>0</v>
      </c>
      <c r="LPU306" s="18">
        <v>0</v>
      </c>
      <c r="LPV306" s="18">
        <v>0</v>
      </c>
      <c r="LPW306" s="18">
        <v>0</v>
      </c>
      <c r="LPX306" s="18">
        <v>0</v>
      </c>
      <c r="LPY306" s="18">
        <v>0</v>
      </c>
      <c r="LPZ306" s="18">
        <v>0</v>
      </c>
      <c r="LQA306" s="18">
        <v>0</v>
      </c>
      <c r="LQB306" s="18">
        <v>0</v>
      </c>
      <c r="LQC306" s="18">
        <v>0</v>
      </c>
      <c r="LQD306" s="18">
        <v>0</v>
      </c>
      <c r="LQE306" s="18">
        <v>0</v>
      </c>
      <c r="LQF306" s="18">
        <v>0</v>
      </c>
      <c r="LQG306" s="18">
        <v>0</v>
      </c>
      <c r="LQH306" s="18">
        <v>0</v>
      </c>
      <c r="LQI306" s="18">
        <v>0</v>
      </c>
      <c r="LQJ306" s="18">
        <v>0</v>
      </c>
      <c r="LQK306" s="18">
        <v>0</v>
      </c>
      <c r="LQL306" s="18">
        <v>0</v>
      </c>
      <c r="LQM306" s="18">
        <v>0</v>
      </c>
      <c r="LQN306" s="18">
        <v>0</v>
      </c>
      <c r="LQO306" s="18">
        <v>0</v>
      </c>
      <c r="LQP306" s="18">
        <v>0</v>
      </c>
      <c r="LQQ306" s="18">
        <v>0</v>
      </c>
      <c r="LQR306" s="18">
        <v>0</v>
      </c>
      <c r="LQS306" s="18">
        <v>0</v>
      </c>
      <c r="LQT306" s="18">
        <v>0</v>
      </c>
      <c r="LQU306" s="18">
        <v>0</v>
      </c>
      <c r="LQV306" s="18">
        <v>0</v>
      </c>
      <c r="LQW306" s="18">
        <v>0</v>
      </c>
      <c r="LQX306" s="18">
        <v>0</v>
      </c>
      <c r="LQY306" s="18">
        <v>0</v>
      </c>
      <c r="LQZ306" s="18">
        <v>0</v>
      </c>
      <c r="LRA306" s="18">
        <v>0</v>
      </c>
      <c r="LRB306" s="18">
        <v>0</v>
      </c>
      <c r="LRC306" s="18">
        <v>0</v>
      </c>
      <c r="LRD306" s="18">
        <v>0</v>
      </c>
      <c r="LRE306" s="18">
        <v>0</v>
      </c>
      <c r="LRF306" s="18">
        <v>0</v>
      </c>
      <c r="LRG306" s="18">
        <v>0</v>
      </c>
      <c r="LRH306" s="18">
        <v>0</v>
      </c>
      <c r="LRI306" s="18">
        <v>0</v>
      </c>
      <c r="LRJ306" s="18">
        <v>0</v>
      </c>
      <c r="LRK306" s="18">
        <v>0</v>
      </c>
      <c r="LRL306" s="18">
        <v>0</v>
      </c>
      <c r="LRM306" s="18">
        <v>0</v>
      </c>
      <c r="LRN306" s="18">
        <v>0</v>
      </c>
      <c r="LRO306" s="18">
        <v>0</v>
      </c>
      <c r="LRP306" s="18">
        <v>0</v>
      </c>
      <c r="LRQ306" s="18">
        <v>0</v>
      </c>
      <c r="LRR306" s="18">
        <v>0</v>
      </c>
      <c r="LRS306" s="18">
        <v>0</v>
      </c>
      <c r="LRT306" s="18">
        <v>0</v>
      </c>
      <c r="LRU306" s="18">
        <v>0</v>
      </c>
      <c r="LRV306" s="18">
        <v>0</v>
      </c>
      <c r="LRW306" s="18">
        <v>0</v>
      </c>
      <c r="LRX306" s="18">
        <v>0</v>
      </c>
      <c r="LRY306" s="18">
        <v>0</v>
      </c>
      <c r="LRZ306" s="18">
        <v>0</v>
      </c>
      <c r="LSA306" s="18">
        <v>0</v>
      </c>
      <c r="LSB306" s="18">
        <v>0</v>
      </c>
      <c r="LSC306" s="18">
        <v>0</v>
      </c>
      <c r="LSD306" s="18">
        <v>0</v>
      </c>
      <c r="LSE306" s="18">
        <v>0</v>
      </c>
      <c r="LSF306" s="18">
        <v>0</v>
      </c>
      <c r="LSG306" s="18">
        <v>0</v>
      </c>
      <c r="LSH306" s="18">
        <v>0</v>
      </c>
      <c r="LSI306" s="18">
        <v>0</v>
      </c>
      <c r="LSJ306" s="18">
        <v>0</v>
      </c>
      <c r="LSK306" s="18">
        <v>0</v>
      </c>
      <c r="LSL306" s="18">
        <v>0</v>
      </c>
      <c r="LSM306" s="18">
        <v>0</v>
      </c>
      <c r="LSN306" s="18">
        <v>0</v>
      </c>
      <c r="LSO306" s="18">
        <v>0</v>
      </c>
      <c r="LSP306" s="18">
        <v>0</v>
      </c>
      <c r="LSQ306" s="18">
        <v>0</v>
      </c>
      <c r="LSR306" s="18">
        <v>0</v>
      </c>
      <c r="LSS306" s="18">
        <v>0</v>
      </c>
      <c r="LST306" s="18">
        <v>0</v>
      </c>
      <c r="LSU306" s="18">
        <v>0</v>
      </c>
      <c r="LSV306" s="18">
        <v>0</v>
      </c>
      <c r="LSW306" s="18">
        <v>0</v>
      </c>
      <c r="LSX306" s="18">
        <v>0</v>
      </c>
      <c r="LSY306" s="18">
        <v>0</v>
      </c>
      <c r="LSZ306" s="18">
        <v>0</v>
      </c>
      <c r="LTA306" s="18">
        <v>0</v>
      </c>
      <c r="LTB306" s="18">
        <v>0</v>
      </c>
      <c r="LTC306" s="18">
        <v>0</v>
      </c>
      <c r="LTD306" s="18">
        <v>0</v>
      </c>
      <c r="LTE306" s="18">
        <v>0</v>
      </c>
      <c r="LTF306" s="18">
        <v>0</v>
      </c>
      <c r="LTG306" s="18">
        <v>0</v>
      </c>
      <c r="LTH306" s="18">
        <v>0</v>
      </c>
      <c r="LTI306" s="18">
        <v>0</v>
      </c>
      <c r="LTJ306" s="18">
        <v>0</v>
      </c>
      <c r="LTK306" s="18">
        <v>0</v>
      </c>
      <c r="LTL306" s="18">
        <v>0</v>
      </c>
      <c r="LTM306" s="18">
        <v>0</v>
      </c>
      <c r="LTN306" s="18">
        <v>0</v>
      </c>
      <c r="LTO306" s="18">
        <v>0</v>
      </c>
      <c r="LTP306" s="18">
        <v>0</v>
      </c>
      <c r="LTQ306" s="18">
        <v>0</v>
      </c>
      <c r="LTR306" s="18">
        <v>0</v>
      </c>
      <c r="LTS306" s="18">
        <v>0</v>
      </c>
      <c r="LTT306" s="18">
        <v>0</v>
      </c>
      <c r="LTU306" s="18">
        <v>0</v>
      </c>
      <c r="LTV306" s="18">
        <v>0</v>
      </c>
      <c r="LTW306" s="18">
        <v>0</v>
      </c>
      <c r="LTX306" s="18">
        <v>0</v>
      </c>
      <c r="LTY306" s="18">
        <v>0</v>
      </c>
      <c r="LTZ306" s="18">
        <v>0</v>
      </c>
      <c r="LUA306" s="18">
        <v>0</v>
      </c>
      <c r="LUB306" s="18">
        <v>0</v>
      </c>
      <c r="LUC306" s="18">
        <v>0</v>
      </c>
      <c r="LUD306" s="18">
        <v>0</v>
      </c>
      <c r="LUE306" s="18">
        <v>0</v>
      </c>
      <c r="LUF306" s="18">
        <v>0</v>
      </c>
      <c r="LUG306" s="18">
        <v>0</v>
      </c>
      <c r="LUH306" s="18">
        <v>0</v>
      </c>
      <c r="LUI306" s="18">
        <v>0</v>
      </c>
      <c r="LUJ306" s="18">
        <v>0</v>
      </c>
      <c r="LUK306" s="18">
        <v>0</v>
      </c>
      <c r="LUL306" s="18">
        <v>0</v>
      </c>
      <c r="LUM306" s="18">
        <v>0</v>
      </c>
      <c r="LUN306" s="18">
        <v>0</v>
      </c>
      <c r="LUO306" s="18">
        <v>0</v>
      </c>
      <c r="LUP306" s="18">
        <v>0</v>
      </c>
      <c r="LUQ306" s="18">
        <v>0</v>
      </c>
      <c r="LUR306" s="18">
        <v>0</v>
      </c>
      <c r="LUS306" s="18">
        <v>0</v>
      </c>
      <c r="LUT306" s="18">
        <v>0</v>
      </c>
      <c r="LUU306" s="18">
        <v>0</v>
      </c>
      <c r="LUV306" s="18">
        <v>0</v>
      </c>
      <c r="LUW306" s="18">
        <v>0</v>
      </c>
      <c r="LUX306" s="18">
        <v>0</v>
      </c>
      <c r="LUY306" s="18">
        <v>0</v>
      </c>
      <c r="LUZ306" s="18">
        <v>0</v>
      </c>
      <c r="LVA306" s="18">
        <v>0</v>
      </c>
      <c r="LVB306" s="18">
        <v>0</v>
      </c>
      <c r="LVC306" s="18">
        <v>0</v>
      </c>
      <c r="LVD306" s="18">
        <v>0</v>
      </c>
      <c r="LVE306" s="18">
        <v>0</v>
      </c>
      <c r="LVF306" s="18">
        <v>0</v>
      </c>
      <c r="LVG306" s="18">
        <v>0</v>
      </c>
      <c r="LVH306" s="18">
        <v>0</v>
      </c>
      <c r="LVI306" s="18">
        <v>0</v>
      </c>
      <c r="LVJ306" s="18">
        <v>0</v>
      </c>
      <c r="LVK306" s="18">
        <v>0</v>
      </c>
      <c r="LVL306" s="18">
        <v>0</v>
      </c>
      <c r="LVM306" s="18">
        <v>0</v>
      </c>
      <c r="LVN306" s="18">
        <v>0</v>
      </c>
      <c r="LVO306" s="18">
        <v>0</v>
      </c>
      <c r="LVP306" s="18">
        <v>0</v>
      </c>
      <c r="LVQ306" s="18">
        <v>0</v>
      </c>
      <c r="LVR306" s="18">
        <v>0</v>
      </c>
      <c r="LVS306" s="18">
        <v>0</v>
      </c>
      <c r="LVT306" s="18">
        <v>0</v>
      </c>
      <c r="LVU306" s="18">
        <v>0</v>
      </c>
      <c r="LVV306" s="18">
        <v>0</v>
      </c>
      <c r="LVW306" s="18">
        <v>0</v>
      </c>
      <c r="LVX306" s="18">
        <v>0</v>
      </c>
      <c r="LVY306" s="18">
        <v>0</v>
      </c>
      <c r="LVZ306" s="18">
        <v>0</v>
      </c>
      <c r="LWA306" s="18">
        <v>0</v>
      </c>
      <c r="LWB306" s="18">
        <v>0</v>
      </c>
      <c r="LWC306" s="18">
        <v>0</v>
      </c>
      <c r="LWD306" s="18">
        <v>0</v>
      </c>
      <c r="LWE306" s="18">
        <v>0</v>
      </c>
      <c r="LWF306" s="18">
        <v>0</v>
      </c>
      <c r="LWG306" s="18">
        <v>0</v>
      </c>
      <c r="LWH306" s="18">
        <v>0</v>
      </c>
      <c r="LWI306" s="18">
        <v>0</v>
      </c>
      <c r="LWJ306" s="18">
        <v>0</v>
      </c>
      <c r="LWK306" s="18">
        <v>0</v>
      </c>
      <c r="LWL306" s="18">
        <v>0</v>
      </c>
      <c r="LWM306" s="18">
        <v>0</v>
      </c>
      <c r="LWN306" s="18">
        <v>0</v>
      </c>
      <c r="LWO306" s="18">
        <v>0</v>
      </c>
      <c r="LWP306" s="18">
        <v>0</v>
      </c>
      <c r="LWQ306" s="18">
        <v>0</v>
      </c>
      <c r="LWR306" s="18">
        <v>0</v>
      </c>
      <c r="LWS306" s="18">
        <v>0</v>
      </c>
      <c r="LWT306" s="18">
        <v>0</v>
      </c>
      <c r="LWU306" s="18">
        <v>0</v>
      </c>
      <c r="LWV306" s="18">
        <v>0</v>
      </c>
      <c r="LWW306" s="18">
        <v>0</v>
      </c>
      <c r="LWX306" s="18">
        <v>0</v>
      </c>
      <c r="LWY306" s="18">
        <v>0</v>
      </c>
      <c r="LWZ306" s="18">
        <v>0</v>
      </c>
      <c r="LXA306" s="18">
        <v>0</v>
      </c>
      <c r="LXB306" s="18">
        <v>0</v>
      </c>
      <c r="LXC306" s="18">
        <v>0</v>
      </c>
      <c r="LXD306" s="18">
        <v>0</v>
      </c>
      <c r="LXE306" s="18">
        <v>0</v>
      </c>
      <c r="LXF306" s="18">
        <v>0</v>
      </c>
      <c r="LXG306" s="18">
        <v>0</v>
      </c>
      <c r="LXH306" s="18">
        <v>0</v>
      </c>
      <c r="LXI306" s="18">
        <v>0</v>
      </c>
      <c r="LXJ306" s="18">
        <v>0</v>
      </c>
      <c r="LXK306" s="18">
        <v>0</v>
      </c>
      <c r="LXL306" s="18">
        <v>0</v>
      </c>
      <c r="LXM306" s="18">
        <v>0</v>
      </c>
      <c r="LXN306" s="18">
        <v>0</v>
      </c>
      <c r="LXO306" s="18">
        <v>0</v>
      </c>
      <c r="LXP306" s="18">
        <v>0</v>
      </c>
      <c r="LXQ306" s="18">
        <v>0</v>
      </c>
      <c r="LXR306" s="18">
        <v>0</v>
      </c>
      <c r="LXS306" s="18">
        <v>0</v>
      </c>
      <c r="LXT306" s="18">
        <v>0</v>
      </c>
      <c r="LXU306" s="18">
        <v>0</v>
      </c>
      <c r="LXV306" s="18">
        <v>0</v>
      </c>
      <c r="LXW306" s="18">
        <v>0</v>
      </c>
      <c r="LXX306" s="18">
        <v>0</v>
      </c>
      <c r="LXY306" s="18">
        <v>0</v>
      </c>
      <c r="LXZ306" s="18">
        <v>0</v>
      </c>
      <c r="LYA306" s="18">
        <v>0</v>
      </c>
      <c r="LYB306" s="18">
        <v>0</v>
      </c>
      <c r="LYC306" s="18">
        <v>0</v>
      </c>
      <c r="LYD306" s="18">
        <v>0</v>
      </c>
      <c r="LYE306" s="18">
        <v>0</v>
      </c>
      <c r="LYF306" s="18">
        <v>0</v>
      </c>
      <c r="LYG306" s="18">
        <v>0</v>
      </c>
      <c r="LYH306" s="18">
        <v>0</v>
      </c>
      <c r="LYI306" s="18">
        <v>0</v>
      </c>
      <c r="LYJ306" s="18">
        <v>0</v>
      </c>
      <c r="LYK306" s="18">
        <v>0</v>
      </c>
      <c r="LYL306" s="18">
        <v>0</v>
      </c>
      <c r="LYM306" s="18">
        <v>0</v>
      </c>
      <c r="LYN306" s="18">
        <v>0</v>
      </c>
      <c r="LYO306" s="18">
        <v>0</v>
      </c>
      <c r="LYP306" s="18">
        <v>0</v>
      </c>
      <c r="LYQ306" s="18">
        <v>0</v>
      </c>
      <c r="LYR306" s="18">
        <v>0</v>
      </c>
      <c r="LYS306" s="18">
        <v>0</v>
      </c>
      <c r="LYT306" s="18">
        <v>0</v>
      </c>
      <c r="LYU306" s="18">
        <v>0</v>
      </c>
      <c r="LYV306" s="18">
        <v>0</v>
      </c>
      <c r="LYW306" s="18">
        <v>0</v>
      </c>
      <c r="LYX306" s="18">
        <v>0</v>
      </c>
      <c r="LYY306" s="18">
        <v>0</v>
      </c>
      <c r="LYZ306" s="18">
        <v>0</v>
      </c>
      <c r="LZA306" s="18">
        <v>0</v>
      </c>
      <c r="LZB306" s="18">
        <v>0</v>
      </c>
      <c r="LZC306" s="18">
        <v>0</v>
      </c>
      <c r="LZD306" s="18">
        <v>0</v>
      </c>
      <c r="LZE306" s="18">
        <v>0</v>
      </c>
      <c r="LZF306" s="18">
        <v>0</v>
      </c>
      <c r="LZG306" s="18">
        <v>0</v>
      </c>
      <c r="LZH306" s="18">
        <v>0</v>
      </c>
      <c r="LZI306" s="18">
        <v>0</v>
      </c>
      <c r="LZJ306" s="18">
        <v>0</v>
      </c>
      <c r="LZK306" s="18">
        <v>0</v>
      </c>
      <c r="LZL306" s="18">
        <v>0</v>
      </c>
      <c r="LZM306" s="18">
        <v>0</v>
      </c>
      <c r="LZN306" s="18">
        <v>0</v>
      </c>
      <c r="LZO306" s="18">
        <v>0</v>
      </c>
      <c r="LZP306" s="18">
        <v>0</v>
      </c>
      <c r="LZQ306" s="18">
        <v>0</v>
      </c>
      <c r="LZR306" s="18">
        <v>0</v>
      </c>
      <c r="LZS306" s="18">
        <v>0</v>
      </c>
      <c r="LZT306" s="18">
        <v>0</v>
      </c>
      <c r="LZU306" s="18">
        <v>0</v>
      </c>
      <c r="LZV306" s="18">
        <v>0</v>
      </c>
      <c r="LZW306" s="18">
        <v>0</v>
      </c>
      <c r="LZX306" s="18">
        <v>0</v>
      </c>
      <c r="LZY306" s="18">
        <v>0</v>
      </c>
      <c r="LZZ306" s="18">
        <v>0</v>
      </c>
      <c r="MAA306" s="18">
        <v>0</v>
      </c>
      <c r="MAB306" s="18">
        <v>0</v>
      </c>
      <c r="MAC306" s="18">
        <v>0</v>
      </c>
      <c r="MAD306" s="18">
        <v>0</v>
      </c>
      <c r="MAE306" s="18">
        <v>0</v>
      </c>
      <c r="MAF306" s="18">
        <v>0</v>
      </c>
      <c r="MAG306" s="18">
        <v>0</v>
      </c>
      <c r="MAH306" s="18">
        <v>0</v>
      </c>
      <c r="MAI306" s="18">
        <v>0</v>
      </c>
      <c r="MAJ306" s="18">
        <v>0</v>
      </c>
      <c r="MAK306" s="18">
        <v>0</v>
      </c>
      <c r="MAL306" s="18">
        <v>0</v>
      </c>
      <c r="MAM306" s="18">
        <v>0</v>
      </c>
      <c r="MAN306" s="18">
        <v>0</v>
      </c>
      <c r="MAO306" s="18">
        <v>0</v>
      </c>
      <c r="MAP306" s="18">
        <v>0</v>
      </c>
      <c r="MAQ306" s="18">
        <v>0</v>
      </c>
      <c r="MAR306" s="18">
        <v>0</v>
      </c>
      <c r="MAS306" s="18">
        <v>0</v>
      </c>
      <c r="MAT306" s="18">
        <v>0</v>
      </c>
      <c r="MAU306" s="18">
        <v>0</v>
      </c>
      <c r="MAV306" s="18">
        <v>0</v>
      </c>
      <c r="MAW306" s="18">
        <v>0</v>
      </c>
      <c r="MAX306" s="18">
        <v>0</v>
      </c>
      <c r="MAY306" s="18">
        <v>0</v>
      </c>
      <c r="MAZ306" s="18">
        <v>0</v>
      </c>
      <c r="MBA306" s="18">
        <v>0</v>
      </c>
      <c r="MBB306" s="18">
        <v>0</v>
      </c>
      <c r="MBC306" s="18">
        <v>0</v>
      </c>
      <c r="MBD306" s="18">
        <v>0</v>
      </c>
      <c r="MBE306" s="18">
        <v>0</v>
      </c>
      <c r="MBF306" s="18">
        <v>0</v>
      </c>
      <c r="MBG306" s="18">
        <v>0</v>
      </c>
      <c r="MBH306" s="18">
        <v>0</v>
      </c>
      <c r="MBI306" s="18">
        <v>0</v>
      </c>
      <c r="MBJ306" s="18">
        <v>0</v>
      </c>
      <c r="MBK306" s="18">
        <v>0</v>
      </c>
      <c r="MBL306" s="18">
        <v>0</v>
      </c>
      <c r="MBM306" s="18">
        <v>0</v>
      </c>
      <c r="MBN306" s="18">
        <v>0</v>
      </c>
      <c r="MBO306" s="18">
        <v>0</v>
      </c>
      <c r="MBP306" s="18">
        <v>0</v>
      </c>
      <c r="MBQ306" s="18">
        <v>0</v>
      </c>
      <c r="MBR306" s="18">
        <v>0</v>
      </c>
      <c r="MBS306" s="18">
        <v>0</v>
      </c>
      <c r="MBT306" s="18">
        <v>0</v>
      </c>
      <c r="MBU306" s="18">
        <v>0</v>
      </c>
      <c r="MBV306" s="18">
        <v>0</v>
      </c>
      <c r="MBW306" s="18">
        <v>0</v>
      </c>
      <c r="MBX306" s="18">
        <v>0</v>
      </c>
      <c r="MBY306" s="18">
        <v>0</v>
      </c>
      <c r="MBZ306" s="18">
        <v>0</v>
      </c>
      <c r="MCA306" s="18">
        <v>0</v>
      </c>
      <c r="MCB306" s="18">
        <v>0</v>
      </c>
      <c r="MCC306" s="18">
        <v>0</v>
      </c>
      <c r="MCD306" s="18">
        <v>0</v>
      </c>
      <c r="MCE306" s="18">
        <v>0</v>
      </c>
      <c r="MCF306" s="18">
        <v>0</v>
      </c>
      <c r="MCG306" s="18">
        <v>0</v>
      </c>
      <c r="MCH306" s="18">
        <v>0</v>
      </c>
      <c r="MCI306" s="18">
        <v>0</v>
      </c>
      <c r="MCJ306" s="18">
        <v>0</v>
      </c>
      <c r="MCK306" s="18">
        <v>0</v>
      </c>
      <c r="MCL306" s="18">
        <v>0</v>
      </c>
      <c r="MCM306" s="18">
        <v>0</v>
      </c>
      <c r="MCN306" s="18">
        <v>0</v>
      </c>
      <c r="MCO306" s="18">
        <v>0</v>
      </c>
      <c r="MCP306" s="18">
        <v>0</v>
      </c>
      <c r="MCQ306" s="18">
        <v>0</v>
      </c>
      <c r="MCR306" s="18">
        <v>0</v>
      </c>
      <c r="MCS306" s="18">
        <v>0</v>
      </c>
      <c r="MCT306" s="18">
        <v>0</v>
      </c>
      <c r="MCU306" s="18">
        <v>0</v>
      </c>
      <c r="MCV306" s="18">
        <v>0</v>
      </c>
      <c r="MCW306" s="18">
        <v>0</v>
      </c>
      <c r="MCX306" s="18">
        <v>0</v>
      </c>
      <c r="MCY306" s="18">
        <v>0</v>
      </c>
      <c r="MCZ306" s="18">
        <v>0</v>
      </c>
      <c r="MDA306" s="18">
        <v>0</v>
      </c>
      <c r="MDB306" s="18">
        <v>0</v>
      </c>
      <c r="MDC306" s="18">
        <v>0</v>
      </c>
      <c r="MDD306" s="18">
        <v>0</v>
      </c>
      <c r="MDE306" s="18">
        <v>0</v>
      </c>
      <c r="MDF306" s="18">
        <v>0</v>
      </c>
      <c r="MDG306" s="18">
        <v>0</v>
      </c>
      <c r="MDH306" s="18">
        <v>0</v>
      </c>
      <c r="MDI306" s="18">
        <v>0</v>
      </c>
      <c r="MDJ306" s="18">
        <v>0</v>
      </c>
      <c r="MDK306" s="18">
        <v>0</v>
      </c>
      <c r="MDL306" s="18">
        <v>0</v>
      </c>
      <c r="MDM306" s="18">
        <v>0</v>
      </c>
      <c r="MDN306" s="18">
        <v>0</v>
      </c>
      <c r="MDO306" s="18">
        <v>0</v>
      </c>
      <c r="MDP306" s="18">
        <v>0</v>
      </c>
      <c r="MDQ306" s="18">
        <v>0</v>
      </c>
      <c r="MDR306" s="18">
        <v>0</v>
      </c>
      <c r="MDS306" s="18">
        <v>0</v>
      </c>
      <c r="MDT306" s="18">
        <v>0</v>
      </c>
      <c r="MDU306" s="18">
        <v>0</v>
      </c>
      <c r="MDV306" s="18">
        <v>0</v>
      </c>
      <c r="MDW306" s="18">
        <v>0</v>
      </c>
      <c r="MDX306" s="18">
        <v>0</v>
      </c>
      <c r="MDY306" s="18">
        <v>0</v>
      </c>
      <c r="MDZ306" s="18">
        <v>0</v>
      </c>
      <c r="MEA306" s="18">
        <v>0</v>
      </c>
      <c r="MEB306" s="18">
        <v>0</v>
      </c>
      <c r="MEC306" s="18">
        <v>0</v>
      </c>
      <c r="MED306" s="18">
        <v>0</v>
      </c>
      <c r="MEE306" s="18">
        <v>0</v>
      </c>
      <c r="MEF306" s="18">
        <v>0</v>
      </c>
      <c r="MEG306" s="18">
        <v>0</v>
      </c>
      <c r="MEH306" s="18">
        <v>0</v>
      </c>
      <c r="MEI306" s="18">
        <v>0</v>
      </c>
      <c r="MEJ306" s="18">
        <v>0</v>
      </c>
      <c r="MEK306" s="18">
        <v>0</v>
      </c>
      <c r="MEL306" s="18">
        <v>0</v>
      </c>
      <c r="MEM306" s="18">
        <v>0</v>
      </c>
      <c r="MEN306" s="18">
        <v>0</v>
      </c>
      <c r="MEO306" s="18">
        <v>0</v>
      </c>
      <c r="MEP306" s="18">
        <v>0</v>
      </c>
      <c r="MEQ306" s="18">
        <v>0</v>
      </c>
      <c r="MER306" s="18">
        <v>0</v>
      </c>
      <c r="MES306" s="18">
        <v>0</v>
      </c>
      <c r="MET306" s="18">
        <v>0</v>
      </c>
      <c r="MEU306" s="18">
        <v>0</v>
      </c>
      <c r="MEV306" s="18">
        <v>0</v>
      </c>
      <c r="MEW306" s="18">
        <v>0</v>
      </c>
      <c r="MEX306" s="18">
        <v>0</v>
      </c>
      <c r="MEY306" s="18">
        <v>0</v>
      </c>
      <c r="MEZ306" s="18">
        <v>0</v>
      </c>
      <c r="MFA306" s="18">
        <v>0</v>
      </c>
      <c r="MFB306" s="18">
        <v>0</v>
      </c>
      <c r="MFC306" s="18">
        <v>0</v>
      </c>
      <c r="MFD306" s="18">
        <v>0</v>
      </c>
      <c r="MFE306" s="18">
        <v>0</v>
      </c>
      <c r="MFF306" s="18">
        <v>0</v>
      </c>
      <c r="MFG306" s="18">
        <v>0</v>
      </c>
      <c r="MFH306" s="18">
        <v>0</v>
      </c>
      <c r="MFI306" s="18">
        <v>0</v>
      </c>
      <c r="MFJ306" s="18">
        <v>0</v>
      </c>
      <c r="MFK306" s="18">
        <v>0</v>
      </c>
      <c r="MFL306" s="18">
        <v>0</v>
      </c>
      <c r="MFM306" s="18">
        <v>0</v>
      </c>
      <c r="MFN306" s="18">
        <v>0</v>
      </c>
      <c r="MFO306" s="18">
        <v>0</v>
      </c>
      <c r="MFP306" s="18">
        <v>0</v>
      </c>
      <c r="MFQ306" s="18">
        <v>0</v>
      </c>
      <c r="MFR306" s="18">
        <v>0</v>
      </c>
      <c r="MFS306" s="18">
        <v>0</v>
      </c>
      <c r="MFT306" s="18">
        <v>0</v>
      </c>
      <c r="MFU306" s="18">
        <v>0</v>
      </c>
      <c r="MFV306" s="18">
        <v>0</v>
      </c>
      <c r="MFW306" s="18">
        <v>0</v>
      </c>
      <c r="MFX306" s="18">
        <v>0</v>
      </c>
      <c r="MFY306" s="18">
        <v>0</v>
      </c>
      <c r="MFZ306" s="18">
        <v>0</v>
      </c>
      <c r="MGA306" s="18">
        <v>0</v>
      </c>
      <c r="MGB306" s="18">
        <v>0</v>
      </c>
      <c r="MGC306" s="18">
        <v>0</v>
      </c>
      <c r="MGD306" s="18">
        <v>0</v>
      </c>
      <c r="MGE306" s="18">
        <v>0</v>
      </c>
      <c r="MGF306" s="18">
        <v>0</v>
      </c>
      <c r="MGG306" s="18">
        <v>0</v>
      </c>
      <c r="MGH306" s="18">
        <v>0</v>
      </c>
      <c r="MGI306" s="18">
        <v>0</v>
      </c>
      <c r="MGJ306" s="18">
        <v>0</v>
      </c>
      <c r="MGK306" s="18">
        <v>0</v>
      </c>
      <c r="MGL306" s="18">
        <v>0</v>
      </c>
      <c r="MGM306" s="18">
        <v>0</v>
      </c>
      <c r="MGN306" s="18">
        <v>0</v>
      </c>
      <c r="MGO306" s="18">
        <v>0</v>
      </c>
      <c r="MGP306" s="18">
        <v>0</v>
      </c>
      <c r="MGQ306" s="18">
        <v>0</v>
      </c>
      <c r="MGR306" s="18">
        <v>0</v>
      </c>
      <c r="MGS306" s="18">
        <v>0</v>
      </c>
      <c r="MGT306" s="18">
        <v>0</v>
      </c>
      <c r="MGU306" s="18">
        <v>0</v>
      </c>
      <c r="MGV306" s="18">
        <v>0</v>
      </c>
      <c r="MGW306" s="18">
        <v>0</v>
      </c>
      <c r="MGX306" s="18">
        <v>0</v>
      </c>
      <c r="MGY306" s="18">
        <v>0</v>
      </c>
      <c r="MGZ306" s="18">
        <v>0</v>
      </c>
      <c r="MHA306" s="18">
        <v>0</v>
      </c>
      <c r="MHB306" s="18">
        <v>0</v>
      </c>
      <c r="MHC306" s="18">
        <v>0</v>
      </c>
      <c r="MHD306" s="18">
        <v>0</v>
      </c>
      <c r="MHE306" s="18">
        <v>0</v>
      </c>
      <c r="MHF306" s="18">
        <v>0</v>
      </c>
      <c r="MHG306" s="18">
        <v>0</v>
      </c>
      <c r="MHH306" s="18">
        <v>0</v>
      </c>
      <c r="MHI306" s="18">
        <v>0</v>
      </c>
      <c r="MHJ306" s="18">
        <v>0</v>
      </c>
      <c r="MHK306" s="18">
        <v>0</v>
      </c>
      <c r="MHL306" s="18">
        <v>0</v>
      </c>
      <c r="MHM306" s="18">
        <v>0</v>
      </c>
      <c r="MHN306" s="18">
        <v>0</v>
      </c>
      <c r="MHO306" s="18">
        <v>0</v>
      </c>
      <c r="MHP306" s="18">
        <v>0</v>
      </c>
      <c r="MHQ306" s="18">
        <v>0</v>
      </c>
      <c r="MHR306" s="18">
        <v>0</v>
      </c>
      <c r="MHS306" s="18">
        <v>0</v>
      </c>
      <c r="MHT306" s="18">
        <v>0</v>
      </c>
      <c r="MHU306" s="18">
        <v>0</v>
      </c>
      <c r="MHV306" s="18">
        <v>0</v>
      </c>
      <c r="MHW306" s="18">
        <v>0</v>
      </c>
      <c r="MHX306" s="18">
        <v>0</v>
      </c>
      <c r="MHY306" s="18">
        <v>0</v>
      </c>
      <c r="MHZ306" s="18">
        <v>0</v>
      </c>
      <c r="MIA306" s="18">
        <v>0</v>
      </c>
      <c r="MIB306" s="18">
        <v>0</v>
      </c>
      <c r="MIC306" s="18">
        <v>0</v>
      </c>
      <c r="MID306" s="18">
        <v>0</v>
      </c>
      <c r="MIE306" s="18">
        <v>0</v>
      </c>
      <c r="MIF306" s="18">
        <v>0</v>
      </c>
      <c r="MIG306" s="18">
        <v>0</v>
      </c>
      <c r="MIH306" s="18">
        <v>0</v>
      </c>
      <c r="MII306" s="18">
        <v>0</v>
      </c>
      <c r="MIJ306" s="18">
        <v>0</v>
      </c>
      <c r="MIK306" s="18">
        <v>0</v>
      </c>
      <c r="MIL306" s="18">
        <v>0</v>
      </c>
      <c r="MIM306" s="18">
        <v>0</v>
      </c>
      <c r="MIN306" s="18">
        <v>0</v>
      </c>
      <c r="MIO306" s="18">
        <v>0</v>
      </c>
      <c r="MIP306" s="18">
        <v>0</v>
      </c>
      <c r="MIQ306" s="18">
        <v>0</v>
      </c>
      <c r="MIR306" s="18">
        <v>0</v>
      </c>
      <c r="MIS306" s="18">
        <v>0</v>
      </c>
      <c r="MIT306" s="18">
        <v>0</v>
      </c>
      <c r="MIU306" s="18">
        <v>0</v>
      </c>
      <c r="MIV306" s="18">
        <v>0</v>
      </c>
      <c r="MIW306" s="18">
        <v>0</v>
      </c>
      <c r="MIX306" s="18">
        <v>0</v>
      </c>
      <c r="MIY306" s="18">
        <v>0</v>
      </c>
      <c r="MIZ306" s="18">
        <v>0</v>
      </c>
      <c r="MJA306" s="18">
        <v>0</v>
      </c>
      <c r="MJB306" s="18">
        <v>0</v>
      </c>
      <c r="MJC306" s="18">
        <v>0</v>
      </c>
      <c r="MJD306" s="18">
        <v>0</v>
      </c>
      <c r="MJE306" s="18">
        <v>0</v>
      </c>
      <c r="MJF306" s="18">
        <v>0</v>
      </c>
      <c r="MJG306" s="18">
        <v>0</v>
      </c>
      <c r="MJH306" s="18">
        <v>0</v>
      </c>
      <c r="MJI306" s="18">
        <v>0</v>
      </c>
      <c r="MJJ306" s="18">
        <v>0</v>
      </c>
      <c r="MJK306" s="18">
        <v>0</v>
      </c>
      <c r="MJL306" s="18">
        <v>0</v>
      </c>
      <c r="MJM306" s="18">
        <v>0</v>
      </c>
      <c r="MJN306" s="18">
        <v>0</v>
      </c>
      <c r="MJO306" s="18">
        <v>0</v>
      </c>
      <c r="MJP306" s="18">
        <v>0</v>
      </c>
      <c r="MJQ306" s="18">
        <v>0</v>
      </c>
      <c r="MJR306" s="18">
        <v>0</v>
      </c>
      <c r="MJS306" s="18">
        <v>0</v>
      </c>
      <c r="MJT306" s="18">
        <v>0</v>
      </c>
      <c r="MJU306" s="18">
        <v>0</v>
      </c>
      <c r="MJV306" s="18">
        <v>0</v>
      </c>
      <c r="MJW306" s="18">
        <v>0</v>
      </c>
      <c r="MJX306" s="18">
        <v>0</v>
      </c>
      <c r="MJY306" s="18">
        <v>0</v>
      </c>
      <c r="MJZ306" s="18">
        <v>0</v>
      </c>
      <c r="MKA306" s="18">
        <v>0</v>
      </c>
      <c r="MKB306" s="18">
        <v>0</v>
      </c>
      <c r="MKC306" s="18">
        <v>0</v>
      </c>
      <c r="MKD306" s="18">
        <v>0</v>
      </c>
      <c r="MKE306" s="18">
        <v>0</v>
      </c>
      <c r="MKF306" s="18">
        <v>0</v>
      </c>
      <c r="MKG306" s="18">
        <v>0</v>
      </c>
      <c r="MKH306" s="18">
        <v>0</v>
      </c>
      <c r="MKI306" s="18">
        <v>0</v>
      </c>
      <c r="MKJ306" s="18">
        <v>0</v>
      </c>
      <c r="MKK306" s="18">
        <v>0</v>
      </c>
      <c r="MKL306" s="18">
        <v>0</v>
      </c>
      <c r="MKM306" s="18">
        <v>0</v>
      </c>
      <c r="MKN306" s="18">
        <v>0</v>
      </c>
      <c r="MKO306" s="18">
        <v>0</v>
      </c>
      <c r="MKP306" s="18">
        <v>0</v>
      </c>
      <c r="MKQ306" s="18">
        <v>0</v>
      </c>
      <c r="MKR306" s="18">
        <v>0</v>
      </c>
      <c r="MKS306" s="18">
        <v>0</v>
      </c>
      <c r="MKT306" s="18">
        <v>0</v>
      </c>
      <c r="MKU306" s="18">
        <v>0</v>
      </c>
      <c r="MKV306" s="18">
        <v>0</v>
      </c>
      <c r="MKW306" s="18">
        <v>0</v>
      </c>
      <c r="MKX306" s="18">
        <v>0</v>
      </c>
      <c r="MKY306" s="18">
        <v>0</v>
      </c>
      <c r="MKZ306" s="18">
        <v>0</v>
      </c>
      <c r="MLA306" s="18">
        <v>0</v>
      </c>
      <c r="MLB306" s="18">
        <v>0</v>
      </c>
      <c r="MLC306" s="18">
        <v>0</v>
      </c>
      <c r="MLD306" s="18">
        <v>0</v>
      </c>
      <c r="MLE306" s="18">
        <v>0</v>
      </c>
      <c r="MLF306" s="18">
        <v>0</v>
      </c>
      <c r="MLG306" s="18">
        <v>0</v>
      </c>
      <c r="MLH306" s="18">
        <v>0</v>
      </c>
      <c r="MLI306" s="18">
        <v>0</v>
      </c>
      <c r="MLJ306" s="18">
        <v>0</v>
      </c>
      <c r="MLK306" s="18">
        <v>0</v>
      </c>
      <c r="MLL306" s="18">
        <v>0</v>
      </c>
      <c r="MLM306" s="18">
        <v>0</v>
      </c>
      <c r="MLN306" s="18">
        <v>0</v>
      </c>
      <c r="MLO306" s="18">
        <v>0</v>
      </c>
      <c r="MLP306" s="18">
        <v>0</v>
      </c>
      <c r="MLQ306" s="18">
        <v>0</v>
      </c>
      <c r="MLR306" s="18">
        <v>0</v>
      </c>
      <c r="MLS306" s="18">
        <v>0</v>
      </c>
      <c r="MLT306" s="18">
        <v>0</v>
      </c>
      <c r="MLU306" s="18">
        <v>0</v>
      </c>
      <c r="MLV306" s="18">
        <v>0</v>
      </c>
      <c r="MLW306" s="18">
        <v>0</v>
      </c>
      <c r="MLX306" s="18">
        <v>0</v>
      </c>
      <c r="MLY306" s="18">
        <v>0</v>
      </c>
      <c r="MLZ306" s="18">
        <v>0</v>
      </c>
      <c r="MMA306" s="18">
        <v>0</v>
      </c>
      <c r="MMB306" s="18">
        <v>0</v>
      </c>
      <c r="MMC306" s="18">
        <v>0</v>
      </c>
      <c r="MMD306" s="18">
        <v>0</v>
      </c>
      <c r="MME306" s="18">
        <v>0</v>
      </c>
      <c r="MMF306" s="18">
        <v>0</v>
      </c>
      <c r="MMG306" s="18">
        <v>0</v>
      </c>
      <c r="MMH306" s="18">
        <v>0</v>
      </c>
      <c r="MMI306" s="18">
        <v>0</v>
      </c>
      <c r="MMJ306" s="18">
        <v>0</v>
      </c>
      <c r="MMK306" s="18">
        <v>0</v>
      </c>
      <c r="MML306" s="18">
        <v>0</v>
      </c>
      <c r="MMM306" s="18">
        <v>0</v>
      </c>
      <c r="MMN306" s="18">
        <v>0</v>
      </c>
      <c r="MMO306" s="18">
        <v>0</v>
      </c>
      <c r="MMP306" s="18">
        <v>0</v>
      </c>
      <c r="MMQ306" s="18">
        <v>0</v>
      </c>
      <c r="MMR306" s="18">
        <v>0</v>
      </c>
      <c r="MMS306" s="18">
        <v>0</v>
      </c>
      <c r="MMT306" s="18">
        <v>0</v>
      </c>
      <c r="MMU306" s="18">
        <v>0</v>
      </c>
      <c r="MMV306" s="18">
        <v>0</v>
      </c>
      <c r="MMW306" s="18">
        <v>0</v>
      </c>
      <c r="MMX306" s="18">
        <v>0</v>
      </c>
      <c r="MMY306" s="18">
        <v>0</v>
      </c>
      <c r="MMZ306" s="18">
        <v>0</v>
      </c>
      <c r="MNA306" s="18">
        <v>0</v>
      </c>
      <c r="MNB306" s="18">
        <v>0</v>
      </c>
      <c r="MNC306" s="18">
        <v>0</v>
      </c>
      <c r="MND306" s="18">
        <v>0</v>
      </c>
      <c r="MNE306" s="18">
        <v>0</v>
      </c>
      <c r="MNF306" s="18">
        <v>0</v>
      </c>
      <c r="MNG306" s="18">
        <v>0</v>
      </c>
      <c r="MNH306" s="18">
        <v>0</v>
      </c>
      <c r="MNI306" s="18">
        <v>0</v>
      </c>
      <c r="MNJ306" s="18">
        <v>0</v>
      </c>
      <c r="MNK306" s="18">
        <v>0</v>
      </c>
      <c r="MNL306" s="18">
        <v>0</v>
      </c>
      <c r="MNM306" s="18">
        <v>0</v>
      </c>
      <c r="MNN306" s="18">
        <v>0</v>
      </c>
      <c r="MNO306" s="18">
        <v>0</v>
      </c>
      <c r="MNP306" s="18">
        <v>0</v>
      </c>
      <c r="MNQ306" s="18">
        <v>0</v>
      </c>
      <c r="MNR306" s="18">
        <v>0</v>
      </c>
      <c r="MNS306" s="18">
        <v>0</v>
      </c>
      <c r="MNT306" s="18">
        <v>0</v>
      </c>
      <c r="MNU306" s="18">
        <v>0</v>
      </c>
      <c r="MNV306" s="18">
        <v>0</v>
      </c>
      <c r="MNW306" s="18">
        <v>0</v>
      </c>
      <c r="MNX306" s="18">
        <v>0</v>
      </c>
      <c r="MNY306" s="18">
        <v>0</v>
      </c>
      <c r="MNZ306" s="18">
        <v>0</v>
      </c>
      <c r="MOA306" s="18">
        <v>0</v>
      </c>
      <c r="MOB306" s="18">
        <v>0</v>
      </c>
      <c r="MOC306" s="18">
        <v>0</v>
      </c>
      <c r="MOD306" s="18">
        <v>0</v>
      </c>
      <c r="MOE306" s="18">
        <v>0</v>
      </c>
      <c r="MOF306" s="18">
        <v>0</v>
      </c>
      <c r="MOG306" s="18">
        <v>0</v>
      </c>
      <c r="MOH306" s="18">
        <v>0</v>
      </c>
      <c r="MOI306" s="18">
        <v>0</v>
      </c>
      <c r="MOJ306" s="18">
        <v>0</v>
      </c>
      <c r="MOK306" s="18">
        <v>0</v>
      </c>
      <c r="MOL306" s="18">
        <v>0</v>
      </c>
      <c r="MOM306" s="18">
        <v>0</v>
      </c>
      <c r="MON306" s="18">
        <v>0</v>
      </c>
      <c r="MOO306" s="18">
        <v>0</v>
      </c>
      <c r="MOP306" s="18">
        <v>0</v>
      </c>
      <c r="MOQ306" s="18">
        <v>0</v>
      </c>
      <c r="MOR306" s="18">
        <v>0</v>
      </c>
      <c r="MOS306" s="18">
        <v>0</v>
      </c>
      <c r="MOT306" s="18">
        <v>0</v>
      </c>
      <c r="MOU306" s="18">
        <v>0</v>
      </c>
      <c r="MOV306" s="18">
        <v>0</v>
      </c>
      <c r="MOW306" s="18">
        <v>0</v>
      </c>
      <c r="MOX306" s="18">
        <v>0</v>
      </c>
      <c r="MOY306" s="18">
        <v>0</v>
      </c>
      <c r="MOZ306" s="18">
        <v>0</v>
      </c>
      <c r="MPA306" s="18">
        <v>0</v>
      </c>
      <c r="MPB306" s="18">
        <v>0</v>
      </c>
      <c r="MPC306" s="18">
        <v>0</v>
      </c>
      <c r="MPD306" s="18">
        <v>0</v>
      </c>
      <c r="MPE306" s="18">
        <v>0</v>
      </c>
      <c r="MPF306" s="18">
        <v>0</v>
      </c>
      <c r="MPG306" s="18">
        <v>0</v>
      </c>
      <c r="MPH306" s="18">
        <v>0</v>
      </c>
      <c r="MPI306" s="18">
        <v>0</v>
      </c>
      <c r="MPJ306" s="18">
        <v>0</v>
      </c>
      <c r="MPK306" s="18">
        <v>0</v>
      </c>
      <c r="MPL306" s="18">
        <v>0</v>
      </c>
      <c r="MPM306" s="18">
        <v>0</v>
      </c>
      <c r="MPN306" s="18">
        <v>0</v>
      </c>
      <c r="MPO306" s="18">
        <v>0</v>
      </c>
      <c r="MPP306" s="18">
        <v>0</v>
      </c>
      <c r="MPQ306" s="18">
        <v>0</v>
      </c>
      <c r="MPR306" s="18">
        <v>0</v>
      </c>
      <c r="MPS306" s="18">
        <v>0</v>
      </c>
      <c r="MPT306" s="18">
        <v>0</v>
      </c>
      <c r="MPU306" s="18">
        <v>0</v>
      </c>
      <c r="MPV306" s="18">
        <v>0</v>
      </c>
      <c r="MPW306" s="18">
        <v>0</v>
      </c>
      <c r="MPX306" s="18">
        <v>0</v>
      </c>
      <c r="MPY306" s="18">
        <v>0</v>
      </c>
      <c r="MPZ306" s="18">
        <v>0</v>
      </c>
      <c r="MQA306" s="18">
        <v>0</v>
      </c>
      <c r="MQB306" s="18">
        <v>0</v>
      </c>
      <c r="MQC306" s="18">
        <v>0</v>
      </c>
      <c r="MQD306" s="18">
        <v>0</v>
      </c>
      <c r="MQE306" s="18">
        <v>0</v>
      </c>
      <c r="MQF306" s="18">
        <v>0</v>
      </c>
      <c r="MQG306" s="18">
        <v>0</v>
      </c>
      <c r="MQH306" s="18">
        <v>0</v>
      </c>
      <c r="MQI306" s="18">
        <v>0</v>
      </c>
      <c r="MQJ306" s="18">
        <v>0</v>
      </c>
      <c r="MQK306" s="18">
        <v>0</v>
      </c>
      <c r="MQL306" s="18">
        <v>0</v>
      </c>
      <c r="MQM306" s="18">
        <v>0</v>
      </c>
      <c r="MQN306" s="18">
        <v>0</v>
      </c>
      <c r="MQO306" s="18">
        <v>0</v>
      </c>
      <c r="MQP306" s="18">
        <v>0</v>
      </c>
      <c r="MQQ306" s="18">
        <v>0</v>
      </c>
      <c r="MQR306" s="18">
        <v>0</v>
      </c>
      <c r="MQS306" s="18">
        <v>0</v>
      </c>
      <c r="MQT306" s="18">
        <v>0</v>
      </c>
      <c r="MQU306" s="18">
        <v>0</v>
      </c>
      <c r="MQV306" s="18">
        <v>0</v>
      </c>
      <c r="MQW306" s="18">
        <v>0</v>
      </c>
      <c r="MQX306" s="18">
        <v>0</v>
      </c>
      <c r="MQY306" s="18">
        <v>0</v>
      </c>
      <c r="MQZ306" s="18">
        <v>0</v>
      </c>
      <c r="MRA306" s="18">
        <v>0</v>
      </c>
      <c r="MRB306" s="18">
        <v>0</v>
      </c>
      <c r="MRC306" s="18">
        <v>0</v>
      </c>
      <c r="MRD306" s="18">
        <v>0</v>
      </c>
      <c r="MRE306" s="18">
        <v>0</v>
      </c>
      <c r="MRF306" s="18">
        <v>0</v>
      </c>
      <c r="MRG306" s="18">
        <v>0</v>
      </c>
      <c r="MRH306" s="18">
        <v>0</v>
      </c>
      <c r="MRI306" s="18">
        <v>0</v>
      </c>
      <c r="MRJ306" s="18">
        <v>0</v>
      </c>
      <c r="MRK306" s="18">
        <v>0</v>
      </c>
      <c r="MRL306" s="18">
        <v>0</v>
      </c>
      <c r="MRM306" s="18">
        <v>0</v>
      </c>
      <c r="MRN306" s="18">
        <v>0</v>
      </c>
      <c r="MRO306" s="18">
        <v>0</v>
      </c>
      <c r="MRP306" s="18">
        <v>0</v>
      </c>
      <c r="MRQ306" s="18">
        <v>0</v>
      </c>
      <c r="MRR306" s="18">
        <v>0</v>
      </c>
      <c r="MRS306" s="18">
        <v>0</v>
      </c>
      <c r="MRT306" s="18">
        <v>0</v>
      </c>
      <c r="MRU306" s="18">
        <v>0</v>
      </c>
      <c r="MRV306" s="18">
        <v>0</v>
      </c>
      <c r="MRW306" s="18">
        <v>0</v>
      </c>
      <c r="MRX306" s="18">
        <v>0</v>
      </c>
      <c r="MRY306" s="18">
        <v>0</v>
      </c>
      <c r="MRZ306" s="18">
        <v>0</v>
      </c>
      <c r="MSA306" s="18">
        <v>0</v>
      </c>
      <c r="MSB306" s="18">
        <v>0</v>
      </c>
      <c r="MSC306" s="18">
        <v>0</v>
      </c>
      <c r="MSD306" s="18">
        <v>0</v>
      </c>
      <c r="MSE306" s="18">
        <v>0</v>
      </c>
      <c r="MSF306" s="18">
        <v>0</v>
      </c>
      <c r="MSG306" s="18">
        <v>0</v>
      </c>
      <c r="MSH306" s="18">
        <v>0</v>
      </c>
      <c r="MSI306" s="18">
        <v>0</v>
      </c>
      <c r="MSJ306" s="18">
        <v>0</v>
      </c>
      <c r="MSK306" s="18">
        <v>0</v>
      </c>
      <c r="MSL306" s="18">
        <v>0</v>
      </c>
      <c r="MSM306" s="18">
        <v>0</v>
      </c>
      <c r="MSN306" s="18">
        <v>0</v>
      </c>
      <c r="MSO306" s="18">
        <v>0</v>
      </c>
      <c r="MSP306" s="18">
        <v>0</v>
      </c>
      <c r="MSQ306" s="18">
        <v>0</v>
      </c>
      <c r="MSR306" s="18">
        <v>0</v>
      </c>
      <c r="MSS306" s="18">
        <v>0</v>
      </c>
      <c r="MST306" s="18">
        <v>0</v>
      </c>
      <c r="MSU306" s="18">
        <v>0</v>
      </c>
      <c r="MSV306" s="18">
        <v>0</v>
      </c>
      <c r="MSW306" s="18">
        <v>0</v>
      </c>
      <c r="MSX306" s="18">
        <v>0</v>
      </c>
      <c r="MSY306" s="18">
        <v>0</v>
      </c>
      <c r="MSZ306" s="18">
        <v>0</v>
      </c>
      <c r="MTA306" s="18">
        <v>0</v>
      </c>
      <c r="MTB306" s="18">
        <v>0</v>
      </c>
      <c r="MTC306" s="18">
        <v>0</v>
      </c>
      <c r="MTD306" s="18">
        <v>0</v>
      </c>
      <c r="MTE306" s="18">
        <v>0</v>
      </c>
      <c r="MTF306" s="18">
        <v>0</v>
      </c>
      <c r="MTG306" s="18">
        <v>0</v>
      </c>
      <c r="MTH306" s="18">
        <v>0</v>
      </c>
      <c r="MTI306" s="18">
        <v>0</v>
      </c>
      <c r="MTJ306" s="18">
        <v>0</v>
      </c>
      <c r="MTK306" s="18">
        <v>0</v>
      </c>
      <c r="MTL306" s="18">
        <v>0</v>
      </c>
      <c r="MTM306" s="18">
        <v>0</v>
      </c>
      <c r="MTN306" s="18">
        <v>0</v>
      </c>
      <c r="MTO306" s="18">
        <v>0</v>
      </c>
      <c r="MTP306" s="18">
        <v>0</v>
      </c>
      <c r="MTQ306" s="18">
        <v>0</v>
      </c>
      <c r="MTR306" s="18">
        <v>0</v>
      </c>
      <c r="MTS306" s="18">
        <v>0</v>
      </c>
      <c r="MTT306" s="18">
        <v>0</v>
      </c>
      <c r="MTU306" s="18">
        <v>0</v>
      </c>
      <c r="MTV306" s="18">
        <v>0</v>
      </c>
      <c r="MTW306" s="18">
        <v>0</v>
      </c>
      <c r="MTX306" s="18">
        <v>0</v>
      </c>
      <c r="MTY306" s="18">
        <v>0</v>
      </c>
      <c r="MTZ306" s="18">
        <v>0</v>
      </c>
      <c r="MUA306" s="18">
        <v>0</v>
      </c>
      <c r="MUB306" s="18">
        <v>0</v>
      </c>
      <c r="MUC306" s="18">
        <v>0</v>
      </c>
      <c r="MUD306" s="18">
        <v>0</v>
      </c>
      <c r="MUE306" s="18">
        <v>0</v>
      </c>
      <c r="MUF306" s="18">
        <v>0</v>
      </c>
      <c r="MUG306" s="18">
        <v>0</v>
      </c>
      <c r="MUH306" s="18">
        <v>0</v>
      </c>
      <c r="MUI306" s="18">
        <v>0</v>
      </c>
      <c r="MUJ306" s="18">
        <v>0</v>
      </c>
      <c r="MUK306" s="18">
        <v>0</v>
      </c>
      <c r="MUL306" s="18">
        <v>0</v>
      </c>
      <c r="MUM306" s="18">
        <v>0</v>
      </c>
      <c r="MUN306" s="18">
        <v>0</v>
      </c>
      <c r="MUO306" s="18">
        <v>0</v>
      </c>
      <c r="MUP306" s="18">
        <v>0</v>
      </c>
      <c r="MUQ306" s="18">
        <v>0</v>
      </c>
      <c r="MUR306" s="18">
        <v>0</v>
      </c>
      <c r="MUS306" s="18">
        <v>0</v>
      </c>
      <c r="MUT306" s="18">
        <v>0</v>
      </c>
      <c r="MUU306" s="18">
        <v>0</v>
      </c>
      <c r="MUV306" s="18">
        <v>0</v>
      </c>
      <c r="MUW306" s="18">
        <v>0</v>
      </c>
      <c r="MUX306" s="18">
        <v>0</v>
      </c>
      <c r="MUY306" s="18">
        <v>0</v>
      </c>
      <c r="MUZ306" s="18">
        <v>0</v>
      </c>
      <c r="MVA306" s="18">
        <v>0</v>
      </c>
      <c r="MVB306" s="18">
        <v>0</v>
      </c>
      <c r="MVC306" s="18">
        <v>0</v>
      </c>
      <c r="MVD306" s="18">
        <v>0</v>
      </c>
      <c r="MVE306" s="18">
        <v>0</v>
      </c>
      <c r="MVF306" s="18">
        <v>0</v>
      </c>
      <c r="MVG306" s="18">
        <v>0</v>
      </c>
      <c r="MVH306" s="18">
        <v>0</v>
      </c>
      <c r="MVI306" s="18">
        <v>0</v>
      </c>
      <c r="MVJ306" s="18">
        <v>0</v>
      </c>
      <c r="MVK306" s="18">
        <v>0</v>
      </c>
      <c r="MVL306" s="18">
        <v>0</v>
      </c>
      <c r="MVM306" s="18">
        <v>0</v>
      </c>
      <c r="MVN306" s="18">
        <v>0</v>
      </c>
      <c r="MVO306" s="18">
        <v>0</v>
      </c>
      <c r="MVP306" s="18">
        <v>0</v>
      </c>
      <c r="MVQ306" s="18">
        <v>0</v>
      </c>
      <c r="MVR306" s="18">
        <v>0</v>
      </c>
      <c r="MVS306" s="18">
        <v>0</v>
      </c>
      <c r="MVT306" s="18">
        <v>0</v>
      </c>
      <c r="MVU306" s="18">
        <v>0</v>
      </c>
      <c r="MVV306" s="18">
        <v>0</v>
      </c>
      <c r="MVW306" s="18">
        <v>0</v>
      </c>
      <c r="MVX306" s="18">
        <v>0</v>
      </c>
      <c r="MVY306" s="18">
        <v>0</v>
      </c>
      <c r="MVZ306" s="18">
        <v>0</v>
      </c>
      <c r="MWA306" s="18">
        <v>0</v>
      </c>
      <c r="MWB306" s="18">
        <v>0</v>
      </c>
      <c r="MWC306" s="18">
        <v>0</v>
      </c>
      <c r="MWD306" s="18">
        <v>0</v>
      </c>
      <c r="MWE306" s="18">
        <v>0</v>
      </c>
      <c r="MWF306" s="18">
        <v>0</v>
      </c>
      <c r="MWG306" s="18">
        <v>0</v>
      </c>
      <c r="MWH306" s="18">
        <v>0</v>
      </c>
      <c r="MWI306" s="18">
        <v>0</v>
      </c>
      <c r="MWJ306" s="18">
        <v>0</v>
      </c>
      <c r="MWK306" s="18">
        <v>0</v>
      </c>
      <c r="MWL306" s="18">
        <v>0</v>
      </c>
      <c r="MWM306" s="18">
        <v>0</v>
      </c>
      <c r="MWN306" s="18">
        <v>0</v>
      </c>
      <c r="MWO306" s="18">
        <v>0</v>
      </c>
      <c r="MWP306" s="18">
        <v>0</v>
      </c>
      <c r="MWQ306" s="18">
        <v>0</v>
      </c>
      <c r="MWR306" s="18">
        <v>0</v>
      </c>
      <c r="MWS306" s="18">
        <v>0</v>
      </c>
      <c r="MWT306" s="18">
        <v>0</v>
      </c>
      <c r="MWU306" s="18">
        <v>0</v>
      </c>
      <c r="MWV306" s="18">
        <v>0</v>
      </c>
      <c r="MWW306" s="18">
        <v>0</v>
      </c>
      <c r="MWX306" s="18">
        <v>0</v>
      </c>
      <c r="MWY306" s="18">
        <v>0</v>
      </c>
      <c r="MWZ306" s="18">
        <v>0</v>
      </c>
      <c r="MXA306" s="18">
        <v>0</v>
      </c>
      <c r="MXB306" s="18">
        <v>0</v>
      </c>
      <c r="MXC306" s="18">
        <v>0</v>
      </c>
      <c r="MXD306" s="18">
        <v>0</v>
      </c>
      <c r="MXE306" s="18">
        <v>0</v>
      </c>
      <c r="MXF306" s="18">
        <v>0</v>
      </c>
      <c r="MXG306" s="18">
        <v>0</v>
      </c>
      <c r="MXH306" s="18">
        <v>0</v>
      </c>
      <c r="MXI306" s="18">
        <v>0</v>
      </c>
      <c r="MXJ306" s="18">
        <v>0</v>
      </c>
      <c r="MXK306" s="18">
        <v>0</v>
      </c>
      <c r="MXL306" s="18">
        <v>0</v>
      </c>
      <c r="MXM306" s="18">
        <v>0</v>
      </c>
      <c r="MXN306" s="18">
        <v>0</v>
      </c>
      <c r="MXO306" s="18">
        <v>0</v>
      </c>
      <c r="MXP306" s="18">
        <v>0</v>
      </c>
      <c r="MXQ306" s="18">
        <v>0</v>
      </c>
      <c r="MXR306" s="18">
        <v>0</v>
      </c>
      <c r="MXS306" s="18">
        <v>0</v>
      </c>
      <c r="MXT306" s="18">
        <v>0</v>
      </c>
      <c r="MXU306" s="18">
        <v>0</v>
      </c>
      <c r="MXV306" s="18">
        <v>0</v>
      </c>
      <c r="MXW306" s="18">
        <v>0</v>
      </c>
      <c r="MXX306" s="18">
        <v>0</v>
      </c>
      <c r="MXY306" s="18">
        <v>0</v>
      </c>
      <c r="MXZ306" s="18">
        <v>0</v>
      </c>
      <c r="MYA306" s="18">
        <v>0</v>
      </c>
      <c r="MYB306" s="18">
        <v>0</v>
      </c>
      <c r="MYC306" s="18">
        <v>0</v>
      </c>
      <c r="MYD306" s="18">
        <v>0</v>
      </c>
      <c r="MYE306" s="18">
        <v>0</v>
      </c>
      <c r="MYF306" s="18">
        <v>0</v>
      </c>
      <c r="MYG306" s="18">
        <v>0</v>
      </c>
      <c r="MYH306" s="18">
        <v>0</v>
      </c>
      <c r="MYI306" s="18">
        <v>0</v>
      </c>
      <c r="MYJ306" s="18">
        <v>0</v>
      </c>
      <c r="MYK306" s="18">
        <v>0</v>
      </c>
      <c r="MYL306" s="18">
        <v>0</v>
      </c>
      <c r="MYM306" s="18">
        <v>0</v>
      </c>
      <c r="MYN306" s="18">
        <v>0</v>
      </c>
      <c r="MYO306" s="18">
        <v>0</v>
      </c>
      <c r="MYP306" s="18">
        <v>0</v>
      </c>
      <c r="MYQ306" s="18">
        <v>0</v>
      </c>
      <c r="MYR306" s="18">
        <v>0</v>
      </c>
      <c r="MYS306" s="18">
        <v>0</v>
      </c>
      <c r="MYT306" s="18">
        <v>0</v>
      </c>
      <c r="MYU306" s="18">
        <v>0</v>
      </c>
      <c r="MYV306" s="18">
        <v>0</v>
      </c>
      <c r="MYW306" s="18">
        <v>0</v>
      </c>
      <c r="MYX306" s="18">
        <v>0</v>
      </c>
      <c r="MYY306" s="18">
        <v>0</v>
      </c>
      <c r="MYZ306" s="18">
        <v>0</v>
      </c>
      <c r="MZA306" s="18">
        <v>0</v>
      </c>
      <c r="MZB306" s="18">
        <v>0</v>
      </c>
      <c r="MZC306" s="18">
        <v>0</v>
      </c>
      <c r="MZD306" s="18">
        <v>0</v>
      </c>
      <c r="MZE306" s="18">
        <v>0</v>
      </c>
      <c r="MZF306" s="18">
        <v>0</v>
      </c>
      <c r="MZG306" s="18">
        <v>0</v>
      </c>
      <c r="MZH306" s="18">
        <v>0</v>
      </c>
      <c r="MZI306" s="18">
        <v>0</v>
      </c>
      <c r="MZJ306" s="18">
        <v>0</v>
      </c>
      <c r="MZK306" s="18">
        <v>0</v>
      </c>
      <c r="MZL306" s="18">
        <v>0</v>
      </c>
      <c r="MZM306" s="18">
        <v>0</v>
      </c>
      <c r="MZN306" s="18">
        <v>0</v>
      </c>
      <c r="MZO306" s="18">
        <v>0</v>
      </c>
      <c r="MZP306" s="18">
        <v>0</v>
      </c>
      <c r="MZQ306" s="18">
        <v>0</v>
      </c>
      <c r="MZR306" s="18">
        <v>0</v>
      </c>
      <c r="MZS306" s="18">
        <v>0</v>
      </c>
      <c r="MZT306" s="18">
        <v>0</v>
      </c>
      <c r="MZU306" s="18">
        <v>0</v>
      </c>
      <c r="MZV306" s="18">
        <v>0</v>
      </c>
      <c r="MZW306" s="18">
        <v>0</v>
      </c>
      <c r="MZX306" s="18">
        <v>0</v>
      </c>
      <c r="MZY306" s="18">
        <v>0</v>
      </c>
      <c r="MZZ306" s="18">
        <v>0</v>
      </c>
      <c r="NAA306" s="18">
        <v>0</v>
      </c>
      <c r="NAB306" s="18">
        <v>0</v>
      </c>
      <c r="NAC306" s="18">
        <v>0</v>
      </c>
      <c r="NAD306" s="18">
        <v>0</v>
      </c>
      <c r="NAE306" s="18">
        <v>0</v>
      </c>
      <c r="NAF306" s="18">
        <v>0</v>
      </c>
      <c r="NAG306" s="18">
        <v>0</v>
      </c>
      <c r="NAH306" s="18">
        <v>0</v>
      </c>
      <c r="NAI306" s="18">
        <v>0</v>
      </c>
      <c r="NAJ306" s="18">
        <v>0</v>
      </c>
      <c r="NAK306" s="18">
        <v>0</v>
      </c>
      <c r="NAL306" s="18">
        <v>0</v>
      </c>
      <c r="NAM306" s="18">
        <v>0</v>
      </c>
      <c r="NAN306" s="18">
        <v>0</v>
      </c>
      <c r="NAO306" s="18">
        <v>0</v>
      </c>
      <c r="NAP306" s="18">
        <v>0</v>
      </c>
      <c r="NAQ306" s="18">
        <v>0</v>
      </c>
      <c r="NAR306" s="18">
        <v>0</v>
      </c>
      <c r="NAS306" s="18">
        <v>0</v>
      </c>
      <c r="NAT306" s="18">
        <v>0</v>
      </c>
      <c r="NAU306" s="18">
        <v>0</v>
      </c>
      <c r="NAV306" s="18">
        <v>0</v>
      </c>
      <c r="NAW306" s="18">
        <v>0</v>
      </c>
      <c r="NAX306" s="18">
        <v>0</v>
      </c>
      <c r="NAY306" s="18">
        <v>0</v>
      </c>
      <c r="NAZ306" s="18">
        <v>0</v>
      </c>
      <c r="NBA306" s="18">
        <v>0</v>
      </c>
      <c r="NBB306" s="18">
        <v>0</v>
      </c>
      <c r="NBC306" s="18">
        <v>0</v>
      </c>
      <c r="NBD306" s="18">
        <v>0</v>
      </c>
      <c r="NBE306" s="18">
        <v>0</v>
      </c>
      <c r="NBF306" s="18">
        <v>0</v>
      </c>
      <c r="NBG306" s="18">
        <v>0</v>
      </c>
      <c r="NBH306" s="18">
        <v>0</v>
      </c>
      <c r="NBI306" s="18">
        <v>0</v>
      </c>
      <c r="NBJ306" s="18">
        <v>0</v>
      </c>
      <c r="NBK306" s="18">
        <v>0</v>
      </c>
      <c r="NBL306" s="18">
        <v>0</v>
      </c>
      <c r="NBM306" s="18">
        <v>0</v>
      </c>
      <c r="NBN306" s="18">
        <v>0</v>
      </c>
      <c r="NBO306" s="18">
        <v>0</v>
      </c>
      <c r="NBP306" s="18">
        <v>0</v>
      </c>
      <c r="NBQ306" s="18">
        <v>0</v>
      </c>
      <c r="NBR306" s="18">
        <v>0</v>
      </c>
      <c r="NBS306" s="18">
        <v>0</v>
      </c>
      <c r="NBT306" s="18">
        <v>0</v>
      </c>
      <c r="NBU306" s="18">
        <v>0</v>
      </c>
      <c r="NBV306" s="18">
        <v>0</v>
      </c>
      <c r="NBW306" s="18">
        <v>0</v>
      </c>
      <c r="NBX306" s="18">
        <v>0</v>
      </c>
      <c r="NBY306" s="18">
        <v>0</v>
      </c>
      <c r="NBZ306" s="18">
        <v>0</v>
      </c>
      <c r="NCA306" s="18">
        <v>0</v>
      </c>
      <c r="NCB306" s="18">
        <v>0</v>
      </c>
      <c r="NCC306" s="18">
        <v>0</v>
      </c>
      <c r="NCD306" s="18">
        <v>0</v>
      </c>
      <c r="NCE306" s="18">
        <v>0</v>
      </c>
      <c r="NCF306" s="18">
        <v>0</v>
      </c>
      <c r="NCG306" s="18">
        <v>0</v>
      </c>
      <c r="NCH306" s="18">
        <v>0</v>
      </c>
      <c r="NCI306" s="18">
        <v>0</v>
      </c>
      <c r="NCJ306" s="18">
        <v>0</v>
      </c>
      <c r="NCK306" s="18">
        <v>0</v>
      </c>
      <c r="NCL306" s="18">
        <v>0</v>
      </c>
      <c r="NCM306" s="18">
        <v>0</v>
      </c>
      <c r="NCN306" s="18">
        <v>0</v>
      </c>
      <c r="NCO306" s="18">
        <v>0</v>
      </c>
      <c r="NCP306" s="18">
        <v>0</v>
      </c>
      <c r="NCQ306" s="18">
        <v>0</v>
      </c>
      <c r="NCR306" s="18">
        <v>0</v>
      </c>
      <c r="NCS306" s="18">
        <v>0</v>
      </c>
      <c r="NCT306" s="18">
        <v>0</v>
      </c>
      <c r="NCU306" s="18">
        <v>0</v>
      </c>
      <c r="NCV306" s="18">
        <v>0</v>
      </c>
      <c r="NCW306" s="18">
        <v>0</v>
      </c>
      <c r="NCX306" s="18">
        <v>0</v>
      </c>
      <c r="NCY306" s="18">
        <v>0</v>
      </c>
      <c r="NCZ306" s="18">
        <v>0</v>
      </c>
      <c r="NDA306" s="18">
        <v>0</v>
      </c>
      <c r="NDB306" s="18">
        <v>0</v>
      </c>
      <c r="NDC306" s="18">
        <v>0</v>
      </c>
      <c r="NDD306" s="18">
        <v>0</v>
      </c>
      <c r="NDE306" s="18">
        <v>0</v>
      </c>
      <c r="NDF306" s="18">
        <v>0</v>
      </c>
      <c r="NDG306" s="18">
        <v>0</v>
      </c>
      <c r="NDH306" s="18">
        <v>0</v>
      </c>
      <c r="NDI306" s="18">
        <v>0</v>
      </c>
      <c r="NDJ306" s="18">
        <v>0</v>
      </c>
      <c r="NDK306" s="18">
        <v>0</v>
      </c>
      <c r="NDL306" s="18">
        <v>0</v>
      </c>
      <c r="NDM306" s="18">
        <v>0</v>
      </c>
      <c r="NDN306" s="18">
        <v>0</v>
      </c>
      <c r="NDO306" s="18">
        <v>0</v>
      </c>
      <c r="NDP306" s="18">
        <v>0</v>
      </c>
      <c r="NDQ306" s="18">
        <v>0</v>
      </c>
      <c r="NDR306" s="18">
        <v>0</v>
      </c>
      <c r="NDS306" s="18">
        <v>0</v>
      </c>
      <c r="NDT306" s="18">
        <v>0</v>
      </c>
      <c r="NDU306" s="18">
        <v>0</v>
      </c>
      <c r="NDV306" s="18">
        <v>0</v>
      </c>
      <c r="NDW306" s="18">
        <v>0</v>
      </c>
      <c r="NDX306" s="18">
        <v>0</v>
      </c>
      <c r="NDY306" s="18">
        <v>0</v>
      </c>
      <c r="NDZ306" s="18">
        <v>0</v>
      </c>
      <c r="NEA306" s="18">
        <v>0</v>
      </c>
      <c r="NEB306" s="18">
        <v>0</v>
      </c>
      <c r="NEC306" s="18">
        <v>0</v>
      </c>
      <c r="NED306" s="18">
        <v>0</v>
      </c>
      <c r="NEE306" s="18">
        <v>0</v>
      </c>
      <c r="NEF306" s="18">
        <v>0</v>
      </c>
      <c r="NEG306" s="18">
        <v>0</v>
      </c>
      <c r="NEH306" s="18">
        <v>0</v>
      </c>
      <c r="NEI306" s="18">
        <v>0</v>
      </c>
      <c r="NEJ306" s="18">
        <v>0</v>
      </c>
      <c r="NEK306" s="18">
        <v>0</v>
      </c>
      <c r="NEL306" s="18">
        <v>0</v>
      </c>
      <c r="NEM306" s="18">
        <v>0</v>
      </c>
      <c r="NEN306" s="18">
        <v>0</v>
      </c>
      <c r="NEO306" s="18">
        <v>0</v>
      </c>
      <c r="NEP306" s="18">
        <v>0</v>
      </c>
      <c r="NEQ306" s="18">
        <v>0</v>
      </c>
      <c r="NER306" s="18">
        <v>0</v>
      </c>
      <c r="NES306" s="18">
        <v>0</v>
      </c>
      <c r="NET306" s="18">
        <v>0</v>
      </c>
      <c r="NEU306" s="18">
        <v>0</v>
      </c>
      <c r="NEV306" s="18">
        <v>0</v>
      </c>
      <c r="NEW306" s="18">
        <v>0</v>
      </c>
      <c r="NEX306" s="18">
        <v>0</v>
      </c>
      <c r="NEY306" s="18">
        <v>0</v>
      </c>
      <c r="NEZ306" s="18">
        <v>0</v>
      </c>
      <c r="NFA306" s="18">
        <v>0</v>
      </c>
      <c r="NFB306" s="18">
        <v>0</v>
      </c>
      <c r="NFC306" s="18">
        <v>0</v>
      </c>
      <c r="NFD306" s="18">
        <v>0</v>
      </c>
      <c r="NFE306" s="18">
        <v>0</v>
      </c>
      <c r="NFF306" s="18">
        <v>0</v>
      </c>
      <c r="NFG306" s="18">
        <v>0</v>
      </c>
      <c r="NFH306" s="18">
        <v>0</v>
      </c>
      <c r="NFI306" s="18">
        <v>0</v>
      </c>
      <c r="NFJ306" s="18">
        <v>0</v>
      </c>
      <c r="NFK306" s="18">
        <v>0</v>
      </c>
      <c r="NFL306" s="18">
        <v>0</v>
      </c>
      <c r="NFM306" s="18">
        <v>0</v>
      </c>
      <c r="NFN306" s="18">
        <v>0</v>
      </c>
      <c r="NFO306" s="18">
        <v>0</v>
      </c>
      <c r="NFP306" s="18">
        <v>0</v>
      </c>
      <c r="NFQ306" s="18">
        <v>0</v>
      </c>
      <c r="NFR306" s="18">
        <v>0</v>
      </c>
      <c r="NFS306" s="18">
        <v>0</v>
      </c>
      <c r="NFT306" s="18">
        <v>0</v>
      </c>
      <c r="NFU306" s="18">
        <v>0</v>
      </c>
      <c r="NFV306" s="18">
        <v>0</v>
      </c>
      <c r="NFW306" s="18">
        <v>0</v>
      </c>
      <c r="NFX306" s="18">
        <v>0</v>
      </c>
      <c r="NFY306" s="18">
        <v>0</v>
      </c>
      <c r="NFZ306" s="18">
        <v>0</v>
      </c>
      <c r="NGA306" s="18">
        <v>0</v>
      </c>
      <c r="NGB306" s="18">
        <v>0</v>
      </c>
      <c r="NGC306" s="18">
        <v>0</v>
      </c>
      <c r="NGD306" s="18">
        <v>0</v>
      </c>
      <c r="NGE306" s="18">
        <v>0</v>
      </c>
      <c r="NGF306" s="18">
        <v>0</v>
      </c>
      <c r="NGG306" s="18">
        <v>0</v>
      </c>
      <c r="NGH306" s="18">
        <v>0</v>
      </c>
      <c r="NGI306" s="18">
        <v>0</v>
      </c>
      <c r="NGJ306" s="18">
        <v>0</v>
      </c>
      <c r="NGK306" s="18">
        <v>0</v>
      </c>
      <c r="NGL306" s="18">
        <v>0</v>
      </c>
      <c r="NGM306" s="18">
        <v>0</v>
      </c>
      <c r="NGN306" s="18">
        <v>0</v>
      </c>
      <c r="NGO306" s="18">
        <v>0</v>
      </c>
      <c r="NGP306" s="18">
        <v>0</v>
      </c>
      <c r="NGQ306" s="18">
        <v>0</v>
      </c>
      <c r="NGR306" s="18">
        <v>0</v>
      </c>
      <c r="NGS306" s="18">
        <v>0</v>
      </c>
      <c r="NGT306" s="18">
        <v>0</v>
      </c>
      <c r="NGU306" s="18">
        <v>0</v>
      </c>
      <c r="NGV306" s="18">
        <v>0</v>
      </c>
      <c r="NGW306" s="18">
        <v>0</v>
      </c>
      <c r="NGX306" s="18">
        <v>0</v>
      </c>
      <c r="NGY306" s="18">
        <v>0</v>
      </c>
      <c r="NGZ306" s="18">
        <v>0</v>
      </c>
      <c r="NHA306" s="18">
        <v>0</v>
      </c>
      <c r="NHB306" s="18">
        <v>0</v>
      </c>
      <c r="NHC306" s="18">
        <v>0</v>
      </c>
      <c r="NHD306" s="18">
        <v>0</v>
      </c>
      <c r="NHE306" s="18">
        <v>0</v>
      </c>
      <c r="NHF306" s="18">
        <v>0</v>
      </c>
      <c r="NHG306" s="18">
        <v>0</v>
      </c>
      <c r="NHH306" s="18">
        <v>0</v>
      </c>
      <c r="NHI306" s="18">
        <v>0</v>
      </c>
      <c r="NHJ306" s="18">
        <v>0</v>
      </c>
      <c r="NHK306" s="18">
        <v>0</v>
      </c>
      <c r="NHL306" s="18">
        <v>0</v>
      </c>
      <c r="NHM306" s="18">
        <v>0</v>
      </c>
      <c r="NHN306" s="18">
        <v>0</v>
      </c>
      <c r="NHO306" s="18">
        <v>0</v>
      </c>
      <c r="NHP306" s="18">
        <v>0</v>
      </c>
      <c r="NHQ306" s="18">
        <v>0</v>
      </c>
      <c r="NHR306" s="18">
        <v>0</v>
      </c>
      <c r="NHS306" s="18">
        <v>0</v>
      </c>
      <c r="NHT306" s="18">
        <v>0</v>
      </c>
      <c r="NHU306" s="18">
        <v>0</v>
      </c>
      <c r="NHV306" s="18">
        <v>0</v>
      </c>
      <c r="NHW306" s="18">
        <v>0</v>
      </c>
      <c r="NHX306" s="18">
        <v>0</v>
      </c>
      <c r="NHY306" s="18">
        <v>0</v>
      </c>
      <c r="NHZ306" s="18">
        <v>0</v>
      </c>
      <c r="NIA306" s="18">
        <v>0</v>
      </c>
      <c r="NIB306" s="18">
        <v>0</v>
      </c>
      <c r="NIC306" s="18">
        <v>0</v>
      </c>
      <c r="NID306" s="18">
        <v>0</v>
      </c>
      <c r="NIE306" s="18">
        <v>0</v>
      </c>
      <c r="NIF306" s="18">
        <v>0</v>
      </c>
      <c r="NIG306" s="18">
        <v>0</v>
      </c>
      <c r="NIH306" s="18">
        <v>0</v>
      </c>
      <c r="NII306" s="18">
        <v>0</v>
      </c>
      <c r="NIJ306" s="18">
        <v>0</v>
      </c>
      <c r="NIK306" s="18">
        <v>0</v>
      </c>
      <c r="NIL306" s="18">
        <v>0</v>
      </c>
      <c r="NIM306" s="18">
        <v>0</v>
      </c>
      <c r="NIN306" s="18">
        <v>0</v>
      </c>
      <c r="NIO306" s="18">
        <v>0</v>
      </c>
      <c r="NIP306" s="18">
        <v>0</v>
      </c>
      <c r="NIQ306" s="18">
        <v>0</v>
      </c>
      <c r="NIR306" s="18">
        <v>0</v>
      </c>
      <c r="NIS306" s="18">
        <v>0</v>
      </c>
      <c r="NIT306" s="18">
        <v>0</v>
      </c>
      <c r="NIU306" s="18">
        <v>0</v>
      </c>
      <c r="NIV306" s="18">
        <v>0</v>
      </c>
      <c r="NIW306" s="18">
        <v>0</v>
      </c>
      <c r="NIX306" s="18">
        <v>0</v>
      </c>
      <c r="NIY306" s="18">
        <v>0</v>
      </c>
      <c r="NIZ306" s="18">
        <v>0</v>
      </c>
      <c r="NJA306" s="18">
        <v>0</v>
      </c>
      <c r="NJB306" s="18">
        <v>0</v>
      </c>
      <c r="NJC306" s="18">
        <v>0</v>
      </c>
      <c r="NJD306" s="18">
        <v>0</v>
      </c>
      <c r="NJE306" s="18">
        <v>0</v>
      </c>
      <c r="NJF306" s="18">
        <v>0</v>
      </c>
      <c r="NJG306" s="18">
        <v>0</v>
      </c>
      <c r="NJH306" s="18">
        <v>0</v>
      </c>
      <c r="NJI306" s="18">
        <v>0</v>
      </c>
      <c r="NJJ306" s="18">
        <v>0</v>
      </c>
      <c r="NJK306" s="18">
        <v>0</v>
      </c>
      <c r="NJL306" s="18">
        <v>0</v>
      </c>
      <c r="NJM306" s="18">
        <v>0</v>
      </c>
      <c r="NJN306" s="18">
        <v>0</v>
      </c>
      <c r="NJO306" s="18">
        <v>0</v>
      </c>
      <c r="NJP306" s="18">
        <v>0</v>
      </c>
      <c r="NJQ306" s="18">
        <v>0</v>
      </c>
      <c r="NJR306" s="18">
        <v>0</v>
      </c>
      <c r="NJS306" s="18">
        <v>0</v>
      </c>
      <c r="NJT306" s="18">
        <v>0</v>
      </c>
      <c r="NJU306" s="18">
        <v>0</v>
      </c>
      <c r="NJV306" s="18">
        <v>0</v>
      </c>
      <c r="NJW306" s="18">
        <v>0</v>
      </c>
      <c r="NJX306" s="18">
        <v>0</v>
      </c>
      <c r="NJY306" s="18">
        <v>0</v>
      </c>
      <c r="NJZ306" s="18">
        <v>0</v>
      </c>
      <c r="NKA306" s="18">
        <v>0</v>
      </c>
      <c r="NKB306" s="18">
        <v>0</v>
      </c>
      <c r="NKC306" s="18">
        <v>0</v>
      </c>
      <c r="NKD306" s="18">
        <v>0</v>
      </c>
      <c r="NKE306" s="18">
        <v>0</v>
      </c>
      <c r="NKF306" s="18">
        <v>0</v>
      </c>
      <c r="NKG306" s="18">
        <v>0</v>
      </c>
      <c r="NKH306" s="18">
        <v>0</v>
      </c>
      <c r="NKI306" s="18">
        <v>0</v>
      </c>
      <c r="NKJ306" s="18">
        <v>0</v>
      </c>
      <c r="NKK306" s="18">
        <v>0</v>
      </c>
      <c r="NKL306" s="18">
        <v>0</v>
      </c>
      <c r="NKM306" s="18">
        <v>0</v>
      </c>
      <c r="NKN306" s="18">
        <v>0</v>
      </c>
      <c r="NKO306" s="18">
        <v>0</v>
      </c>
      <c r="NKP306" s="18">
        <v>0</v>
      </c>
      <c r="NKQ306" s="18">
        <v>0</v>
      </c>
      <c r="NKR306" s="18">
        <v>0</v>
      </c>
      <c r="NKS306" s="18">
        <v>0</v>
      </c>
      <c r="NKT306" s="18">
        <v>0</v>
      </c>
      <c r="NKU306" s="18">
        <v>0</v>
      </c>
      <c r="NKV306" s="18">
        <v>0</v>
      </c>
      <c r="NKW306" s="18">
        <v>0</v>
      </c>
      <c r="NKX306" s="18">
        <v>0</v>
      </c>
      <c r="NKY306" s="18">
        <v>0</v>
      </c>
      <c r="NKZ306" s="18">
        <v>0</v>
      </c>
      <c r="NLA306" s="18">
        <v>0</v>
      </c>
      <c r="NLB306" s="18">
        <v>0</v>
      </c>
      <c r="NLC306" s="18">
        <v>0</v>
      </c>
      <c r="NLD306" s="18">
        <v>0</v>
      </c>
      <c r="NLE306" s="18">
        <v>0</v>
      </c>
      <c r="NLF306" s="18">
        <v>0</v>
      </c>
      <c r="NLG306" s="18">
        <v>0</v>
      </c>
      <c r="NLH306" s="18">
        <v>0</v>
      </c>
      <c r="NLI306" s="18">
        <v>0</v>
      </c>
      <c r="NLJ306" s="18">
        <v>0</v>
      </c>
      <c r="NLK306" s="18">
        <v>0</v>
      </c>
      <c r="NLL306" s="18">
        <v>0</v>
      </c>
      <c r="NLM306" s="18">
        <v>0</v>
      </c>
      <c r="NLN306" s="18">
        <v>0</v>
      </c>
      <c r="NLO306" s="18">
        <v>0</v>
      </c>
      <c r="NLP306" s="18">
        <v>0</v>
      </c>
      <c r="NLQ306" s="18">
        <v>0</v>
      </c>
      <c r="NLR306" s="18">
        <v>0</v>
      </c>
      <c r="NLS306" s="18">
        <v>0</v>
      </c>
      <c r="NLT306" s="18">
        <v>0</v>
      </c>
      <c r="NLU306" s="18">
        <v>0</v>
      </c>
      <c r="NLV306" s="18">
        <v>0</v>
      </c>
      <c r="NLW306" s="18">
        <v>0</v>
      </c>
      <c r="NLX306" s="18">
        <v>0</v>
      </c>
      <c r="NLY306" s="18">
        <v>0</v>
      </c>
      <c r="NLZ306" s="18">
        <v>0</v>
      </c>
      <c r="NMA306" s="18">
        <v>0</v>
      </c>
      <c r="NMB306" s="18">
        <v>0</v>
      </c>
      <c r="NMC306" s="18">
        <v>0</v>
      </c>
      <c r="NMD306" s="18">
        <v>0</v>
      </c>
      <c r="NME306" s="18">
        <v>0</v>
      </c>
      <c r="NMF306" s="18">
        <v>0</v>
      </c>
      <c r="NMG306" s="18">
        <v>0</v>
      </c>
      <c r="NMH306" s="18">
        <v>0</v>
      </c>
      <c r="NMI306" s="18">
        <v>0</v>
      </c>
      <c r="NMJ306" s="18">
        <v>0</v>
      </c>
      <c r="NMK306" s="18">
        <v>0</v>
      </c>
      <c r="NML306" s="18">
        <v>0</v>
      </c>
      <c r="NMM306" s="18">
        <v>0</v>
      </c>
      <c r="NMN306" s="18">
        <v>0</v>
      </c>
      <c r="NMO306" s="18">
        <v>0</v>
      </c>
      <c r="NMP306" s="18">
        <v>0</v>
      </c>
      <c r="NMQ306" s="18">
        <v>0</v>
      </c>
      <c r="NMR306" s="18">
        <v>0</v>
      </c>
      <c r="NMS306" s="18">
        <v>0</v>
      </c>
      <c r="NMT306" s="18">
        <v>0</v>
      </c>
      <c r="NMU306" s="18">
        <v>0</v>
      </c>
      <c r="NMV306" s="18">
        <v>0</v>
      </c>
      <c r="NMW306" s="18">
        <v>0</v>
      </c>
      <c r="NMX306" s="18">
        <v>0</v>
      </c>
      <c r="NMY306" s="18">
        <v>0</v>
      </c>
      <c r="NMZ306" s="18">
        <v>0</v>
      </c>
      <c r="NNA306" s="18">
        <v>0</v>
      </c>
      <c r="NNB306" s="18">
        <v>0</v>
      </c>
      <c r="NNC306" s="18">
        <v>0</v>
      </c>
      <c r="NND306" s="18">
        <v>0</v>
      </c>
      <c r="NNE306" s="18">
        <v>0</v>
      </c>
      <c r="NNF306" s="18">
        <v>0</v>
      </c>
      <c r="NNG306" s="18">
        <v>0</v>
      </c>
      <c r="NNH306" s="18">
        <v>0</v>
      </c>
      <c r="NNI306" s="18">
        <v>0</v>
      </c>
      <c r="NNJ306" s="18">
        <v>0</v>
      </c>
      <c r="NNK306" s="18">
        <v>0</v>
      </c>
      <c r="NNL306" s="18">
        <v>0</v>
      </c>
      <c r="NNM306" s="18">
        <v>0</v>
      </c>
      <c r="NNN306" s="18">
        <v>0</v>
      </c>
      <c r="NNO306" s="18">
        <v>0</v>
      </c>
      <c r="NNP306" s="18">
        <v>0</v>
      </c>
      <c r="NNQ306" s="18">
        <v>0</v>
      </c>
      <c r="NNR306" s="18">
        <v>0</v>
      </c>
      <c r="NNS306" s="18">
        <v>0</v>
      </c>
      <c r="NNT306" s="18">
        <v>0</v>
      </c>
      <c r="NNU306" s="18">
        <v>0</v>
      </c>
      <c r="NNV306" s="18">
        <v>0</v>
      </c>
      <c r="NNW306" s="18">
        <v>0</v>
      </c>
      <c r="NNX306" s="18">
        <v>0</v>
      </c>
      <c r="NNY306" s="18">
        <v>0</v>
      </c>
      <c r="NNZ306" s="18">
        <v>0</v>
      </c>
      <c r="NOA306" s="18">
        <v>0</v>
      </c>
      <c r="NOB306" s="18">
        <v>0</v>
      </c>
      <c r="NOC306" s="18">
        <v>0</v>
      </c>
      <c r="NOD306" s="18">
        <v>0</v>
      </c>
      <c r="NOE306" s="18">
        <v>0</v>
      </c>
      <c r="NOF306" s="18">
        <v>0</v>
      </c>
      <c r="NOG306" s="18">
        <v>0</v>
      </c>
      <c r="NOH306" s="18">
        <v>0</v>
      </c>
      <c r="NOI306" s="18">
        <v>0</v>
      </c>
      <c r="NOJ306" s="18">
        <v>0</v>
      </c>
      <c r="NOK306" s="18">
        <v>0</v>
      </c>
      <c r="NOL306" s="18">
        <v>0</v>
      </c>
      <c r="NOM306" s="18">
        <v>0</v>
      </c>
      <c r="NON306" s="18">
        <v>0</v>
      </c>
      <c r="NOO306" s="18">
        <v>0</v>
      </c>
      <c r="NOP306" s="18">
        <v>0</v>
      </c>
      <c r="NOQ306" s="18">
        <v>0</v>
      </c>
      <c r="NOR306" s="18">
        <v>0</v>
      </c>
      <c r="NOS306" s="18">
        <v>0</v>
      </c>
      <c r="NOT306" s="18">
        <v>0</v>
      </c>
      <c r="NOU306" s="18">
        <v>0</v>
      </c>
      <c r="NOV306" s="18">
        <v>0</v>
      </c>
      <c r="NOW306" s="18">
        <v>0</v>
      </c>
      <c r="NOX306" s="18">
        <v>0</v>
      </c>
      <c r="NOY306" s="18">
        <v>0</v>
      </c>
      <c r="NOZ306" s="18">
        <v>0</v>
      </c>
      <c r="NPA306" s="18">
        <v>0</v>
      </c>
      <c r="NPB306" s="18">
        <v>0</v>
      </c>
      <c r="NPC306" s="18">
        <v>0</v>
      </c>
      <c r="NPD306" s="18">
        <v>0</v>
      </c>
      <c r="NPE306" s="18">
        <v>0</v>
      </c>
      <c r="NPF306" s="18">
        <v>0</v>
      </c>
      <c r="NPG306" s="18">
        <v>0</v>
      </c>
      <c r="NPH306" s="18">
        <v>0</v>
      </c>
      <c r="NPI306" s="18">
        <v>0</v>
      </c>
      <c r="NPJ306" s="18">
        <v>0</v>
      </c>
      <c r="NPK306" s="18">
        <v>0</v>
      </c>
      <c r="NPL306" s="18">
        <v>0</v>
      </c>
      <c r="NPM306" s="18">
        <v>0</v>
      </c>
      <c r="NPN306" s="18">
        <v>0</v>
      </c>
      <c r="NPO306" s="18">
        <v>0</v>
      </c>
      <c r="NPP306" s="18">
        <v>0</v>
      </c>
      <c r="NPQ306" s="18">
        <v>0</v>
      </c>
      <c r="NPR306" s="18">
        <v>0</v>
      </c>
      <c r="NPS306" s="18">
        <v>0</v>
      </c>
      <c r="NPT306" s="18">
        <v>0</v>
      </c>
      <c r="NPU306" s="18">
        <v>0</v>
      </c>
      <c r="NPV306" s="18">
        <v>0</v>
      </c>
      <c r="NPW306" s="18">
        <v>0</v>
      </c>
      <c r="NPX306" s="18">
        <v>0</v>
      </c>
      <c r="NPY306" s="18">
        <v>0</v>
      </c>
      <c r="NPZ306" s="18">
        <v>0</v>
      </c>
      <c r="NQA306" s="18">
        <v>0</v>
      </c>
      <c r="NQB306" s="18">
        <v>0</v>
      </c>
      <c r="NQC306" s="18">
        <v>0</v>
      </c>
      <c r="NQD306" s="18">
        <v>0</v>
      </c>
      <c r="NQE306" s="18">
        <v>0</v>
      </c>
      <c r="NQF306" s="18">
        <v>0</v>
      </c>
      <c r="NQG306" s="18">
        <v>0</v>
      </c>
      <c r="NQH306" s="18">
        <v>0</v>
      </c>
      <c r="NQI306" s="18">
        <v>0</v>
      </c>
      <c r="NQJ306" s="18">
        <v>0</v>
      </c>
      <c r="NQK306" s="18">
        <v>0</v>
      </c>
      <c r="NQL306" s="18">
        <v>0</v>
      </c>
      <c r="NQM306" s="18">
        <v>0</v>
      </c>
      <c r="NQN306" s="18">
        <v>0</v>
      </c>
      <c r="NQO306" s="18">
        <v>0</v>
      </c>
      <c r="NQP306" s="18">
        <v>0</v>
      </c>
      <c r="NQQ306" s="18">
        <v>0</v>
      </c>
      <c r="NQR306" s="18">
        <v>0</v>
      </c>
      <c r="NQS306" s="18">
        <v>0</v>
      </c>
      <c r="NQT306" s="18">
        <v>0</v>
      </c>
      <c r="NQU306" s="18">
        <v>0</v>
      </c>
      <c r="NQV306" s="18">
        <v>0</v>
      </c>
      <c r="NQW306" s="18">
        <v>0</v>
      </c>
      <c r="NQX306" s="18">
        <v>0</v>
      </c>
      <c r="NQY306" s="18">
        <v>0</v>
      </c>
      <c r="NQZ306" s="18">
        <v>0</v>
      </c>
      <c r="NRA306" s="18">
        <v>0</v>
      </c>
      <c r="NRB306" s="18">
        <v>0</v>
      </c>
      <c r="NRC306" s="18">
        <v>0</v>
      </c>
      <c r="NRD306" s="18">
        <v>0</v>
      </c>
      <c r="NRE306" s="18">
        <v>0</v>
      </c>
      <c r="NRF306" s="18">
        <v>0</v>
      </c>
      <c r="NRG306" s="18">
        <v>0</v>
      </c>
      <c r="NRH306" s="18">
        <v>0</v>
      </c>
      <c r="NRI306" s="18">
        <v>0</v>
      </c>
      <c r="NRJ306" s="18">
        <v>0</v>
      </c>
      <c r="NRK306" s="18">
        <v>0</v>
      </c>
      <c r="NRL306" s="18">
        <v>0</v>
      </c>
      <c r="NRM306" s="18">
        <v>0</v>
      </c>
      <c r="NRN306" s="18">
        <v>0</v>
      </c>
      <c r="NRO306" s="18">
        <v>0</v>
      </c>
      <c r="NRP306" s="18">
        <v>0</v>
      </c>
      <c r="NRQ306" s="18">
        <v>0</v>
      </c>
      <c r="NRR306" s="18">
        <v>0</v>
      </c>
      <c r="NRS306" s="18">
        <v>0</v>
      </c>
      <c r="NRT306" s="18">
        <v>0</v>
      </c>
      <c r="NRU306" s="18">
        <v>0</v>
      </c>
      <c r="NRV306" s="18">
        <v>0</v>
      </c>
      <c r="NRW306" s="18">
        <v>0</v>
      </c>
      <c r="NRX306" s="18">
        <v>0</v>
      </c>
      <c r="NRY306" s="18">
        <v>0</v>
      </c>
      <c r="NRZ306" s="18">
        <v>0</v>
      </c>
      <c r="NSA306" s="18">
        <v>0</v>
      </c>
      <c r="NSB306" s="18">
        <v>0</v>
      </c>
      <c r="NSC306" s="18">
        <v>0</v>
      </c>
      <c r="NSD306" s="18">
        <v>0</v>
      </c>
      <c r="NSE306" s="18">
        <v>0</v>
      </c>
      <c r="NSF306" s="18">
        <v>0</v>
      </c>
      <c r="NSG306" s="18">
        <v>0</v>
      </c>
      <c r="NSH306" s="18">
        <v>0</v>
      </c>
      <c r="NSI306" s="18">
        <v>0</v>
      </c>
      <c r="NSJ306" s="18">
        <v>0</v>
      </c>
      <c r="NSK306" s="18">
        <v>0</v>
      </c>
      <c r="NSL306" s="18">
        <v>0</v>
      </c>
      <c r="NSM306" s="18">
        <v>0</v>
      </c>
      <c r="NSN306" s="18">
        <v>0</v>
      </c>
      <c r="NSO306" s="18">
        <v>0</v>
      </c>
      <c r="NSP306" s="18">
        <v>0</v>
      </c>
      <c r="NSQ306" s="18">
        <v>0</v>
      </c>
      <c r="NSR306" s="18">
        <v>0</v>
      </c>
      <c r="NSS306" s="18">
        <v>0</v>
      </c>
      <c r="NST306" s="18">
        <v>0</v>
      </c>
      <c r="NSU306" s="18">
        <v>0</v>
      </c>
      <c r="NSV306" s="18">
        <v>0</v>
      </c>
      <c r="NSW306" s="18">
        <v>0</v>
      </c>
      <c r="NSX306" s="18">
        <v>0</v>
      </c>
      <c r="NSY306" s="18">
        <v>0</v>
      </c>
      <c r="NSZ306" s="18">
        <v>0</v>
      </c>
      <c r="NTA306" s="18">
        <v>0</v>
      </c>
      <c r="NTB306" s="18">
        <v>0</v>
      </c>
      <c r="NTC306" s="18">
        <v>0</v>
      </c>
      <c r="NTD306" s="18">
        <v>0</v>
      </c>
      <c r="NTE306" s="18">
        <v>0</v>
      </c>
      <c r="NTF306" s="18">
        <v>0</v>
      </c>
      <c r="NTG306" s="18">
        <v>0</v>
      </c>
      <c r="NTH306" s="18">
        <v>0</v>
      </c>
      <c r="NTI306" s="18">
        <v>0</v>
      </c>
      <c r="NTJ306" s="18">
        <v>0</v>
      </c>
      <c r="NTK306" s="18">
        <v>0</v>
      </c>
      <c r="NTL306" s="18">
        <v>0</v>
      </c>
      <c r="NTM306" s="18">
        <v>0</v>
      </c>
      <c r="NTN306" s="18">
        <v>0</v>
      </c>
      <c r="NTO306" s="18">
        <v>0</v>
      </c>
      <c r="NTP306" s="18">
        <v>0</v>
      </c>
      <c r="NTQ306" s="18">
        <v>0</v>
      </c>
      <c r="NTR306" s="18">
        <v>0</v>
      </c>
      <c r="NTS306" s="18">
        <v>0</v>
      </c>
      <c r="NTT306" s="18">
        <v>0</v>
      </c>
      <c r="NTU306" s="18">
        <v>0</v>
      </c>
      <c r="NTV306" s="18">
        <v>0</v>
      </c>
      <c r="NTW306" s="18">
        <v>0</v>
      </c>
      <c r="NTX306" s="18">
        <v>0</v>
      </c>
      <c r="NTY306" s="18">
        <v>0</v>
      </c>
      <c r="NTZ306" s="18">
        <v>0</v>
      </c>
      <c r="NUA306" s="18">
        <v>0</v>
      </c>
      <c r="NUB306" s="18">
        <v>0</v>
      </c>
      <c r="NUC306" s="18">
        <v>0</v>
      </c>
      <c r="NUD306" s="18">
        <v>0</v>
      </c>
      <c r="NUE306" s="18">
        <v>0</v>
      </c>
      <c r="NUF306" s="18">
        <v>0</v>
      </c>
      <c r="NUG306" s="18">
        <v>0</v>
      </c>
      <c r="NUH306" s="18">
        <v>0</v>
      </c>
      <c r="NUI306" s="18">
        <v>0</v>
      </c>
      <c r="NUJ306" s="18">
        <v>0</v>
      </c>
      <c r="NUK306" s="18">
        <v>0</v>
      </c>
      <c r="NUL306" s="18">
        <v>0</v>
      </c>
      <c r="NUM306" s="18">
        <v>0</v>
      </c>
      <c r="NUN306" s="18">
        <v>0</v>
      </c>
      <c r="NUO306" s="18">
        <v>0</v>
      </c>
      <c r="NUP306" s="18">
        <v>0</v>
      </c>
      <c r="NUQ306" s="18">
        <v>0</v>
      </c>
      <c r="NUR306" s="18">
        <v>0</v>
      </c>
      <c r="NUS306" s="18">
        <v>0</v>
      </c>
      <c r="NUT306" s="18">
        <v>0</v>
      </c>
      <c r="NUU306" s="18">
        <v>0</v>
      </c>
      <c r="NUV306" s="18">
        <v>0</v>
      </c>
      <c r="NUW306" s="18">
        <v>0</v>
      </c>
      <c r="NUX306" s="18">
        <v>0</v>
      </c>
      <c r="NUY306" s="18">
        <v>0</v>
      </c>
      <c r="NUZ306" s="18">
        <v>0</v>
      </c>
      <c r="NVA306" s="18">
        <v>0</v>
      </c>
      <c r="NVB306" s="18">
        <v>0</v>
      </c>
      <c r="NVC306" s="18">
        <v>0</v>
      </c>
      <c r="NVD306" s="18">
        <v>0</v>
      </c>
      <c r="NVE306" s="18">
        <v>0</v>
      </c>
      <c r="NVF306" s="18">
        <v>0</v>
      </c>
      <c r="NVG306" s="18">
        <v>0</v>
      </c>
      <c r="NVH306" s="18">
        <v>0</v>
      </c>
      <c r="NVI306" s="18">
        <v>0</v>
      </c>
      <c r="NVJ306" s="18">
        <v>0</v>
      </c>
      <c r="NVK306" s="18">
        <v>0</v>
      </c>
      <c r="NVL306" s="18">
        <v>0</v>
      </c>
      <c r="NVM306" s="18">
        <v>0</v>
      </c>
      <c r="NVN306" s="18">
        <v>0</v>
      </c>
      <c r="NVO306" s="18">
        <v>0</v>
      </c>
      <c r="NVP306" s="18">
        <v>0</v>
      </c>
      <c r="NVQ306" s="18">
        <v>0</v>
      </c>
      <c r="NVR306" s="18">
        <v>0</v>
      </c>
      <c r="NVS306" s="18">
        <v>0</v>
      </c>
      <c r="NVT306" s="18">
        <v>0</v>
      </c>
      <c r="NVU306" s="18">
        <v>0</v>
      </c>
      <c r="NVV306" s="18">
        <v>0</v>
      </c>
      <c r="NVW306" s="18">
        <v>0</v>
      </c>
      <c r="NVX306" s="18">
        <v>0</v>
      </c>
      <c r="NVY306" s="18">
        <v>0</v>
      </c>
      <c r="NVZ306" s="18">
        <v>0</v>
      </c>
      <c r="NWA306" s="18">
        <v>0</v>
      </c>
      <c r="NWB306" s="18">
        <v>0</v>
      </c>
      <c r="NWC306" s="18">
        <v>0</v>
      </c>
      <c r="NWD306" s="18">
        <v>0</v>
      </c>
      <c r="NWE306" s="18">
        <v>0</v>
      </c>
      <c r="NWF306" s="18">
        <v>0</v>
      </c>
      <c r="NWG306" s="18">
        <v>0</v>
      </c>
      <c r="NWH306" s="18">
        <v>0</v>
      </c>
      <c r="NWI306" s="18">
        <v>0</v>
      </c>
      <c r="NWJ306" s="18">
        <v>0</v>
      </c>
      <c r="NWK306" s="18">
        <v>0</v>
      </c>
      <c r="NWL306" s="18">
        <v>0</v>
      </c>
      <c r="NWM306" s="18">
        <v>0</v>
      </c>
      <c r="NWN306" s="18">
        <v>0</v>
      </c>
      <c r="NWO306" s="18">
        <v>0</v>
      </c>
      <c r="NWP306" s="18">
        <v>0</v>
      </c>
      <c r="NWQ306" s="18">
        <v>0</v>
      </c>
      <c r="NWR306" s="18">
        <v>0</v>
      </c>
      <c r="NWS306" s="18">
        <v>0</v>
      </c>
      <c r="NWT306" s="18">
        <v>0</v>
      </c>
      <c r="NWU306" s="18">
        <v>0</v>
      </c>
      <c r="NWV306" s="18">
        <v>0</v>
      </c>
      <c r="NWW306" s="18">
        <v>0</v>
      </c>
      <c r="NWX306" s="18">
        <v>0</v>
      </c>
      <c r="NWY306" s="18">
        <v>0</v>
      </c>
      <c r="NWZ306" s="18">
        <v>0</v>
      </c>
      <c r="NXA306" s="18">
        <v>0</v>
      </c>
      <c r="NXB306" s="18">
        <v>0</v>
      </c>
      <c r="NXC306" s="18">
        <v>0</v>
      </c>
      <c r="NXD306" s="18">
        <v>0</v>
      </c>
      <c r="NXE306" s="18">
        <v>0</v>
      </c>
      <c r="NXF306" s="18">
        <v>0</v>
      </c>
      <c r="NXG306" s="18">
        <v>0</v>
      </c>
      <c r="NXH306" s="18">
        <v>0</v>
      </c>
      <c r="NXI306" s="18">
        <v>0</v>
      </c>
      <c r="NXJ306" s="18">
        <v>0</v>
      </c>
      <c r="NXK306" s="18">
        <v>0</v>
      </c>
      <c r="NXL306" s="18">
        <v>0</v>
      </c>
      <c r="NXM306" s="18">
        <v>0</v>
      </c>
      <c r="NXN306" s="18">
        <v>0</v>
      </c>
      <c r="NXO306" s="18">
        <v>0</v>
      </c>
      <c r="NXP306" s="18">
        <v>0</v>
      </c>
      <c r="NXQ306" s="18">
        <v>0</v>
      </c>
      <c r="NXR306" s="18">
        <v>0</v>
      </c>
      <c r="NXS306" s="18">
        <v>0</v>
      </c>
      <c r="NXT306" s="18">
        <v>0</v>
      </c>
      <c r="NXU306" s="18">
        <v>0</v>
      </c>
      <c r="NXV306" s="18">
        <v>0</v>
      </c>
      <c r="NXW306" s="18">
        <v>0</v>
      </c>
      <c r="NXX306" s="18">
        <v>0</v>
      </c>
      <c r="NXY306" s="18">
        <v>0</v>
      </c>
      <c r="NXZ306" s="18">
        <v>0</v>
      </c>
      <c r="NYA306" s="18">
        <v>0</v>
      </c>
      <c r="NYB306" s="18">
        <v>0</v>
      </c>
      <c r="NYC306" s="18">
        <v>0</v>
      </c>
      <c r="NYD306" s="18">
        <v>0</v>
      </c>
      <c r="NYE306" s="18">
        <v>0</v>
      </c>
      <c r="NYF306" s="18">
        <v>0</v>
      </c>
      <c r="NYG306" s="18">
        <v>0</v>
      </c>
      <c r="NYH306" s="18">
        <v>0</v>
      </c>
      <c r="NYI306" s="18">
        <v>0</v>
      </c>
      <c r="NYJ306" s="18">
        <v>0</v>
      </c>
      <c r="NYK306" s="18">
        <v>0</v>
      </c>
      <c r="NYL306" s="18">
        <v>0</v>
      </c>
      <c r="NYM306" s="18">
        <v>0</v>
      </c>
      <c r="NYN306" s="18">
        <v>0</v>
      </c>
      <c r="NYO306" s="18">
        <v>0</v>
      </c>
      <c r="NYP306" s="18">
        <v>0</v>
      </c>
      <c r="NYQ306" s="18">
        <v>0</v>
      </c>
      <c r="NYR306" s="18">
        <v>0</v>
      </c>
      <c r="NYS306" s="18">
        <v>0</v>
      </c>
      <c r="NYT306" s="18">
        <v>0</v>
      </c>
      <c r="NYU306" s="18">
        <v>0</v>
      </c>
      <c r="NYV306" s="18">
        <v>0</v>
      </c>
      <c r="NYW306" s="18">
        <v>0</v>
      </c>
      <c r="NYX306" s="18">
        <v>0</v>
      </c>
      <c r="NYY306" s="18">
        <v>0</v>
      </c>
      <c r="NYZ306" s="18">
        <v>0</v>
      </c>
      <c r="NZA306" s="18">
        <v>0</v>
      </c>
      <c r="NZB306" s="18">
        <v>0</v>
      </c>
      <c r="NZC306" s="18">
        <v>0</v>
      </c>
      <c r="NZD306" s="18">
        <v>0</v>
      </c>
      <c r="NZE306" s="18">
        <v>0</v>
      </c>
      <c r="NZF306" s="18">
        <v>0</v>
      </c>
      <c r="NZG306" s="18">
        <v>0</v>
      </c>
      <c r="NZH306" s="18">
        <v>0</v>
      </c>
      <c r="NZI306" s="18">
        <v>0</v>
      </c>
      <c r="NZJ306" s="18">
        <v>0</v>
      </c>
      <c r="NZK306" s="18">
        <v>0</v>
      </c>
      <c r="NZL306" s="18">
        <v>0</v>
      </c>
      <c r="NZM306" s="18">
        <v>0</v>
      </c>
      <c r="NZN306" s="18">
        <v>0</v>
      </c>
      <c r="NZO306" s="18">
        <v>0</v>
      </c>
      <c r="NZP306" s="18">
        <v>0</v>
      </c>
      <c r="NZQ306" s="18">
        <v>0</v>
      </c>
      <c r="NZR306" s="18">
        <v>0</v>
      </c>
      <c r="NZS306" s="18">
        <v>0</v>
      </c>
      <c r="NZT306" s="18">
        <v>0</v>
      </c>
      <c r="NZU306" s="18">
        <v>0</v>
      </c>
      <c r="NZV306" s="18">
        <v>0</v>
      </c>
      <c r="NZW306" s="18">
        <v>0</v>
      </c>
      <c r="NZX306" s="18">
        <v>0</v>
      </c>
      <c r="NZY306" s="18">
        <v>0</v>
      </c>
      <c r="NZZ306" s="18">
        <v>0</v>
      </c>
      <c r="OAA306" s="18">
        <v>0</v>
      </c>
      <c r="OAB306" s="18">
        <v>0</v>
      </c>
      <c r="OAC306" s="18">
        <v>0</v>
      </c>
      <c r="OAD306" s="18">
        <v>0</v>
      </c>
      <c r="OAE306" s="18">
        <v>0</v>
      </c>
      <c r="OAF306" s="18">
        <v>0</v>
      </c>
      <c r="OAG306" s="18">
        <v>0</v>
      </c>
      <c r="OAH306" s="18">
        <v>0</v>
      </c>
      <c r="OAI306" s="18">
        <v>0</v>
      </c>
      <c r="OAJ306" s="18">
        <v>0</v>
      </c>
      <c r="OAK306" s="18">
        <v>0</v>
      </c>
      <c r="OAL306" s="18">
        <v>0</v>
      </c>
      <c r="OAM306" s="18">
        <v>0</v>
      </c>
      <c r="OAN306" s="18">
        <v>0</v>
      </c>
      <c r="OAO306" s="18">
        <v>0</v>
      </c>
      <c r="OAP306" s="18">
        <v>0</v>
      </c>
      <c r="OAQ306" s="18">
        <v>0</v>
      </c>
      <c r="OAR306" s="18">
        <v>0</v>
      </c>
      <c r="OAS306" s="18">
        <v>0</v>
      </c>
      <c r="OAT306" s="18">
        <v>0</v>
      </c>
      <c r="OAU306" s="18">
        <v>0</v>
      </c>
      <c r="OAV306" s="18">
        <v>0</v>
      </c>
      <c r="OAW306" s="18">
        <v>0</v>
      </c>
      <c r="OAX306" s="18">
        <v>0</v>
      </c>
      <c r="OAY306" s="18">
        <v>0</v>
      </c>
      <c r="OAZ306" s="18">
        <v>0</v>
      </c>
      <c r="OBA306" s="18">
        <v>0</v>
      </c>
      <c r="OBB306" s="18">
        <v>0</v>
      </c>
      <c r="OBC306" s="18">
        <v>0</v>
      </c>
      <c r="OBD306" s="18">
        <v>0</v>
      </c>
      <c r="OBE306" s="18">
        <v>0</v>
      </c>
      <c r="OBF306" s="18">
        <v>0</v>
      </c>
      <c r="OBG306" s="18">
        <v>0</v>
      </c>
      <c r="OBH306" s="18">
        <v>0</v>
      </c>
      <c r="OBI306" s="18">
        <v>0</v>
      </c>
      <c r="OBJ306" s="18">
        <v>0</v>
      </c>
      <c r="OBK306" s="18">
        <v>0</v>
      </c>
      <c r="OBL306" s="18">
        <v>0</v>
      </c>
      <c r="OBM306" s="18">
        <v>0</v>
      </c>
      <c r="OBN306" s="18">
        <v>0</v>
      </c>
      <c r="OBO306" s="18">
        <v>0</v>
      </c>
      <c r="OBP306" s="18">
        <v>0</v>
      </c>
      <c r="OBQ306" s="18">
        <v>0</v>
      </c>
      <c r="OBR306" s="18">
        <v>0</v>
      </c>
      <c r="OBS306" s="18">
        <v>0</v>
      </c>
      <c r="OBT306" s="18">
        <v>0</v>
      </c>
      <c r="OBU306" s="18">
        <v>0</v>
      </c>
      <c r="OBV306" s="18">
        <v>0</v>
      </c>
      <c r="OBW306" s="18">
        <v>0</v>
      </c>
      <c r="OBX306" s="18">
        <v>0</v>
      </c>
      <c r="OBY306" s="18">
        <v>0</v>
      </c>
      <c r="OBZ306" s="18">
        <v>0</v>
      </c>
      <c r="OCA306" s="18">
        <v>0</v>
      </c>
      <c r="OCB306" s="18">
        <v>0</v>
      </c>
      <c r="OCC306" s="18">
        <v>0</v>
      </c>
      <c r="OCD306" s="18">
        <v>0</v>
      </c>
      <c r="OCE306" s="18">
        <v>0</v>
      </c>
      <c r="OCF306" s="18">
        <v>0</v>
      </c>
      <c r="OCG306" s="18">
        <v>0</v>
      </c>
      <c r="OCH306" s="18">
        <v>0</v>
      </c>
      <c r="OCI306" s="18">
        <v>0</v>
      </c>
      <c r="OCJ306" s="18">
        <v>0</v>
      </c>
      <c r="OCK306" s="18">
        <v>0</v>
      </c>
      <c r="OCL306" s="18">
        <v>0</v>
      </c>
      <c r="OCM306" s="18">
        <v>0</v>
      </c>
      <c r="OCN306" s="18">
        <v>0</v>
      </c>
      <c r="OCO306" s="18">
        <v>0</v>
      </c>
      <c r="OCP306" s="18">
        <v>0</v>
      </c>
      <c r="OCQ306" s="18">
        <v>0</v>
      </c>
      <c r="OCR306" s="18">
        <v>0</v>
      </c>
      <c r="OCS306" s="18">
        <v>0</v>
      </c>
      <c r="OCT306" s="18">
        <v>0</v>
      </c>
      <c r="OCU306" s="18">
        <v>0</v>
      </c>
      <c r="OCV306" s="18">
        <v>0</v>
      </c>
      <c r="OCW306" s="18">
        <v>0</v>
      </c>
      <c r="OCX306" s="18">
        <v>0</v>
      </c>
      <c r="OCY306" s="18">
        <v>0</v>
      </c>
      <c r="OCZ306" s="18">
        <v>0</v>
      </c>
      <c r="ODA306" s="18">
        <v>0</v>
      </c>
      <c r="ODB306" s="18">
        <v>0</v>
      </c>
      <c r="ODC306" s="18">
        <v>0</v>
      </c>
      <c r="ODD306" s="18">
        <v>0</v>
      </c>
      <c r="ODE306" s="18">
        <v>0</v>
      </c>
      <c r="ODF306" s="18">
        <v>0</v>
      </c>
      <c r="ODG306" s="18">
        <v>0</v>
      </c>
      <c r="ODH306" s="18">
        <v>0</v>
      </c>
      <c r="ODI306" s="18">
        <v>0</v>
      </c>
      <c r="ODJ306" s="18">
        <v>0</v>
      </c>
      <c r="ODK306" s="18">
        <v>0</v>
      </c>
      <c r="ODL306" s="18">
        <v>0</v>
      </c>
      <c r="ODM306" s="18">
        <v>0</v>
      </c>
      <c r="ODN306" s="18">
        <v>0</v>
      </c>
      <c r="ODO306" s="18">
        <v>0</v>
      </c>
      <c r="ODP306" s="18">
        <v>0</v>
      </c>
      <c r="ODQ306" s="18">
        <v>0</v>
      </c>
      <c r="ODR306" s="18">
        <v>0</v>
      </c>
      <c r="ODS306" s="18">
        <v>0</v>
      </c>
      <c r="ODT306" s="18">
        <v>0</v>
      </c>
      <c r="ODU306" s="18">
        <v>0</v>
      </c>
      <c r="ODV306" s="18">
        <v>0</v>
      </c>
      <c r="ODW306" s="18">
        <v>0</v>
      </c>
      <c r="ODX306" s="18">
        <v>0</v>
      </c>
      <c r="ODY306" s="18">
        <v>0</v>
      </c>
      <c r="ODZ306" s="18">
        <v>0</v>
      </c>
      <c r="OEA306" s="18">
        <v>0</v>
      </c>
      <c r="OEB306" s="18">
        <v>0</v>
      </c>
      <c r="OEC306" s="18">
        <v>0</v>
      </c>
      <c r="OED306" s="18">
        <v>0</v>
      </c>
      <c r="OEE306" s="18">
        <v>0</v>
      </c>
      <c r="OEF306" s="18">
        <v>0</v>
      </c>
      <c r="OEG306" s="18">
        <v>0</v>
      </c>
      <c r="OEH306" s="18">
        <v>0</v>
      </c>
      <c r="OEI306" s="18">
        <v>0</v>
      </c>
      <c r="OEJ306" s="18">
        <v>0</v>
      </c>
      <c r="OEK306" s="18">
        <v>0</v>
      </c>
      <c r="OEL306" s="18">
        <v>0</v>
      </c>
      <c r="OEM306" s="18">
        <v>0</v>
      </c>
      <c r="OEN306" s="18">
        <v>0</v>
      </c>
      <c r="OEO306" s="18">
        <v>0</v>
      </c>
      <c r="OEP306" s="18">
        <v>0</v>
      </c>
      <c r="OEQ306" s="18">
        <v>0</v>
      </c>
      <c r="OER306" s="18">
        <v>0</v>
      </c>
      <c r="OES306" s="18">
        <v>0</v>
      </c>
      <c r="OET306" s="18">
        <v>0</v>
      </c>
      <c r="OEU306" s="18">
        <v>0</v>
      </c>
      <c r="OEV306" s="18">
        <v>0</v>
      </c>
      <c r="OEW306" s="18">
        <v>0</v>
      </c>
      <c r="OEX306" s="18">
        <v>0</v>
      </c>
      <c r="OEY306" s="18">
        <v>0</v>
      </c>
      <c r="OEZ306" s="18">
        <v>0</v>
      </c>
      <c r="OFA306" s="18">
        <v>0</v>
      </c>
      <c r="OFB306" s="18">
        <v>0</v>
      </c>
      <c r="OFC306" s="18">
        <v>0</v>
      </c>
      <c r="OFD306" s="18">
        <v>0</v>
      </c>
      <c r="OFE306" s="18">
        <v>0</v>
      </c>
      <c r="OFF306" s="18">
        <v>0</v>
      </c>
      <c r="OFG306" s="18">
        <v>0</v>
      </c>
      <c r="OFH306" s="18">
        <v>0</v>
      </c>
      <c r="OFI306" s="18">
        <v>0</v>
      </c>
      <c r="OFJ306" s="18">
        <v>0</v>
      </c>
      <c r="OFK306" s="18">
        <v>0</v>
      </c>
      <c r="OFL306" s="18">
        <v>0</v>
      </c>
      <c r="OFM306" s="18">
        <v>0</v>
      </c>
      <c r="OFN306" s="18">
        <v>0</v>
      </c>
      <c r="OFO306" s="18">
        <v>0</v>
      </c>
      <c r="OFP306" s="18">
        <v>0</v>
      </c>
      <c r="OFQ306" s="18">
        <v>0</v>
      </c>
      <c r="OFR306" s="18">
        <v>0</v>
      </c>
      <c r="OFS306" s="18">
        <v>0</v>
      </c>
      <c r="OFT306" s="18">
        <v>0</v>
      </c>
      <c r="OFU306" s="18">
        <v>0</v>
      </c>
      <c r="OFV306" s="18">
        <v>0</v>
      </c>
      <c r="OFW306" s="18">
        <v>0</v>
      </c>
      <c r="OFX306" s="18">
        <v>0</v>
      </c>
      <c r="OFY306" s="18">
        <v>0</v>
      </c>
      <c r="OFZ306" s="18">
        <v>0</v>
      </c>
      <c r="OGA306" s="18">
        <v>0</v>
      </c>
      <c r="OGB306" s="18">
        <v>0</v>
      </c>
      <c r="OGC306" s="18">
        <v>0</v>
      </c>
      <c r="OGD306" s="18">
        <v>0</v>
      </c>
      <c r="OGE306" s="18">
        <v>0</v>
      </c>
      <c r="OGF306" s="18">
        <v>0</v>
      </c>
      <c r="OGG306" s="18">
        <v>0</v>
      </c>
      <c r="OGH306" s="18">
        <v>0</v>
      </c>
      <c r="OGI306" s="18">
        <v>0</v>
      </c>
      <c r="OGJ306" s="18">
        <v>0</v>
      </c>
      <c r="OGK306" s="18">
        <v>0</v>
      </c>
      <c r="OGL306" s="18">
        <v>0</v>
      </c>
      <c r="OGM306" s="18">
        <v>0</v>
      </c>
      <c r="OGN306" s="18">
        <v>0</v>
      </c>
      <c r="OGO306" s="18">
        <v>0</v>
      </c>
      <c r="OGP306" s="18">
        <v>0</v>
      </c>
      <c r="OGQ306" s="18">
        <v>0</v>
      </c>
      <c r="OGR306" s="18">
        <v>0</v>
      </c>
      <c r="OGS306" s="18">
        <v>0</v>
      </c>
      <c r="OGT306" s="18">
        <v>0</v>
      </c>
      <c r="OGU306" s="18">
        <v>0</v>
      </c>
      <c r="OGV306" s="18">
        <v>0</v>
      </c>
      <c r="OGW306" s="18">
        <v>0</v>
      </c>
      <c r="OGX306" s="18">
        <v>0</v>
      </c>
      <c r="OGY306" s="18">
        <v>0</v>
      </c>
      <c r="OGZ306" s="18">
        <v>0</v>
      </c>
      <c r="OHA306" s="18">
        <v>0</v>
      </c>
      <c r="OHB306" s="18">
        <v>0</v>
      </c>
      <c r="OHC306" s="18">
        <v>0</v>
      </c>
      <c r="OHD306" s="18">
        <v>0</v>
      </c>
      <c r="OHE306" s="18">
        <v>0</v>
      </c>
      <c r="OHF306" s="18">
        <v>0</v>
      </c>
      <c r="OHG306" s="18">
        <v>0</v>
      </c>
      <c r="OHH306" s="18">
        <v>0</v>
      </c>
      <c r="OHI306" s="18">
        <v>0</v>
      </c>
      <c r="OHJ306" s="18">
        <v>0</v>
      </c>
      <c r="OHK306" s="18">
        <v>0</v>
      </c>
      <c r="OHL306" s="18">
        <v>0</v>
      </c>
      <c r="OHM306" s="18">
        <v>0</v>
      </c>
      <c r="OHN306" s="18">
        <v>0</v>
      </c>
      <c r="OHO306" s="18">
        <v>0</v>
      </c>
      <c r="OHP306" s="18">
        <v>0</v>
      </c>
      <c r="OHQ306" s="18">
        <v>0</v>
      </c>
      <c r="OHR306" s="18">
        <v>0</v>
      </c>
      <c r="OHS306" s="18">
        <v>0</v>
      </c>
      <c r="OHT306" s="18">
        <v>0</v>
      </c>
      <c r="OHU306" s="18">
        <v>0</v>
      </c>
      <c r="OHV306" s="18">
        <v>0</v>
      </c>
      <c r="OHW306" s="18">
        <v>0</v>
      </c>
      <c r="OHX306" s="18">
        <v>0</v>
      </c>
      <c r="OHY306" s="18">
        <v>0</v>
      </c>
      <c r="OHZ306" s="18">
        <v>0</v>
      </c>
      <c r="OIA306" s="18">
        <v>0</v>
      </c>
      <c r="OIB306" s="18">
        <v>0</v>
      </c>
      <c r="OIC306" s="18">
        <v>0</v>
      </c>
      <c r="OID306" s="18">
        <v>0</v>
      </c>
      <c r="OIE306" s="18">
        <v>0</v>
      </c>
      <c r="OIF306" s="18">
        <v>0</v>
      </c>
      <c r="OIG306" s="18">
        <v>0</v>
      </c>
      <c r="OIH306" s="18">
        <v>0</v>
      </c>
      <c r="OII306" s="18">
        <v>0</v>
      </c>
      <c r="OIJ306" s="18">
        <v>0</v>
      </c>
      <c r="OIK306" s="18">
        <v>0</v>
      </c>
      <c r="OIL306" s="18">
        <v>0</v>
      </c>
      <c r="OIM306" s="18">
        <v>0</v>
      </c>
      <c r="OIN306" s="18">
        <v>0</v>
      </c>
      <c r="OIO306" s="18">
        <v>0</v>
      </c>
      <c r="OIP306" s="18">
        <v>0</v>
      </c>
      <c r="OIQ306" s="18">
        <v>0</v>
      </c>
      <c r="OIR306" s="18">
        <v>0</v>
      </c>
      <c r="OIS306" s="18">
        <v>0</v>
      </c>
      <c r="OIT306" s="18">
        <v>0</v>
      </c>
      <c r="OIU306" s="18">
        <v>0</v>
      </c>
      <c r="OIV306" s="18">
        <v>0</v>
      </c>
      <c r="OIW306" s="18">
        <v>0</v>
      </c>
      <c r="OIX306" s="18">
        <v>0</v>
      </c>
      <c r="OIY306" s="18">
        <v>0</v>
      </c>
      <c r="OIZ306" s="18">
        <v>0</v>
      </c>
      <c r="OJA306" s="18">
        <v>0</v>
      </c>
      <c r="OJB306" s="18">
        <v>0</v>
      </c>
      <c r="OJC306" s="18">
        <v>0</v>
      </c>
      <c r="OJD306" s="18">
        <v>0</v>
      </c>
      <c r="OJE306" s="18">
        <v>0</v>
      </c>
      <c r="OJF306" s="18">
        <v>0</v>
      </c>
      <c r="OJG306" s="18">
        <v>0</v>
      </c>
      <c r="OJH306" s="18">
        <v>0</v>
      </c>
      <c r="OJI306" s="18">
        <v>0</v>
      </c>
      <c r="OJJ306" s="18">
        <v>0</v>
      </c>
      <c r="OJK306" s="18">
        <v>0</v>
      </c>
      <c r="OJL306" s="18">
        <v>0</v>
      </c>
      <c r="OJM306" s="18">
        <v>0</v>
      </c>
      <c r="OJN306" s="18">
        <v>0</v>
      </c>
      <c r="OJO306" s="18">
        <v>0</v>
      </c>
      <c r="OJP306" s="18">
        <v>0</v>
      </c>
      <c r="OJQ306" s="18">
        <v>0</v>
      </c>
      <c r="OJR306" s="18">
        <v>0</v>
      </c>
      <c r="OJS306" s="18">
        <v>0</v>
      </c>
      <c r="OJT306" s="18">
        <v>0</v>
      </c>
      <c r="OJU306" s="18">
        <v>0</v>
      </c>
      <c r="OJV306" s="18">
        <v>0</v>
      </c>
      <c r="OJW306" s="18">
        <v>0</v>
      </c>
      <c r="OJX306" s="18">
        <v>0</v>
      </c>
      <c r="OJY306" s="18">
        <v>0</v>
      </c>
      <c r="OJZ306" s="18">
        <v>0</v>
      </c>
      <c r="OKA306" s="18">
        <v>0</v>
      </c>
      <c r="OKB306" s="18">
        <v>0</v>
      </c>
      <c r="OKC306" s="18">
        <v>0</v>
      </c>
      <c r="OKD306" s="18">
        <v>0</v>
      </c>
      <c r="OKE306" s="18">
        <v>0</v>
      </c>
      <c r="OKF306" s="18">
        <v>0</v>
      </c>
      <c r="OKG306" s="18">
        <v>0</v>
      </c>
      <c r="OKH306" s="18">
        <v>0</v>
      </c>
      <c r="OKI306" s="18">
        <v>0</v>
      </c>
      <c r="OKJ306" s="18">
        <v>0</v>
      </c>
      <c r="OKK306" s="18">
        <v>0</v>
      </c>
      <c r="OKL306" s="18">
        <v>0</v>
      </c>
      <c r="OKM306" s="18">
        <v>0</v>
      </c>
      <c r="OKN306" s="18">
        <v>0</v>
      </c>
      <c r="OKO306" s="18">
        <v>0</v>
      </c>
      <c r="OKP306" s="18">
        <v>0</v>
      </c>
      <c r="OKQ306" s="18">
        <v>0</v>
      </c>
      <c r="OKR306" s="18">
        <v>0</v>
      </c>
      <c r="OKS306" s="18">
        <v>0</v>
      </c>
      <c r="OKT306" s="18">
        <v>0</v>
      </c>
      <c r="OKU306" s="18">
        <v>0</v>
      </c>
      <c r="OKV306" s="18">
        <v>0</v>
      </c>
      <c r="OKW306" s="18">
        <v>0</v>
      </c>
      <c r="OKX306" s="18">
        <v>0</v>
      </c>
      <c r="OKY306" s="18">
        <v>0</v>
      </c>
      <c r="OKZ306" s="18">
        <v>0</v>
      </c>
      <c r="OLA306" s="18">
        <v>0</v>
      </c>
      <c r="OLB306" s="18">
        <v>0</v>
      </c>
      <c r="OLC306" s="18">
        <v>0</v>
      </c>
      <c r="OLD306" s="18">
        <v>0</v>
      </c>
      <c r="OLE306" s="18">
        <v>0</v>
      </c>
      <c r="OLF306" s="18">
        <v>0</v>
      </c>
      <c r="OLG306" s="18">
        <v>0</v>
      </c>
      <c r="OLH306" s="18">
        <v>0</v>
      </c>
      <c r="OLI306" s="18">
        <v>0</v>
      </c>
      <c r="OLJ306" s="18">
        <v>0</v>
      </c>
      <c r="OLK306" s="18">
        <v>0</v>
      </c>
      <c r="OLL306" s="18">
        <v>0</v>
      </c>
      <c r="OLM306" s="18">
        <v>0</v>
      </c>
      <c r="OLN306" s="18">
        <v>0</v>
      </c>
      <c r="OLO306" s="18">
        <v>0</v>
      </c>
      <c r="OLP306" s="18">
        <v>0</v>
      </c>
      <c r="OLQ306" s="18">
        <v>0</v>
      </c>
      <c r="OLR306" s="18">
        <v>0</v>
      </c>
      <c r="OLS306" s="18">
        <v>0</v>
      </c>
      <c r="OLT306" s="18">
        <v>0</v>
      </c>
      <c r="OLU306" s="18">
        <v>0</v>
      </c>
      <c r="OLV306" s="18">
        <v>0</v>
      </c>
      <c r="OLW306" s="18">
        <v>0</v>
      </c>
      <c r="OLX306" s="18">
        <v>0</v>
      </c>
      <c r="OLY306" s="18">
        <v>0</v>
      </c>
      <c r="OLZ306" s="18">
        <v>0</v>
      </c>
      <c r="OMA306" s="18">
        <v>0</v>
      </c>
      <c r="OMB306" s="18">
        <v>0</v>
      </c>
      <c r="OMC306" s="18">
        <v>0</v>
      </c>
      <c r="OMD306" s="18">
        <v>0</v>
      </c>
      <c r="OME306" s="18">
        <v>0</v>
      </c>
      <c r="OMF306" s="18">
        <v>0</v>
      </c>
      <c r="OMG306" s="18">
        <v>0</v>
      </c>
      <c r="OMH306" s="18">
        <v>0</v>
      </c>
      <c r="OMI306" s="18">
        <v>0</v>
      </c>
      <c r="OMJ306" s="18">
        <v>0</v>
      </c>
      <c r="OMK306" s="18">
        <v>0</v>
      </c>
      <c r="OML306" s="18">
        <v>0</v>
      </c>
      <c r="OMM306" s="18">
        <v>0</v>
      </c>
      <c r="OMN306" s="18">
        <v>0</v>
      </c>
      <c r="OMO306" s="18">
        <v>0</v>
      </c>
      <c r="OMP306" s="18">
        <v>0</v>
      </c>
      <c r="OMQ306" s="18">
        <v>0</v>
      </c>
      <c r="OMR306" s="18">
        <v>0</v>
      </c>
      <c r="OMS306" s="18">
        <v>0</v>
      </c>
      <c r="OMT306" s="18">
        <v>0</v>
      </c>
      <c r="OMU306" s="18">
        <v>0</v>
      </c>
      <c r="OMV306" s="18">
        <v>0</v>
      </c>
      <c r="OMW306" s="18">
        <v>0</v>
      </c>
      <c r="OMX306" s="18">
        <v>0</v>
      </c>
      <c r="OMY306" s="18">
        <v>0</v>
      </c>
      <c r="OMZ306" s="18">
        <v>0</v>
      </c>
      <c r="ONA306" s="18">
        <v>0</v>
      </c>
      <c r="ONB306" s="18">
        <v>0</v>
      </c>
      <c r="ONC306" s="18">
        <v>0</v>
      </c>
      <c r="OND306" s="18">
        <v>0</v>
      </c>
      <c r="ONE306" s="18">
        <v>0</v>
      </c>
      <c r="ONF306" s="18">
        <v>0</v>
      </c>
      <c r="ONG306" s="18">
        <v>0</v>
      </c>
      <c r="ONH306" s="18">
        <v>0</v>
      </c>
      <c r="ONI306" s="18">
        <v>0</v>
      </c>
      <c r="ONJ306" s="18">
        <v>0</v>
      </c>
      <c r="ONK306" s="18">
        <v>0</v>
      </c>
      <c r="ONL306" s="18">
        <v>0</v>
      </c>
      <c r="ONM306" s="18">
        <v>0</v>
      </c>
      <c r="ONN306" s="18">
        <v>0</v>
      </c>
      <c r="ONO306" s="18">
        <v>0</v>
      </c>
      <c r="ONP306" s="18">
        <v>0</v>
      </c>
      <c r="ONQ306" s="18">
        <v>0</v>
      </c>
      <c r="ONR306" s="18">
        <v>0</v>
      </c>
      <c r="ONS306" s="18">
        <v>0</v>
      </c>
      <c r="ONT306" s="18">
        <v>0</v>
      </c>
      <c r="ONU306" s="18">
        <v>0</v>
      </c>
      <c r="ONV306" s="18">
        <v>0</v>
      </c>
      <c r="ONW306" s="18">
        <v>0</v>
      </c>
      <c r="ONX306" s="18">
        <v>0</v>
      </c>
      <c r="ONY306" s="18">
        <v>0</v>
      </c>
      <c r="ONZ306" s="18">
        <v>0</v>
      </c>
      <c r="OOA306" s="18">
        <v>0</v>
      </c>
      <c r="OOB306" s="18">
        <v>0</v>
      </c>
      <c r="OOC306" s="18">
        <v>0</v>
      </c>
      <c r="OOD306" s="18">
        <v>0</v>
      </c>
      <c r="OOE306" s="18">
        <v>0</v>
      </c>
      <c r="OOF306" s="18">
        <v>0</v>
      </c>
      <c r="OOG306" s="18">
        <v>0</v>
      </c>
      <c r="OOH306" s="18">
        <v>0</v>
      </c>
      <c r="OOI306" s="18">
        <v>0</v>
      </c>
      <c r="OOJ306" s="18">
        <v>0</v>
      </c>
      <c r="OOK306" s="18">
        <v>0</v>
      </c>
      <c r="OOL306" s="18">
        <v>0</v>
      </c>
      <c r="OOM306" s="18">
        <v>0</v>
      </c>
      <c r="OON306" s="18">
        <v>0</v>
      </c>
      <c r="OOO306" s="18">
        <v>0</v>
      </c>
      <c r="OOP306" s="18">
        <v>0</v>
      </c>
      <c r="OOQ306" s="18">
        <v>0</v>
      </c>
      <c r="OOR306" s="18">
        <v>0</v>
      </c>
      <c r="OOS306" s="18">
        <v>0</v>
      </c>
      <c r="OOT306" s="18">
        <v>0</v>
      </c>
      <c r="OOU306" s="18">
        <v>0</v>
      </c>
      <c r="OOV306" s="18">
        <v>0</v>
      </c>
      <c r="OOW306" s="18">
        <v>0</v>
      </c>
      <c r="OOX306" s="18">
        <v>0</v>
      </c>
      <c r="OOY306" s="18">
        <v>0</v>
      </c>
      <c r="OOZ306" s="18">
        <v>0</v>
      </c>
      <c r="OPA306" s="18">
        <v>0</v>
      </c>
      <c r="OPB306" s="18">
        <v>0</v>
      </c>
      <c r="OPC306" s="18">
        <v>0</v>
      </c>
      <c r="OPD306" s="18">
        <v>0</v>
      </c>
      <c r="OPE306" s="18">
        <v>0</v>
      </c>
      <c r="OPF306" s="18">
        <v>0</v>
      </c>
      <c r="OPG306" s="18">
        <v>0</v>
      </c>
      <c r="OPH306" s="18">
        <v>0</v>
      </c>
      <c r="OPI306" s="18">
        <v>0</v>
      </c>
      <c r="OPJ306" s="18">
        <v>0</v>
      </c>
      <c r="OPK306" s="18">
        <v>0</v>
      </c>
      <c r="OPL306" s="18">
        <v>0</v>
      </c>
      <c r="OPM306" s="18">
        <v>0</v>
      </c>
      <c r="OPN306" s="18">
        <v>0</v>
      </c>
      <c r="OPO306" s="18">
        <v>0</v>
      </c>
      <c r="OPP306" s="18">
        <v>0</v>
      </c>
      <c r="OPQ306" s="18">
        <v>0</v>
      </c>
      <c r="OPR306" s="18">
        <v>0</v>
      </c>
      <c r="OPS306" s="18">
        <v>0</v>
      </c>
      <c r="OPT306" s="18">
        <v>0</v>
      </c>
      <c r="OPU306" s="18">
        <v>0</v>
      </c>
      <c r="OPV306" s="18">
        <v>0</v>
      </c>
      <c r="OPW306" s="18">
        <v>0</v>
      </c>
      <c r="OPX306" s="18">
        <v>0</v>
      </c>
      <c r="OPY306" s="18">
        <v>0</v>
      </c>
      <c r="OPZ306" s="18">
        <v>0</v>
      </c>
      <c r="OQA306" s="18">
        <v>0</v>
      </c>
      <c r="OQB306" s="18">
        <v>0</v>
      </c>
      <c r="OQC306" s="18">
        <v>0</v>
      </c>
      <c r="OQD306" s="18">
        <v>0</v>
      </c>
      <c r="OQE306" s="18">
        <v>0</v>
      </c>
      <c r="OQF306" s="18">
        <v>0</v>
      </c>
      <c r="OQG306" s="18">
        <v>0</v>
      </c>
      <c r="OQH306" s="18">
        <v>0</v>
      </c>
      <c r="OQI306" s="18">
        <v>0</v>
      </c>
      <c r="OQJ306" s="18">
        <v>0</v>
      </c>
      <c r="OQK306" s="18">
        <v>0</v>
      </c>
      <c r="OQL306" s="18">
        <v>0</v>
      </c>
      <c r="OQM306" s="18">
        <v>0</v>
      </c>
      <c r="OQN306" s="18">
        <v>0</v>
      </c>
      <c r="OQO306" s="18">
        <v>0</v>
      </c>
      <c r="OQP306" s="18">
        <v>0</v>
      </c>
      <c r="OQQ306" s="18">
        <v>0</v>
      </c>
      <c r="OQR306" s="18">
        <v>0</v>
      </c>
      <c r="OQS306" s="18">
        <v>0</v>
      </c>
      <c r="OQT306" s="18">
        <v>0</v>
      </c>
      <c r="OQU306" s="18">
        <v>0</v>
      </c>
      <c r="OQV306" s="18">
        <v>0</v>
      </c>
      <c r="OQW306" s="18">
        <v>0</v>
      </c>
      <c r="OQX306" s="18">
        <v>0</v>
      </c>
      <c r="OQY306" s="18">
        <v>0</v>
      </c>
      <c r="OQZ306" s="18">
        <v>0</v>
      </c>
      <c r="ORA306" s="18">
        <v>0</v>
      </c>
      <c r="ORB306" s="18">
        <v>0</v>
      </c>
      <c r="ORC306" s="18">
        <v>0</v>
      </c>
      <c r="ORD306" s="18">
        <v>0</v>
      </c>
      <c r="ORE306" s="18">
        <v>0</v>
      </c>
      <c r="ORF306" s="18">
        <v>0</v>
      </c>
      <c r="ORG306" s="18">
        <v>0</v>
      </c>
      <c r="ORH306" s="18">
        <v>0</v>
      </c>
      <c r="ORI306" s="18">
        <v>0</v>
      </c>
      <c r="ORJ306" s="18">
        <v>0</v>
      </c>
      <c r="ORK306" s="18">
        <v>0</v>
      </c>
      <c r="ORL306" s="18">
        <v>0</v>
      </c>
      <c r="ORM306" s="18">
        <v>0</v>
      </c>
      <c r="ORN306" s="18">
        <v>0</v>
      </c>
      <c r="ORO306" s="18">
        <v>0</v>
      </c>
      <c r="ORP306" s="18">
        <v>0</v>
      </c>
      <c r="ORQ306" s="18">
        <v>0</v>
      </c>
      <c r="ORR306" s="18">
        <v>0</v>
      </c>
      <c r="ORS306" s="18">
        <v>0</v>
      </c>
      <c r="ORT306" s="18">
        <v>0</v>
      </c>
      <c r="ORU306" s="18">
        <v>0</v>
      </c>
      <c r="ORV306" s="18">
        <v>0</v>
      </c>
      <c r="ORW306" s="18">
        <v>0</v>
      </c>
      <c r="ORX306" s="18">
        <v>0</v>
      </c>
      <c r="ORY306" s="18">
        <v>0</v>
      </c>
      <c r="ORZ306" s="18">
        <v>0</v>
      </c>
      <c r="OSA306" s="18">
        <v>0</v>
      </c>
      <c r="OSB306" s="18">
        <v>0</v>
      </c>
      <c r="OSC306" s="18">
        <v>0</v>
      </c>
      <c r="OSD306" s="18">
        <v>0</v>
      </c>
      <c r="OSE306" s="18">
        <v>0</v>
      </c>
      <c r="OSF306" s="18">
        <v>0</v>
      </c>
      <c r="OSG306" s="18">
        <v>0</v>
      </c>
      <c r="OSH306" s="18">
        <v>0</v>
      </c>
      <c r="OSI306" s="18">
        <v>0</v>
      </c>
      <c r="OSJ306" s="18">
        <v>0</v>
      </c>
      <c r="OSK306" s="18">
        <v>0</v>
      </c>
      <c r="OSL306" s="18">
        <v>0</v>
      </c>
      <c r="OSM306" s="18">
        <v>0</v>
      </c>
      <c r="OSN306" s="18">
        <v>0</v>
      </c>
      <c r="OSO306" s="18">
        <v>0</v>
      </c>
      <c r="OSP306" s="18">
        <v>0</v>
      </c>
      <c r="OSQ306" s="18">
        <v>0</v>
      </c>
      <c r="OSR306" s="18">
        <v>0</v>
      </c>
      <c r="OSS306" s="18">
        <v>0</v>
      </c>
      <c r="OST306" s="18">
        <v>0</v>
      </c>
      <c r="OSU306" s="18">
        <v>0</v>
      </c>
      <c r="OSV306" s="18">
        <v>0</v>
      </c>
      <c r="OSW306" s="18">
        <v>0</v>
      </c>
      <c r="OSX306" s="18">
        <v>0</v>
      </c>
      <c r="OSY306" s="18">
        <v>0</v>
      </c>
      <c r="OSZ306" s="18">
        <v>0</v>
      </c>
      <c r="OTA306" s="18">
        <v>0</v>
      </c>
      <c r="OTB306" s="18">
        <v>0</v>
      </c>
      <c r="OTC306" s="18">
        <v>0</v>
      </c>
      <c r="OTD306" s="18">
        <v>0</v>
      </c>
      <c r="OTE306" s="18">
        <v>0</v>
      </c>
      <c r="OTF306" s="18">
        <v>0</v>
      </c>
      <c r="OTG306" s="18">
        <v>0</v>
      </c>
      <c r="OTH306" s="18">
        <v>0</v>
      </c>
      <c r="OTI306" s="18">
        <v>0</v>
      </c>
      <c r="OTJ306" s="18">
        <v>0</v>
      </c>
      <c r="OTK306" s="18">
        <v>0</v>
      </c>
      <c r="OTL306" s="18">
        <v>0</v>
      </c>
      <c r="OTM306" s="18">
        <v>0</v>
      </c>
      <c r="OTN306" s="18">
        <v>0</v>
      </c>
      <c r="OTO306" s="18">
        <v>0</v>
      </c>
      <c r="OTP306" s="18">
        <v>0</v>
      </c>
      <c r="OTQ306" s="18">
        <v>0</v>
      </c>
      <c r="OTR306" s="18">
        <v>0</v>
      </c>
      <c r="OTS306" s="18">
        <v>0</v>
      </c>
      <c r="OTT306" s="18">
        <v>0</v>
      </c>
      <c r="OTU306" s="18">
        <v>0</v>
      </c>
      <c r="OTV306" s="18">
        <v>0</v>
      </c>
      <c r="OTW306" s="18">
        <v>0</v>
      </c>
      <c r="OTX306" s="18">
        <v>0</v>
      </c>
      <c r="OTY306" s="18">
        <v>0</v>
      </c>
      <c r="OTZ306" s="18">
        <v>0</v>
      </c>
      <c r="OUA306" s="18">
        <v>0</v>
      </c>
      <c r="OUB306" s="18">
        <v>0</v>
      </c>
      <c r="OUC306" s="18">
        <v>0</v>
      </c>
      <c r="OUD306" s="18">
        <v>0</v>
      </c>
      <c r="OUE306" s="18">
        <v>0</v>
      </c>
      <c r="OUF306" s="18">
        <v>0</v>
      </c>
      <c r="OUG306" s="18">
        <v>0</v>
      </c>
      <c r="OUH306" s="18">
        <v>0</v>
      </c>
      <c r="OUI306" s="18">
        <v>0</v>
      </c>
      <c r="OUJ306" s="18">
        <v>0</v>
      </c>
      <c r="OUK306" s="18">
        <v>0</v>
      </c>
      <c r="OUL306" s="18">
        <v>0</v>
      </c>
      <c r="OUM306" s="18">
        <v>0</v>
      </c>
      <c r="OUN306" s="18">
        <v>0</v>
      </c>
      <c r="OUO306" s="18">
        <v>0</v>
      </c>
      <c r="OUP306" s="18">
        <v>0</v>
      </c>
      <c r="OUQ306" s="18">
        <v>0</v>
      </c>
      <c r="OUR306" s="18">
        <v>0</v>
      </c>
      <c r="OUS306" s="18">
        <v>0</v>
      </c>
      <c r="OUT306" s="18">
        <v>0</v>
      </c>
      <c r="OUU306" s="18">
        <v>0</v>
      </c>
      <c r="OUV306" s="18">
        <v>0</v>
      </c>
      <c r="OUW306" s="18">
        <v>0</v>
      </c>
      <c r="OUX306" s="18">
        <v>0</v>
      </c>
      <c r="OUY306" s="18">
        <v>0</v>
      </c>
      <c r="OUZ306" s="18">
        <v>0</v>
      </c>
      <c r="OVA306" s="18">
        <v>0</v>
      </c>
      <c r="OVB306" s="18">
        <v>0</v>
      </c>
      <c r="OVC306" s="18">
        <v>0</v>
      </c>
      <c r="OVD306" s="18">
        <v>0</v>
      </c>
      <c r="OVE306" s="18">
        <v>0</v>
      </c>
      <c r="OVF306" s="18">
        <v>0</v>
      </c>
      <c r="OVG306" s="18">
        <v>0</v>
      </c>
      <c r="OVH306" s="18">
        <v>0</v>
      </c>
      <c r="OVI306" s="18">
        <v>0</v>
      </c>
      <c r="OVJ306" s="18">
        <v>0</v>
      </c>
      <c r="OVK306" s="18">
        <v>0</v>
      </c>
      <c r="OVL306" s="18">
        <v>0</v>
      </c>
      <c r="OVM306" s="18">
        <v>0</v>
      </c>
      <c r="OVN306" s="18">
        <v>0</v>
      </c>
      <c r="OVO306" s="18">
        <v>0</v>
      </c>
      <c r="OVP306" s="18">
        <v>0</v>
      </c>
      <c r="OVQ306" s="18">
        <v>0</v>
      </c>
      <c r="OVR306" s="18">
        <v>0</v>
      </c>
      <c r="OVS306" s="18">
        <v>0</v>
      </c>
      <c r="OVT306" s="18">
        <v>0</v>
      </c>
      <c r="OVU306" s="18">
        <v>0</v>
      </c>
      <c r="OVV306" s="18">
        <v>0</v>
      </c>
      <c r="OVW306" s="18">
        <v>0</v>
      </c>
      <c r="OVX306" s="18">
        <v>0</v>
      </c>
      <c r="OVY306" s="18">
        <v>0</v>
      </c>
      <c r="OVZ306" s="18">
        <v>0</v>
      </c>
      <c r="OWA306" s="18">
        <v>0</v>
      </c>
      <c r="OWB306" s="18">
        <v>0</v>
      </c>
      <c r="OWC306" s="18">
        <v>0</v>
      </c>
      <c r="OWD306" s="18">
        <v>0</v>
      </c>
      <c r="OWE306" s="18">
        <v>0</v>
      </c>
      <c r="OWF306" s="18">
        <v>0</v>
      </c>
      <c r="OWG306" s="18">
        <v>0</v>
      </c>
      <c r="OWH306" s="18">
        <v>0</v>
      </c>
      <c r="OWI306" s="18">
        <v>0</v>
      </c>
      <c r="OWJ306" s="18">
        <v>0</v>
      </c>
      <c r="OWK306" s="18">
        <v>0</v>
      </c>
      <c r="OWL306" s="18">
        <v>0</v>
      </c>
      <c r="OWM306" s="18">
        <v>0</v>
      </c>
      <c r="OWN306" s="18">
        <v>0</v>
      </c>
      <c r="OWO306" s="18">
        <v>0</v>
      </c>
      <c r="OWP306" s="18">
        <v>0</v>
      </c>
      <c r="OWQ306" s="18">
        <v>0</v>
      </c>
      <c r="OWR306" s="18">
        <v>0</v>
      </c>
      <c r="OWS306" s="18">
        <v>0</v>
      </c>
      <c r="OWT306" s="18">
        <v>0</v>
      </c>
      <c r="OWU306" s="18">
        <v>0</v>
      </c>
      <c r="OWV306" s="18">
        <v>0</v>
      </c>
      <c r="OWW306" s="18">
        <v>0</v>
      </c>
      <c r="OWX306" s="18">
        <v>0</v>
      </c>
      <c r="OWY306" s="18">
        <v>0</v>
      </c>
      <c r="OWZ306" s="18">
        <v>0</v>
      </c>
      <c r="OXA306" s="18">
        <v>0</v>
      </c>
      <c r="OXB306" s="18">
        <v>0</v>
      </c>
      <c r="OXC306" s="18">
        <v>0</v>
      </c>
      <c r="OXD306" s="18">
        <v>0</v>
      </c>
      <c r="OXE306" s="18">
        <v>0</v>
      </c>
      <c r="OXF306" s="18">
        <v>0</v>
      </c>
      <c r="OXG306" s="18">
        <v>0</v>
      </c>
      <c r="OXH306" s="18">
        <v>0</v>
      </c>
      <c r="OXI306" s="18">
        <v>0</v>
      </c>
      <c r="OXJ306" s="18">
        <v>0</v>
      </c>
      <c r="OXK306" s="18">
        <v>0</v>
      </c>
      <c r="OXL306" s="18">
        <v>0</v>
      </c>
      <c r="OXM306" s="18">
        <v>0</v>
      </c>
      <c r="OXN306" s="18">
        <v>0</v>
      </c>
      <c r="OXO306" s="18">
        <v>0</v>
      </c>
      <c r="OXP306" s="18">
        <v>0</v>
      </c>
      <c r="OXQ306" s="18">
        <v>0</v>
      </c>
      <c r="OXR306" s="18">
        <v>0</v>
      </c>
      <c r="OXS306" s="18">
        <v>0</v>
      </c>
      <c r="OXT306" s="18">
        <v>0</v>
      </c>
      <c r="OXU306" s="18">
        <v>0</v>
      </c>
      <c r="OXV306" s="18">
        <v>0</v>
      </c>
      <c r="OXW306" s="18">
        <v>0</v>
      </c>
      <c r="OXX306" s="18">
        <v>0</v>
      </c>
      <c r="OXY306" s="18">
        <v>0</v>
      </c>
      <c r="OXZ306" s="18">
        <v>0</v>
      </c>
      <c r="OYA306" s="18">
        <v>0</v>
      </c>
      <c r="OYB306" s="18">
        <v>0</v>
      </c>
      <c r="OYC306" s="18">
        <v>0</v>
      </c>
      <c r="OYD306" s="18">
        <v>0</v>
      </c>
      <c r="OYE306" s="18">
        <v>0</v>
      </c>
      <c r="OYF306" s="18">
        <v>0</v>
      </c>
      <c r="OYG306" s="18">
        <v>0</v>
      </c>
      <c r="OYH306" s="18">
        <v>0</v>
      </c>
      <c r="OYI306" s="18">
        <v>0</v>
      </c>
      <c r="OYJ306" s="18">
        <v>0</v>
      </c>
      <c r="OYK306" s="18">
        <v>0</v>
      </c>
      <c r="OYL306" s="18">
        <v>0</v>
      </c>
      <c r="OYM306" s="18">
        <v>0</v>
      </c>
      <c r="OYN306" s="18">
        <v>0</v>
      </c>
      <c r="OYO306" s="18">
        <v>0</v>
      </c>
      <c r="OYP306" s="18">
        <v>0</v>
      </c>
      <c r="OYQ306" s="18">
        <v>0</v>
      </c>
      <c r="OYR306" s="18">
        <v>0</v>
      </c>
      <c r="OYS306" s="18">
        <v>0</v>
      </c>
      <c r="OYT306" s="18">
        <v>0</v>
      </c>
      <c r="OYU306" s="18">
        <v>0</v>
      </c>
      <c r="OYV306" s="18">
        <v>0</v>
      </c>
      <c r="OYW306" s="18">
        <v>0</v>
      </c>
      <c r="OYX306" s="18">
        <v>0</v>
      </c>
      <c r="OYY306" s="18">
        <v>0</v>
      </c>
      <c r="OYZ306" s="18">
        <v>0</v>
      </c>
      <c r="OZA306" s="18">
        <v>0</v>
      </c>
      <c r="OZB306" s="18">
        <v>0</v>
      </c>
      <c r="OZC306" s="18">
        <v>0</v>
      </c>
      <c r="OZD306" s="18">
        <v>0</v>
      </c>
      <c r="OZE306" s="18">
        <v>0</v>
      </c>
      <c r="OZF306" s="18">
        <v>0</v>
      </c>
      <c r="OZG306" s="18">
        <v>0</v>
      </c>
      <c r="OZH306" s="18">
        <v>0</v>
      </c>
      <c r="OZI306" s="18">
        <v>0</v>
      </c>
      <c r="OZJ306" s="18">
        <v>0</v>
      </c>
      <c r="OZK306" s="18">
        <v>0</v>
      </c>
      <c r="OZL306" s="18">
        <v>0</v>
      </c>
      <c r="OZM306" s="18">
        <v>0</v>
      </c>
      <c r="OZN306" s="18">
        <v>0</v>
      </c>
      <c r="OZO306" s="18">
        <v>0</v>
      </c>
      <c r="OZP306" s="18">
        <v>0</v>
      </c>
      <c r="OZQ306" s="18">
        <v>0</v>
      </c>
      <c r="OZR306" s="18">
        <v>0</v>
      </c>
      <c r="OZS306" s="18">
        <v>0</v>
      </c>
      <c r="OZT306" s="18">
        <v>0</v>
      </c>
      <c r="OZU306" s="18">
        <v>0</v>
      </c>
      <c r="OZV306" s="18">
        <v>0</v>
      </c>
      <c r="OZW306" s="18">
        <v>0</v>
      </c>
      <c r="OZX306" s="18">
        <v>0</v>
      </c>
      <c r="OZY306" s="18">
        <v>0</v>
      </c>
      <c r="OZZ306" s="18">
        <v>0</v>
      </c>
      <c r="PAA306" s="18">
        <v>0</v>
      </c>
      <c r="PAB306" s="18">
        <v>0</v>
      </c>
      <c r="PAC306" s="18">
        <v>0</v>
      </c>
      <c r="PAD306" s="18">
        <v>0</v>
      </c>
      <c r="PAE306" s="18">
        <v>0</v>
      </c>
      <c r="PAF306" s="18">
        <v>0</v>
      </c>
      <c r="PAG306" s="18">
        <v>0</v>
      </c>
      <c r="PAH306" s="18">
        <v>0</v>
      </c>
      <c r="PAI306" s="18">
        <v>0</v>
      </c>
      <c r="PAJ306" s="18">
        <v>0</v>
      </c>
      <c r="PAK306" s="18">
        <v>0</v>
      </c>
      <c r="PAL306" s="18">
        <v>0</v>
      </c>
      <c r="PAM306" s="18">
        <v>0</v>
      </c>
      <c r="PAN306" s="18">
        <v>0</v>
      </c>
      <c r="PAO306" s="18">
        <v>0</v>
      </c>
      <c r="PAP306" s="18">
        <v>0</v>
      </c>
      <c r="PAQ306" s="18">
        <v>0</v>
      </c>
      <c r="PAR306" s="18">
        <v>0</v>
      </c>
      <c r="PAS306" s="18">
        <v>0</v>
      </c>
      <c r="PAT306" s="18">
        <v>0</v>
      </c>
      <c r="PAU306" s="18">
        <v>0</v>
      </c>
      <c r="PAV306" s="18">
        <v>0</v>
      </c>
      <c r="PAW306" s="18">
        <v>0</v>
      </c>
      <c r="PAX306" s="18">
        <v>0</v>
      </c>
      <c r="PAY306" s="18">
        <v>0</v>
      </c>
      <c r="PAZ306" s="18">
        <v>0</v>
      </c>
      <c r="PBA306" s="18">
        <v>0</v>
      </c>
      <c r="PBB306" s="18">
        <v>0</v>
      </c>
      <c r="PBC306" s="18">
        <v>0</v>
      </c>
      <c r="PBD306" s="18">
        <v>0</v>
      </c>
      <c r="PBE306" s="18">
        <v>0</v>
      </c>
      <c r="PBF306" s="18">
        <v>0</v>
      </c>
      <c r="PBG306" s="18">
        <v>0</v>
      </c>
      <c r="PBH306" s="18">
        <v>0</v>
      </c>
      <c r="PBI306" s="18">
        <v>0</v>
      </c>
      <c r="PBJ306" s="18">
        <v>0</v>
      </c>
      <c r="PBK306" s="18">
        <v>0</v>
      </c>
      <c r="PBL306" s="18">
        <v>0</v>
      </c>
      <c r="PBM306" s="18">
        <v>0</v>
      </c>
      <c r="PBN306" s="18">
        <v>0</v>
      </c>
      <c r="PBO306" s="18">
        <v>0</v>
      </c>
      <c r="PBP306" s="18">
        <v>0</v>
      </c>
      <c r="PBQ306" s="18">
        <v>0</v>
      </c>
      <c r="PBR306" s="18">
        <v>0</v>
      </c>
      <c r="PBS306" s="18">
        <v>0</v>
      </c>
      <c r="PBT306" s="18">
        <v>0</v>
      </c>
      <c r="PBU306" s="18">
        <v>0</v>
      </c>
      <c r="PBV306" s="18">
        <v>0</v>
      </c>
      <c r="PBW306" s="18">
        <v>0</v>
      </c>
      <c r="PBX306" s="18">
        <v>0</v>
      </c>
      <c r="PBY306" s="18">
        <v>0</v>
      </c>
      <c r="PBZ306" s="18">
        <v>0</v>
      </c>
      <c r="PCA306" s="18">
        <v>0</v>
      </c>
      <c r="PCB306" s="18">
        <v>0</v>
      </c>
      <c r="PCC306" s="18">
        <v>0</v>
      </c>
      <c r="PCD306" s="18">
        <v>0</v>
      </c>
      <c r="PCE306" s="18">
        <v>0</v>
      </c>
      <c r="PCF306" s="18">
        <v>0</v>
      </c>
      <c r="PCG306" s="18">
        <v>0</v>
      </c>
      <c r="PCH306" s="18">
        <v>0</v>
      </c>
      <c r="PCI306" s="18">
        <v>0</v>
      </c>
      <c r="PCJ306" s="18">
        <v>0</v>
      </c>
      <c r="PCK306" s="18">
        <v>0</v>
      </c>
      <c r="PCL306" s="18">
        <v>0</v>
      </c>
      <c r="PCM306" s="18">
        <v>0</v>
      </c>
      <c r="PCN306" s="18">
        <v>0</v>
      </c>
      <c r="PCO306" s="18">
        <v>0</v>
      </c>
      <c r="PCP306" s="18">
        <v>0</v>
      </c>
      <c r="PCQ306" s="18">
        <v>0</v>
      </c>
      <c r="PCR306" s="18">
        <v>0</v>
      </c>
      <c r="PCS306" s="18">
        <v>0</v>
      </c>
      <c r="PCT306" s="18">
        <v>0</v>
      </c>
      <c r="PCU306" s="18">
        <v>0</v>
      </c>
      <c r="PCV306" s="18">
        <v>0</v>
      </c>
      <c r="PCW306" s="18">
        <v>0</v>
      </c>
      <c r="PCX306" s="18">
        <v>0</v>
      </c>
      <c r="PCY306" s="18">
        <v>0</v>
      </c>
      <c r="PCZ306" s="18">
        <v>0</v>
      </c>
      <c r="PDA306" s="18">
        <v>0</v>
      </c>
      <c r="PDB306" s="18">
        <v>0</v>
      </c>
      <c r="PDC306" s="18">
        <v>0</v>
      </c>
      <c r="PDD306" s="18">
        <v>0</v>
      </c>
      <c r="PDE306" s="18">
        <v>0</v>
      </c>
      <c r="PDF306" s="18">
        <v>0</v>
      </c>
      <c r="PDG306" s="18">
        <v>0</v>
      </c>
      <c r="PDH306" s="18">
        <v>0</v>
      </c>
      <c r="PDI306" s="18">
        <v>0</v>
      </c>
      <c r="PDJ306" s="18">
        <v>0</v>
      </c>
      <c r="PDK306" s="18">
        <v>0</v>
      </c>
      <c r="PDL306" s="18">
        <v>0</v>
      </c>
      <c r="PDM306" s="18">
        <v>0</v>
      </c>
      <c r="PDN306" s="18">
        <v>0</v>
      </c>
      <c r="PDO306" s="18">
        <v>0</v>
      </c>
      <c r="PDP306" s="18">
        <v>0</v>
      </c>
      <c r="PDQ306" s="18">
        <v>0</v>
      </c>
      <c r="PDR306" s="18">
        <v>0</v>
      </c>
      <c r="PDS306" s="18">
        <v>0</v>
      </c>
      <c r="PDT306" s="18">
        <v>0</v>
      </c>
      <c r="PDU306" s="18">
        <v>0</v>
      </c>
      <c r="PDV306" s="18">
        <v>0</v>
      </c>
      <c r="PDW306" s="18">
        <v>0</v>
      </c>
      <c r="PDX306" s="18">
        <v>0</v>
      </c>
      <c r="PDY306" s="18">
        <v>0</v>
      </c>
      <c r="PDZ306" s="18">
        <v>0</v>
      </c>
      <c r="PEA306" s="18">
        <v>0</v>
      </c>
      <c r="PEB306" s="18">
        <v>0</v>
      </c>
      <c r="PEC306" s="18">
        <v>0</v>
      </c>
      <c r="PED306" s="18">
        <v>0</v>
      </c>
      <c r="PEE306" s="18">
        <v>0</v>
      </c>
      <c r="PEF306" s="18">
        <v>0</v>
      </c>
      <c r="PEG306" s="18">
        <v>0</v>
      </c>
      <c r="PEH306" s="18">
        <v>0</v>
      </c>
      <c r="PEI306" s="18">
        <v>0</v>
      </c>
      <c r="PEJ306" s="18">
        <v>0</v>
      </c>
      <c r="PEK306" s="18">
        <v>0</v>
      </c>
      <c r="PEL306" s="18">
        <v>0</v>
      </c>
      <c r="PEM306" s="18">
        <v>0</v>
      </c>
      <c r="PEN306" s="18">
        <v>0</v>
      </c>
      <c r="PEO306" s="18">
        <v>0</v>
      </c>
      <c r="PEP306" s="18">
        <v>0</v>
      </c>
      <c r="PEQ306" s="18">
        <v>0</v>
      </c>
      <c r="PER306" s="18">
        <v>0</v>
      </c>
      <c r="PES306" s="18">
        <v>0</v>
      </c>
      <c r="PET306" s="18">
        <v>0</v>
      </c>
      <c r="PEU306" s="18">
        <v>0</v>
      </c>
      <c r="PEV306" s="18">
        <v>0</v>
      </c>
      <c r="PEW306" s="18">
        <v>0</v>
      </c>
      <c r="PEX306" s="18">
        <v>0</v>
      </c>
      <c r="PEY306" s="18">
        <v>0</v>
      </c>
      <c r="PEZ306" s="18">
        <v>0</v>
      </c>
      <c r="PFA306" s="18">
        <v>0</v>
      </c>
      <c r="PFB306" s="18">
        <v>0</v>
      </c>
      <c r="PFC306" s="18">
        <v>0</v>
      </c>
      <c r="PFD306" s="18">
        <v>0</v>
      </c>
      <c r="PFE306" s="18">
        <v>0</v>
      </c>
      <c r="PFF306" s="18">
        <v>0</v>
      </c>
      <c r="PFG306" s="18">
        <v>0</v>
      </c>
      <c r="PFH306" s="18">
        <v>0</v>
      </c>
      <c r="PFI306" s="18">
        <v>0</v>
      </c>
      <c r="PFJ306" s="18">
        <v>0</v>
      </c>
      <c r="PFK306" s="18">
        <v>0</v>
      </c>
      <c r="PFL306" s="18">
        <v>0</v>
      </c>
      <c r="PFM306" s="18">
        <v>0</v>
      </c>
      <c r="PFN306" s="18">
        <v>0</v>
      </c>
      <c r="PFO306" s="18">
        <v>0</v>
      </c>
      <c r="PFP306" s="18">
        <v>0</v>
      </c>
      <c r="PFQ306" s="18">
        <v>0</v>
      </c>
      <c r="PFR306" s="18">
        <v>0</v>
      </c>
      <c r="PFS306" s="18">
        <v>0</v>
      </c>
      <c r="PFT306" s="18">
        <v>0</v>
      </c>
      <c r="PFU306" s="18">
        <v>0</v>
      </c>
      <c r="PFV306" s="18">
        <v>0</v>
      </c>
      <c r="PFW306" s="18">
        <v>0</v>
      </c>
      <c r="PFX306" s="18">
        <v>0</v>
      </c>
      <c r="PFY306" s="18">
        <v>0</v>
      </c>
      <c r="PFZ306" s="18">
        <v>0</v>
      </c>
      <c r="PGA306" s="18">
        <v>0</v>
      </c>
      <c r="PGB306" s="18">
        <v>0</v>
      </c>
      <c r="PGC306" s="18">
        <v>0</v>
      </c>
      <c r="PGD306" s="18">
        <v>0</v>
      </c>
      <c r="PGE306" s="18">
        <v>0</v>
      </c>
      <c r="PGF306" s="18">
        <v>0</v>
      </c>
      <c r="PGG306" s="18">
        <v>0</v>
      </c>
      <c r="PGH306" s="18">
        <v>0</v>
      </c>
      <c r="PGI306" s="18">
        <v>0</v>
      </c>
      <c r="PGJ306" s="18">
        <v>0</v>
      </c>
      <c r="PGK306" s="18">
        <v>0</v>
      </c>
      <c r="PGL306" s="18">
        <v>0</v>
      </c>
      <c r="PGM306" s="18">
        <v>0</v>
      </c>
      <c r="PGN306" s="18">
        <v>0</v>
      </c>
      <c r="PGO306" s="18">
        <v>0</v>
      </c>
      <c r="PGP306" s="18">
        <v>0</v>
      </c>
      <c r="PGQ306" s="18">
        <v>0</v>
      </c>
      <c r="PGR306" s="18">
        <v>0</v>
      </c>
      <c r="PGS306" s="18">
        <v>0</v>
      </c>
      <c r="PGT306" s="18">
        <v>0</v>
      </c>
      <c r="PGU306" s="18">
        <v>0</v>
      </c>
      <c r="PGV306" s="18">
        <v>0</v>
      </c>
      <c r="PGW306" s="18">
        <v>0</v>
      </c>
      <c r="PGX306" s="18">
        <v>0</v>
      </c>
      <c r="PGY306" s="18">
        <v>0</v>
      </c>
      <c r="PGZ306" s="18">
        <v>0</v>
      </c>
      <c r="PHA306" s="18">
        <v>0</v>
      </c>
      <c r="PHB306" s="18">
        <v>0</v>
      </c>
      <c r="PHC306" s="18">
        <v>0</v>
      </c>
      <c r="PHD306" s="18">
        <v>0</v>
      </c>
      <c r="PHE306" s="18">
        <v>0</v>
      </c>
      <c r="PHF306" s="18">
        <v>0</v>
      </c>
      <c r="PHG306" s="18">
        <v>0</v>
      </c>
      <c r="PHH306" s="18">
        <v>0</v>
      </c>
      <c r="PHI306" s="18">
        <v>0</v>
      </c>
      <c r="PHJ306" s="18">
        <v>0</v>
      </c>
      <c r="PHK306" s="18">
        <v>0</v>
      </c>
      <c r="PHL306" s="18">
        <v>0</v>
      </c>
      <c r="PHM306" s="18">
        <v>0</v>
      </c>
      <c r="PHN306" s="18">
        <v>0</v>
      </c>
      <c r="PHO306" s="18">
        <v>0</v>
      </c>
      <c r="PHP306" s="18">
        <v>0</v>
      </c>
      <c r="PHQ306" s="18">
        <v>0</v>
      </c>
      <c r="PHR306" s="18">
        <v>0</v>
      </c>
      <c r="PHS306" s="18">
        <v>0</v>
      </c>
      <c r="PHT306" s="18">
        <v>0</v>
      </c>
      <c r="PHU306" s="18">
        <v>0</v>
      </c>
      <c r="PHV306" s="18">
        <v>0</v>
      </c>
      <c r="PHW306" s="18">
        <v>0</v>
      </c>
      <c r="PHX306" s="18">
        <v>0</v>
      </c>
      <c r="PHY306" s="18">
        <v>0</v>
      </c>
      <c r="PHZ306" s="18">
        <v>0</v>
      </c>
      <c r="PIA306" s="18">
        <v>0</v>
      </c>
      <c r="PIB306" s="18">
        <v>0</v>
      </c>
      <c r="PIC306" s="18">
        <v>0</v>
      </c>
      <c r="PID306" s="18">
        <v>0</v>
      </c>
      <c r="PIE306" s="18">
        <v>0</v>
      </c>
      <c r="PIF306" s="18">
        <v>0</v>
      </c>
      <c r="PIG306" s="18">
        <v>0</v>
      </c>
      <c r="PIH306" s="18">
        <v>0</v>
      </c>
      <c r="PII306" s="18">
        <v>0</v>
      </c>
      <c r="PIJ306" s="18">
        <v>0</v>
      </c>
      <c r="PIK306" s="18">
        <v>0</v>
      </c>
      <c r="PIL306" s="18">
        <v>0</v>
      </c>
      <c r="PIM306" s="18">
        <v>0</v>
      </c>
      <c r="PIN306" s="18">
        <v>0</v>
      </c>
      <c r="PIO306" s="18">
        <v>0</v>
      </c>
      <c r="PIP306" s="18">
        <v>0</v>
      </c>
      <c r="PIQ306" s="18">
        <v>0</v>
      </c>
      <c r="PIR306" s="18">
        <v>0</v>
      </c>
      <c r="PIS306" s="18">
        <v>0</v>
      </c>
      <c r="PIT306" s="18">
        <v>0</v>
      </c>
      <c r="PIU306" s="18">
        <v>0</v>
      </c>
      <c r="PIV306" s="18">
        <v>0</v>
      </c>
      <c r="PIW306" s="18">
        <v>0</v>
      </c>
      <c r="PIX306" s="18">
        <v>0</v>
      </c>
      <c r="PIY306" s="18">
        <v>0</v>
      </c>
      <c r="PIZ306" s="18">
        <v>0</v>
      </c>
      <c r="PJA306" s="18">
        <v>0</v>
      </c>
      <c r="PJB306" s="18">
        <v>0</v>
      </c>
      <c r="PJC306" s="18">
        <v>0</v>
      </c>
      <c r="PJD306" s="18">
        <v>0</v>
      </c>
      <c r="PJE306" s="18">
        <v>0</v>
      </c>
      <c r="PJF306" s="18">
        <v>0</v>
      </c>
      <c r="PJG306" s="18">
        <v>0</v>
      </c>
      <c r="PJH306" s="18">
        <v>0</v>
      </c>
      <c r="PJI306" s="18">
        <v>0</v>
      </c>
      <c r="PJJ306" s="18">
        <v>0</v>
      </c>
      <c r="PJK306" s="18">
        <v>0</v>
      </c>
      <c r="PJL306" s="18">
        <v>0</v>
      </c>
      <c r="PJM306" s="18">
        <v>0</v>
      </c>
      <c r="PJN306" s="18">
        <v>0</v>
      </c>
      <c r="PJO306" s="18">
        <v>0</v>
      </c>
      <c r="PJP306" s="18">
        <v>0</v>
      </c>
      <c r="PJQ306" s="18">
        <v>0</v>
      </c>
      <c r="PJR306" s="18">
        <v>0</v>
      </c>
      <c r="PJS306" s="18">
        <v>0</v>
      </c>
      <c r="PJT306" s="18">
        <v>0</v>
      </c>
      <c r="PJU306" s="18">
        <v>0</v>
      </c>
      <c r="PJV306" s="18">
        <v>0</v>
      </c>
      <c r="PJW306" s="18">
        <v>0</v>
      </c>
      <c r="PJX306" s="18">
        <v>0</v>
      </c>
      <c r="PJY306" s="18">
        <v>0</v>
      </c>
      <c r="PJZ306" s="18">
        <v>0</v>
      </c>
      <c r="PKA306" s="18">
        <v>0</v>
      </c>
      <c r="PKB306" s="18">
        <v>0</v>
      </c>
      <c r="PKC306" s="18">
        <v>0</v>
      </c>
      <c r="PKD306" s="18">
        <v>0</v>
      </c>
      <c r="PKE306" s="18">
        <v>0</v>
      </c>
      <c r="PKF306" s="18">
        <v>0</v>
      </c>
      <c r="PKG306" s="18">
        <v>0</v>
      </c>
      <c r="PKH306" s="18">
        <v>0</v>
      </c>
      <c r="PKI306" s="18">
        <v>0</v>
      </c>
      <c r="PKJ306" s="18">
        <v>0</v>
      </c>
      <c r="PKK306" s="18">
        <v>0</v>
      </c>
      <c r="PKL306" s="18">
        <v>0</v>
      </c>
      <c r="PKM306" s="18">
        <v>0</v>
      </c>
      <c r="PKN306" s="18">
        <v>0</v>
      </c>
      <c r="PKO306" s="18">
        <v>0</v>
      </c>
      <c r="PKP306" s="18">
        <v>0</v>
      </c>
      <c r="PKQ306" s="18">
        <v>0</v>
      </c>
      <c r="PKR306" s="18">
        <v>0</v>
      </c>
      <c r="PKS306" s="18">
        <v>0</v>
      </c>
      <c r="PKT306" s="18">
        <v>0</v>
      </c>
      <c r="PKU306" s="18">
        <v>0</v>
      </c>
      <c r="PKV306" s="18">
        <v>0</v>
      </c>
      <c r="PKW306" s="18">
        <v>0</v>
      </c>
      <c r="PKX306" s="18">
        <v>0</v>
      </c>
      <c r="PKY306" s="18">
        <v>0</v>
      </c>
      <c r="PKZ306" s="18">
        <v>0</v>
      </c>
      <c r="PLA306" s="18">
        <v>0</v>
      </c>
      <c r="PLB306" s="18">
        <v>0</v>
      </c>
      <c r="PLC306" s="18">
        <v>0</v>
      </c>
      <c r="PLD306" s="18">
        <v>0</v>
      </c>
      <c r="PLE306" s="18">
        <v>0</v>
      </c>
      <c r="PLF306" s="18">
        <v>0</v>
      </c>
      <c r="PLG306" s="18">
        <v>0</v>
      </c>
      <c r="PLH306" s="18">
        <v>0</v>
      </c>
      <c r="PLI306" s="18">
        <v>0</v>
      </c>
      <c r="PLJ306" s="18">
        <v>0</v>
      </c>
      <c r="PLK306" s="18">
        <v>0</v>
      </c>
      <c r="PLL306" s="18">
        <v>0</v>
      </c>
      <c r="PLM306" s="18">
        <v>0</v>
      </c>
      <c r="PLN306" s="18">
        <v>0</v>
      </c>
      <c r="PLO306" s="18">
        <v>0</v>
      </c>
      <c r="PLP306" s="18">
        <v>0</v>
      </c>
      <c r="PLQ306" s="18">
        <v>0</v>
      </c>
      <c r="PLR306" s="18">
        <v>0</v>
      </c>
      <c r="PLS306" s="18">
        <v>0</v>
      </c>
      <c r="PLT306" s="18">
        <v>0</v>
      </c>
      <c r="PLU306" s="18">
        <v>0</v>
      </c>
      <c r="PLV306" s="18">
        <v>0</v>
      </c>
      <c r="PLW306" s="18">
        <v>0</v>
      </c>
      <c r="PLX306" s="18">
        <v>0</v>
      </c>
      <c r="PLY306" s="18">
        <v>0</v>
      </c>
      <c r="PLZ306" s="18">
        <v>0</v>
      </c>
      <c r="PMA306" s="18">
        <v>0</v>
      </c>
      <c r="PMB306" s="18">
        <v>0</v>
      </c>
      <c r="PMC306" s="18">
        <v>0</v>
      </c>
      <c r="PMD306" s="18">
        <v>0</v>
      </c>
      <c r="PME306" s="18">
        <v>0</v>
      </c>
      <c r="PMF306" s="18">
        <v>0</v>
      </c>
      <c r="PMG306" s="18">
        <v>0</v>
      </c>
      <c r="PMH306" s="18">
        <v>0</v>
      </c>
      <c r="PMI306" s="18">
        <v>0</v>
      </c>
      <c r="PMJ306" s="18">
        <v>0</v>
      </c>
      <c r="PMK306" s="18">
        <v>0</v>
      </c>
      <c r="PML306" s="18">
        <v>0</v>
      </c>
      <c r="PMM306" s="18">
        <v>0</v>
      </c>
      <c r="PMN306" s="18">
        <v>0</v>
      </c>
      <c r="PMO306" s="18">
        <v>0</v>
      </c>
      <c r="PMP306" s="18">
        <v>0</v>
      </c>
      <c r="PMQ306" s="18">
        <v>0</v>
      </c>
      <c r="PMR306" s="18">
        <v>0</v>
      </c>
      <c r="PMS306" s="18">
        <v>0</v>
      </c>
      <c r="PMT306" s="18">
        <v>0</v>
      </c>
      <c r="PMU306" s="18">
        <v>0</v>
      </c>
      <c r="PMV306" s="18">
        <v>0</v>
      </c>
      <c r="PMW306" s="18">
        <v>0</v>
      </c>
      <c r="PMX306" s="18">
        <v>0</v>
      </c>
      <c r="PMY306" s="18">
        <v>0</v>
      </c>
      <c r="PMZ306" s="18">
        <v>0</v>
      </c>
      <c r="PNA306" s="18">
        <v>0</v>
      </c>
      <c r="PNB306" s="18">
        <v>0</v>
      </c>
      <c r="PNC306" s="18">
        <v>0</v>
      </c>
      <c r="PND306" s="18">
        <v>0</v>
      </c>
      <c r="PNE306" s="18">
        <v>0</v>
      </c>
      <c r="PNF306" s="18">
        <v>0</v>
      </c>
      <c r="PNG306" s="18">
        <v>0</v>
      </c>
      <c r="PNH306" s="18">
        <v>0</v>
      </c>
      <c r="PNI306" s="18">
        <v>0</v>
      </c>
      <c r="PNJ306" s="18">
        <v>0</v>
      </c>
      <c r="PNK306" s="18">
        <v>0</v>
      </c>
      <c r="PNL306" s="18">
        <v>0</v>
      </c>
      <c r="PNM306" s="18">
        <v>0</v>
      </c>
      <c r="PNN306" s="18">
        <v>0</v>
      </c>
      <c r="PNO306" s="18">
        <v>0</v>
      </c>
      <c r="PNP306" s="18">
        <v>0</v>
      </c>
      <c r="PNQ306" s="18">
        <v>0</v>
      </c>
      <c r="PNR306" s="18">
        <v>0</v>
      </c>
      <c r="PNS306" s="18">
        <v>0</v>
      </c>
      <c r="PNT306" s="18">
        <v>0</v>
      </c>
      <c r="PNU306" s="18">
        <v>0</v>
      </c>
      <c r="PNV306" s="18">
        <v>0</v>
      </c>
      <c r="PNW306" s="18">
        <v>0</v>
      </c>
      <c r="PNX306" s="18">
        <v>0</v>
      </c>
      <c r="PNY306" s="18">
        <v>0</v>
      </c>
      <c r="PNZ306" s="18">
        <v>0</v>
      </c>
      <c r="POA306" s="18">
        <v>0</v>
      </c>
      <c r="POB306" s="18">
        <v>0</v>
      </c>
      <c r="POC306" s="18">
        <v>0</v>
      </c>
      <c r="POD306" s="18">
        <v>0</v>
      </c>
      <c r="POE306" s="18">
        <v>0</v>
      </c>
      <c r="POF306" s="18">
        <v>0</v>
      </c>
      <c r="POG306" s="18">
        <v>0</v>
      </c>
      <c r="POH306" s="18">
        <v>0</v>
      </c>
      <c r="POI306" s="18">
        <v>0</v>
      </c>
      <c r="POJ306" s="18">
        <v>0</v>
      </c>
      <c r="POK306" s="18">
        <v>0</v>
      </c>
      <c r="POL306" s="18">
        <v>0</v>
      </c>
      <c r="POM306" s="18">
        <v>0</v>
      </c>
      <c r="PON306" s="18">
        <v>0</v>
      </c>
      <c r="POO306" s="18">
        <v>0</v>
      </c>
      <c r="POP306" s="18">
        <v>0</v>
      </c>
      <c r="POQ306" s="18">
        <v>0</v>
      </c>
      <c r="POR306" s="18">
        <v>0</v>
      </c>
      <c r="POS306" s="18">
        <v>0</v>
      </c>
      <c r="POT306" s="18">
        <v>0</v>
      </c>
      <c r="POU306" s="18">
        <v>0</v>
      </c>
      <c r="POV306" s="18">
        <v>0</v>
      </c>
      <c r="POW306" s="18">
        <v>0</v>
      </c>
      <c r="POX306" s="18">
        <v>0</v>
      </c>
      <c r="POY306" s="18">
        <v>0</v>
      </c>
      <c r="POZ306" s="18">
        <v>0</v>
      </c>
      <c r="PPA306" s="18">
        <v>0</v>
      </c>
      <c r="PPB306" s="18">
        <v>0</v>
      </c>
      <c r="PPC306" s="18">
        <v>0</v>
      </c>
      <c r="PPD306" s="18">
        <v>0</v>
      </c>
      <c r="PPE306" s="18">
        <v>0</v>
      </c>
      <c r="PPF306" s="18">
        <v>0</v>
      </c>
      <c r="PPG306" s="18">
        <v>0</v>
      </c>
      <c r="PPH306" s="18">
        <v>0</v>
      </c>
      <c r="PPI306" s="18">
        <v>0</v>
      </c>
      <c r="PPJ306" s="18">
        <v>0</v>
      </c>
      <c r="PPK306" s="18">
        <v>0</v>
      </c>
      <c r="PPL306" s="18">
        <v>0</v>
      </c>
      <c r="PPM306" s="18">
        <v>0</v>
      </c>
      <c r="PPN306" s="18">
        <v>0</v>
      </c>
      <c r="PPO306" s="18">
        <v>0</v>
      </c>
      <c r="PPP306" s="18">
        <v>0</v>
      </c>
      <c r="PPQ306" s="18">
        <v>0</v>
      </c>
      <c r="PPR306" s="18">
        <v>0</v>
      </c>
      <c r="PPS306" s="18">
        <v>0</v>
      </c>
      <c r="PPT306" s="18">
        <v>0</v>
      </c>
      <c r="PPU306" s="18">
        <v>0</v>
      </c>
      <c r="PPV306" s="18">
        <v>0</v>
      </c>
      <c r="PPW306" s="18">
        <v>0</v>
      </c>
      <c r="PPX306" s="18">
        <v>0</v>
      </c>
      <c r="PPY306" s="18">
        <v>0</v>
      </c>
      <c r="PPZ306" s="18">
        <v>0</v>
      </c>
      <c r="PQA306" s="18">
        <v>0</v>
      </c>
      <c r="PQB306" s="18">
        <v>0</v>
      </c>
      <c r="PQC306" s="18">
        <v>0</v>
      </c>
      <c r="PQD306" s="18">
        <v>0</v>
      </c>
      <c r="PQE306" s="18">
        <v>0</v>
      </c>
      <c r="PQF306" s="18">
        <v>0</v>
      </c>
      <c r="PQG306" s="18">
        <v>0</v>
      </c>
      <c r="PQH306" s="18">
        <v>0</v>
      </c>
      <c r="PQI306" s="18">
        <v>0</v>
      </c>
      <c r="PQJ306" s="18">
        <v>0</v>
      </c>
      <c r="PQK306" s="18">
        <v>0</v>
      </c>
      <c r="PQL306" s="18">
        <v>0</v>
      </c>
      <c r="PQM306" s="18">
        <v>0</v>
      </c>
      <c r="PQN306" s="18">
        <v>0</v>
      </c>
      <c r="PQO306" s="18">
        <v>0</v>
      </c>
      <c r="PQP306" s="18">
        <v>0</v>
      </c>
      <c r="PQQ306" s="18">
        <v>0</v>
      </c>
      <c r="PQR306" s="18">
        <v>0</v>
      </c>
      <c r="PQS306" s="18">
        <v>0</v>
      </c>
      <c r="PQT306" s="18">
        <v>0</v>
      </c>
      <c r="PQU306" s="18">
        <v>0</v>
      </c>
      <c r="PQV306" s="18">
        <v>0</v>
      </c>
      <c r="PQW306" s="18">
        <v>0</v>
      </c>
      <c r="PQX306" s="18">
        <v>0</v>
      </c>
      <c r="PQY306" s="18">
        <v>0</v>
      </c>
      <c r="PQZ306" s="18">
        <v>0</v>
      </c>
      <c r="PRA306" s="18">
        <v>0</v>
      </c>
      <c r="PRB306" s="18">
        <v>0</v>
      </c>
      <c r="PRC306" s="18">
        <v>0</v>
      </c>
      <c r="PRD306" s="18">
        <v>0</v>
      </c>
      <c r="PRE306" s="18">
        <v>0</v>
      </c>
      <c r="PRF306" s="18">
        <v>0</v>
      </c>
      <c r="PRG306" s="18">
        <v>0</v>
      </c>
      <c r="PRH306" s="18">
        <v>0</v>
      </c>
      <c r="PRI306" s="18">
        <v>0</v>
      </c>
      <c r="PRJ306" s="18">
        <v>0</v>
      </c>
      <c r="PRK306" s="18">
        <v>0</v>
      </c>
      <c r="PRL306" s="18">
        <v>0</v>
      </c>
      <c r="PRM306" s="18">
        <v>0</v>
      </c>
      <c r="PRN306" s="18">
        <v>0</v>
      </c>
      <c r="PRO306" s="18">
        <v>0</v>
      </c>
      <c r="PRP306" s="18">
        <v>0</v>
      </c>
      <c r="PRQ306" s="18">
        <v>0</v>
      </c>
      <c r="PRR306" s="18">
        <v>0</v>
      </c>
      <c r="PRS306" s="18">
        <v>0</v>
      </c>
      <c r="PRT306" s="18">
        <v>0</v>
      </c>
      <c r="PRU306" s="18">
        <v>0</v>
      </c>
      <c r="PRV306" s="18">
        <v>0</v>
      </c>
      <c r="PRW306" s="18">
        <v>0</v>
      </c>
      <c r="PRX306" s="18">
        <v>0</v>
      </c>
      <c r="PRY306" s="18">
        <v>0</v>
      </c>
      <c r="PRZ306" s="18">
        <v>0</v>
      </c>
      <c r="PSA306" s="18">
        <v>0</v>
      </c>
      <c r="PSB306" s="18">
        <v>0</v>
      </c>
      <c r="PSC306" s="18">
        <v>0</v>
      </c>
      <c r="PSD306" s="18">
        <v>0</v>
      </c>
      <c r="PSE306" s="18">
        <v>0</v>
      </c>
      <c r="PSF306" s="18">
        <v>0</v>
      </c>
      <c r="PSG306" s="18">
        <v>0</v>
      </c>
      <c r="PSH306" s="18">
        <v>0</v>
      </c>
      <c r="PSI306" s="18">
        <v>0</v>
      </c>
      <c r="PSJ306" s="18">
        <v>0</v>
      </c>
      <c r="PSK306" s="18">
        <v>0</v>
      </c>
      <c r="PSL306" s="18">
        <v>0</v>
      </c>
      <c r="PSM306" s="18">
        <v>0</v>
      </c>
      <c r="PSN306" s="18">
        <v>0</v>
      </c>
      <c r="PSO306" s="18">
        <v>0</v>
      </c>
      <c r="PSP306" s="18">
        <v>0</v>
      </c>
      <c r="PSQ306" s="18">
        <v>0</v>
      </c>
      <c r="PSR306" s="18">
        <v>0</v>
      </c>
      <c r="PSS306" s="18">
        <v>0</v>
      </c>
      <c r="PST306" s="18">
        <v>0</v>
      </c>
      <c r="PSU306" s="18">
        <v>0</v>
      </c>
      <c r="PSV306" s="18">
        <v>0</v>
      </c>
      <c r="PSW306" s="18">
        <v>0</v>
      </c>
      <c r="PSX306" s="18">
        <v>0</v>
      </c>
      <c r="PSY306" s="18">
        <v>0</v>
      </c>
      <c r="PSZ306" s="18">
        <v>0</v>
      </c>
      <c r="PTA306" s="18">
        <v>0</v>
      </c>
      <c r="PTB306" s="18">
        <v>0</v>
      </c>
      <c r="PTC306" s="18">
        <v>0</v>
      </c>
      <c r="PTD306" s="18">
        <v>0</v>
      </c>
      <c r="PTE306" s="18">
        <v>0</v>
      </c>
      <c r="PTF306" s="18">
        <v>0</v>
      </c>
      <c r="PTG306" s="18">
        <v>0</v>
      </c>
      <c r="PTH306" s="18">
        <v>0</v>
      </c>
      <c r="PTI306" s="18">
        <v>0</v>
      </c>
      <c r="PTJ306" s="18">
        <v>0</v>
      </c>
      <c r="PTK306" s="18">
        <v>0</v>
      </c>
      <c r="PTL306" s="18">
        <v>0</v>
      </c>
      <c r="PTM306" s="18">
        <v>0</v>
      </c>
      <c r="PTN306" s="18">
        <v>0</v>
      </c>
      <c r="PTO306" s="18">
        <v>0</v>
      </c>
      <c r="PTP306" s="18">
        <v>0</v>
      </c>
      <c r="PTQ306" s="18">
        <v>0</v>
      </c>
      <c r="PTR306" s="18">
        <v>0</v>
      </c>
      <c r="PTS306" s="18">
        <v>0</v>
      </c>
      <c r="PTT306" s="18">
        <v>0</v>
      </c>
      <c r="PTU306" s="18">
        <v>0</v>
      </c>
      <c r="PTV306" s="18">
        <v>0</v>
      </c>
      <c r="PTW306" s="18">
        <v>0</v>
      </c>
      <c r="PTX306" s="18">
        <v>0</v>
      </c>
      <c r="PTY306" s="18">
        <v>0</v>
      </c>
      <c r="PTZ306" s="18">
        <v>0</v>
      </c>
      <c r="PUA306" s="18">
        <v>0</v>
      </c>
      <c r="PUB306" s="18">
        <v>0</v>
      </c>
      <c r="PUC306" s="18">
        <v>0</v>
      </c>
      <c r="PUD306" s="18">
        <v>0</v>
      </c>
      <c r="PUE306" s="18">
        <v>0</v>
      </c>
      <c r="PUF306" s="18">
        <v>0</v>
      </c>
      <c r="PUG306" s="18">
        <v>0</v>
      </c>
      <c r="PUH306" s="18">
        <v>0</v>
      </c>
      <c r="PUI306" s="18">
        <v>0</v>
      </c>
      <c r="PUJ306" s="18">
        <v>0</v>
      </c>
      <c r="PUK306" s="18">
        <v>0</v>
      </c>
      <c r="PUL306" s="18">
        <v>0</v>
      </c>
      <c r="PUM306" s="18">
        <v>0</v>
      </c>
      <c r="PUN306" s="18">
        <v>0</v>
      </c>
      <c r="PUO306" s="18">
        <v>0</v>
      </c>
      <c r="PUP306" s="18">
        <v>0</v>
      </c>
      <c r="PUQ306" s="18">
        <v>0</v>
      </c>
      <c r="PUR306" s="18">
        <v>0</v>
      </c>
      <c r="PUS306" s="18">
        <v>0</v>
      </c>
      <c r="PUT306" s="18">
        <v>0</v>
      </c>
      <c r="PUU306" s="18">
        <v>0</v>
      </c>
      <c r="PUV306" s="18">
        <v>0</v>
      </c>
      <c r="PUW306" s="18">
        <v>0</v>
      </c>
      <c r="PUX306" s="18">
        <v>0</v>
      </c>
      <c r="PUY306" s="18">
        <v>0</v>
      </c>
      <c r="PUZ306" s="18">
        <v>0</v>
      </c>
      <c r="PVA306" s="18">
        <v>0</v>
      </c>
      <c r="PVB306" s="18">
        <v>0</v>
      </c>
      <c r="PVC306" s="18">
        <v>0</v>
      </c>
      <c r="PVD306" s="18">
        <v>0</v>
      </c>
      <c r="PVE306" s="18">
        <v>0</v>
      </c>
      <c r="PVF306" s="18">
        <v>0</v>
      </c>
      <c r="PVG306" s="18">
        <v>0</v>
      </c>
      <c r="PVH306" s="18">
        <v>0</v>
      </c>
      <c r="PVI306" s="18">
        <v>0</v>
      </c>
      <c r="PVJ306" s="18">
        <v>0</v>
      </c>
      <c r="PVK306" s="18">
        <v>0</v>
      </c>
      <c r="PVL306" s="18">
        <v>0</v>
      </c>
      <c r="PVM306" s="18">
        <v>0</v>
      </c>
      <c r="PVN306" s="18">
        <v>0</v>
      </c>
      <c r="PVO306" s="18">
        <v>0</v>
      </c>
      <c r="PVP306" s="18">
        <v>0</v>
      </c>
      <c r="PVQ306" s="18">
        <v>0</v>
      </c>
      <c r="PVR306" s="18">
        <v>0</v>
      </c>
      <c r="PVS306" s="18">
        <v>0</v>
      </c>
      <c r="PVT306" s="18">
        <v>0</v>
      </c>
      <c r="PVU306" s="18">
        <v>0</v>
      </c>
      <c r="PVV306" s="18">
        <v>0</v>
      </c>
      <c r="PVW306" s="18">
        <v>0</v>
      </c>
      <c r="PVX306" s="18">
        <v>0</v>
      </c>
      <c r="PVY306" s="18">
        <v>0</v>
      </c>
      <c r="PVZ306" s="18">
        <v>0</v>
      </c>
      <c r="PWA306" s="18">
        <v>0</v>
      </c>
      <c r="PWB306" s="18">
        <v>0</v>
      </c>
      <c r="PWC306" s="18">
        <v>0</v>
      </c>
      <c r="PWD306" s="18">
        <v>0</v>
      </c>
      <c r="PWE306" s="18">
        <v>0</v>
      </c>
      <c r="PWF306" s="18">
        <v>0</v>
      </c>
      <c r="PWG306" s="18">
        <v>0</v>
      </c>
      <c r="PWH306" s="18">
        <v>0</v>
      </c>
      <c r="PWI306" s="18">
        <v>0</v>
      </c>
      <c r="PWJ306" s="18">
        <v>0</v>
      </c>
      <c r="PWK306" s="18">
        <v>0</v>
      </c>
      <c r="PWL306" s="18">
        <v>0</v>
      </c>
      <c r="PWM306" s="18">
        <v>0</v>
      </c>
      <c r="PWN306" s="18">
        <v>0</v>
      </c>
      <c r="PWO306" s="18">
        <v>0</v>
      </c>
      <c r="PWP306" s="18">
        <v>0</v>
      </c>
      <c r="PWQ306" s="18">
        <v>0</v>
      </c>
      <c r="PWR306" s="18">
        <v>0</v>
      </c>
      <c r="PWS306" s="18">
        <v>0</v>
      </c>
      <c r="PWT306" s="18">
        <v>0</v>
      </c>
      <c r="PWU306" s="18">
        <v>0</v>
      </c>
      <c r="PWV306" s="18">
        <v>0</v>
      </c>
      <c r="PWW306" s="18">
        <v>0</v>
      </c>
      <c r="PWX306" s="18">
        <v>0</v>
      </c>
      <c r="PWY306" s="18">
        <v>0</v>
      </c>
      <c r="PWZ306" s="18">
        <v>0</v>
      </c>
      <c r="PXA306" s="18">
        <v>0</v>
      </c>
      <c r="PXB306" s="18">
        <v>0</v>
      </c>
      <c r="PXC306" s="18">
        <v>0</v>
      </c>
      <c r="PXD306" s="18">
        <v>0</v>
      </c>
      <c r="PXE306" s="18">
        <v>0</v>
      </c>
      <c r="PXF306" s="18">
        <v>0</v>
      </c>
      <c r="PXG306" s="18">
        <v>0</v>
      </c>
      <c r="PXH306" s="18">
        <v>0</v>
      </c>
      <c r="PXI306" s="18">
        <v>0</v>
      </c>
      <c r="PXJ306" s="18">
        <v>0</v>
      </c>
      <c r="PXK306" s="18">
        <v>0</v>
      </c>
      <c r="PXL306" s="18">
        <v>0</v>
      </c>
      <c r="PXM306" s="18">
        <v>0</v>
      </c>
      <c r="PXN306" s="18">
        <v>0</v>
      </c>
      <c r="PXO306" s="18">
        <v>0</v>
      </c>
      <c r="PXP306" s="18">
        <v>0</v>
      </c>
      <c r="PXQ306" s="18">
        <v>0</v>
      </c>
      <c r="PXR306" s="18">
        <v>0</v>
      </c>
      <c r="PXS306" s="18">
        <v>0</v>
      </c>
      <c r="PXT306" s="18">
        <v>0</v>
      </c>
      <c r="PXU306" s="18">
        <v>0</v>
      </c>
      <c r="PXV306" s="18">
        <v>0</v>
      </c>
      <c r="PXW306" s="18">
        <v>0</v>
      </c>
      <c r="PXX306" s="18">
        <v>0</v>
      </c>
      <c r="PXY306" s="18">
        <v>0</v>
      </c>
      <c r="PXZ306" s="18">
        <v>0</v>
      </c>
      <c r="PYA306" s="18">
        <v>0</v>
      </c>
      <c r="PYB306" s="18">
        <v>0</v>
      </c>
      <c r="PYC306" s="18">
        <v>0</v>
      </c>
      <c r="PYD306" s="18">
        <v>0</v>
      </c>
      <c r="PYE306" s="18">
        <v>0</v>
      </c>
      <c r="PYF306" s="18">
        <v>0</v>
      </c>
      <c r="PYG306" s="18">
        <v>0</v>
      </c>
      <c r="PYH306" s="18">
        <v>0</v>
      </c>
      <c r="PYI306" s="18">
        <v>0</v>
      </c>
      <c r="PYJ306" s="18">
        <v>0</v>
      </c>
      <c r="PYK306" s="18">
        <v>0</v>
      </c>
      <c r="PYL306" s="18">
        <v>0</v>
      </c>
      <c r="PYM306" s="18">
        <v>0</v>
      </c>
      <c r="PYN306" s="18">
        <v>0</v>
      </c>
      <c r="PYO306" s="18">
        <v>0</v>
      </c>
      <c r="PYP306" s="18">
        <v>0</v>
      </c>
      <c r="PYQ306" s="18">
        <v>0</v>
      </c>
      <c r="PYR306" s="18">
        <v>0</v>
      </c>
      <c r="PYS306" s="18">
        <v>0</v>
      </c>
      <c r="PYT306" s="18">
        <v>0</v>
      </c>
      <c r="PYU306" s="18">
        <v>0</v>
      </c>
      <c r="PYV306" s="18">
        <v>0</v>
      </c>
      <c r="PYW306" s="18">
        <v>0</v>
      </c>
      <c r="PYX306" s="18">
        <v>0</v>
      </c>
      <c r="PYY306" s="18">
        <v>0</v>
      </c>
      <c r="PYZ306" s="18">
        <v>0</v>
      </c>
      <c r="PZA306" s="18">
        <v>0</v>
      </c>
      <c r="PZB306" s="18">
        <v>0</v>
      </c>
      <c r="PZC306" s="18">
        <v>0</v>
      </c>
      <c r="PZD306" s="18">
        <v>0</v>
      </c>
      <c r="PZE306" s="18">
        <v>0</v>
      </c>
      <c r="PZF306" s="18">
        <v>0</v>
      </c>
      <c r="PZG306" s="18">
        <v>0</v>
      </c>
      <c r="PZH306" s="18">
        <v>0</v>
      </c>
      <c r="PZI306" s="18">
        <v>0</v>
      </c>
      <c r="PZJ306" s="18">
        <v>0</v>
      </c>
      <c r="PZK306" s="18">
        <v>0</v>
      </c>
      <c r="PZL306" s="18">
        <v>0</v>
      </c>
      <c r="PZM306" s="18">
        <v>0</v>
      </c>
      <c r="PZN306" s="18">
        <v>0</v>
      </c>
      <c r="PZO306" s="18">
        <v>0</v>
      </c>
      <c r="PZP306" s="18">
        <v>0</v>
      </c>
      <c r="PZQ306" s="18">
        <v>0</v>
      </c>
      <c r="PZR306" s="18">
        <v>0</v>
      </c>
      <c r="PZS306" s="18">
        <v>0</v>
      </c>
      <c r="PZT306" s="18">
        <v>0</v>
      </c>
      <c r="PZU306" s="18">
        <v>0</v>
      </c>
      <c r="PZV306" s="18">
        <v>0</v>
      </c>
      <c r="PZW306" s="18">
        <v>0</v>
      </c>
      <c r="PZX306" s="18">
        <v>0</v>
      </c>
      <c r="PZY306" s="18">
        <v>0</v>
      </c>
      <c r="PZZ306" s="18">
        <v>0</v>
      </c>
      <c r="QAA306" s="18">
        <v>0</v>
      </c>
      <c r="QAB306" s="18">
        <v>0</v>
      </c>
      <c r="QAC306" s="18">
        <v>0</v>
      </c>
      <c r="QAD306" s="18">
        <v>0</v>
      </c>
      <c r="QAE306" s="18">
        <v>0</v>
      </c>
      <c r="QAF306" s="18">
        <v>0</v>
      </c>
      <c r="QAG306" s="18">
        <v>0</v>
      </c>
      <c r="QAH306" s="18">
        <v>0</v>
      </c>
      <c r="QAI306" s="18">
        <v>0</v>
      </c>
      <c r="QAJ306" s="18">
        <v>0</v>
      </c>
      <c r="QAK306" s="18">
        <v>0</v>
      </c>
      <c r="QAL306" s="18">
        <v>0</v>
      </c>
      <c r="QAM306" s="18">
        <v>0</v>
      </c>
      <c r="QAN306" s="18">
        <v>0</v>
      </c>
      <c r="QAO306" s="18">
        <v>0</v>
      </c>
      <c r="QAP306" s="18">
        <v>0</v>
      </c>
      <c r="QAQ306" s="18">
        <v>0</v>
      </c>
      <c r="QAR306" s="18">
        <v>0</v>
      </c>
      <c r="QAS306" s="18">
        <v>0</v>
      </c>
      <c r="QAT306" s="18">
        <v>0</v>
      </c>
      <c r="QAU306" s="18">
        <v>0</v>
      </c>
      <c r="QAV306" s="18">
        <v>0</v>
      </c>
      <c r="QAW306" s="18">
        <v>0</v>
      </c>
      <c r="QAX306" s="18">
        <v>0</v>
      </c>
      <c r="QAY306" s="18">
        <v>0</v>
      </c>
      <c r="QAZ306" s="18">
        <v>0</v>
      </c>
      <c r="QBA306" s="18">
        <v>0</v>
      </c>
      <c r="QBB306" s="18">
        <v>0</v>
      </c>
      <c r="QBC306" s="18">
        <v>0</v>
      </c>
      <c r="QBD306" s="18">
        <v>0</v>
      </c>
      <c r="QBE306" s="18">
        <v>0</v>
      </c>
      <c r="QBF306" s="18">
        <v>0</v>
      </c>
      <c r="QBG306" s="18">
        <v>0</v>
      </c>
      <c r="QBH306" s="18">
        <v>0</v>
      </c>
      <c r="QBI306" s="18">
        <v>0</v>
      </c>
      <c r="QBJ306" s="18">
        <v>0</v>
      </c>
      <c r="QBK306" s="18">
        <v>0</v>
      </c>
      <c r="QBL306" s="18">
        <v>0</v>
      </c>
      <c r="QBM306" s="18">
        <v>0</v>
      </c>
      <c r="QBN306" s="18">
        <v>0</v>
      </c>
      <c r="QBO306" s="18">
        <v>0</v>
      </c>
      <c r="QBP306" s="18">
        <v>0</v>
      </c>
      <c r="QBQ306" s="18">
        <v>0</v>
      </c>
      <c r="QBR306" s="18">
        <v>0</v>
      </c>
      <c r="QBS306" s="18">
        <v>0</v>
      </c>
      <c r="QBT306" s="18">
        <v>0</v>
      </c>
      <c r="QBU306" s="18">
        <v>0</v>
      </c>
      <c r="QBV306" s="18">
        <v>0</v>
      </c>
      <c r="QBW306" s="18">
        <v>0</v>
      </c>
      <c r="QBX306" s="18">
        <v>0</v>
      </c>
      <c r="QBY306" s="18">
        <v>0</v>
      </c>
      <c r="QBZ306" s="18">
        <v>0</v>
      </c>
      <c r="QCA306" s="18">
        <v>0</v>
      </c>
      <c r="QCB306" s="18">
        <v>0</v>
      </c>
      <c r="QCC306" s="18">
        <v>0</v>
      </c>
      <c r="QCD306" s="18">
        <v>0</v>
      </c>
      <c r="QCE306" s="18">
        <v>0</v>
      </c>
      <c r="QCF306" s="18">
        <v>0</v>
      </c>
      <c r="QCG306" s="18">
        <v>0</v>
      </c>
      <c r="QCH306" s="18">
        <v>0</v>
      </c>
      <c r="QCI306" s="18">
        <v>0</v>
      </c>
      <c r="QCJ306" s="18">
        <v>0</v>
      </c>
      <c r="QCK306" s="18">
        <v>0</v>
      </c>
      <c r="QCL306" s="18">
        <v>0</v>
      </c>
      <c r="QCM306" s="18">
        <v>0</v>
      </c>
      <c r="QCN306" s="18">
        <v>0</v>
      </c>
      <c r="QCO306" s="18">
        <v>0</v>
      </c>
      <c r="QCP306" s="18">
        <v>0</v>
      </c>
      <c r="QCQ306" s="18">
        <v>0</v>
      </c>
      <c r="QCR306" s="18">
        <v>0</v>
      </c>
      <c r="QCS306" s="18">
        <v>0</v>
      </c>
      <c r="QCT306" s="18">
        <v>0</v>
      </c>
      <c r="QCU306" s="18">
        <v>0</v>
      </c>
      <c r="QCV306" s="18">
        <v>0</v>
      </c>
      <c r="QCW306" s="18">
        <v>0</v>
      </c>
      <c r="QCX306" s="18">
        <v>0</v>
      </c>
      <c r="QCY306" s="18">
        <v>0</v>
      </c>
      <c r="QCZ306" s="18">
        <v>0</v>
      </c>
      <c r="QDA306" s="18">
        <v>0</v>
      </c>
      <c r="QDB306" s="18">
        <v>0</v>
      </c>
      <c r="QDC306" s="18">
        <v>0</v>
      </c>
      <c r="QDD306" s="18">
        <v>0</v>
      </c>
      <c r="QDE306" s="18">
        <v>0</v>
      </c>
      <c r="QDF306" s="18">
        <v>0</v>
      </c>
      <c r="QDG306" s="18">
        <v>0</v>
      </c>
      <c r="QDH306" s="18">
        <v>0</v>
      </c>
      <c r="QDI306" s="18">
        <v>0</v>
      </c>
      <c r="QDJ306" s="18">
        <v>0</v>
      </c>
      <c r="QDK306" s="18">
        <v>0</v>
      </c>
      <c r="QDL306" s="18">
        <v>0</v>
      </c>
      <c r="QDM306" s="18">
        <v>0</v>
      </c>
      <c r="QDN306" s="18">
        <v>0</v>
      </c>
      <c r="QDO306" s="18">
        <v>0</v>
      </c>
      <c r="QDP306" s="18">
        <v>0</v>
      </c>
      <c r="QDQ306" s="18">
        <v>0</v>
      </c>
      <c r="QDR306" s="18">
        <v>0</v>
      </c>
      <c r="QDS306" s="18">
        <v>0</v>
      </c>
      <c r="QDT306" s="18">
        <v>0</v>
      </c>
      <c r="QDU306" s="18">
        <v>0</v>
      </c>
      <c r="QDV306" s="18">
        <v>0</v>
      </c>
      <c r="QDW306" s="18">
        <v>0</v>
      </c>
      <c r="QDX306" s="18">
        <v>0</v>
      </c>
      <c r="QDY306" s="18">
        <v>0</v>
      </c>
      <c r="QDZ306" s="18">
        <v>0</v>
      </c>
      <c r="QEA306" s="18">
        <v>0</v>
      </c>
      <c r="QEB306" s="18">
        <v>0</v>
      </c>
      <c r="QEC306" s="18">
        <v>0</v>
      </c>
      <c r="QED306" s="18">
        <v>0</v>
      </c>
      <c r="QEE306" s="18">
        <v>0</v>
      </c>
      <c r="QEF306" s="18">
        <v>0</v>
      </c>
      <c r="QEG306" s="18">
        <v>0</v>
      </c>
      <c r="QEH306" s="18">
        <v>0</v>
      </c>
      <c r="QEI306" s="18">
        <v>0</v>
      </c>
      <c r="QEJ306" s="18">
        <v>0</v>
      </c>
      <c r="QEK306" s="18">
        <v>0</v>
      </c>
      <c r="QEL306" s="18">
        <v>0</v>
      </c>
      <c r="QEM306" s="18">
        <v>0</v>
      </c>
      <c r="QEN306" s="18">
        <v>0</v>
      </c>
      <c r="QEO306" s="18">
        <v>0</v>
      </c>
      <c r="QEP306" s="18">
        <v>0</v>
      </c>
      <c r="QEQ306" s="18">
        <v>0</v>
      </c>
      <c r="QER306" s="18">
        <v>0</v>
      </c>
      <c r="QES306" s="18">
        <v>0</v>
      </c>
      <c r="QET306" s="18">
        <v>0</v>
      </c>
      <c r="QEU306" s="18">
        <v>0</v>
      </c>
      <c r="QEV306" s="18">
        <v>0</v>
      </c>
      <c r="QEW306" s="18">
        <v>0</v>
      </c>
      <c r="QEX306" s="18">
        <v>0</v>
      </c>
      <c r="QEY306" s="18">
        <v>0</v>
      </c>
      <c r="QEZ306" s="18">
        <v>0</v>
      </c>
      <c r="QFA306" s="18">
        <v>0</v>
      </c>
      <c r="QFB306" s="18">
        <v>0</v>
      </c>
      <c r="QFC306" s="18">
        <v>0</v>
      </c>
      <c r="QFD306" s="18">
        <v>0</v>
      </c>
      <c r="QFE306" s="18">
        <v>0</v>
      </c>
      <c r="QFF306" s="18">
        <v>0</v>
      </c>
      <c r="QFG306" s="18">
        <v>0</v>
      </c>
      <c r="QFH306" s="18">
        <v>0</v>
      </c>
      <c r="QFI306" s="18">
        <v>0</v>
      </c>
      <c r="QFJ306" s="18">
        <v>0</v>
      </c>
      <c r="QFK306" s="18">
        <v>0</v>
      </c>
      <c r="QFL306" s="18">
        <v>0</v>
      </c>
      <c r="QFM306" s="18">
        <v>0</v>
      </c>
      <c r="QFN306" s="18">
        <v>0</v>
      </c>
      <c r="QFO306" s="18">
        <v>0</v>
      </c>
      <c r="QFP306" s="18">
        <v>0</v>
      </c>
      <c r="QFQ306" s="18">
        <v>0</v>
      </c>
      <c r="QFR306" s="18">
        <v>0</v>
      </c>
      <c r="QFS306" s="18">
        <v>0</v>
      </c>
      <c r="QFT306" s="18">
        <v>0</v>
      </c>
      <c r="QFU306" s="18">
        <v>0</v>
      </c>
      <c r="QFV306" s="18">
        <v>0</v>
      </c>
      <c r="QFW306" s="18">
        <v>0</v>
      </c>
      <c r="QFX306" s="18">
        <v>0</v>
      </c>
      <c r="QFY306" s="18">
        <v>0</v>
      </c>
      <c r="QFZ306" s="18">
        <v>0</v>
      </c>
      <c r="QGA306" s="18">
        <v>0</v>
      </c>
      <c r="QGB306" s="18">
        <v>0</v>
      </c>
      <c r="QGC306" s="18">
        <v>0</v>
      </c>
      <c r="QGD306" s="18">
        <v>0</v>
      </c>
      <c r="QGE306" s="18">
        <v>0</v>
      </c>
      <c r="QGF306" s="18">
        <v>0</v>
      </c>
      <c r="QGG306" s="18">
        <v>0</v>
      </c>
      <c r="QGH306" s="18">
        <v>0</v>
      </c>
      <c r="QGI306" s="18">
        <v>0</v>
      </c>
      <c r="QGJ306" s="18">
        <v>0</v>
      </c>
      <c r="QGK306" s="18">
        <v>0</v>
      </c>
      <c r="QGL306" s="18">
        <v>0</v>
      </c>
      <c r="QGM306" s="18">
        <v>0</v>
      </c>
      <c r="QGN306" s="18">
        <v>0</v>
      </c>
      <c r="QGO306" s="18">
        <v>0</v>
      </c>
      <c r="QGP306" s="18">
        <v>0</v>
      </c>
      <c r="QGQ306" s="18">
        <v>0</v>
      </c>
      <c r="QGR306" s="18">
        <v>0</v>
      </c>
      <c r="QGS306" s="18">
        <v>0</v>
      </c>
      <c r="QGT306" s="18">
        <v>0</v>
      </c>
      <c r="QGU306" s="18">
        <v>0</v>
      </c>
      <c r="QGV306" s="18">
        <v>0</v>
      </c>
      <c r="QGW306" s="18">
        <v>0</v>
      </c>
      <c r="QGX306" s="18">
        <v>0</v>
      </c>
      <c r="QGY306" s="18">
        <v>0</v>
      </c>
      <c r="QGZ306" s="18">
        <v>0</v>
      </c>
      <c r="QHA306" s="18">
        <v>0</v>
      </c>
      <c r="QHB306" s="18">
        <v>0</v>
      </c>
      <c r="QHC306" s="18">
        <v>0</v>
      </c>
      <c r="QHD306" s="18">
        <v>0</v>
      </c>
      <c r="QHE306" s="18">
        <v>0</v>
      </c>
      <c r="QHF306" s="18">
        <v>0</v>
      </c>
      <c r="QHG306" s="18">
        <v>0</v>
      </c>
      <c r="QHH306" s="18">
        <v>0</v>
      </c>
      <c r="QHI306" s="18">
        <v>0</v>
      </c>
      <c r="QHJ306" s="18">
        <v>0</v>
      </c>
      <c r="QHK306" s="18">
        <v>0</v>
      </c>
      <c r="QHL306" s="18">
        <v>0</v>
      </c>
      <c r="QHM306" s="18">
        <v>0</v>
      </c>
      <c r="QHN306" s="18">
        <v>0</v>
      </c>
      <c r="QHO306" s="18">
        <v>0</v>
      </c>
      <c r="QHP306" s="18">
        <v>0</v>
      </c>
      <c r="QHQ306" s="18">
        <v>0</v>
      </c>
      <c r="QHR306" s="18">
        <v>0</v>
      </c>
      <c r="QHS306" s="18">
        <v>0</v>
      </c>
      <c r="QHT306" s="18">
        <v>0</v>
      </c>
      <c r="QHU306" s="18">
        <v>0</v>
      </c>
      <c r="QHV306" s="18">
        <v>0</v>
      </c>
      <c r="QHW306" s="18">
        <v>0</v>
      </c>
      <c r="QHX306" s="18">
        <v>0</v>
      </c>
      <c r="QHY306" s="18">
        <v>0</v>
      </c>
      <c r="QHZ306" s="18">
        <v>0</v>
      </c>
      <c r="QIA306" s="18">
        <v>0</v>
      </c>
      <c r="QIB306" s="18">
        <v>0</v>
      </c>
      <c r="QIC306" s="18">
        <v>0</v>
      </c>
      <c r="QID306" s="18">
        <v>0</v>
      </c>
      <c r="QIE306" s="18">
        <v>0</v>
      </c>
      <c r="QIF306" s="18">
        <v>0</v>
      </c>
      <c r="QIG306" s="18">
        <v>0</v>
      </c>
      <c r="QIH306" s="18">
        <v>0</v>
      </c>
      <c r="QII306" s="18">
        <v>0</v>
      </c>
      <c r="QIJ306" s="18">
        <v>0</v>
      </c>
      <c r="QIK306" s="18">
        <v>0</v>
      </c>
      <c r="QIL306" s="18">
        <v>0</v>
      </c>
      <c r="QIM306" s="18">
        <v>0</v>
      </c>
      <c r="QIN306" s="18">
        <v>0</v>
      </c>
      <c r="QIO306" s="18">
        <v>0</v>
      </c>
      <c r="QIP306" s="18">
        <v>0</v>
      </c>
      <c r="QIQ306" s="18">
        <v>0</v>
      </c>
      <c r="QIR306" s="18">
        <v>0</v>
      </c>
      <c r="QIS306" s="18">
        <v>0</v>
      </c>
      <c r="QIT306" s="18">
        <v>0</v>
      </c>
      <c r="QIU306" s="18">
        <v>0</v>
      </c>
      <c r="QIV306" s="18">
        <v>0</v>
      </c>
      <c r="QIW306" s="18">
        <v>0</v>
      </c>
      <c r="QIX306" s="18">
        <v>0</v>
      </c>
      <c r="QIY306" s="18">
        <v>0</v>
      </c>
      <c r="QIZ306" s="18">
        <v>0</v>
      </c>
      <c r="QJA306" s="18">
        <v>0</v>
      </c>
      <c r="QJB306" s="18">
        <v>0</v>
      </c>
      <c r="QJC306" s="18">
        <v>0</v>
      </c>
      <c r="QJD306" s="18">
        <v>0</v>
      </c>
      <c r="QJE306" s="18">
        <v>0</v>
      </c>
      <c r="QJF306" s="18">
        <v>0</v>
      </c>
      <c r="QJG306" s="18">
        <v>0</v>
      </c>
      <c r="QJH306" s="18">
        <v>0</v>
      </c>
      <c r="QJI306" s="18">
        <v>0</v>
      </c>
      <c r="QJJ306" s="18">
        <v>0</v>
      </c>
      <c r="QJK306" s="18">
        <v>0</v>
      </c>
      <c r="QJL306" s="18">
        <v>0</v>
      </c>
      <c r="QJM306" s="18">
        <v>0</v>
      </c>
      <c r="QJN306" s="18">
        <v>0</v>
      </c>
      <c r="QJO306" s="18">
        <v>0</v>
      </c>
      <c r="QJP306" s="18">
        <v>0</v>
      </c>
      <c r="QJQ306" s="18">
        <v>0</v>
      </c>
      <c r="QJR306" s="18">
        <v>0</v>
      </c>
      <c r="QJS306" s="18">
        <v>0</v>
      </c>
      <c r="QJT306" s="18">
        <v>0</v>
      </c>
      <c r="QJU306" s="18">
        <v>0</v>
      </c>
      <c r="QJV306" s="18">
        <v>0</v>
      </c>
      <c r="QJW306" s="18">
        <v>0</v>
      </c>
      <c r="QJX306" s="18">
        <v>0</v>
      </c>
      <c r="QJY306" s="18">
        <v>0</v>
      </c>
      <c r="QJZ306" s="18">
        <v>0</v>
      </c>
      <c r="QKA306" s="18">
        <v>0</v>
      </c>
      <c r="QKB306" s="18">
        <v>0</v>
      </c>
      <c r="QKC306" s="18">
        <v>0</v>
      </c>
      <c r="QKD306" s="18">
        <v>0</v>
      </c>
      <c r="QKE306" s="18">
        <v>0</v>
      </c>
      <c r="QKF306" s="18">
        <v>0</v>
      </c>
      <c r="QKG306" s="18">
        <v>0</v>
      </c>
      <c r="QKH306" s="18">
        <v>0</v>
      </c>
      <c r="QKI306" s="18">
        <v>0</v>
      </c>
      <c r="QKJ306" s="18">
        <v>0</v>
      </c>
      <c r="QKK306" s="18">
        <v>0</v>
      </c>
      <c r="QKL306" s="18">
        <v>0</v>
      </c>
      <c r="QKM306" s="18">
        <v>0</v>
      </c>
      <c r="QKN306" s="18">
        <v>0</v>
      </c>
      <c r="QKO306" s="18">
        <v>0</v>
      </c>
      <c r="QKP306" s="18">
        <v>0</v>
      </c>
      <c r="QKQ306" s="18">
        <v>0</v>
      </c>
      <c r="QKR306" s="18">
        <v>0</v>
      </c>
      <c r="QKS306" s="18">
        <v>0</v>
      </c>
      <c r="QKT306" s="18">
        <v>0</v>
      </c>
      <c r="QKU306" s="18">
        <v>0</v>
      </c>
      <c r="QKV306" s="18">
        <v>0</v>
      </c>
      <c r="QKW306" s="18">
        <v>0</v>
      </c>
      <c r="QKX306" s="18">
        <v>0</v>
      </c>
      <c r="QKY306" s="18">
        <v>0</v>
      </c>
      <c r="QKZ306" s="18">
        <v>0</v>
      </c>
      <c r="QLA306" s="18">
        <v>0</v>
      </c>
      <c r="QLB306" s="18">
        <v>0</v>
      </c>
      <c r="QLC306" s="18">
        <v>0</v>
      </c>
      <c r="QLD306" s="18">
        <v>0</v>
      </c>
      <c r="QLE306" s="18">
        <v>0</v>
      </c>
      <c r="QLF306" s="18">
        <v>0</v>
      </c>
      <c r="QLG306" s="18">
        <v>0</v>
      </c>
      <c r="QLH306" s="18">
        <v>0</v>
      </c>
      <c r="QLI306" s="18">
        <v>0</v>
      </c>
      <c r="QLJ306" s="18">
        <v>0</v>
      </c>
      <c r="QLK306" s="18">
        <v>0</v>
      </c>
      <c r="QLL306" s="18">
        <v>0</v>
      </c>
      <c r="QLM306" s="18">
        <v>0</v>
      </c>
      <c r="QLN306" s="18">
        <v>0</v>
      </c>
      <c r="QLO306" s="18">
        <v>0</v>
      </c>
      <c r="QLP306" s="18">
        <v>0</v>
      </c>
      <c r="QLQ306" s="18">
        <v>0</v>
      </c>
      <c r="QLR306" s="18">
        <v>0</v>
      </c>
      <c r="QLS306" s="18">
        <v>0</v>
      </c>
      <c r="QLT306" s="18">
        <v>0</v>
      </c>
      <c r="QLU306" s="18">
        <v>0</v>
      </c>
      <c r="QLV306" s="18">
        <v>0</v>
      </c>
      <c r="QLW306" s="18">
        <v>0</v>
      </c>
      <c r="QLX306" s="18">
        <v>0</v>
      </c>
      <c r="QLY306" s="18">
        <v>0</v>
      </c>
      <c r="QLZ306" s="18">
        <v>0</v>
      </c>
      <c r="QMA306" s="18">
        <v>0</v>
      </c>
      <c r="QMB306" s="18">
        <v>0</v>
      </c>
      <c r="QMC306" s="18">
        <v>0</v>
      </c>
      <c r="QMD306" s="18">
        <v>0</v>
      </c>
      <c r="QME306" s="18">
        <v>0</v>
      </c>
      <c r="QMF306" s="18">
        <v>0</v>
      </c>
      <c r="QMG306" s="18">
        <v>0</v>
      </c>
      <c r="QMH306" s="18">
        <v>0</v>
      </c>
      <c r="QMI306" s="18">
        <v>0</v>
      </c>
      <c r="QMJ306" s="18">
        <v>0</v>
      </c>
      <c r="QMK306" s="18">
        <v>0</v>
      </c>
      <c r="QML306" s="18">
        <v>0</v>
      </c>
      <c r="QMM306" s="18">
        <v>0</v>
      </c>
      <c r="QMN306" s="18">
        <v>0</v>
      </c>
      <c r="QMO306" s="18">
        <v>0</v>
      </c>
      <c r="QMP306" s="18">
        <v>0</v>
      </c>
      <c r="QMQ306" s="18">
        <v>0</v>
      </c>
      <c r="QMR306" s="18">
        <v>0</v>
      </c>
      <c r="QMS306" s="18">
        <v>0</v>
      </c>
      <c r="QMT306" s="18">
        <v>0</v>
      </c>
      <c r="QMU306" s="18">
        <v>0</v>
      </c>
      <c r="QMV306" s="18">
        <v>0</v>
      </c>
      <c r="QMW306" s="18">
        <v>0</v>
      </c>
      <c r="QMX306" s="18">
        <v>0</v>
      </c>
      <c r="QMY306" s="18">
        <v>0</v>
      </c>
      <c r="QMZ306" s="18">
        <v>0</v>
      </c>
      <c r="QNA306" s="18">
        <v>0</v>
      </c>
      <c r="QNB306" s="18">
        <v>0</v>
      </c>
      <c r="QNC306" s="18">
        <v>0</v>
      </c>
      <c r="QND306" s="18">
        <v>0</v>
      </c>
      <c r="QNE306" s="18">
        <v>0</v>
      </c>
      <c r="QNF306" s="18">
        <v>0</v>
      </c>
      <c r="QNG306" s="18">
        <v>0</v>
      </c>
      <c r="QNH306" s="18">
        <v>0</v>
      </c>
      <c r="QNI306" s="18">
        <v>0</v>
      </c>
      <c r="QNJ306" s="18">
        <v>0</v>
      </c>
      <c r="QNK306" s="18">
        <v>0</v>
      </c>
      <c r="QNL306" s="18">
        <v>0</v>
      </c>
      <c r="QNM306" s="18">
        <v>0</v>
      </c>
      <c r="QNN306" s="18">
        <v>0</v>
      </c>
      <c r="QNO306" s="18">
        <v>0</v>
      </c>
      <c r="QNP306" s="18">
        <v>0</v>
      </c>
      <c r="QNQ306" s="18">
        <v>0</v>
      </c>
      <c r="QNR306" s="18">
        <v>0</v>
      </c>
      <c r="QNS306" s="18">
        <v>0</v>
      </c>
      <c r="QNT306" s="18">
        <v>0</v>
      </c>
      <c r="QNU306" s="18">
        <v>0</v>
      </c>
      <c r="QNV306" s="18">
        <v>0</v>
      </c>
      <c r="QNW306" s="18">
        <v>0</v>
      </c>
      <c r="QNX306" s="18">
        <v>0</v>
      </c>
      <c r="QNY306" s="18">
        <v>0</v>
      </c>
      <c r="QNZ306" s="18">
        <v>0</v>
      </c>
      <c r="QOA306" s="18">
        <v>0</v>
      </c>
      <c r="QOB306" s="18">
        <v>0</v>
      </c>
      <c r="QOC306" s="18">
        <v>0</v>
      </c>
      <c r="QOD306" s="18">
        <v>0</v>
      </c>
      <c r="QOE306" s="18">
        <v>0</v>
      </c>
      <c r="QOF306" s="18">
        <v>0</v>
      </c>
      <c r="QOG306" s="18">
        <v>0</v>
      </c>
      <c r="QOH306" s="18">
        <v>0</v>
      </c>
      <c r="QOI306" s="18">
        <v>0</v>
      </c>
      <c r="QOJ306" s="18">
        <v>0</v>
      </c>
      <c r="QOK306" s="18">
        <v>0</v>
      </c>
      <c r="QOL306" s="18">
        <v>0</v>
      </c>
      <c r="QOM306" s="18">
        <v>0</v>
      </c>
      <c r="QON306" s="18">
        <v>0</v>
      </c>
      <c r="QOO306" s="18">
        <v>0</v>
      </c>
      <c r="QOP306" s="18">
        <v>0</v>
      </c>
      <c r="QOQ306" s="18">
        <v>0</v>
      </c>
      <c r="QOR306" s="18">
        <v>0</v>
      </c>
      <c r="QOS306" s="18">
        <v>0</v>
      </c>
      <c r="QOT306" s="18">
        <v>0</v>
      </c>
      <c r="QOU306" s="18">
        <v>0</v>
      </c>
      <c r="QOV306" s="18">
        <v>0</v>
      </c>
      <c r="QOW306" s="18">
        <v>0</v>
      </c>
      <c r="QOX306" s="18">
        <v>0</v>
      </c>
      <c r="QOY306" s="18">
        <v>0</v>
      </c>
      <c r="QOZ306" s="18">
        <v>0</v>
      </c>
      <c r="QPA306" s="18">
        <v>0</v>
      </c>
      <c r="QPB306" s="18">
        <v>0</v>
      </c>
      <c r="QPC306" s="18">
        <v>0</v>
      </c>
      <c r="QPD306" s="18">
        <v>0</v>
      </c>
      <c r="QPE306" s="18">
        <v>0</v>
      </c>
      <c r="QPF306" s="18">
        <v>0</v>
      </c>
      <c r="QPG306" s="18">
        <v>0</v>
      </c>
      <c r="QPH306" s="18">
        <v>0</v>
      </c>
      <c r="QPI306" s="18">
        <v>0</v>
      </c>
      <c r="QPJ306" s="18">
        <v>0</v>
      </c>
      <c r="QPK306" s="18">
        <v>0</v>
      </c>
      <c r="QPL306" s="18">
        <v>0</v>
      </c>
      <c r="QPM306" s="18">
        <v>0</v>
      </c>
      <c r="QPN306" s="18">
        <v>0</v>
      </c>
      <c r="QPO306" s="18">
        <v>0</v>
      </c>
      <c r="QPP306" s="18">
        <v>0</v>
      </c>
      <c r="QPQ306" s="18">
        <v>0</v>
      </c>
      <c r="QPR306" s="18">
        <v>0</v>
      </c>
      <c r="QPS306" s="18">
        <v>0</v>
      </c>
      <c r="QPT306" s="18">
        <v>0</v>
      </c>
      <c r="QPU306" s="18">
        <v>0</v>
      </c>
      <c r="QPV306" s="18">
        <v>0</v>
      </c>
      <c r="QPW306" s="18">
        <v>0</v>
      </c>
      <c r="QPX306" s="18">
        <v>0</v>
      </c>
      <c r="QPY306" s="18">
        <v>0</v>
      </c>
      <c r="QPZ306" s="18">
        <v>0</v>
      </c>
      <c r="QQA306" s="18">
        <v>0</v>
      </c>
      <c r="QQB306" s="18">
        <v>0</v>
      </c>
      <c r="QQC306" s="18">
        <v>0</v>
      </c>
      <c r="QQD306" s="18">
        <v>0</v>
      </c>
      <c r="QQE306" s="18">
        <v>0</v>
      </c>
      <c r="QQF306" s="18">
        <v>0</v>
      </c>
      <c r="QQG306" s="18">
        <v>0</v>
      </c>
      <c r="QQH306" s="18">
        <v>0</v>
      </c>
      <c r="QQI306" s="18">
        <v>0</v>
      </c>
      <c r="QQJ306" s="18">
        <v>0</v>
      </c>
      <c r="QQK306" s="18">
        <v>0</v>
      </c>
      <c r="QQL306" s="18">
        <v>0</v>
      </c>
      <c r="QQM306" s="18">
        <v>0</v>
      </c>
      <c r="QQN306" s="18">
        <v>0</v>
      </c>
      <c r="QQO306" s="18">
        <v>0</v>
      </c>
      <c r="QQP306" s="18">
        <v>0</v>
      </c>
      <c r="QQQ306" s="18">
        <v>0</v>
      </c>
      <c r="QQR306" s="18">
        <v>0</v>
      </c>
      <c r="QQS306" s="18">
        <v>0</v>
      </c>
      <c r="QQT306" s="18">
        <v>0</v>
      </c>
      <c r="QQU306" s="18">
        <v>0</v>
      </c>
      <c r="QQV306" s="18">
        <v>0</v>
      </c>
      <c r="QQW306" s="18">
        <v>0</v>
      </c>
      <c r="QQX306" s="18">
        <v>0</v>
      </c>
      <c r="QQY306" s="18">
        <v>0</v>
      </c>
      <c r="QQZ306" s="18">
        <v>0</v>
      </c>
      <c r="QRA306" s="18">
        <v>0</v>
      </c>
      <c r="QRB306" s="18">
        <v>0</v>
      </c>
      <c r="QRC306" s="18">
        <v>0</v>
      </c>
      <c r="QRD306" s="18">
        <v>0</v>
      </c>
      <c r="QRE306" s="18">
        <v>0</v>
      </c>
      <c r="QRF306" s="18">
        <v>0</v>
      </c>
      <c r="QRG306" s="18">
        <v>0</v>
      </c>
      <c r="QRH306" s="18">
        <v>0</v>
      </c>
      <c r="QRI306" s="18">
        <v>0</v>
      </c>
      <c r="QRJ306" s="18">
        <v>0</v>
      </c>
      <c r="QRK306" s="18">
        <v>0</v>
      </c>
      <c r="QRL306" s="18">
        <v>0</v>
      </c>
      <c r="QRM306" s="18">
        <v>0</v>
      </c>
      <c r="QRN306" s="18">
        <v>0</v>
      </c>
      <c r="QRO306" s="18">
        <v>0</v>
      </c>
      <c r="QRP306" s="18">
        <v>0</v>
      </c>
      <c r="QRQ306" s="18">
        <v>0</v>
      </c>
      <c r="QRR306" s="18">
        <v>0</v>
      </c>
      <c r="QRS306" s="18">
        <v>0</v>
      </c>
      <c r="QRT306" s="18">
        <v>0</v>
      </c>
      <c r="QRU306" s="18">
        <v>0</v>
      </c>
      <c r="QRV306" s="18">
        <v>0</v>
      </c>
      <c r="QRW306" s="18">
        <v>0</v>
      </c>
      <c r="QRX306" s="18">
        <v>0</v>
      </c>
      <c r="QRY306" s="18">
        <v>0</v>
      </c>
      <c r="QRZ306" s="18">
        <v>0</v>
      </c>
      <c r="QSA306" s="18">
        <v>0</v>
      </c>
      <c r="QSB306" s="18">
        <v>0</v>
      </c>
      <c r="QSC306" s="18">
        <v>0</v>
      </c>
      <c r="QSD306" s="18">
        <v>0</v>
      </c>
      <c r="QSE306" s="18">
        <v>0</v>
      </c>
      <c r="QSF306" s="18">
        <v>0</v>
      </c>
      <c r="QSG306" s="18">
        <v>0</v>
      </c>
      <c r="QSH306" s="18">
        <v>0</v>
      </c>
      <c r="QSI306" s="18">
        <v>0</v>
      </c>
      <c r="QSJ306" s="18">
        <v>0</v>
      </c>
      <c r="QSK306" s="18">
        <v>0</v>
      </c>
      <c r="QSL306" s="18">
        <v>0</v>
      </c>
      <c r="QSM306" s="18">
        <v>0</v>
      </c>
      <c r="QSN306" s="18">
        <v>0</v>
      </c>
      <c r="QSO306" s="18">
        <v>0</v>
      </c>
      <c r="QSP306" s="18">
        <v>0</v>
      </c>
      <c r="QSQ306" s="18">
        <v>0</v>
      </c>
      <c r="QSR306" s="18">
        <v>0</v>
      </c>
      <c r="QSS306" s="18">
        <v>0</v>
      </c>
      <c r="QST306" s="18">
        <v>0</v>
      </c>
      <c r="QSU306" s="18">
        <v>0</v>
      </c>
      <c r="QSV306" s="18">
        <v>0</v>
      </c>
      <c r="QSW306" s="18">
        <v>0</v>
      </c>
      <c r="QSX306" s="18">
        <v>0</v>
      </c>
      <c r="QSY306" s="18">
        <v>0</v>
      </c>
      <c r="QSZ306" s="18">
        <v>0</v>
      </c>
      <c r="QTA306" s="18">
        <v>0</v>
      </c>
      <c r="QTB306" s="18">
        <v>0</v>
      </c>
      <c r="QTC306" s="18">
        <v>0</v>
      </c>
      <c r="QTD306" s="18">
        <v>0</v>
      </c>
      <c r="QTE306" s="18">
        <v>0</v>
      </c>
      <c r="QTF306" s="18">
        <v>0</v>
      </c>
      <c r="QTG306" s="18">
        <v>0</v>
      </c>
      <c r="QTH306" s="18">
        <v>0</v>
      </c>
      <c r="QTI306" s="18">
        <v>0</v>
      </c>
      <c r="QTJ306" s="18">
        <v>0</v>
      </c>
      <c r="QTK306" s="18">
        <v>0</v>
      </c>
      <c r="QTL306" s="18">
        <v>0</v>
      </c>
      <c r="QTM306" s="18">
        <v>0</v>
      </c>
      <c r="QTN306" s="18">
        <v>0</v>
      </c>
      <c r="QTO306" s="18">
        <v>0</v>
      </c>
      <c r="QTP306" s="18">
        <v>0</v>
      </c>
      <c r="QTQ306" s="18">
        <v>0</v>
      </c>
      <c r="QTR306" s="18">
        <v>0</v>
      </c>
      <c r="QTS306" s="18">
        <v>0</v>
      </c>
      <c r="QTT306" s="18">
        <v>0</v>
      </c>
      <c r="QTU306" s="18">
        <v>0</v>
      </c>
      <c r="QTV306" s="18">
        <v>0</v>
      </c>
      <c r="QTW306" s="18">
        <v>0</v>
      </c>
      <c r="QTX306" s="18">
        <v>0</v>
      </c>
      <c r="QTY306" s="18">
        <v>0</v>
      </c>
      <c r="QTZ306" s="18">
        <v>0</v>
      </c>
      <c r="QUA306" s="18">
        <v>0</v>
      </c>
      <c r="QUB306" s="18">
        <v>0</v>
      </c>
      <c r="QUC306" s="18">
        <v>0</v>
      </c>
      <c r="QUD306" s="18">
        <v>0</v>
      </c>
      <c r="QUE306" s="18">
        <v>0</v>
      </c>
      <c r="QUF306" s="18">
        <v>0</v>
      </c>
      <c r="QUG306" s="18">
        <v>0</v>
      </c>
      <c r="QUH306" s="18">
        <v>0</v>
      </c>
      <c r="QUI306" s="18">
        <v>0</v>
      </c>
      <c r="QUJ306" s="18">
        <v>0</v>
      </c>
      <c r="QUK306" s="18">
        <v>0</v>
      </c>
      <c r="QUL306" s="18">
        <v>0</v>
      </c>
      <c r="QUM306" s="18">
        <v>0</v>
      </c>
      <c r="QUN306" s="18">
        <v>0</v>
      </c>
      <c r="QUO306" s="18">
        <v>0</v>
      </c>
      <c r="QUP306" s="18">
        <v>0</v>
      </c>
      <c r="QUQ306" s="18">
        <v>0</v>
      </c>
      <c r="QUR306" s="18">
        <v>0</v>
      </c>
      <c r="QUS306" s="18">
        <v>0</v>
      </c>
      <c r="QUT306" s="18">
        <v>0</v>
      </c>
      <c r="QUU306" s="18">
        <v>0</v>
      </c>
      <c r="QUV306" s="18">
        <v>0</v>
      </c>
      <c r="QUW306" s="18">
        <v>0</v>
      </c>
      <c r="QUX306" s="18">
        <v>0</v>
      </c>
      <c r="QUY306" s="18">
        <v>0</v>
      </c>
      <c r="QUZ306" s="18">
        <v>0</v>
      </c>
      <c r="QVA306" s="18">
        <v>0</v>
      </c>
      <c r="QVB306" s="18">
        <v>0</v>
      </c>
      <c r="QVC306" s="18">
        <v>0</v>
      </c>
      <c r="QVD306" s="18">
        <v>0</v>
      </c>
      <c r="QVE306" s="18">
        <v>0</v>
      </c>
      <c r="QVF306" s="18">
        <v>0</v>
      </c>
      <c r="QVG306" s="18">
        <v>0</v>
      </c>
      <c r="QVH306" s="18">
        <v>0</v>
      </c>
      <c r="QVI306" s="18">
        <v>0</v>
      </c>
      <c r="QVJ306" s="18">
        <v>0</v>
      </c>
      <c r="QVK306" s="18">
        <v>0</v>
      </c>
      <c r="QVL306" s="18">
        <v>0</v>
      </c>
      <c r="QVM306" s="18">
        <v>0</v>
      </c>
      <c r="QVN306" s="18">
        <v>0</v>
      </c>
      <c r="QVO306" s="18">
        <v>0</v>
      </c>
      <c r="QVP306" s="18">
        <v>0</v>
      </c>
      <c r="QVQ306" s="18">
        <v>0</v>
      </c>
      <c r="QVR306" s="18">
        <v>0</v>
      </c>
      <c r="QVS306" s="18">
        <v>0</v>
      </c>
      <c r="QVT306" s="18">
        <v>0</v>
      </c>
      <c r="QVU306" s="18">
        <v>0</v>
      </c>
      <c r="QVV306" s="18">
        <v>0</v>
      </c>
      <c r="QVW306" s="18">
        <v>0</v>
      </c>
      <c r="QVX306" s="18">
        <v>0</v>
      </c>
      <c r="QVY306" s="18">
        <v>0</v>
      </c>
      <c r="QVZ306" s="18">
        <v>0</v>
      </c>
      <c r="QWA306" s="18">
        <v>0</v>
      </c>
      <c r="QWB306" s="18">
        <v>0</v>
      </c>
      <c r="QWC306" s="18">
        <v>0</v>
      </c>
      <c r="QWD306" s="18">
        <v>0</v>
      </c>
      <c r="QWE306" s="18">
        <v>0</v>
      </c>
      <c r="QWF306" s="18">
        <v>0</v>
      </c>
      <c r="QWG306" s="18">
        <v>0</v>
      </c>
      <c r="QWH306" s="18">
        <v>0</v>
      </c>
      <c r="QWI306" s="18">
        <v>0</v>
      </c>
      <c r="QWJ306" s="18">
        <v>0</v>
      </c>
      <c r="QWK306" s="18">
        <v>0</v>
      </c>
      <c r="QWL306" s="18">
        <v>0</v>
      </c>
      <c r="QWM306" s="18">
        <v>0</v>
      </c>
      <c r="QWN306" s="18">
        <v>0</v>
      </c>
      <c r="QWO306" s="18">
        <v>0</v>
      </c>
      <c r="QWP306" s="18">
        <v>0</v>
      </c>
      <c r="QWQ306" s="18">
        <v>0</v>
      </c>
      <c r="QWR306" s="18">
        <v>0</v>
      </c>
      <c r="QWS306" s="18">
        <v>0</v>
      </c>
      <c r="QWT306" s="18">
        <v>0</v>
      </c>
      <c r="QWU306" s="18">
        <v>0</v>
      </c>
      <c r="QWV306" s="18">
        <v>0</v>
      </c>
      <c r="QWW306" s="18">
        <v>0</v>
      </c>
      <c r="QWX306" s="18">
        <v>0</v>
      </c>
      <c r="QWY306" s="18">
        <v>0</v>
      </c>
      <c r="QWZ306" s="18">
        <v>0</v>
      </c>
      <c r="QXA306" s="18">
        <v>0</v>
      </c>
      <c r="QXB306" s="18">
        <v>0</v>
      </c>
      <c r="QXC306" s="18">
        <v>0</v>
      </c>
      <c r="QXD306" s="18">
        <v>0</v>
      </c>
      <c r="QXE306" s="18">
        <v>0</v>
      </c>
      <c r="QXF306" s="18">
        <v>0</v>
      </c>
      <c r="QXG306" s="18">
        <v>0</v>
      </c>
      <c r="QXH306" s="18">
        <v>0</v>
      </c>
      <c r="QXI306" s="18">
        <v>0</v>
      </c>
      <c r="QXJ306" s="18">
        <v>0</v>
      </c>
      <c r="QXK306" s="18">
        <v>0</v>
      </c>
      <c r="QXL306" s="18">
        <v>0</v>
      </c>
      <c r="QXM306" s="18">
        <v>0</v>
      </c>
      <c r="QXN306" s="18">
        <v>0</v>
      </c>
      <c r="QXO306" s="18">
        <v>0</v>
      </c>
      <c r="QXP306" s="18">
        <v>0</v>
      </c>
      <c r="QXQ306" s="18">
        <v>0</v>
      </c>
      <c r="QXR306" s="18">
        <v>0</v>
      </c>
      <c r="QXS306" s="18">
        <v>0</v>
      </c>
      <c r="QXT306" s="18">
        <v>0</v>
      </c>
      <c r="QXU306" s="18">
        <v>0</v>
      </c>
      <c r="QXV306" s="18">
        <v>0</v>
      </c>
      <c r="QXW306" s="18">
        <v>0</v>
      </c>
      <c r="QXX306" s="18">
        <v>0</v>
      </c>
      <c r="QXY306" s="18">
        <v>0</v>
      </c>
      <c r="QXZ306" s="18">
        <v>0</v>
      </c>
      <c r="QYA306" s="18">
        <v>0</v>
      </c>
      <c r="QYB306" s="18">
        <v>0</v>
      </c>
      <c r="QYC306" s="18">
        <v>0</v>
      </c>
      <c r="QYD306" s="18">
        <v>0</v>
      </c>
      <c r="QYE306" s="18">
        <v>0</v>
      </c>
      <c r="QYF306" s="18">
        <v>0</v>
      </c>
      <c r="QYG306" s="18">
        <v>0</v>
      </c>
      <c r="QYH306" s="18">
        <v>0</v>
      </c>
      <c r="QYI306" s="18">
        <v>0</v>
      </c>
      <c r="QYJ306" s="18">
        <v>0</v>
      </c>
      <c r="QYK306" s="18">
        <v>0</v>
      </c>
      <c r="QYL306" s="18">
        <v>0</v>
      </c>
      <c r="QYM306" s="18">
        <v>0</v>
      </c>
      <c r="QYN306" s="18">
        <v>0</v>
      </c>
      <c r="QYO306" s="18">
        <v>0</v>
      </c>
      <c r="QYP306" s="18">
        <v>0</v>
      </c>
      <c r="QYQ306" s="18">
        <v>0</v>
      </c>
      <c r="QYR306" s="18">
        <v>0</v>
      </c>
      <c r="QYS306" s="18">
        <v>0</v>
      </c>
      <c r="QYT306" s="18">
        <v>0</v>
      </c>
      <c r="QYU306" s="18">
        <v>0</v>
      </c>
      <c r="QYV306" s="18">
        <v>0</v>
      </c>
      <c r="QYW306" s="18">
        <v>0</v>
      </c>
      <c r="QYX306" s="18">
        <v>0</v>
      </c>
      <c r="QYY306" s="18">
        <v>0</v>
      </c>
      <c r="QYZ306" s="18">
        <v>0</v>
      </c>
      <c r="QZA306" s="18">
        <v>0</v>
      </c>
      <c r="QZB306" s="18">
        <v>0</v>
      </c>
      <c r="QZC306" s="18">
        <v>0</v>
      </c>
      <c r="QZD306" s="18">
        <v>0</v>
      </c>
      <c r="QZE306" s="18">
        <v>0</v>
      </c>
      <c r="QZF306" s="18">
        <v>0</v>
      </c>
      <c r="QZG306" s="18">
        <v>0</v>
      </c>
      <c r="QZH306" s="18">
        <v>0</v>
      </c>
      <c r="QZI306" s="18">
        <v>0</v>
      </c>
      <c r="QZJ306" s="18">
        <v>0</v>
      </c>
      <c r="QZK306" s="18">
        <v>0</v>
      </c>
      <c r="QZL306" s="18">
        <v>0</v>
      </c>
      <c r="QZM306" s="18">
        <v>0</v>
      </c>
      <c r="QZN306" s="18">
        <v>0</v>
      </c>
      <c r="QZO306" s="18">
        <v>0</v>
      </c>
      <c r="QZP306" s="18">
        <v>0</v>
      </c>
      <c r="QZQ306" s="18">
        <v>0</v>
      </c>
      <c r="QZR306" s="18">
        <v>0</v>
      </c>
      <c r="QZS306" s="18">
        <v>0</v>
      </c>
      <c r="QZT306" s="18">
        <v>0</v>
      </c>
      <c r="QZU306" s="18">
        <v>0</v>
      </c>
      <c r="QZV306" s="18">
        <v>0</v>
      </c>
      <c r="QZW306" s="18">
        <v>0</v>
      </c>
      <c r="QZX306" s="18">
        <v>0</v>
      </c>
      <c r="QZY306" s="18">
        <v>0</v>
      </c>
      <c r="QZZ306" s="18">
        <v>0</v>
      </c>
      <c r="RAA306" s="18">
        <v>0</v>
      </c>
      <c r="RAB306" s="18">
        <v>0</v>
      </c>
      <c r="RAC306" s="18">
        <v>0</v>
      </c>
      <c r="RAD306" s="18">
        <v>0</v>
      </c>
      <c r="RAE306" s="18">
        <v>0</v>
      </c>
      <c r="RAF306" s="18">
        <v>0</v>
      </c>
      <c r="RAG306" s="18">
        <v>0</v>
      </c>
      <c r="RAH306" s="18">
        <v>0</v>
      </c>
      <c r="RAI306" s="18">
        <v>0</v>
      </c>
      <c r="RAJ306" s="18">
        <v>0</v>
      </c>
      <c r="RAK306" s="18">
        <v>0</v>
      </c>
      <c r="RAL306" s="18">
        <v>0</v>
      </c>
      <c r="RAM306" s="18">
        <v>0</v>
      </c>
      <c r="RAN306" s="18">
        <v>0</v>
      </c>
      <c r="RAO306" s="18">
        <v>0</v>
      </c>
      <c r="RAP306" s="18">
        <v>0</v>
      </c>
      <c r="RAQ306" s="18">
        <v>0</v>
      </c>
      <c r="RAR306" s="18">
        <v>0</v>
      </c>
      <c r="RAS306" s="18">
        <v>0</v>
      </c>
      <c r="RAT306" s="18">
        <v>0</v>
      </c>
      <c r="RAU306" s="18">
        <v>0</v>
      </c>
      <c r="RAV306" s="18">
        <v>0</v>
      </c>
      <c r="RAW306" s="18">
        <v>0</v>
      </c>
      <c r="RAX306" s="18">
        <v>0</v>
      </c>
      <c r="RAY306" s="18">
        <v>0</v>
      </c>
      <c r="RAZ306" s="18">
        <v>0</v>
      </c>
      <c r="RBA306" s="18">
        <v>0</v>
      </c>
      <c r="RBB306" s="18">
        <v>0</v>
      </c>
      <c r="RBC306" s="18">
        <v>0</v>
      </c>
      <c r="RBD306" s="18">
        <v>0</v>
      </c>
      <c r="RBE306" s="18">
        <v>0</v>
      </c>
      <c r="RBF306" s="18">
        <v>0</v>
      </c>
      <c r="RBG306" s="18">
        <v>0</v>
      </c>
      <c r="RBH306" s="18">
        <v>0</v>
      </c>
      <c r="RBI306" s="18">
        <v>0</v>
      </c>
      <c r="RBJ306" s="18">
        <v>0</v>
      </c>
      <c r="RBK306" s="18">
        <v>0</v>
      </c>
      <c r="RBL306" s="18">
        <v>0</v>
      </c>
      <c r="RBM306" s="18">
        <v>0</v>
      </c>
      <c r="RBN306" s="18">
        <v>0</v>
      </c>
      <c r="RBO306" s="18">
        <v>0</v>
      </c>
      <c r="RBP306" s="18">
        <v>0</v>
      </c>
      <c r="RBQ306" s="18">
        <v>0</v>
      </c>
      <c r="RBR306" s="18">
        <v>0</v>
      </c>
      <c r="RBS306" s="18">
        <v>0</v>
      </c>
      <c r="RBT306" s="18">
        <v>0</v>
      </c>
      <c r="RBU306" s="18">
        <v>0</v>
      </c>
      <c r="RBV306" s="18">
        <v>0</v>
      </c>
      <c r="RBW306" s="18">
        <v>0</v>
      </c>
      <c r="RBX306" s="18">
        <v>0</v>
      </c>
      <c r="RBY306" s="18">
        <v>0</v>
      </c>
      <c r="RBZ306" s="18">
        <v>0</v>
      </c>
      <c r="RCA306" s="18">
        <v>0</v>
      </c>
      <c r="RCB306" s="18">
        <v>0</v>
      </c>
      <c r="RCC306" s="18">
        <v>0</v>
      </c>
      <c r="RCD306" s="18">
        <v>0</v>
      </c>
      <c r="RCE306" s="18">
        <v>0</v>
      </c>
      <c r="RCF306" s="18">
        <v>0</v>
      </c>
      <c r="RCG306" s="18">
        <v>0</v>
      </c>
      <c r="RCH306" s="18">
        <v>0</v>
      </c>
      <c r="RCI306" s="18">
        <v>0</v>
      </c>
      <c r="RCJ306" s="18">
        <v>0</v>
      </c>
      <c r="RCK306" s="18">
        <v>0</v>
      </c>
      <c r="RCL306" s="18">
        <v>0</v>
      </c>
      <c r="RCM306" s="18">
        <v>0</v>
      </c>
      <c r="RCN306" s="18">
        <v>0</v>
      </c>
      <c r="RCO306" s="18">
        <v>0</v>
      </c>
      <c r="RCP306" s="18">
        <v>0</v>
      </c>
      <c r="RCQ306" s="18">
        <v>0</v>
      </c>
      <c r="RCR306" s="18">
        <v>0</v>
      </c>
      <c r="RCS306" s="18">
        <v>0</v>
      </c>
      <c r="RCT306" s="18">
        <v>0</v>
      </c>
      <c r="RCU306" s="18">
        <v>0</v>
      </c>
      <c r="RCV306" s="18">
        <v>0</v>
      </c>
      <c r="RCW306" s="18">
        <v>0</v>
      </c>
      <c r="RCX306" s="18">
        <v>0</v>
      </c>
      <c r="RCY306" s="18">
        <v>0</v>
      </c>
      <c r="RCZ306" s="18">
        <v>0</v>
      </c>
      <c r="RDA306" s="18">
        <v>0</v>
      </c>
      <c r="RDB306" s="18">
        <v>0</v>
      </c>
      <c r="RDC306" s="18">
        <v>0</v>
      </c>
      <c r="RDD306" s="18">
        <v>0</v>
      </c>
      <c r="RDE306" s="18">
        <v>0</v>
      </c>
      <c r="RDF306" s="18">
        <v>0</v>
      </c>
      <c r="RDG306" s="18">
        <v>0</v>
      </c>
      <c r="RDH306" s="18">
        <v>0</v>
      </c>
      <c r="RDI306" s="18">
        <v>0</v>
      </c>
      <c r="RDJ306" s="18">
        <v>0</v>
      </c>
      <c r="RDK306" s="18">
        <v>0</v>
      </c>
      <c r="RDL306" s="18">
        <v>0</v>
      </c>
      <c r="RDM306" s="18">
        <v>0</v>
      </c>
      <c r="RDN306" s="18">
        <v>0</v>
      </c>
      <c r="RDO306" s="18">
        <v>0</v>
      </c>
      <c r="RDP306" s="18">
        <v>0</v>
      </c>
      <c r="RDQ306" s="18">
        <v>0</v>
      </c>
      <c r="RDR306" s="18">
        <v>0</v>
      </c>
      <c r="RDS306" s="18">
        <v>0</v>
      </c>
      <c r="RDT306" s="18">
        <v>0</v>
      </c>
      <c r="RDU306" s="18">
        <v>0</v>
      </c>
      <c r="RDV306" s="18">
        <v>0</v>
      </c>
      <c r="RDW306" s="18">
        <v>0</v>
      </c>
      <c r="RDX306" s="18">
        <v>0</v>
      </c>
      <c r="RDY306" s="18">
        <v>0</v>
      </c>
      <c r="RDZ306" s="18">
        <v>0</v>
      </c>
      <c r="REA306" s="18">
        <v>0</v>
      </c>
      <c r="REB306" s="18">
        <v>0</v>
      </c>
      <c r="REC306" s="18">
        <v>0</v>
      </c>
      <c r="RED306" s="18">
        <v>0</v>
      </c>
      <c r="REE306" s="18">
        <v>0</v>
      </c>
      <c r="REF306" s="18">
        <v>0</v>
      </c>
      <c r="REG306" s="18">
        <v>0</v>
      </c>
      <c r="REH306" s="18">
        <v>0</v>
      </c>
      <c r="REI306" s="18">
        <v>0</v>
      </c>
      <c r="REJ306" s="18">
        <v>0</v>
      </c>
      <c r="REK306" s="18">
        <v>0</v>
      </c>
      <c r="REL306" s="18">
        <v>0</v>
      </c>
      <c r="REM306" s="18">
        <v>0</v>
      </c>
      <c r="REN306" s="18">
        <v>0</v>
      </c>
      <c r="REO306" s="18">
        <v>0</v>
      </c>
      <c r="REP306" s="18">
        <v>0</v>
      </c>
      <c r="REQ306" s="18">
        <v>0</v>
      </c>
      <c r="RER306" s="18">
        <v>0</v>
      </c>
      <c r="RES306" s="18">
        <v>0</v>
      </c>
      <c r="RET306" s="18">
        <v>0</v>
      </c>
      <c r="REU306" s="18">
        <v>0</v>
      </c>
      <c r="REV306" s="18">
        <v>0</v>
      </c>
      <c r="REW306" s="18">
        <v>0</v>
      </c>
      <c r="REX306" s="18">
        <v>0</v>
      </c>
      <c r="REY306" s="18">
        <v>0</v>
      </c>
      <c r="REZ306" s="18">
        <v>0</v>
      </c>
      <c r="RFA306" s="18">
        <v>0</v>
      </c>
      <c r="RFB306" s="18">
        <v>0</v>
      </c>
      <c r="RFC306" s="18">
        <v>0</v>
      </c>
      <c r="RFD306" s="18">
        <v>0</v>
      </c>
      <c r="RFE306" s="18">
        <v>0</v>
      </c>
      <c r="RFF306" s="18">
        <v>0</v>
      </c>
      <c r="RFG306" s="18">
        <v>0</v>
      </c>
      <c r="RFH306" s="18">
        <v>0</v>
      </c>
      <c r="RFI306" s="18">
        <v>0</v>
      </c>
      <c r="RFJ306" s="18">
        <v>0</v>
      </c>
      <c r="RFK306" s="18">
        <v>0</v>
      </c>
      <c r="RFL306" s="18">
        <v>0</v>
      </c>
      <c r="RFM306" s="18">
        <v>0</v>
      </c>
      <c r="RFN306" s="18">
        <v>0</v>
      </c>
      <c r="RFO306" s="18">
        <v>0</v>
      </c>
      <c r="RFP306" s="18">
        <v>0</v>
      </c>
      <c r="RFQ306" s="18">
        <v>0</v>
      </c>
      <c r="RFR306" s="18">
        <v>0</v>
      </c>
      <c r="RFS306" s="18">
        <v>0</v>
      </c>
      <c r="RFT306" s="18">
        <v>0</v>
      </c>
      <c r="RFU306" s="18">
        <v>0</v>
      </c>
      <c r="RFV306" s="18">
        <v>0</v>
      </c>
      <c r="RFW306" s="18">
        <v>0</v>
      </c>
      <c r="RFX306" s="18">
        <v>0</v>
      </c>
      <c r="RFY306" s="18">
        <v>0</v>
      </c>
      <c r="RFZ306" s="18">
        <v>0</v>
      </c>
      <c r="RGA306" s="18">
        <v>0</v>
      </c>
      <c r="RGB306" s="18">
        <v>0</v>
      </c>
      <c r="RGC306" s="18">
        <v>0</v>
      </c>
      <c r="RGD306" s="18">
        <v>0</v>
      </c>
      <c r="RGE306" s="18">
        <v>0</v>
      </c>
      <c r="RGF306" s="18">
        <v>0</v>
      </c>
      <c r="RGG306" s="18">
        <v>0</v>
      </c>
      <c r="RGH306" s="18">
        <v>0</v>
      </c>
      <c r="RGI306" s="18">
        <v>0</v>
      </c>
      <c r="RGJ306" s="18">
        <v>0</v>
      </c>
      <c r="RGK306" s="18">
        <v>0</v>
      </c>
      <c r="RGL306" s="18">
        <v>0</v>
      </c>
      <c r="RGM306" s="18">
        <v>0</v>
      </c>
      <c r="RGN306" s="18">
        <v>0</v>
      </c>
      <c r="RGO306" s="18">
        <v>0</v>
      </c>
      <c r="RGP306" s="18">
        <v>0</v>
      </c>
      <c r="RGQ306" s="18">
        <v>0</v>
      </c>
      <c r="RGR306" s="18">
        <v>0</v>
      </c>
      <c r="RGS306" s="18">
        <v>0</v>
      </c>
      <c r="RGT306" s="18">
        <v>0</v>
      </c>
      <c r="RGU306" s="18">
        <v>0</v>
      </c>
      <c r="RGV306" s="18">
        <v>0</v>
      </c>
      <c r="RGW306" s="18">
        <v>0</v>
      </c>
      <c r="RGX306" s="18">
        <v>0</v>
      </c>
      <c r="RGY306" s="18">
        <v>0</v>
      </c>
      <c r="RGZ306" s="18">
        <v>0</v>
      </c>
      <c r="RHA306" s="18">
        <v>0</v>
      </c>
      <c r="RHB306" s="18">
        <v>0</v>
      </c>
      <c r="RHC306" s="18">
        <v>0</v>
      </c>
      <c r="RHD306" s="18">
        <v>0</v>
      </c>
      <c r="RHE306" s="18">
        <v>0</v>
      </c>
      <c r="RHF306" s="18">
        <v>0</v>
      </c>
      <c r="RHG306" s="18">
        <v>0</v>
      </c>
      <c r="RHH306" s="18">
        <v>0</v>
      </c>
      <c r="RHI306" s="18">
        <v>0</v>
      </c>
      <c r="RHJ306" s="18">
        <v>0</v>
      </c>
      <c r="RHK306" s="18">
        <v>0</v>
      </c>
      <c r="RHL306" s="18">
        <v>0</v>
      </c>
      <c r="RHM306" s="18">
        <v>0</v>
      </c>
      <c r="RHN306" s="18">
        <v>0</v>
      </c>
      <c r="RHO306" s="18">
        <v>0</v>
      </c>
      <c r="RHP306" s="18">
        <v>0</v>
      </c>
      <c r="RHQ306" s="18">
        <v>0</v>
      </c>
      <c r="RHR306" s="18">
        <v>0</v>
      </c>
      <c r="RHS306" s="18">
        <v>0</v>
      </c>
      <c r="RHT306" s="18">
        <v>0</v>
      </c>
      <c r="RHU306" s="18">
        <v>0</v>
      </c>
      <c r="RHV306" s="18">
        <v>0</v>
      </c>
      <c r="RHW306" s="18">
        <v>0</v>
      </c>
      <c r="RHX306" s="18">
        <v>0</v>
      </c>
      <c r="RHY306" s="18">
        <v>0</v>
      </c>
      <c r="RHZ306" s="18">
        <v>0</v>
      </c>
      <c r="RIA306" s="18">
        <v>0</v>
      </c>
      <c r="RIB306" s="18">
        <v>0</v>
      </c>
      <c r="RIC306" s="18">
        <v>0</v>
      </c>
      <c r="RID306" s="18">
        <v>0</v>
      </c>
      <c r="RIE306" s="18">
        <v>0</v>
      </c>
      <c r="RIF306" s="18">
        <v>0</v>
      </c>
      <c r="RIG306" s="18">
        <v>0</v>
      </c>
      <c r="RIH306" s="18">
        <v>0</v>
      </c>
      <c r="RII306" s="18">
        <v>0</v>
      </c>
      <c r="RIJ306" s="18">
        <v>0</v>
      </c>
      <c r="RIK306" s="18">
        <v>0</v>
      </c>
      <c r="RIL306" s="18">
        <v>0</v>
      </c>
      <c r="RIM306" s="18">
        <v>0</v>
      </c>
      <c r="RIN306" s="18">
        <v>0</v>
      </c>
      <c r="RIO306" s="18">
        <v>0</v>
      </c>
      <c r="RIP306" s="18">
        <v>0</v>
      </c>
      <c r="RIQ306" s="18">
        <v>0</v>
      </c>
      <c r="RIR306" s="18">
        <v>0</v>
      </c>
      <c r="RIS306" s="18">
        <v>0</v>
      </c>
      <c r="RIT306" s="18">
        <v>0</v>
      </c>
      <c r="RIU306" s="18">
        <v>0</v>
      </c>
      <c r="RIV306" s="18">
        <v>0</v>
      </c>
      <c r="RIW306" s="18">
        <v>0</v>
      </c>
      <c r="RIX306" s="18">
        <v>0</v>
      </c>
      <c r="RIY306" s="18">
        <v>0</v>
      </c>
      <c r="RIZ306" s="18">
        <v>0</v>
      </c>
      <c r="RJA306" s="18">
        <v>0</v>
      </c>
      <c r="RJB306" s="18">
        <v>0</v>
      </c>
      <c r="RJC306" s="18">
        <v>0</v>
      </c>
      <c r="RJD306" s="18">
        <v>0</v>
      </c>
      <c r="RJE306" s="18">
        <v>0</v>
      </c>
      <c r="RJF306" s="18">
        <v>0</v>
      </c>
      <c r="RJG306" s="18">
        <v>0</v>
      </c>
      <c r="RJH306" s="18">
        <v>0</v>
      </c>
      <c r="RJI306" s="18">
        <v>0</v>
      </c>
      <c r="RJJ306" s="18">
        <v>0</v>
      </c>
      <c r="RJK306" s="18">
        <v>0</v>
      </c>
      <c r="RJL306" s="18">
        <v>0</v>
      </c>
      <c r="RJM306" s="18">
        <v>0</v>
      </c>
      <c r="RJN306" s="18">
        <v>0</v>
      </c>
      <c r="RJO306" s="18">
        <v>0</v>
      </c>
      <c r="RJP306" s="18">
        <v>0</v>
      </c>
      <c r="RJQ306" s="18">
        <v>0</v>
      </c>
      <c r="RJR306" s="18">
        <v>0</v>
      </c>
      <c r="RJS306" s="18">
        <v>0</v>
      </c>
      <c r="RJT306" s="18">
        <v>0</v>
      </c>
      <c r="RJU306" s="18">
        <v>0</v>
      </c>
      <c r="RJV306" s="18">
        <v>0</v>
      </c>
      <c r="RJW306" s="18">
        <v>0</v>
      </c>
      <c r="RJX306" s="18">
        <v>0</v>
      </c>
      <c r="RJY306" s="18">
        <v>0</v>
      </c>
      <c r="RJZ306" s="18">
        <v>0</v>
      </c>
      <c r="RKA306" s="18">
        <v>0</v>
      </c>
      <c r="RKB306" s="18">
        <v>0</v>
      </c>
      <c r="RKC306" s="18">
        <v>0</v>
      </c>
      <c r="RKD306" s="18">
        <v>0</v>
      </c>
      <c r="RKE306" s="18">
        <v>0</v>
      </c>
      <c r="RKF306" s="18">
        <v>0</v>
      </c>
      <c r="RKG306" s="18">
        <v>0</v>
      </c>
      <c r="RKH306" s="18">
        <v>0</v>
      </c>
      <c r="RKI306" s="18">
        <v>0</v>
      </c>
      <c r="RKJ306" s="18">
        <v>0</v>
      </c>
      <c r="RKK306" s="18">
        <v>0</v>
      </c>
      <c r="RKL306" s="18">
        <v>0</v>
      </c>
      <c r="RKM306" s="18">
        <v>0</v>
      </c>
      <c r="RKN306" s="18">
        <v>0</v>
      </c>
      <c r="RKO306" s="18">
        <v>0</v>
      </c>
      <c r="RKP306" s="18">
        <v>0</v>
      </c>
      <c r="RKQ306" s="18">
        <v>0</v>
      </c>
      <c r="RKR306" s="18">
        <v>0</v>
      </c>
      <c r="RKS306" s="18">
        <v>0</v>
      </c>
      <c r="RKT306" s="18">
        <v>0</v>
      </c>
      <c r="RKU306" s="18">
        <v>0</v>
      </c>
      <c r="RKV306" s="18">
        <v>0</v>
      </c>
      <c r="RKW306" s="18">
        <v>0</v>
      </c>
      <c r="RKX306" s="18">
        <v>0</v>
      </c>
      <c r="RKY306" s="18">
        <v>0</v>
      </c>
      <c r="RKZ306" s="18">
        <v>0</v>
      </c>
      <c r="RLA306" s="18">
        <v>0</v>
      </c>
      <c r="RLB306" s="18">
        <v>0</v>
      </c>
      <c r="RLC306" s="18">
        <v>0</v>
      </c>
      <c r="RLD306" s="18">
        <v>0</v>
      </c>
      <c r="RLE306" s="18">
        <v>0</v>
      </c>
      <c r="RLF306" s="18">
        <v>0</v>
      </c>
      <c r="RLG306" s="18">
        <v>0</v>
      </c>
      <c r="RLH306" s="18">
        <v>0</v>
      </c>
      <c r="RLI306" s="18">
        <v>0</v>
      </c>
      <c r="RLJ306" s="18">
        <v>0</v>
      </c>
      <c r="RLK306" s="18">
        <v>0</v>
      </c>
      <c r="RLL306" s="18">
        <v>0</v>
      </c>
      <c r="RLM306" s="18">
        <v>0</v>
      </c>
      <c r="RLN306" s="18">
        <v>0</v>
      </c>
      <c r="RLO306" s="18">
        <v>0</v>
      </c>
      <c r="RLP306" s="18">
        <v>0</v>
      </c>
      <c r="RLQ306" s="18">
        <v>0</v>
      </c>
      <c r="RLR306" s="18">
        <v>0</v>
      </c>
      <c r="RLS306" s="18">
        <v>0</v>
      </c>
      <c r="RLT306" s="18">
        <v>0</v>
      </c>
      <c r="RLU306" s="18">
        <v>0</v>
      </c>
      <c r="RLV306" s="18">
        <v>0</v>
      </c>
      <c r="RLW306" s="18">
        <v>0</v>
      </c>
      <c r="RLX306" s="18">
        <v>0</v>
      </c>
      <c r="RLY306" s="18">
        <v>0</v>
      </c>
      <c r="RLZ306" s="18">
        <v>0</v>
      </c>
      <c r="RMA306" s="18">
        <v>0</v>
      </c>
      <c r="RMB306" s="18">
        <v>0</v>
      </c>
      <c r="RMC306" s="18">
        <v>0</v>
      </c>
      <c r="RMD306" s="18">
        <v>0</v>
      </c>
      <c r="RME306" s="18">
        <v>0</v>
      </c>
      <c r="RMF306" s="18">
        <v>0</v>
      </c>
      <c r="RMG306" s="18">
        <v>0</v>
      </c>
      <c r="RMH306" s="18">
        <v>0</v>
      </c>
      <c r="RMI306" s="18">
        <v>0</v>
      </c>
      <c r="RMJ306" s="18">
        <v>0</v>
      </c>
      <c r="RMK306" s="18">
        <v>0</v>
      </c>
      <c r="RML306" s="18">
        <v>0</v>
      </c>
      <c r="RMM306" s="18">
        <v>0</v>
      </c>
      <c r="RMN306" s="18">
        <v>0</v>
      </c>
      <c r="RMO306" s="18">
        <v>0</v>
      </c>
      <c r="RMP306" s="18">
        <v>0</v>
      </c>
      <c r="RMQ306" s="18">
        <v>0</v>
      </c>
      <c r="RMR306" s="18">
        <v>0</v>
      </c>
      <c r="RMS306" s="18">
        <v>0</v>
      </c>
      <c r="RMT306" s="18">
        <v>0</v>
      </c>
      <c r="RMU306" s="18">
        <v>0</v>
      </c>
      <c r="RMV306" s="18">
        <v>0</v>
      </c>
      <c r="RMW306" s="18">
        <v>0</v>
      </c>
      <c r="RMX306" s="18">
        <v>0</v>
      </c>
      <c r="RMY306" s="18">
        <v>0</v>
      </c>
      <c r="RMZ306" s="18">
        <v>0</v>
      </c>
      <c r="RNA306" s="18">
        <v>0</v>
      </c>
      <c r="RNB306" s="18">
        <v>0</v>
      </c>
      <c r="RNC306" s="18">
        <v>0</v>
      </c>
      <c r="RND306" s="18">
        <v>0</v>
      </c>
      <c r="RNE306" s="18">
        <v>0</v>
      </c>
      <c r="RNF306" s="18">
        <v>0</v>
      </c>
      <c r="RNG306" s="18">
        <v>0</v>
      </c>
      <c r="RNH306" s="18">
        <v>0</v>
      </c>
      <c r="RNI306" s="18">
        <v>0</v>
      </c>
      <c r="RNJ306" s="18">
        <v>0</v>
      </c>
      <c r="RNK306" s="18">
        <v>0</v>
      </c>
      <c r="RNL306" s="18">
        <v>0</v>
      </c>
      <c r="RNM306" s="18">
        <v>0</v>
      </c>
      <c r="RNN306" s="18">
        <v>0</v>
      </c>
      <c r="RNO306" s="18">
        <v>0</v>
      </c>
      <c r="RNP306" s="18">
        <v>0</v>
      </c>
      <c r="RNQ306" s="18">
        <v>0</v>
      </c>
      <c r="RNR306" s="18">
        <v>0</v>
      </c>
      <c r="RNS306" s="18">
        <v>0</v>
      </c>
      <c r="RNT306" s="18">
        <v>0</v>
      </c>
      <c r="RNU306" s="18">
        <v>0</v>
      </c>
      <c r="RNV306" s="18">
        <v>0</v>
      </c>
      <c r="RNW306" s="18">
        <v>0</v>
      </c>
      <c r="RNX306" s="18">
        <v>0</v>
      </c>
      <c r="RNY306" s="18">
        <v>0</v>
      </c>
      <c r="RNZ306" s="18">
        <v>0</v>
      </c>
      <c r="ROA306" s="18">
        <v>0</v>
      </c>
      <c r="ROB306" s="18">
        <v>0</v>
      </c>
      <c r="ROC306" s="18">
        <v>0</v>
      </c>
      <c r="ROD306" s="18">
        <v>0</v>
      </c>
      <c r="ROE306" s="18">
        <v>0</v>
      </c>
      <c r="ROF306" s="18">
        <v>0</v>
      </c>
      <c r="ROG306" s="18">
        <v>0</v>
      </c>
      <c r="ROH306" s="18">
        <v>0</v>
      </c>
      <c r="ROI306" s="18">
        <v>0</v>
      </c>
      <c r="ROJ306" s="18">
        <v>0</v>
      </c>
      <c r="ROK306" s="18">
        <v>0</v>
      </c>
      <c r="ROL306" s="18">
        <v>0</v>
      </c>
      <c r="ROM306" s="18">
        <v>0</v>
      </c>
      <c r="RON306" s="18">
        <v>0</v>
      </c>
      <c r="ROO306" s="18">
        <v>0</v>
      </c>
      <c r="ROP306" s="18">
        <v>0</v>
      </c>
      <c r="ROQ306" s="18">
        <v>0</v>
      </c>
      <c r="ROR306" s="18">
        <v>0</v>
      </c>
      <c r="ROS306" s="18">
        <v>0</v>
      </c>
      <c r="ROT306" s="18">
        <v>0</v>
      </c>
      <c r="ROU306" s="18">
        <v>0</v>
      </c>
      <c r="ROV306" s="18">
        <v>0</v>
      </c>
      <c r="ROW306" s="18">
        <v>0</v>
      </c>
      <c r="ROX306" s="18">
        <v>0</v>
      </c>
      <c r="ROY306" s="18">
        <v>0</v>
      </c>
      <c r="ROZ306" s="18">
        <v>0</v>
      </c>
      <c r="RPA306" s="18">
        <v>0</v>
      </c>
      <c r="RPB306" s="18">
        <v>0</v>
      </c>
      <c r="RPC306" s="18">
        <v>0</v>
      </c>
      <c r="RPD306" s="18">
        <v>0</v>
      </c>
      <c r="RPE306" s="18">
        <v>0</v>
      </c>
      <c r="RPF306" s="18">
        <v>0</v>
      </c>
      <c r="RPG306" s="18">
        <v>0</v>
      </c>
      <c r="RPH306" s="18">
        <v>0</v>
      </c>
      <c r="RPI306" s="18">
        <v>0</v>
      </c>
      <c r="RPJ306" s="18">
        <v>0</v>
      </c>
      <c r="RPK306" s="18">
        <v>0</v>
      </c>
      <c r="RPL306" s="18">
        <v>0</v>
      </c>
      <c r="RPM306" s="18">
        <v>0</v>
      </c>
      <c r="RPN306" s="18">
        <v>0</v>
      </c>
      <c r="RPO306" s="18">
        <v>0</v>
      </c>
      <c r="RPP306" s="18">
        <v>0</v>
      </c>
      <c r="RPQ306" s="18">
        <v>0</v>
      </c>
      <c r="RPR306" s="18">
        <v>0</v>
      </c>
      <c r="RPS306" s="18">
        <v>0</v>
      </c>
      <c r="RPT306" s="18">
        <v>0</v>
      </c>
      <c r="RPU306" s="18">
        <v>0</v>
      </c>
      <c r="RPV306" s="18">
        <v>0</v>
      </c>
      <c r="RPW306" s="18">
        <v>0</v>
      </c>
      <c r="RPX306" s="18">
        <v>0</v>
      </c>
      <c r="RPY306" s="18">
        <v>0</v>
      </c>
      <c r="RPZ306" s="18">
        <v>0</v>
      </c>
      <c r="RQA306" s="18">
        <v>0</v>
      </c>
      <c r="RQB306" s="18">
        <v>0</v>
      </c>
      <c r="RQC306" s="18">
        <v>0</v>
      </c>
      <c r="RQD306" s="18">
        <v>0</v>
      </c>
      <c r="RQE306" s="18">
        <v>0</v>
      </c>
      <c r="RQF306" s="18">
        <v>0</v>
      </c>
      <c r="RQG306" s="18">
        <v>0</v>
      </c>
      <c r="RQH306" s="18">
        <v>0</v>
      </c>
      <c r="RQI306" s="18">
        <v>0</v>
      </c>
      <c r="RQJ306" s="18">
        <v>0</v>
      </c>
      <c r="RQK306" s="18">
        <v>0</v>
      </c>
      <c r="RQL306" s="18">
        <v>0</v>
      </c>
      <c r="RQM306" s="18">
        <v>0</v>
      </c>
      <c r="RQN306" s="18">
        <v>0</v>
      </c>
      <c r="RQO306" s="18">
        <v>0</v>
      </c>
      <c r="RQP306" s="18">
        <v>0</v>
      </c>
      <c r="RQQ306" s="18">
        <v>0</v>
      </c>
      <c r="RQR306" s="18">
        <v>0</v>
      </c>
      <c r="RQS306" s="18">
        <v>0</v>
      </c>
      <c r="RQT306" s="18">
        <v>0</v>
      </c>
      <c r="RQU306" s="18">
        <v>0</v>
      </c>
      <c r="RQV306" s="18">
        <v>0</v>
      </c>
      <c r="RQW306" s="18">
        <v>0</v>
      </c>
      <c r="RQX306" s="18">
        <v>0</v>
      </c>
      <c r="RQY306" s="18">
        <v>0</v>
      </c>
      <c r="RQZ306" s="18">
        <v>0</v>
      </c>
      <c r="RRA306" s="18">
        <v>0</v>
      </c>
      <c r="RRB306" s="18">
        <v>0</v>
      </c>
      <c r="RRC306" s="18">
        <v>0</v>
      </c>
      <c r="RRD306" s="18">
        <v>0</v>
      </c>
      <c r="RRE306" s="18">
        <v>0</v>
      </c>
      <c r="RRF306" s="18">
        <v>0</v>
      </c>
      <c r="RRG306" s="18">
        <v>0</v>
      </c>
      <c r="RRH306" s="18">
        <v>0</v>
      </c>
      <c r="RRI306" s="18">
        <v>0</v>
      </c>
      <c r="RRJ306" s="18">
        <v>0</v>
      </c>
      <c r="RRK306" s="18">
        <v>0</v>
      </c>
      <c r="RRL306" s="18">
        <v>0</v>
      </c>
      <c r="RRM306" s="18">
        <v>0</v>
      </c>
      <c r="RRN306" s="18">
        <v>0</v>
      </c>
      <c r="RRO306" s="18">
        <v>0</v>
      </c>
      <c r="RRP306" s="18">
        <v>0</v>
      </c>
      <c r="RRQ306" s="18">
        <v>0</v>
      </c>
      <c r="RRR306" s="18">
        <v>0</v>
      </c>
      <c r="RRS306" s="18">
        <v>0</v>
      </c>
      <c r="RRT306" s="18">
        <v>0</v>
      </c>
      <c r="RRU306" s="18">
        <v>0</v>
      </c>
      <c r="RRV306" s="18">
        <v>0</v>
      </c>
      <c r="RRW306" s="18">
        <v>0</v>
      </c>
      <c r="RRX306" s="18">
        <v>0</v>
      </c>
      <c r="RRY306" s="18">
        <v>0</v>
      </c>
      <c r="RRZ306" s="18">
        <v>0</v>
      </c>
      <c r="RSA306" s="18">
        <v>0</v>
      </c>
      <c r="RSB306" s="18">
        <v>0</v>
      </c>
      <c r="RSC306" s="18">
        <v>0</v>
      </c>
      <c r="RSD306" s="18">
        <v>0</v>
      </c>
      <c r="RSE306" s="18">
        <v>0</v>
      </c>
      <c r="RSF306" s="18">
        <v>0</v>
      </c>
      <c r="RSG306" s="18">
        <v>0</v>
      </c>
      <c r="RSH306" s="18">
        <v>0</v>
      </c>
      <c r="RSI306" s="18">
        <v>0</v>
      </c>
      <c r="RSJ306" s="18">
        <v>0</v>
      </c>
      <c r="RSK306" s="18">
        <v>0</v>
      </c>
      <c r="RSL306" s="18">
        <v>0</v>
      </c>
      <c r="RSM306" s="18">
        <v>0</v>
      </c>
      <c r="RSN306" s="18">
        <v>0</v>
      </c>
      <c r="RSO306" s="18">
        <v>0</v>
      </c>
      <c r="RSP306" s="18">
        <v>0</v>
      </c>
      <c r="RSQ306" s="18">
        <v>0</v>
      </c>
      <c r="RSR306" s="18">
        <v>0</v>
      </c>
      <c r="RSS306" s="18">
        <v>0</v>
      </c>
      <c r="RST306" s="18">
        <v>0</v>
      </c>
      <c r="RSU306" s="18">
        <v>0</v>
      </c>
      <c r="RSV306" s="18">
        <v>0</v>
      </c>
      <c r="RSW306" s="18">
        <v>0</v>
      </c>
      <c r="RSX306" s="18">
        <v>0</v>
      </c>
      <c r="RSY306" s="18">
        <v>0</v>
      </c>
      <c r="RSZ306" s="18">
        <v>0</v>
      </c>
      <c r="RTA306" s="18">
        <v>0</v>
      </c>
      <c r="RTB306" s="18">
        <v>0</v>
      </c>
      <c r="RTC306" s="18">
        <v>0</v>
      </c>
      <c r="RTD306" s="18">
        <v>0</v>
      </c>
      <c r="RTE306" s="18">
        <v>0</v>
      </c>
      <c r="RTF306" s="18">
        <v>0</v>
      </c>
      <c r="RTG306" s="18">
        <v>0</v>
      </c>
      <c r="RTH306" s="18">
        <v>0</v>
      </c>
      <c r="RTI306" s="18">
        <v>0</v>
      </c>
      <c r="RTJ306" s="18">
        <v>0</v>
      </c>
      <c r="RTK306" s="18">
        <v>0</v>
      </c>
      <c r="RTL306" s="18">
        <v>0</v>
      </c>
      <c r="RTM306" s="18">
        <v>0</v>
      </c>
      <c r="RTN306" s="18">
        <v>0</v>
      </c>
      <c r="RTO306" s="18">
        <v>0</v>
      </c>
      <c r="RTP306" s="18">
        <v>0</v>
      </c>
      <c r="RTQ306" s="18">
        <v>0</v>
      </c>
      <c r="RTR306" s="18">
        <v>0</v>
      </c>
      <c r="RTS306" s="18">
        <v>0</v>
      </c>
      <c r="RTT306" s="18">
        <v>0</v>
      </c>
      <c r="RTU306" s="18">
        <v>0</v>
      </c>
      <c r="RTV306" s="18">
        <v>0</v>
      </c>
      <c r="RTW306" s="18">
        <v>0</v>
      </c>
      <c r="RTX306" s="18">
        <v>0</v>
      </c>
      <c r="RTY306" s="18">
        <v>0</v>
      </c>
      <c r="RTZ306" s="18">
        <v>0</v>
      </c>
      <c r="RUA306" s="18">
        <v>0</v>
      </c>
      <c r="RUB306" s="18">
        <v>0</v>
      </c>
      <c r="RUC306" s="18">
        <v>0</v>
      </c>
      <c r="RUD306" s="18">
        <v>0</v>
      </c>
      <c r="RUE306" s="18">
        <v>0</v>
      </c>
      <c r="RUF306" s="18">
        <v>0</v>
      </c>
      <c r="RUG306" s="18">
        <v>0</v>
      </c>
      <c r="RUH306" s="18">
        <v>0</v>
      </c>
      <c r="RUI306" s="18">
        <v>0</v>
      </c>
      <c r="RUJ306" s="18">
        <v>0</v>
      </c>
      <c r="RUK306" s="18">
        <v>0</v>
      </c>
      <c r="RUL306" s="18">
        <v>0</v>
      </c>
      <c r="RUM306" s="18">
        <v>0</v>
      </c>
      <c r="RUN306" s="18">
        <v>0</v>
      </c>
      <c r="RUO306" s="18">
        <v>0</v>
      </c>
      <c r="RUP306" s="18">
        <v>0</v>
      </c>
      <c r="RUQ306" s="18">
        <v>0</v>
      </c>
      <c r="RUR306" s="18">
        <v>0</v>
      </c>
      <c r="RUS306" s="18">
        <v>0</v>
      </c>
      <c r="RUT306" s="18">
        <v>0</v>
      </c>
      <c r="RUU306" s="18">
        <v>0</v>
      </c>
      <c r="RUV306" s="18">
        <v>0</v>
      </c>
      <c r="RUW306" s="18">
        <v>0</v>
      </c>
      <c r="RUX306" s="18">
        <v>0</v>
      </c>
      <c r="RUY306" s="18">
        <v>0</v>
      </c>
      <c r="RUZ306" s="18">
        <v>0</v>
      </c>
      <c r="RVA306" s="18">
        <v>0</v>
      </c>
      <c r="RVB306" s="18">
        <v>0</v>
      </c>
      <c r="RVC306" s="18">
        <v>0</v>
      </c>
      <c r="RVD306" s="18">
        <v>0</v>
      </c>
      <c r="RVE306" s="18">
        <v>0</v>
      </c>
      <c r="RVF306" s="18">
        <v>0</v>
      </c>
      <c r="RVG306" s="18">
        <v>0</v>
      </c>
      <c r="RVH306" s="18">
        <v>0</v>
      </c>
      <c r="RVI306" s="18">
        <v>0</v>
      </c>
      <c r="RVJ306" s="18">
        <v>0</v>
      </c>
      <c r="RVK306" s="18">
        <v>0</v>
      </c>
      <c r="RVL306" s="18">
        <v>0</v>
      </c>
      <c r="RVM306" s="18">
        <v>0</v>
      </c>
      <c r="RVN306" s="18">
        <v>0</v>
      </c>
      <c r="RVO306" s="18">
        <v>0</v>
      </c>
      <c r="RVP306" s="18">
        <v>0</v>
      </c>
      <c r="RVQ306" s="18">
        <v>0</v>
      </c>
      <c r="RVR306" s="18">
        <v>0</v>
      </c>
      <c r="RVS306" s="18">
        <v>0</v>
      </c>
      <c r="RVT306" s="18">
        <v>0</v>
      </c>
      <c r="RVU306" s="18">
        <v>0</v>
      </c>
      <c r="RVV306" s="18">
        <v>0</v>
      </c>
      <c r="RVW306" s="18">
        <v>0</v>
      </c>
      <c r="RVX306" s="18">
        <v>0</v>
      </c>
      <c r="RVY306" s="18">
        <v>0</v>
      </c>
      <c r="RVZ306" s="18">
        <v>0</v>
      </c>
      <c r="RWA306" s="18">
        <v>0</v>
      </c>
      <c r="RWB306" s="18">
        <v>0</v>
      </c>
      <c r="RWC306" s="18">
        <v>0</v>
      </c>
      <c r="RWD306" s="18">
        <v>0</v>
      </c>
      <c r="RWE306" s="18">
        <v>0</v>
      </c>
      <c r="RWF306" s="18">
        <v>0</v>
      </c>
      <c r="RWG306" s="18">
        <v>0</v>
      </c>
      <c r="RWH306" s="18">
        <v>0</v>
      </c>
      <c r="RWI306" s="18">
        <v>0</v>
      </c>
      <c r="RWJ306" s="18">
        <v>0</v>
      </c>
      <c r="RWK306" s="18">
        <v>0</v>
      </c>
      <c r="RWL306" s="18">
        <v>0</v>
      </c>
      <c r="RWM306" s="18">
        <v>0</v>
      </c>
      <c r="RWN306" s="18">
        <v>0</v>
      </c>
      <c r="RWO306" s="18">
        <v>0</v>
      </c>
      <c r="RWP306" s="18">
        <v>0</v>
      </c>
      <c r="RWQ306" s="18">
        <v>0</v>
      </c>
      <c r="RWR306" s="18">
        <v>0</v>
      </c>
      <c r="RWS306" s="18">
        <v>0</v>
      </c>
      <c r="RWT306" s="18">
        <v>0</v>
      </c>
      <c r="RWU306" s="18">
        <v>0</v>
      </c>
      <c r="RWV306" s="18">
        <v>0</v>
      </c>
      <c r="RWW306" s="18">
        <v>0</v>
      </c>
      <c r="RWX306" s="18">
        <v>0</v>
      </c>
      <c r="RWY306" s="18">
        <v>0</v>
      </c>
      <c r="RWZ306" s="18">
        <v>0</v>
      </c>
      <c r="RXA306" s="18">
        <v>0</v>
      </c>
      <c r="RXB306" s="18">
        <v>0</v>
      </c>
      <c r="RXC306" s="18">
        <v>0</v>
      </c>
      <c r="RXD306" s="18">
        <v>0</v>
      </c>
      <c r="RXE306" s="18">
        <v>0</v>
      </c>
      <c r="RXF306" s="18">
        <v>0</v>
      </c>
      <c r="RXG306" s="18">
        <v>0</v>
      </c>
      <c r="RXH306" s="18">
        <v>0</v>
      </c>
      <c r="RXI306" s="18">
        <v>0</v>
      </c>
      <c r="RXJ306" s="18">
        <v>0</v>
      </c>
      <c r="RXK306" s="18">
        <v>0</v>
      </c>
      <c r="RXL306" s="18">
        <v>0</v>
      </c>
      <c r="RXM306" s="18">
        <v>0</v>
      </c>
      <c r="RXN306" s="18">
        <v>0</v>
      </c>
      <c r="RXO306" s="18">
        <v>0</v>
      </c>
      <c r="RXP306" s="18">
        <v>0</v>
      </c>
      <c r="RXQ306" s="18">
        <v>0</v>
      </c>
      <c r="RXR306" s="18">
        <v>0</v>
      </c>
      <c r="RXS306" s="18">
        <v>0</v>
      </c>
      <c r="RXT306" s="18">
        <v>0</v>
      </c>
      <c r="RXU306" s="18">
        <v>0</v>
      </c>
      <c r="RXV306" s="18">
        <v>0</v>
      </c>
      <c r="RXW306" s="18">
        <v>0</v>
      </c>
      <c r="RXX306" s="18">
        <v>0</v>
      </c>
      <c r="RXY306" s="18">
        <v>0</v>
      </c>
      <c r="RXZ306" s="18">
        <v>0</v>
      </c>
      <c r="RYA306" s="18">
        <v>0</v>
      </c>
      <c r="RYB306" s="18">
        <v>0</v>
      </c>
      <c r="RYC306" s="18">
        <v>0</v>
      </c>
      <c r="RYD306" s="18">
        <v>0</v>
      </c>
      <c r="RYE306" s="18">
        <v>0</v>
      </c>
      <c r="RYF306" s="18">
        <v>0</v>
      </c>
      <c r="RYG306" s="18">
        <v>0</v>
      </c>
      <c r="RYH306" s="18">
        <v>0</v>
      </c>
      <c r="RYI306" s="18">
        <v>0</v>
      </c>
      <c r="RYJ306" s="18">
        <v>0</v>
      </c>
      <c r="RYK306" s="18">
        <v>0</v>
      </c>
      <c r="RYL306" s="18">
        <v>0</v>
      </c>
      <c r="RYM306" s="18">
        <v>0</v>
      </c>
      <c r="RYN306" s="18">
        <v>0</v>
      </c>
      <c r="RYO306" s="18">
        <v>0</v>
      </c>
      <c r="RYP306" s="18">
        <v>0</v>
      </c>
      <c r="RYQ306" s="18">
        <v>0</v>
      </c>
      <c r="RYR306" s="18">
        <v>0</v>
      </c>
      <c r="RYS306" s="18">
        <v>0</v>
      </c>
      <c r="RYT306" s="18">
        <v>0</v>
      </c>
      <c r="RYU306" s="18">
        <v>0</v>
      </c>
      <c r="RYV306" s="18">
        <v>0</v>
      </c>
      <c r="RYW306" s="18">
        <v>0</v>
      </c>
      <c r="RYX306" s="18">
        <v>0</v>
      </c>
      <c r="RYY306" s="18">
        <v>0</v>
      </c>
      <c r="RYZ306" s="18">
        <v>0</v>
      </c>
      <c r="RZA306" s="18">
        <v>0</v>
      </c>
      <c r="RZB306" s="18">
        <v>0</v>
      </c>
      <c r="RZC306" s="18">
        <v>0</v>
      </c>
      <c r="RZD306" s="18">
        <v>0</v>
      </c>
      <c r="RZE306" s="18">
        <v>0</v>
      </c>
      <c r="RZF306" s="18">
        <v>0</v>
      </c>
      <c r="RZG306" s="18">
        <v>0</v>
      </c>
      <c r="RZH306" s="18">
        <v>0</v>
      </c>
      <c r="RZI306" s="18">
        <v>0</v>
      </c>
      <c r="RZJ306" s="18">
        <v>0</v>
      </c>
      <c r="RZK306" s="18">
        <v>0</v>
      </c>
      <c r="RZL306" s="18">
        <v>0</v>
      </c>
      <c r="RZM306" s="18">
        <v>0</v>
      </c>
      <c r="RZN306" s="18">
        <v>0</v>
      </c>
      <c r="RZO306" s="18">
        <v>0</v>
      </c>
      <c r="RZP306" s="18">
        <v>0</v>
      </c>
      <c r="RZQ306" s="18">
        <v>0</v>
      </c>
      <c r="RZR306" s="18">
        <v>0</v>
      </c>
      <c r="RZS306" s="18">
        <v>0</v>
      </c>
      <c r="RZT306" s="18">
        <v>0</v>
      </c>
      <c r="RZU306" s="18">
        <v>0</v>
      </c>
      <c r="RZV306" s="18">
        <v>0</v>
      </c>
      <c r="RZW306" s="18">
        <v>0</v>
      </c>
      <c r="RZX306" s="18">
        <v>0</v>
      </c>
      <c r="RZY306" s="18">
        <v>0</v>
      </c>
      <c r="RZZ306" s="18">
        <v>0</v>
      </c>
      <c r="SAA306" s="18">
        <v>0</v>
      </c>
      <c r="SAB306" s="18">
        <v>0</v>
      </c>
      <c r="SAC306" s="18">
        <v>0</v>
      </c>
      <c r="SAD306" s="18">
        <v>0</v>
      </c>
      <c r="SAE306" s="18">
        <v>0</v>
      </c>
      <c r="SAF306" s="18">
        <v>0</v>
      </c>
      <c r="SAG306" s="18">
        <v>0</v>
      </c>
      <c r="SAH306" s="18">
        <v>0</v>
      </c>
      <c r="SAI306" s="18">
        <v>0</v>
      </c>
      <c r="SAJ306" s="18">
        <v>0</v>
      </c>
      <c r="SAK306" s="18">
        <v>0</v>
      </c>
      <c r="SAL306" s="18">
        <v>0</v>
      </c>
      <c r="SAM306" s="18">
        <v>0</v>
      </c>
      <c r="SAN306" s="18">
        <v>0</v>
      </c>
      <c r="SAO306" s="18">
        <v>0</v>
      </c>
      <c r="SAP306" s="18">
        <v>0</v>
      </c>
      <c r="SAQ306" s="18">
        <v>0</v>
      </c>
      <c r="SAR306" s="18">
        <v>0</v>
      </c>
      <c r="SAS306" s="18">
        <v>0</v>
      </c>
      <c r="SAT306" s="18">
        <v>0</v>
      </c>
      <c r="SAU306" s="18">
        <v>0</v>
      </c>
      <c r="SAV306" s="18">
        <v>0</v>
      </c>
      <c r="SAW306" s="18">
        <v>0</v>
      </c>
      <c r="SAX306" s="18">
        <v>0</v>
      </c>
      <c r="SAY306" s="18">
        <v>0</v>
      </c>
      <c r="SAZ306" s="18">
        <v>0</v>
      </c>
      <c r="SBA306" s="18">
        <v>0</v>
      </c>
      <c r="SBB306" s="18">
        <v>0</v>
      </c>
      <c r="SBC306" s="18">
        <v>0</v>
      </c>
      <c r="SBD306" s="18">
        <v>0</v>
      </c>
      <c r="SBE306" s="18">
        <v>0</v>
      </c>
      <c r="SBF306" s="18">
        <v>0</v>
      </c>
      <c r="SBG306" s="18">
        <v>0</v>
      </c>
      <c r="SBH306" s="18">
        <v>0</v>
      </c>
      <c r="SBI306" s="18">
        <v>0</v>
      </c>
      <c r="SBJ306" s="18">
        <v>0</v>
      </c>
      <c r="SBK306" s="18">
        <v>0</v>
      </c>
      <c r="SBL306" s="18">
        <v>0</v>
      </c>
      <c r="SBM306" s="18">
        <v>0</v>
      </c>
      <c r="SBN306" s="18">
        <v>0</v>
      </c>
      <c r="SBO306" s="18">
        <v>0</v>
      </c>
      <c r="SBP306" s="18">
        <v>0</v>
      </c>
      <c r="SBQ306" s="18">
        <v>0</v>
      </c>
      <c r="SBR306" s="18">
        <v>0</v>
      </c>
      <c r="SBS306" s="18">
        <v>0</v>
      </c>
      <c r="SBT306" s="18">
        <v>0</v>
      </c>
      <c r="SBU306" s="18">
        <v>0</v>
      </c>
      <c r="SBV306" s="18">
        <v>0</v>
      </c>
      <c r="SBW306" s="18">
        <v>0</v>
      </c>
      <c r="SBX306" s="18">
        <v>0</v>
      </c>
      <c r="SBY306" s="18">
        <v>0</v>
      </c>
      <c r="SBZ306" s="18">
        <v>0</v>
      </c>
      <c r="SCA306" s="18">
        <v>0</v>
      </c>
      <c r="SCB306" s="18">
        <v>0</v>
      </c>
      <c r="SCC306" s="18">
        <v>0</v>
      </c>
      <c r="SCD306" s="18">
        <v>0</v>
      </c>
      <c r="SCE306" s="18">
        <v>0</v>
      </c>
      <c r="SCF306" s="18">
        <v>0</v>
      </c>
      <c r="SCG306" s="18">
        <v>0</v>
      </c>
      <c r="SCH306" s="18">
        <v>0</v>
      </c>
      <c r="SCI306" s="18">
        <v>0</v>
      </c>
      <c r="SCJ306" s="18">
        <v>0</v>
      </c>
      <c r="SCK306" s="18">
        <v>0</v>
      </c>
      <c r="SCL306" s="18">
        <v>0</v>
      </c>
      <c r="SCM306" s="18">
        <v>0</v>
      </c>
      <c r="SCN306" s="18">
        <v>0</v>
      </c>
      <c r="SCO306" s="18">
        <v>0</v>
      </c>
      <c r="SCP306" s="18">
        <v>0</v>
      </c>
      <c r="SCQ306" s="18">
        <v>0</v>
      </c>
      <c r="SCR306" s="18">
        <v>0</v>
      </c>
      <c r="SCS306" s="18">
        <v>0</v>
      </c>
      <c r="SCT306" s="18">
        <v>0</v>
      </c>
      <c r="SCU306" s="18">
        <v>0</v>
      </c>
      <c r="SCV306" s="18">
        <v>0</v>
      </c>
      <c r="SCW306" s="18">
        <v>0</v>
      </c>
      <c r="SCX306" s="18">
        <v>0</v>
      </c>
      <c r="SCY306" s="18">
        <v>0</v>
      </c>
      <c r="SCZ306" s="18">
        <v>0</v>
      </c>
      <c r="SDA306" s="18">
        <v>0</v>
      </c>
      <c r="SDB306" s="18">
        <v>0</v>
      </c>
      <c r="SDC306" s="18">
        <v>0</v>
      </c>
      <c r="SDD306" s="18">
        <v>0</v>
      </c>
      <c r="SDE306" s="18">
        <v>0</v>
      </c>
      <c r="SDF306" s="18">
        <v>0</v>
      </c>
      <c r="SDG306" s="18">
        <v>0</v>
      </c>
      <c r="SDH306" s="18">
        <v>0</v>
      </c>
      <c r="SDI306" s="18">
        <v>0</v>
      </c>
      <c r="SDJ306" s="18">
        <v>0</v>
      </c>
      <c r="SDK306" s="18">
        <v>0</v>
      </c>
      <c r="SDL306" s="18">
        <v>0</v>
      </c>
      <c r="SDM306" s="18">
        <v>0</v>
      </c>
      <c r="SDN306" s="18">
        <v>0</v>
      </c>
      <c r="SDO306" s="18">
        <v>0</v>
      </c>
      <c r="SDP306" s="18">
        <v>0</v>
      </c>
      <c r="SDQ306" s="18">
        <v>0</v>
      </c>
      <c r="SDR306" s="18">
        <v>0</v>
      </c>
      <c r="SDS306" s="18">
        <v>0</v>
      </c>
      <c r="SDT306" s="18">
        <v>0</v>
      </c>
      <c r="SDU306" s="18">
        <v>0</v>
      </c>
      <c r="SDV306" s="18">
        <v>0</v>
      </c>
      <c r="SDW306" s="18">
        <v>0</v>
      </c>
      <c r="SDX306" s="18">
        <v>0</v>
      </c>
      <c r="SDY306" s="18">
        <v>0</v>
      </c>
      <c r="SDZ306" s="18">
        <v>0</v>
      </c>
      <c r="SEA306" s="18">
        <v>0</v>
      </c>
      <c r="SEB306" s="18">
        <v>0</v>
      </c>
      <c r="SEC306" s="18">
        <v>0</v>
      </c>
      <c r="SED306" s="18">
        <v>0</v>
      </c>
      <c r="SEE306" s="18">
        <v>0</v>
      </c>
      <c r="SEF306" s="18">
        <v>0</v>
      </c>
      <c r="SEG306" s="18">
        <v>0</v>
      </c>
      <c r="SEH306" s="18">
        <v>0</v>
      </c>
      <c r="SEI306" s="18">
        <v>0</v>
      </c>
      <c r="SEJ306" s="18">
        <v>0</v>
      </c>
      <c r="SEK306" s="18">
        <v>0</v>
      </c>
      <c r="SEL306" s="18">
        <v>0</v>
      </c>
      <c r="SEM306" s="18">
        <v>0</v>
      </c>
      <c r="SEN306" s="18">
        <v>0</v>
      </c>
      <c r="SEO306" s="18">
        <v>0</v>
      </c>
      <c r="SEP306" s="18">
        <v>0</v>
      </c>
      <c r="SEQ306" s="18">
        <v>0</v>
      </c>
      <c r="SER306" s="18">
        <v>0</v>
      </c>
      <c r="SES306" s="18">
        <v>0</v>
      </c>
      <c r="SET306" s="18">
        <v>0</v>
      </c>
      <c r="SEU306" s="18">
        <v>0</v>
      </c>
      <c r="SEV306" s="18">
        <v>0</v>
      </c>
      <c r="SEW306" s="18">
        <v>0</v>
      </c>
      <c r="SEX306" s="18">
        <v>0</v>
      </c>
      <c r="SEY306" s="18">
        <v>0</v>
      </c>
      <c r="SEZ306" s="18">
        <v>0</v>
      </c>
      <c r="SFA306" s="18">
        <v>0</v>
      </c>
      <c r="SFB306" s="18">
        <v>0</v>
      </c>
      <c r="SFC306" s="18">
        <v>0</v>
      </c>
      <c r="SFD306" s="18">
        <v>0</v>
      </c>
      <c r="SFE306" s="18">
        <v>0</v>
      </c>
      <c r="SFF306" s="18">
        <v>0</v>
      </c>
      <c r="SFG306" s="18">
        <v>0</v>
      </c>
      <c r="SFH306" s="18">
        <v>0</v>
      </c>
      <c r="SFI306" s="18">
        <v>0</v>
      </c>
      <c r="SFJ306" s="18">
        <v>0</v>
      </c>
      <c r="SFK306" s="18">
        <v>0</v>
      </c>
      <c r="SFL306" s="18">
        <v>0</v>
      </c>
      <c r="SFM306" s="18">
        <v>0</v>
      </c>
      <c r="SFN306" s="18">
        <v>0</v>
      </c>
      <c r="SFO306" s="18">
        <v>0</v>
      </c>
      <c r="SFP306" s="18">
        <v>0</v>
      </c>
      <c r="SFQ306" s="18">
        <v>0</v>
      </c>
      <c r="SFR306" s="18">
        <v>0</v>
      </c>
      <c r="SFS306" s="18">
        <v>0</v>
      </c>
      <c r="SFT306" s="18">
        <v>0</v>
      </c>
      <c r="SFU306" s="18">
        <v>0</v>
      </c>
      <c r="SFV306" s="18">
        <v>0</v>
      </c>
      <c r="SFW306" s="18">
        <v>0</v>
      </c>
      <c r="SFX306" s="18">
        <v>0</v>
      </c>
      <c r="SFY306" s="18">
        <v>0</v>
      </c>
      <c r="SFZ306" s="18">
        <v>0</v>
      </c>
      <c r="SGA306" s="18">
        <v>0</v>
      </c>
      <c r="SGB306" s="18">
        <v>0</v>
      </c>
      <c r="SGC306" s="18">
        <v>0</v>
      </c>
      <c r="SGD306" s="18">
        <v>0</v>
      </c>
      <c r="SGE306" s="18">
        <v>0</v>
      </c>
      <c r="SGF306" s="18">
        <v>0</v>
      </c>
      <c r="SGG306" s="18">
        <v>0</v>
      </c>
      <c r="SGH306" s="18">
        <v>0</v>
      </c>
      <c r="SGI306" s="18">
        <v>0</v>
      </c>
      <c r="SGJ306" s="18">
        <v>0</v>
      </c>
      <c r="SGK306" s="18">
        <v>0</v>
      </c>
      <c r="SGL306" s="18">
        <v>0</v>
      </c>
      <c r="SGM306" s="18">
        <v>0</v>
      </c>
      <c r="SGN306" s="18">
        <v>0</v>
      </c>
      <c r="SGO306" s="18">
        <v>0</v>
      </c>
      <c r="SGP306" s="18">
        <v>0</v>
      </c>
      <c r="SGQ306" s="18">
        <v>0</v>
      </c>
      <c r="SGR306" s="18">
        <v>0</v>
      </c>
      <c r="SGS306" s="18">
        <v>0</v>
      </c>
      <c r="SGT306" s="18">
        <v>0</v>
      </c>
      <c r="SGU306" s="18">
        <v>0</v>
      </c>
      <c r="SGV306" s="18">
        <v>0</v>
      </c>
      <c r="SGW306" s="18">
        <v>0</v>
      </c>
      <c r="SGX306" s="18">
        <v>0</v>
      </c>
      <c r="SGY306" s="18">
        <v>0</v>
      </c>
      <c r="SGZ306" s="18">
        <v>0</v>
      </c>
      <c r="SHA306" s="18">
        <v>0</v>
      </c>
      <c r="SHB306" s="18">
        <v>0</v>
      </c>
      <c r="SHC306" s="18">
        <v>0</v>
      </c>
      <c r="SHD306" s="18">
        <v>0</v>
      </c>
      <c r="SHE306" s="18">
        <v>0</v>
      </c>
      <c r="SHF306" s="18">
        <v>0</v>
      </c>
      <c r="SHG306" s="18">
        <v>0</v>
      </c>
      <c r="SHH306" s="18">
        <v>0</v>
      </c>
      <c r="SHI306" s="18">
        <v>0</v>
      </c>
      <c r="SHJ306" s="18">
        <v>0</v>
      </c>
      <c r="SHK306" s="18">
        <v>0</v>
      </c>
      <c r="SHL306" s="18">
        <v>0</v>
      </c>
      <c r="SHM306" s="18">
        <v>0</v>
      </c>
      <c r="SHN306" s="18">
        <v>0</v>
      </c>
      <c r="SHO306" s="18">
        <v>0</v>
      </c>
      <c r="SHP306" s="18">
        <v>0</v>
      </c>
      <c r="SHQ306" s="18">
        <v>0</v>
      </c>
      <c r="SHR306" s="18">
        <v>0</v>
      </c>
      <c r="SHS306" s="18">
        <v>0</v>
      </c>
      <c r="SHT306" s="18">
        <v>0</v>
      </c>
      <c r="SHU306" s="18">
        <v>0</v>
      </c>
      <c r="SHV306" s="18">
        <v>0</v>
      </c>
      <c r="SHW306" s="18">
        <v>0</v>
      </c>
      <c r="SHX306" s="18">
        <v>0</v>
      </c>
      <c r="SHY306" s="18">
        <v>0</v>
      </c>
      <c r="SHZ306" s="18">
        <v>0</v>
      </c>
      <c r="SIA306" s="18">
        <v>0</v>
      </c>
      <c r="SIB306" s="18">
        <v>0</v>
      </c>
      <c r="SIC306" s="18">
        <v>0</v>
      </c>
      <c r="SID306" s="18">
        <v>0</v>
      </c>
      <c r="SIE306" s="18">
        <v>0</v>
      </c>
      <c r="SIF306" s="18">
        <v>0</v>
      </c>
      <c r="SIG306" s="18">
        <v>0</v>
      </c>
      <c r="SIH306" s="18">
        <v>0</v>
      </c>
      <c r="SII306" s="18">
        <v>0</v>
      </c>
      <c r="SIJ306" s="18">
        <v>0</v>
      </c>
      <c r="SIK306" s="18">
        <v>0</v>
      </c>
      <c r="SIL306" s="18">
        <v>0</v>
      </c>
      <c r="SIM306" s="18">
        <v>0</v>
      </c>
      <c r="SIN306" s="18">
        <v>0</v>
      </c>
      <c r="SIO306" s="18">
        <v>0</v>
      </c>
      <c r="SIP306" s="18">
        <v>0</v>
      </c>
      <c r="SIQ306" s="18">
        <v>0</v>
      </c>
      <c r="SIR306" s="18">
        <v>0</v>
      </c>
      <c r="SIS306" s="18">
        <v>0</v>
      </c>
      <c r="SIT306" s="18">
        <v>0</v>
      </c>
      <c r="SIU306" s="18">
        <v>0</v>
      </c>
      <c r="SIV306" s="18">
        <v>0</v>
      </c>
      <c r="SIW306" s="18">
        <v>0</v>
      </c>
      <c r="SIX306" s="18">
        <v>0</v>
      </c>
      <c r="SIY306" s="18">
        <v>0</v>
      </c>
      <c r="SIZ306" s="18">
        <v>0</v>
      </c>
      <c r="SJA306" s="18">
        <v>0</v>
      </c>
      <c r="SJB306" s="18">
        <v>0</v>
      </c>
      <c r="SJC306" s="18">
        <v>0</v>
      </c>
      <c r="SJD306" s="18">
        <v>0</v>
      </c>
      <c r="SJE306" s="18">
        <v>0</v>
      </c>
      <c r="SJF306" s="18">
        <v>0</v>
      </c>
      <c r="SJG306" s="18">
        <v>0</v>
      </c>
      <c r="SJH306" s="18">
        <v>0</v>
      </c>
      <c r="SJI306" s="18">
        <v>0</v>
      </c>
      <c r="SJJ306" s="18">
        <v>0</v>
      </c>
      <c r="SJK306" s="18">
        <v>0</v>
      </c>
      <c r="SJL306" s="18">
        <v>0</v>
      </c>
      <c r="SJM306" s="18">
        <v>0</v>
      </c>
      <c r="SJN306" s="18">
        <v>0</v>
      </c>
      <c r="SJO306" s="18">
        <v>0</v>
      </c>
      <c r="SJP306" s="18">
        <v>0</v>
      </c>
      <c r="SJQ306" s="18">
        <v>0</v>
      </c>
      <c r="SJR306" s="18">
        <v>0</v>
      </c>
      <c r="SJS306" s="18">
        <v>0</v>
      </c>
      <c r="SJT306" s="18">
        <v>0</v>
      </c>
      <c r="SJU306" s="18">
        <v>0</v>
      </c>
      <c r="SJV306" s="18">
        <v>0</v>
      </c>
      <c r="SJW306" s="18">
        <v>0</v>
      </c>
      <c r="SJX306" s="18">
        <v>0</v>
      </c>
      <c r="SJY306" s="18">
        <v>0</v>
      </c>
      <c r="SJZ306" s="18">
        <v>0</v>
      </c>
      <c r="SKA306" s="18">
        <v>0</v>
      </c>
      <c r="SKB306" s="18">
        <v>0</v>
      </c>
      <c r="SKC306" s="18">
        <v>0</v>
      </c>
      <c r="SKD306" s="18">
        <v>0</v>
      </c>
      <c r="SKE306" s="18">
        <v>0</v>
      </c>
      <c r="SKF306" s="18">
        <v>0</v>
      </c>
      <c r="SKG306" s="18">
        <v>0</v>
      </c>
      <c r="SKH306" s="18">
        <v>0</v>
      </c>
      <c r="SKI306" s="18">
        <v>0</v>
      </c>
      <c r="SKJ306" s="18">
        <v>0</v>
      </c>
      <c r="SKK306" s="18">
        <v>0</v>
      </c>
      <c r="SKL306" s="18">
        <v>0</v>
      </c>
      <c r="SKM306" s="18">
        <v>0</v>
      </c>
      <c r="SKN306" s="18">
        <v>0</v>
      </c>
      <c r="SKO306" s="18">
        <v>0</v>
      </c>
      <c r="SKP306" s="18">
        <v>0</v>
      </c>
      <c r="SKQ306" s="18">
        <v>0</v>
      </c>
      <c r="SKR306" s="18">
        <v>0</v>
      </c>
      <c r="SKS306" s="18">
        <v>0</v>
      </c>
      <c r="SKT306" s="18">
        <v>0</v>
      </c>
      <c r="SKU306" s="18">
        <v>0</v>
      </c>
      <c r="SKV306" s="18">
        <v>0</v>
      </c>
      <c r="SKW306" s="18">
        <v>0</v>
      </c>
      <c r="SKX306" s="18">
        <v>0</v>
      </c>
      <c r="SKY306" s="18">
        <v>0</v>
      </c>
      <c r="SKZ306" s="18">
        <v>0</v>
      </c>
      <c r="SLA306" s="18">
        <v>0</v>
      </c>
      <c r="SLB306" s="18">
        <v>0</v>
      </c>
      <c r="SLC306" s="18">
        <v>0</v>
      </c>
      <c r="SLD306" s="18">
        <v>0</v>
      </c>
      <c r="SLE306" s="18">
        <v>0</v>
      </c>
      <c r="SLF306" s="18">
        <v>0</v>
      </c>
      <c r="SLG306" s="18">
        <v>0</v>
      </c>
      <c r="SLH306" s="18">
        <v>0</v>
      </c>
      <c r="SLI306" s="18">
        <v>0</v>
      </c>
      <c r="SLJ306" s="18">
        <v>0</v>
      </c>
      <c r="SLK306" s="18">
        <v>0</v>
      </c>
      <c r="SLL306" s="18">
        <v>0</v>
      </c>
      <c r="SLM306" s="18">
        <v>0</v>
      </c>
      <c r="SLN306" s="18">
        <v>0</v>
      </c>
      <c r="SLO306" s="18">
        <v>0</v>
      </c>
      <c r="SLP306" s="18">
        <v>0</v>
      </c>
      <c r="SLQ306" s="18">
        <v>0</v>
      </c>
      <c r="SLR306" s="18">
        <v>0</v>
      </c>
      <c r="SLS306" s="18">
        <v>0</v>
      </c>
      <c r="SLT306" s="18">
        <v>0</v>
      </c>
      <c r="SLU306" s="18">
        <v>0</v>
      </c>
      <c r="SLV306" s="18">
        <v>0</v>
      </c>
      <c r="SLW306" s="18">
        <v>0</v>
      </c>
      <c r="SLX306" s="18">
        <v>0</v>
      </c>
      <c r="SLY306" s="18">
        <v>0</v>
      </c>
      <c r="SLZ306" s="18">
        <v>0</v>
      </c>
      <c r="SMA306" s="18">
        <v>0</v>
      </c>
      <c r="SMB306" s="18">
        <v>0</v>
      </c>
      <c r="SMC306" s="18">
        <v>0</v>
      </c>
      <c r="SMD306" s="18">
        <v>0</v>
      </c>
      <c r="SME306" s="18">
        <v>0</v>
      </c>
      <c r="SMF306" s="18">
        <v>0</v>
      </c>
      <c r="SMG306" s="18">
        <v>0</v>
      </c>
      <c r="SMH306" s="18">
        <v>0</v>
      </c>
      <c r="SMI306" s="18">
        <v>0</v>
      </c>
      <c r="SMJ306" s="18">
        <v>0</v>
      </c>
      <c r="SMK306" s="18">
        <v>0</v>
      </c>
      <c r="SML306" s="18">
        <v>0</v>
      </c>
      <c r="SMM306" s="18">
        <v>0</v>
      </c>
      <c r="SMN306" s="18">
        <v>0</v>
      </c>
      <c r="SMO306" s="18">
        <v>0</v>
      </c>
      <c r="SMP306" s="18">
        <v>0</v>
      </c>
      <c r="SMQ306" s="18">
        <v>0</v>
      </c>
      <c r="SMR306" s="18">
        <v>0</v>
      </c>
      <c r="SMS306" s="18">
        <v>0</v>
      </c>
      <c r="SMT306" s="18">
        <v>0</v>
      </c>
      <c r="SMU306" s="18">
        <v>0</v>
      </c>
      <c r="SMV306" s="18">
        <v>0</v>
      </c>
      <c r="SMW306" s="18">
        <v>0</v>
      </c>
      <c r="SMX306" s="18">
        <v>0</v>
      </c>
      <c r="SMY306" s="18">
        <v>0</v>
      </c>
      <c r="SMZ306" s="18">
        <v>0</v>
      </c>
      <c r="SNA306" s="18">
        <v>0</v>
      </c>
      <c r="SNB306" s="18">
        <v>0</v>
      </c>
      <c r="SNC306" s="18">
        <v>0</v>
      </c>
      <c r="SND306" s="18">
        <v>0</v>
      </c>
      <c r="SNE306" s="18">
        <v>0</v>
      </c>
      <c r="SNF306" s="18">
        <v>0</v>
      </c>
      <c r="SNG306" s="18">
        <v>0</v>
      </c>
      <c r="SNH306" s="18">
        <v>0</v>
      </c>
      <c r="SNI306" s="18">
        <v>0</v>
      </c>
      <c r="SNJ306" s="18">
        <v>0</v>
      </c>
      <c r="SNK306" s="18">
        <v>0</v>
      </c>
      <c r="SNL306" s="18">
        <v>0</v>
      </c>
      <c r="SNM306" s="18">
        <v>0</v>
      </c>
      <c r="SNN306" s="18">
        <v>0</v>
      </c>
      <c r="SNO306" s="18">
        <v>0</v>
      </c>
      <c r="SNP306" s="18">
        <v>0</v>
      </c>
      <c r="SNQ306" s="18">
        <v>0</v>
      </c>
      <c r="SNR306" s="18">
        <v>0</v>
      </c>
      <c r="SNS306" s="18">
        <v>0</v>
      </c>
      <c r="SNT306" s="18">
        <v>0</v>
      </c>
      <c r="SNU306" s="18">
        <v>0</v>
      </c>
      <c r="SNV306" s="18">
        <v>0</v>
      </c>
      <c r="SNW306" s="18">
        <v>0</v>
      </c>
      <c r="SNX306" s="18">
        <v>0</v>
      </c>
      <c r="SNY306" s="18">
        <v>0</v>
      </c>
      <c r="SNZ306" s="18">
        <v>0</v>
      </c>
      <c r="SOA306" s="18">
        <v>0</v>
      </c>
      <c r="SOB306" s="18">
        <v>0</v>
      </c>
      <c r="SOC306" s="18">
        <v>0</v>
      </c>
      <c r="SOD306" s="18">
        <v>0</v>
      </c>
      <c r="SOE306" s="18">
        <v>0</v>
      </c>
      <c r="SOF306" s="18">
        <v>0</v>
      </c>
      <c r="SOG306" s="18">
        <v>0</v>
      </c>
      <c r="SOH306" s="18">
        <v>0</v>
      </c>
      <c r="SOI306" s="18">
        <v>0</v>
      </c>
      <c r="SOJ306" s="18">
        <v>0</v>
      </c>
      <c r="SOK306" s="18">
        <v>0</v>
      </c>
      <c r="SOL306" s="18">
        <v>0</v>
      </c>
      <c r="SOM306" s="18">
        <v>0</v>
      </c>
      <c r="SON306" s="18">
        <v>0</v>
      </c>
      <c r="SOO306" s="18">
        <v>0</v>
      </c>
      <c r="SOP306" s="18">
        <v>0</v>
      </c>
      <c r="SOQ306" s="18">
        <v>0</v>
      </c>
      <c r="SOR306" s="18">
        <v>0</v>
      </c>
      <c r="SOS306" s="18">
        <v>0</v>
      </c>
      <c r="SOT306" s="18">
        <v>0</v>
      </c>
      <c r="SOU306" s="18">
        <v>0</v>
      </c>
      <c r="SOV306" s="18">
        <v>0</v>
      </c>
      <c r="SOW306" s="18">
        <v>0</v>
      </c>
      <c r="SOX306" s="18">
        <v>0</v>
      </c>
      <c r="SOY306" s="18">
        <v>0</v>
      </c>
      <c r="SOZ306" s="18">
        <v>0</v>
      </c>
      <c r="SPA306" s="18">
        <v>0</v>
      </c>
      <c r="SPB306" s="18">
        <v>0</v>
      </c>
      <c r="SPC306" s="18">
        <v>0</v>
      </c>
      <c r="SPD306" s="18">
        <v>0</v>
      </c>
      <c r="SPE306" s="18">
        <v>0</v>
      </c>
      <c r="SPF306" s="18">
        <v>0</v>
      </c>
      <c r="SPG306" s="18">
        <v>0</v>
      </c>
      <c r="SPH306" s="18">
        <v>0</v>
      </c>
      <c r="SPI306" s="18">
        <v>0</v>
      </c>
      <c r="SPJ306" s="18">
        <v>0</v>
      </c>
      <c r="SPK306" s="18">
        <v>0</v>
      </c>
      <c r="SPL306" s="18">
        <v>0</v>
      </c>
      <c r="SPM306" s="18">
        <v>0</v>
      </c>
      <c r="SPN306" s="18">
        <v>0</v>
      </c>
      <c r="SPO306" s="18">
        <v>0</v>
      </c>
      <c r="SPP306" s="18">
        <v>0</v>
      </c>
      <c r="SPQ306" s="18">
        <v>0</v>
      </c>
      <c r="SPR306" s="18">
        <v>0</v>
      </c>
      <c r="SPS306" s="18">
        <v>0</v>
      </c>
      <c r="SPT306" s="18">
        <v>0</v>
      </c>
      <c r="SPU306" s="18">
        <v>0</v>
      </c>
      <c r="SPV306" s="18">
        <v>0</v>
      </c>
      <c r="SPW306" s="18">
        <v>0</v>
      </c>
      <c r="SPX306" s="18">
        <v>0</v>
      </c>
      <c r="SPY306" s="18">
        <v>0</v>
      </c>
      <c r="SPZ306" s="18">
        <v>0</v>
      </c>
      <c r="SQA306" s="18">
        <v>0</v>
      </c>
      <c r="SQB306" s="18">
        <v>0</v>
      </c>
      <c r="SQC306" s="18">
        <v>0</v>
      </c>
      <c r="SQD306" s="18">
        <v>0</v>
      </c>
      <c r="SQE306" s="18">
        <v>0</v>
      </c>
      <c r="SQF306" s="18">
        <v>0</v>
      </c>
      <c r="SQG306" s="18">
        <v>0</v>
      </c>
      <c r="SQH306" s="18">
        <v>0</v>
      </c>
      <c r="SQI306" s="18">
        <v>0</v>
      </c>
      <c r="SQJ306" s="18">
        <v>0</v>
      </c>
      <c r="SQK306" s="18">
        <v>0</v>
      </c>
      <c r="SQL306" s="18">
        <v>0</v>
      </c>
      <c r="SQM306" s="18">
        <v>0</v>
      </c>
      <c r="SQN306" s="18">
        <v>0</v>
      </c>
      <c r="SQO306" s="18">
        <v>0</v>
      </c>
      <c r="SQP306" s="18">
        <v>0</v>
      </c>
      <c r="SQQ306" s="18">
        <v>0</v>
      </c>
      <c r="SQR306" s="18">
        <v>0</v>
      </c>
      <c r="SQS306" s="18">
        <v>0</v>
      </c>
      <c r="SQT306" s="18">
        <v>0</v>
      </c>
      <c r="SQU306" s="18">
        <v>0</v>
      </c>
      <c r="SQV306" s="18">
        <v>0</v>
      </c>
      <c r="SQW306" s="18">
        <v>0</v>
      </c>
      <c r="SQX306" s="18">
        <v>0</v>
      </c>
      <c r="SQY306" s="18">
        <v>0</v>
      </c>
      <c r="SQZ306" s="18">
        <v>0</v>
      </c>
      <c r="SRA306" s="18">
        <v>0</v>
      </c>
      <c r="SRB306" s="18">
        <v>0</v>
      </c>
      <c r="SRC306" s="18">
        <v>0</v>
      </c>
      <c r="SRD306" s="18">
        <v>0</v>
      </c>
      <c r="SRE306" s="18">
        <v>0</v>
      </c>
      <c r="SRF306" s="18">
        <v>0</v>
      </c>
      <c r="SRG306" s="18">
        <v>0</v>
      </c>
      <c r="SRH306" s="18">
        <v>0</v>
      </c>
      <c r="SRI306" s="18">
        <v>0</v>
      </c>
      <c r="SRJ306" s="18">
        <v>0</v>
      </c>
      <c r="SRK306" s="18">
        <v>0</v>
      </c>
      <c r="SRL306" s="18">
        <v>0</v>
      </c>
      <c r="SRM306" s="18">
        <v>0</v>
      </c>
      <c r="SRN306" s="18">
        <v>0</v>
      </c>
      <c r="SRO306" s="18">
        <v>0</v>
      </c>
      <c r="SRP306" s="18">
        <v>0</v>
      </c>
      <c r="SRQ306" s="18">
        <v>0</v>
      </c>
      <c r="SRR306" s="18">
        <v>0</v>
      </c>
      <c r="SRS306" s="18">
        <v>0</v>
      </c>
      <c r="SRT306" s="18">
        <v>0</v>
      </c>
      <c r="SRU306" s="18">
        <v>0</v>
      </c>
      <c r="SRV306" s="18">
        <v>0</v>
      </c>
      <c r="SRW306" s="18">
        <v>0</v>
      </c>
      <c r="SRX306" s="18">
        <v>0</v>
      </c>
      <c r="SRY306" s="18">
        <v>0</v>
      </c>
      <c r="SRZ306" s="18">
        <v>0</v>
      </c>
      <c r="SSA306" s="18">
        <v>0</v>
      </c>
      <c r="SSB306" s="18">
        <v>0</v>
      </c>
      <c r="SSC306" s="18">
        <v>0</v>
      </c>
      <c r="SSD306" s="18">
        <v>0</v>
      </c>
      <c r="SSE306" s="18">
        <v>0</v>
      </c>
      <c r="SSF306" s="18">
        <v>0</v>
      </c>
      <c r="SSG306" s="18">
        <v>0</v>
      </c>
      <c r="SSH306" s="18">
        <v>0</v>
      </c>
      <c r="SSI306" s="18">
        <v>0</v>
      </c>
      <c r="SSJ306" s="18">
        <v>0</v>
      </c>
      <c r="SSK306" s="18">
        <v>0</v>
      </c>
      <c r="SSL306" s="18">
        <v>0</v>
      </c>
      <c r="SSM306" s="18">
        <v>0</v>
      </c>
      <c r="SSN306" s="18">
        <v>0</v>
      </c>
      <c r="SSO306" s="18">
        <v>0</v>
      </c>
      <c r="SSP306" s="18">
        <v>0</v>
      </c>
      <c r="SSQ306" s="18">
        <v>0</v>
      </c>
      <c r="SSR306" s="18">
        <v>0</v>
      </c>
      <c r="SSS306" s="18">
        <v>0</v>
      </c>
      <c r="SST306" s="18">
        <v>0</v>
      </c>
      <c r="SSU306" s="18">
        <v>0</v>
      </c>
      <c r="SSV306" s="18">
        <v>0</v>
      </c>
      <c r="SSW306" s="18">
        <v>0</v>
      </c>
      <c r="SSX306" s="18">
        <v>0</v>
      </c>
      <c r="SSY306" s="18">
        <v>0</v>
      </c>
      <c r="SSZ306" s="18">
        <v>0</v>
      </c>
      <c r="STA306" s="18">
        <v>0</v>
      </c>
      <c r="STB306" s="18">
        <v>0</v>
      </c>
      <c r="STC306" s="18">
        <v>0</v>
      </c>
      <c r="STD306" s="18">
        <v>0</v>
      </c>
      <c r="STE306" s="18">
        <v>0</v>
      </c>
      <c r="STF306" s="18">
        <v>0</v>
      </c>
      <c r="STG306" s="18">
        <v>0</v>
      </c>
      <c r="STH306" s="18">
        <v>0</v>
      </c>
      <c r="STI306" s="18">
        <v>0</v>
      </c>
      <c r="STJ306" s="18">
        <v>0</v>
      </c>
      <c r="STK306" s="18">
        <v>0</v>
      </c>
      <c r="STL306" s="18">
        <v>0</v>
      </c>
      <c r="STM306" s="18">
        <v>0</v>
      </c>
      <c r="STN306" s="18">
        <v>0</v>
      </c>
      <c r="STO306" s="18">
        <v>0</v>
      </c>
      <c r="STP306" s="18">
        <v>0</v>
      </c>
      <c r="STQ306" s="18">
        <v>0</v>
      </c>
      <c r="STR306" s="18">
        <v>0</v>
      </c>
      <c r="STS306" s="18">
        <v>0</v>
      </c>
      <c r="STT306" s="18">
        <v>0</v>
      </c>
      <c r="STU306" s="18">
        <v>0</v>
      </c>
      <c r="STV306" s="18">
        <v>0</v>
      </c>
      <c r="STW306" s="18">
        <v>0</v>
      </c>
      <c r="STX306" s="18">
        <v>0</v>
      </c>
      <c r="STY306" s="18">
        <v>0</v>
      </c>
      <c r="STZ306" s="18">
        <v>0</v>
      </c>
      <c r="SUA306" s="18">
        <v>0</v>
      </c>
      <c r="SUB306" s="18">
        <v>0</v>
      </c>
      <c r="SUC306" s="18">
        <v>0</v>
      </c>
      <c r="SUD306" s="18">
        <v>0</v>
      </c>
      <c r="SUE306" s="18">
        <v>0</v>
      </c>
      <c r="SUF306" s="18">
        <v>0</v>
      </c>
      <c r="SUG306" s="18">
        <v>0</v>
      </c>
      <c r="SUH306" s="18">
        <v>0</v>
      </c>
      <c r="SUI306" s="18">
        <v>0</v>
      </c>
      <c r="SUJ306" s="18">
        <v>0</v>
      </c>
      <c r="SUK306" s="18">
        <v>0</v>
      </c>
      <c r="SUL306" s="18">
        <v>0</v>
      </c>
      <c r="SUM306" s="18">
        <v>0</v>
      </c>
      <c r="SUN306" s="18">
        <v>0</v>
      </c>
      <c r="SUO306" s="18">
        <v>0</v>
      </c>
      <c r="SUP306" s="18">
        <v>0</v>
      </c>
      <c r="SUQ306" s="18">
        <v>0</v>
      </c>
      <c r="SUR306" s="18">
        <v>0</v>
      </c>
      <c r="SUS306" s="18">
        <v>0</v>
      </c>
      <c r="SUT306" s="18">
        <v>0</v>
      </c>
      <c r="SUU306" s="18">
        <v>0</v>
      </c>
      <c r="SUV306" s="18">
        <v>0</v>
      </c>
      <c r="SUW306" s="18">
        <v>0</v>
      </c>
      <c r="SUX306" s="18">
        <v>0</v>
      </c>
      <c r="SUY306" s="18">
        <v>0</v>
      </c>
      <c r="SUZ306" s="18">
        <v>0</v>
      </c>
      <c r="SVA306" s="18">
        <v>0</v>
      </c>
      <c r="SVB306" s="18">
        <v>0</v>
      </c>
      <c r="SVC306" s="18">
        <v>0</v>
      </c>
      <c r="SVD306" s="18">
        <v>0</v>
      </c>
      <c r="SVE306" s="18">
        <v>0</v>
      </c>
      <c r="SVF306" s="18">
        <v>0</v>
      </c>
      <c r="SVG306" s="18">
        <v>0</v>
      </c>
      <c r="SVH306" s="18">
        <v>0</v>
      </c>
      <c r="SVI306" s="18">
        <v>0</v>
      </c>
      <c r="SVJ306" s="18">
        <v>0</v>
      </c>
      <c r="SVK306" s="18">
        <v>0</v>
      </c>
      <c r="SVL306" s="18">
        <v>0</v>
      </c>
      <c r="SVM306" s="18">
        <v>0</v>
      </c>
      <c r="SVN306" s="18">
        <v>0</v>
      </c>
      <c r="SVO306" s="18">
        <v>0</v>
      </c>
      <c r="SVP306" s="18">
        <v>0</v>
      </c>
      <c r="SVQ306" s="18">
        <v>0</v>
      </c>
      <c r="SVR306" s="18">
        <v>0</v>
      </c>
      <c r="SVS306" s="18">
        <v>0</v>
      </c>
      <c r="SVT306" s="18">
        <v>0</v>
      </c>
      <c r="SVU306" s="18">
        <v>0</v>
      </c>
      <c r="SVV306" s="18">
        <v>0</v>
      </c>
      <c r="SVW306" s="18">
        <v>0</v>
      </c>
      <c r="SVX306" s="18">
        <v>0</v>
      </c>
      <c r="SVY306" s="18">
        <v>0</v>
      </c>
      <c r="SVZ306" s="18">
        <v>0</v>
      </c>
      <c r="SWA306" s="18">
        <v>0</v>
      </c>
      <c r="SWB306" s="18">
        <v>0</v>
      </c>
      <c r="SWC306" s="18">
        <v>0</v>
      </c>
      <c r="SWD306" s="18">
        <v>0</v>
      </c>
      <c r="SWE306" s="18">
        <v>0</v>
      </c>
      <c r="SWF306" s="18">
        <v>0</v>
      </c>
      <c r="SWG306" s="18">
        <v>0</v>
      </c>
      <c r="SWH306" s="18">
        <v>0</v>
      </c>
      <c r="SWI306" s="18">
        <v>0</v>
      </c>
      <c r="SWJ306" s="18">
        <v>0</v>
      </c>
      <c r="SWK306" s="18">
        <v>0</v>
      </c>
      <c r="SWL306" s="18">
        <v>0</v>
      </c>
      <c r="SWM306" s="18">
        <v>0</v>
      </c>
      <c r="SWN306" s="18">
        <v>0</v>
      </c>
      <c r="SWO306" s="18">
        <v>0</v>
      </c>
      <c r="SWP306" s="18">
        <v>0</v>
      </c>
      <c r="SWQ306" s="18">
        <v>0</v>
      </c>
      <c r="SWR306" s="18">
        <v>0</v>
      </c>
      <c r="SWS306" s="18">
        <v>0</v>
      </c>
      <c r="SWT306" s="18">
        <v>0</v>
      </c>
      <c r="SWU306" s="18">
        <v>0</v>
      </c>
      <c r="SWV306" s="18">
        <v>0</v>
      </c>
      <c r="SWW306" s="18">
        <v>0</v>
      </c>
      <c r="SWX306" s="18">
        <v>0</v>
      </c>
      <c r="SWY306" s="18">
        <v>0</v>
      </c>
      <c r="SWZ306" s="18">
        <v>0</v>
      </c>
      <c r="SXA306" s="18">
        <v>0</v>
      </c>
      <c r="SXB306" s="18">
        <v>0</v>
      </c>
      <c r="SXC306" s="18">
        <v>0</v>
      </c>
      <c r="SXD306" s="18">
        <v>0</v>
      </c>
      <c r="SXE306" s="18">
        <v>0</v>
      </c>
      <c r="SXF306" s="18">
        <v>0</v>
      </c>
      <c r="SXG306" s="18">
        <v>0</v>
      </c>
      <c r="SXH306" s="18">
        <v>0</v>
      </c>
      <c r="SXI306" s="18">
        <v>0</v>
      </c>
      <c r="SXJ306" s="18">
        <v>0</v>
      </c>
      <c r="SXK306" s="18">
        <v>0</v>
      </c>
      <c r="SXL306" s="18">
        <v>0</v>
      </c>
      <c r="SXM306" s="18">
        <v>0</v>
      </c>
      <c r="SXN306" s="18">
        <v>0</v>
      </c>
      <c r="SXO306" s="18">
        <v>0</v>
      </c>
      <c r="SXP306" s="18">
        <v>0</v>
      </c>
      <c r="SXQ306" s="18">
        <v>0</v>
      </c>
      <c r="SXR306" s="18">
        <v>0</v>
      </c>
      <c r="SXS306" s="18">
        <v>0</v>
      </c>
      <c r="SXT306" s="18">
        <v>0</v>
      </c>
      <c r="SXU306" s="18">
        <v>0</v>
      </c>
      <c r="SXV306" s="18">
        <v>0</v>
      </c>
      <c r="SXW306" s="18">
        <v>0</v>
      </c>
      <c r="SXX306" s="18">
        <v>0</v>
      </c>
      <c r="SXY306" s="18">
        <v>0</v>
      </c>
      <c r="SXZ306" s="18">
        <v>0</v>
      </c>
      <c r="SYA306" s="18">
        <v>0</v>
      </c>
      <c r="SYB306" s="18">
        <v>0</v>
      </c>
      <c r="SYC306" s="18">
        <v>0</v>
      </c>
      <c r="SYD306" s="18">
        <v>0</v>
      </c>
      <c r="SYE306" s="18">
        <v>0</v>
      </c>
      <c r="SYF306" s="18">
        <v>0</v>
      </c>
      <c r="SYG306" s="18">
        <v>0</v>
      </c>
      <c r="SYH306" s="18">
        <v>0</v>
      </c>
      <c r="SYI306" s="18">
        <v>0</v>
      </c>
      <c r="SYJ306" s="18">
        <v>0</v>
      </c>
      <c r="SYK306" s="18">
        <v>0</v>
      </c>
      <c r="SYL306" s="18">
        <v>0</v>
      </c>
      <c r="SYM306" s="18">
        <v>0</v>
      </c>
      <c r="SYN306" s="18">
        <v>0</v>
      </c>
      <c r="SYO306" s="18">
        <v>0</v>
      </c>
      <c r="SYP306" s="18">
        <v>0</v>
      </c>
      <c r="SYQ306" s="18">
        <v>0</v>
      </c>
      <c r="SYR306" s="18">
        <v>0</v>
      </c>
      <c r="SYS306" s="18">
        <v>0</v>
      </c>
      <c r="SYT306" s="18">
        <v>0</v>
      </c>
      <c r="SYU306" s="18">
        <v>0</v>
      </c>
      <c r="SYV306" s="18">
        <v>0</v>
      </c>
      <c r="SYW306" s="18">
        <v>0</v>
      </c>
      <c r="SYX306" s="18">
        <v>0</v>
      </c>
      <c r="SYY306" s="18">
        <v>0</v>
      </c>
      <c r="SYZ306" s="18">
        <v>0</v>
      </c>
      <c r="SZA306" s="18">
        <v>0</v>
      </c>
      <c r="SZB306" s="18">
        <v>0</v>
      </c>
      <c r="SZC306" s="18">
        <v>0</v>
      </c>
      <c r="SZD306" s="18">
        <v>0</v>
      </c>
      <c r="SZE306" s="18">
        <v>0</v>
      </c>
      <c r="SZF306" s="18">
        <v>0</v>
      </c>
      <c r="SZG306" s="18">
        <v>0</v>
      </c>
      <c r="SZH306" s="18">
        <v>0</v>
      </c>
      <c r="SZI306" s="18">
        <v>0</v>
      </c>
      <c r="SZJ306" s="18">
        <v>0</v>
      </c>
      <c r="SZK306" s="18">
        <v>0</v>
      </c>
      <c r="SZL306" s="18">
        <v>0</v>
      </c>
      <c r="SZM306" s="18">
        <v>0</v>
      </c>
      <c r="SZN306" s="18">
        <v>0</v>
      </c>
      <c r="SZO306" s="18">
        <v>0</v>
      </c>
      <c r="SZP306" s="18">
        <v>0</v>
      </c>
      <c r="SZQ306" s="18">
        <v>0</v>
      </c>
      <c r="SZR306" s="18">
        <v>0</v>
      </c>
      <c r="SZS306" s="18">
        <v>0</v>
      </c>
      <c r="SZT306" s="18">
        <v>0</v>
      </c>
      <c r="SZU306" s="18">
        <v>0</v>
      </c>
      <c r="SZV306" s="18">
        <v>0</v>
      </c>
      <c r="SZW306" s="18">
        <v>0</v>
      </c>
      <c r="SZX306" s="18">
        <v>0</v>
      </c>
      <c r="SZY306" s="18">
        <v>0</v>
      </c>
      <c r="SZZ306" s="18">
        <v>0</v>
      </c>
      <c r="TAA306" s="18">
        <v>0</v>
      </c>
      <c r="TAB306" s="18">
        <v>0</v>
      </c>
      <c r="TAC306" s="18">
        <v>0</v>
      </c>
      <c r="TAD306" s="18">
        <v>0</v>
      </c>
      <c r="TAE306" s="18">
        <v>0</v>
      </c>
      <c r="TAF306" s="18">
        <v>0</v>
      </c>
      <c r="TAG306" s="18">
        <v>0</v>
      </c>
      <c r="TAH306" s="18">
        <v>0</v>
      </c>
      <c r="TAI306" s="18">
        <v>0</v>
      </c>
      <c r="TAJ306" s="18">
        <v>0</v>
      </c>
      <c r="TAK306" s="18">
        <v>0</v>
      </c>
      <c r="TAL306" s="18">
        <v>0</v>
      </c>
      <c r="TAM306" s="18">
        <v>0</v>
      </c>
      <c r="TAN306" s="18">
        <v>0</v>
      </c>
      <c r="TAO306" s="18">
        <v>0</v>
      </c>
      <c r="TAP306" s="18">
        <v>0</v>
      </c>
      <c r="TAQ306" s="18">
        <v>0</v>
      </c>
      <c r="TAR306" s="18">
        <v>0</v>
      </c>
      <c r="TAS306" s="18">
        <v>0</v>
      </c>
      <c r="TAT306" s="18">
        <v>0</v>
      </c>
      <c r="TAU306" s="18">
        <v>0</v>
      </c>
      <c r="TAV306" s="18">
        <v>0</v>
      </c>
      <c r="TAW306" s="18">
        <v>0</v>
      </c>
      <c r="TAX306" s="18">
        <v>0</v>
      </c>
      <c r="TAY306" s="18">
        <v>0</v>
      </c>
      <c r="TAZ306" s="18">
        <v>0</v>
      </c>
      <c r="TBA306" s="18">
        <v>0</v>
      </c>
      <c r="TBB306" s="18">
        <v>0</v>
      </c>
      <c r="TBC306" s="18">
        <v>0</v>
      </c>
      <c r="TBD306" s="18">
        <v>0</v>
      </c>
      <c r="TBE306" s="18">
        <v>0</v>
      </c>
      <c r="TBF306" s="18">
        <v>0</v>
      </c>
      <c r="TBG306" s="18">
        <v>0</v>
      </c>
      <c r="TBH306" s="18">
        <v>0</v>
      </c>
      <c r="TBI306" s="18">
        <v>0</v>
      </c>
      <c r="TBJ306" s="18">
        <v>0</v>
      </c>
      <c r="TBK306" s="18">
        <v>0</v>
      </c>
      <c r="TBL306" s="18">
        <v>0</v>
      </c>
      <c r="TBM306" s="18">
        <v>0</v>
      </c>
      <c r="TBN306" s="18">
        <v>0</v>
      </c>
      <c r="TBO306" s="18">
        <v>0</v>
      </c>
      <c r="TBP306" s="18">
        <v>0</v>
      </c>
      <c r="TBQ306" s="18">
        <v>0</v>
      </c>
      <c r="TBR306" s="18">
        <v>0</v>
      </c>
      <c r="TBS306" s="18">
        <v>0</v>
      </c>
      <c r="TBT306" s="18">
        <v>0</v>
      </c>
      <c r="TBU306" s="18">
        <v>0</v>
      </c>
      <c r="TBV306" s="18">
        <v>0</v>
      </c>
      <c r="TBW306" s="18">
        <v>0</v>
      </c>
      <c r="TBX306" s="18">
        <v>0</v>
      </c>
      <c r="TBY306" s="18">
        <v>0</v>
      </c>
      <c r="TBZ306" s="18">
        <v>0</v>
      </c>
      <c r="TCA306" s="18">
        <v>0</v>
      </c>
      <c r="TCB306" s="18">
        <v>0</v>
      </c>
      <c r="TCC306" s="18">
        <v>0</v>
      </c>
      <c r="TCD306" s="18">
        <v>0</v>
      </c>
      <c r="TCE306" s="18">
        <v>0</v>
      </c>
      <c r="TCF306" s="18">
        <v>0</v>
      </c>
      <c r="TCG306" s="18">
        <v>0</v>
      </c>
      <c r="TCH306" s="18">
        <v>0</v>
      </c>
      <c r="TCI306" s="18">
        <v>0</v>
      </c>
      <c r="TCJ306" s="18">
        <v>0</v>
      </c>
      <c r="TCK306" s="18">
        <v>0</v>
      </c>
      <c r="TCL306" s="18">
        <v>0</v>
      </c>
      <c r="TCM306" s="18">
        <v>0</v>
      </c>
      <c r="TCN306" s="18">
        <v>0</v>
      </c>
      <c r="TCO306" s="18">
        <v>0</v>
      </c>
      <c r="TCP306" s="18">
        <v>0</v>
      </c>
      <c r="TCQ306" s="18">
        <v>0</v>
      </c>
      <c r="TCR306" s="18">
        <v>0</v>
      </c>
      <c r="TCS306" s="18">
        <v>0</v>
      </c>
      <c r="TCT306" s="18">
        <v>0</v>
      </c>
      <c r="TCU306" s="18">
        <v>0</v>
      </c>
      <c r="TCV306" s="18">
        <v>0</v>
      </c>
      <c r="TCW306" s="18">
        <v>0</v>
      </c>
      <c r="TCX306" s="18">
        <v>0</v>
      </c>
      <c r="TCY306" s="18">
        <v>0</v>
      </c>
      <c r="TCZ306" s="18">
        <v>0</v>
      </c>
      <c r="TDA306" s="18">
        <v>0</v>
      </c>
      <c r="TDB306" s="18">
        <v>0</v>
      </c>
      <c r="TDC306" s="18">
        <v>0</v>
      </c>
      <c r="TDD306" s="18">
        <v>0</v>
      </c>
      <c r="TDE306" s="18">
        <v>0</v>
      </c>
      <c r="TDF306" s="18">
        <v>0</v>
      </c>
      <c r="TDG306" s="18">
        <v>0</v>
      </c>
      <c r="TDH306" s="18">
        <v>0</v>
      </c>
      <c r="TDI306" s="18">
        <v>0</v>
      </c>
      <c r="TDJ306" s="18">
        <v>0</v>
      </c>
      <c r="TDK306" s="18">
        <v>0</v>
      </c>
      <c r="TDL306" s="18">
        <v>0</v>
      </c>
      <c r="TDM306" s="18">
        <v>0</v>
      </c>
      <c r="TDN306" s="18">
        <v>0</v>
      </c>
      <c r="TDO306" s="18">
        <v>0</v>
      </c>
      <c r="TDP306" s="18">
        <v>0</v>
      </c>
      <c r="TDQ306" s="18">
        <v>0</v>
      </c>
      <c r="TDR306" s="18">
        <v>0</v>
      </c>
      <c r="TDS306" s="18">
        <v>0</v>
      </c>
      <c r="TDT306" s="18">
        <v>0</v>
      </c>
      <c r="TDU306" s="18">
        <v>0</v>
      </c>
      <c r="TDV306" s="18">
        <v>0</v>
      </c>
      <c r="TDW306" s="18">
        <v>0</v>
      </c>
      <c r="TDX306" s="18">
        <v>0</v>
      </c>
      <c r="TDY306" s="18">
        <v>0</v>
      </c>
      <c r="TDZ306" s="18">
        <v>0</v>
      </c>
      <c r="TEA306" s="18">
        <v>0</v>
      </c>
      <c r="TEB306" s="18">
        <v>0</v>
      </c>
      <c r="TEC306" s="18">
        <v>0</v>
      </c>
      <c r="TED306" s="18">
        <v>0</v>
      </c>
      <c r="TEE306" s="18">
        <v>0</v>
      </c>
      <c r="TEF306" s="18">
        <v>0</v>
      </c>
      <c r="TEG306" s="18">
        <v>0</v>
      </c>
      <c r="TEH306" s="18">
        <v>0</v>
      </c>
      <c r="TEI306" s="18">
        <v>0</v>
      </c>
      <c r="TEJ306" s="18">
        <v>0</v>
      </c>
      <c r="TEK306" s="18">
        <v>0</v>
      </c>
      <c r="TEL306" s="18">
        <v>0</v>
      </c>
      <c r="TEM306" s="18">
        <v>0</v>
      </c>
      <c r="TEN306" s="18">
        <v>0</v>
      </c>
      <c r="TEO306" s="18">
        <v>0</v>
      </c>
      <c r="TEP306" s="18">
        <v>0</v>
      </c>
      <c r="TEQ306" s="18">
        <v>0</v>
      </c>
      <c r="TER306" s="18">
        <v>0</v>
      </c>
      <c r="TES306" s="18">
        <v>0</v>
      </c>
      <c r="TET306" s="18">
        <v>0</v>
      </c>
      <c r="TEU306" s="18">
        <v>0</v>
      </c>
      <c r="TEV306" s="18">
        <v>0</v>
      </c>
      <c r="TEW306" s="18">
        <v>0</v>
      </c>
      <c r="TEX306" s="18">
        <v>0</v>
      </c>
      <c r="TEY306" s="18">
        <v>0</v>
      </c>
      <c r="TEZ306" s="18">
        <v>0</v>
      </c>
      <c r="TFA306" s="18">
        <v>0</v>
      </c>
      <c r="TFB306" s="18">
        <v>0</v>
      </c>
      <c r="TFC306" s="18">
        <v>0</v>
      </c>
      <c r="TFD306" s="18">
        <v>0</v>
      </c>
      <c r="TFE306" s="18">
        <v>0</v>
      </c>
      <c r="TFF306" s="18">
        <v>0</v>
      </c>
      <c r="TFG306" s="18">
        <v>0</v>
      </c>
      <c r="TFH306" s="18">
        <v>0</v>
      </c>
      <c r="TFI306" s="18">
        <v>0</v>
      </c>
      <c r="TFJ306" s="18">
        <v>0</v>
      </c>
      <c r="TFK306" s="18">
        <v>0</v>
      </c>
      <c r="TFL306" s="18">
        <v>0</v>
      </c>
      <c r="TFM306" s="18">
        <v>0</v>
      </c>
      <c r="TFN306" s="18">
        <v>0</v>
      </c>
      <c r="TFO306" s="18">
        <v>0</v>
      </c>
      <c r="TFP306" s="18">
        <v>0</v>
      </c>
      <c r="TFQ306" s="18">
        <v>0</v>
      </c>
      <c r="TFR306" s="18">
        <v>0</v>
      </c>
      <c r="TFS306" s="18">
        <v>0</v>
      </c>
      <c r="TFT306" s="18">
        <v>0</v>
      </c>
      <c r="TFU306" s="18">
        <v>0</v>
      </c>
      <c r="TFV306" s="18">
        <v>0</v>
      </c>
      <c r="TFW306" s="18">
        <v>0</v>
      </c>
      <c r="TFX306" s="18">
        <v>0</v>
      </c>
      <c r="TFY306" s="18">
        <v>0</v>
      </c>
      <c r="TFZ306" s="18">
        <v>0</v>
      </c>
      <c r="TGA306" s="18">
        <v>0</v>
      </c>
      <c r="TGB306" s="18">
        <v>0</v>
      </c>
      <c r="TGC306" s="18">
        <v>0</v>
      </c>
      <c r="TGD306" s="18">
        <v>0</v>
      </c>
      <c r="TGE306" s="18">
        <v>0</v>
      </c>
      <c r="TGF306" s="18">
        <v>0</v>
      </c>
      <c r="TGG306" s="18">
        <v>0</v>
      </c>
      <c r="TGH306" s="18">
        <v>0</v>
      </c>
      <c r="TGI306" s="18">
        <v>0</v>
      </c>
      <c r="TGJ306" s="18">
        <v>0</v>
      </c>
      <c r="TGK306" s="18">
        <v>0</v>
      </c>
      <c r="TGL306" s="18">
        <v>0</v>
      </c>
      <c r="TGM306" s="18">
        <v>0</v>
      </c>
      <c r="TGN306" s="18">
        <v>0</v>
      </c>
      <c r="TGO306" s="18">
        <v>0</v>
      </c>
      <c r="TGP306" s="18">
        <v>0</v>
      </c>
      <c r="TGQ306" s="18">
        <v>0</v>
      </c>
      <c r="TGR306" s="18">
        <v>0</v>
      </c>
      <c r="TGS306" s="18">
        <v>0</v>
      </c>
      <c r="TGT306" s="18">
        <v>0</v>
      </c>
      <c r="TGU306" s="18">
        <v>0</v>
      </c>
      <c r="TGV306" s="18">
        <v>0</v>
      </c>
      <c r="TGW306" s="18">
        <v>0</v>
      </c>
      <c r="TGX306" s="18">
        <v>0</v>
      </c>
      <c r="TGY306" s="18">
        <v>0</v>
      </c>
      <c r="TGZ306" s="18">
        <v>0</v>
      </c>
      <c r="THA306" s="18">
        <v>0</v>
      </c>
      <c r="THB306" s="18">
        <v>0</v>
      </c>
      <c r="THC306" s="18">
        <v>0</v>
      </c>
      <c r="THD306" s="18">
        <v>0</v>
      </c>
      <c r="THE306" s="18">
        <v>0</v>
      </c>
      <c r="THF306" s="18">
        <v>0</v>
      </c>
      <c r="THG306" s="18">
        <v>0</v>
      </c>
      <c r="THH306" s="18">
        <v>0</v>
      </c>
      <c r="THI306" s="18">
        <v>0</v>
      </c>
      <c r="THJ306" s="18">
        <v>0</v>
      </c>
      <c r="THK306" s="18">
        <v>0</v>
      </c>
      <c r="THL306" s="18">
        <v>0</v>
      </c>
      <c r="THM306" s="18">
        <v>0</v>
      </c>
      <c r="THN306" s="18">
        <v>0</v>
      </c>
      <c r="THO306" s="18">
        <v>0</v>
      </c>
      <c r="THP306" s="18">
        <v>0</v>
      </c>
      <c r="THQ306" s="18">
        <v>0</v>
      </c>
      <c r="THR306" s="18">
        <v>0</v>
      </c>
      <c r="THS306" s="18">
        <v>0</v>
      </c>
      <c r="THT306" s="18">
        <v>0</v>
      </c>
      <c r="THU306" s="18">
        <v>0</v>
      </c>
      <c r="THV306" s="18">
        <v>0</v>
      </c>
      <c r="THW306" s="18">
        <v>0</v>
      </c>
      <c r="THX306" s="18">
        <v>0</v>
      </c>
      <c r="THY306" s="18">
        <v>0</v>
      </c>
      <c r="THZ306" s="18">
        <v>0</v>
      </c>
      <c r="TIA306" s="18">
        <v>0</v>
      </c>
      <c r="TIB306" s="18">
        <v>0</v>
      </c>
      <c r="TIC306" s="18">
        <v>0</v>
      </c>
      <c r="TID306" s="18">
        <v>0</v>
      </c>
      <c r="TIE306" s="18">
        <v>0</v>
      </c>
      <c r="TIF306" s="18">
        <v>0</v>
      </c>
      <c r="TIG306" s="18">
        <v>0</v>
      </c>
      <c r="TIH306" s="18">
        <v>0</v>
      </c>
      <c r="TII306" s="18">
        <v>0</v>
      </c>
      <c r="TIJ306" s="18">
        <v>0</v>
      </c>
      <c r="TIK306" s="18">
        <v>0</v>
      </c>
      <c r="TIL306" s="18">
        <v>0</v>
      </c>
      <c r="TIM306" s="18">
        <v>0</v>
      </c>
      <c r="TIN306" s="18">
        <v>0</v>
      </c>
      <c r="TIO306" s="18">
        <v>0</v>
      </c>
      <c r="TIP306" s="18">
        <v>0</v>
      </c>
      <c r="TIQ306" s="18">
        <v>0</v>
      </c>
      <c r="TIR306" s="18">
        <v>0</v>
      </c>
      <c r="TIS306" s="18">
        <v>0</v>
      </c>
      <c r="TIT306" s="18">
        <v>0</v>
      </c>
      <c r="TIU306" s="18">
        <v>0</v>
      </c>
      <c r="TIV306" s="18">
        <v>0</v>
      </c>
      <c r="TIW306" s="18">
        <v>0</v>
      </c>
      <c r="TIX306" s="18">
        <v>0</v>
      </c>
      <c r="TIY306" s="18">
        <v>0</v>
      </c>
      <c r="TIZ306" s="18">
        <v>0</v>
      </c>
      <c r="TJA306" s="18">
        <v>0</v>
      </c>
      <c r="TJB306" s="18">
        <v>0</v>
      </c>
      <c r="TJC306" s="18">
        <v>0</v>
      </c>
      <c r="TJD306" s="18">
        <v>0</v>
      </c>
      <c r="TJE306" s="18">
        <v>0</v>
      </c>
      <c r="TJF306" s="18">
        <v>0</v>
      </c>
      <c r="TJG306" s="18">
        <v>0</v>
      </c>
      <c r="TJH306" s="18">
        <v>0</v>
      </c>
      <c r="TJI306" s="18">
        <v>0</v>
      </c>
      <c r="TJJ306" s="18">
        <v>0</v>
      </c>
      <c r="TJK306" s="18">
        <v>0</v>
      </c>
      <c r="TJL306" s="18">
        <v>0</v>
      </c>
      <c r="TJM306" s="18">
        <v>0</v>
      </c>
      <c r="TJN306" s="18">
        <v>0</v>
      </c>
      <c r="TJO306" s="18">
        <v>0</v>
      </c>
      <c r="TJP306" s="18">
        <v>0</v>
      </c>
      <c r="TJQ306" s="18">
        <v>0</v>
      </c>
      <c r="TJR306" s="18">
        <v>0</v>
      </c>
      <c r="TJS306" s="18">
        <v>0</v>
      </c>
      <c r="TJT306" s="18">
        <v>0</v>
      </c>
      <c r="TJU306" s="18">
        <v>0</v>
      </c>
      <c r="TJV306" s="18">
        <v>0</v>
      </c>
      <c r="TJW306" s="18">
        <v>0</v>
      </c>
      <c r="TJX306" s="18">
        <v>0</v>
      </c>
      <c r="TJY306" s="18">
        <v>0</v>
      </c>
      <c r="TJZ306" s="18">
        <v>0</v>
      </c>
      <c r="TKA306" s="18">
        <v>0</v>
      </c>
      <c r="TKB306" s="18">
        <v>0</v>
      </c>
      <c r="TKC306" s="18">
        <v>0</v>
      </c>
      <c r="TKD306" s="18">
        <v>0</v>
      </c>
      <c r="TKE306" s="18">
        <v>0</v>
      </c>
      <c r="TKF306" s="18">
        <v>0</v>
      </c>
      <c r="TKG306" s="18">
        <v>0</v>
      </c>
      <c r="TKH306" s="18">
        <v>0</v>
      </c>
      <c r="TKI306" s="18">
        <v>0</v>
      </c>
      <c r="TKJ306" s="18">
        <v>0</v>
      </c>
      <c r="TKK306" s="18">
        <v>0</v>
      </c>
      <c r="TKL306" s="18">
        <v>0</v>
      </c>
      <c r="TKM306" s="18">
        <v>0</v>
      </c>
      <c r="TKN306" s="18">
        <v>0</v>
      </c>
      <c r="TKO306" s="18">
        <v>0</v>
      </c>
      <c r="TKP306" s="18">
        <v>0</v>
      </c>
      <c r="TKQ306" s="18">
        <v>0</v>
      </c>
      <c r="TKR306" s="18">
        <v>0</v>
      </c>
      <c r="TKS306" s="18">
        <v>0</v>
      </c>
      <c r="TKT306" s="18">
        <v>0</v>
      </c>
      <c r="TKU306" s="18">
        <v>0</v>
      </c>
      <c r="TKV306" s="18">
        <v>0</v>
      </c>
      <c r="TKW306" s="18">
        <v>0</v>
      </c>
      <c r="TKX306" s="18">
        <v>0</v>
      </c>
      <c r="TKY306" s="18">
        <v>0</v>
      </c>
      <c r="TKZ306" s="18">
        <v>0</v>
      </c>
      <c r="TLA306" s="18">
        <v>0</v>
      </c>
      <c r="TLB306" s="18">
        <v>0</v>
      </c>
      <c r="TLC306" s="18">
        <v>0</v>
      </c>
      <c r="TLD306" s="18">
        <v>0</v>
      </c>
      <c r="TLE306" s="18">
        <v>0</v>
      </c>
      <c r="TLF306" s="18">
        <v>0</v>
      </c>
      <c r="TLG306" s="18">
        <v>0</v>
      </c>
      <c r="TLH306" s="18">
        <v>0</v>
      </c>
      <c r="TLI306" s="18">
        <v>0</v>
      </c>
      <c r="TLJ306" s="18">
        <v>0</v>
      </c>
      <c r="TLK306" s="18">
        <v>0</v>
      </c>
      <c r="TLL306" s="18">
        <v>0</v>
      </c>
      <c r="TLM306" s="18">
        <v>0</v>
      </c>
      <c r="TLN306" s="18">
        <v>0</v>
      </c>
      <c r="TLO306" s="18">
        <v>0</v>
      </c>
      <c r="TLP306" s="18">
        <v>0</v>
      </c>
      <c r="TLQ306" s="18">
        <v>0</v>
      </c>
      <c r="TLR306" s="18">
        <v>0</v>
      </c>
      <c r="TLS306" s="18">
        <v>0</v>
      </c>
      <c r="TLT306" s="18">
        <v>0</v>
      </c>
      <c r="TLU306" s="18">
        <v>0</v>
      </c>
      <c r="TLV306" s="18">
        <v>0</v>
      </c>
      <c r="TLW306" s="18">
        <v>0</v>
      </c>
      <c r="TLX306" s="18">
        <v>0</v>
      </c>
      <c r="TLY306" s="18">
        <v>0</v>
      </c>
      <c r="TLZ306" s="18">
        <v>0</v>
      </c>
      <c r="TMA306" s="18">
        <v>0</v>
      </c>
      <c r="TMB306" s="18">
        <v>0</v>
      </c>
      <c r="TMC306" s="18">
        <v>0</v>
      </c>
      <c r="TMD306" s="18">
        <v>0</v>
      </c>
      <c r="TME306" s="18">
        <v>0</v>
      </c>
      <c r="TMF306" s="18">
        <v>0</v>
      </c>
      <c r="TMG306" s="18">
        <v>0</v>
      </c>
      <c r="TMH306" s="18">
        <v>0</v>
      </c>
      <c r="TMI306" s="18">
        <v>0</v>
      </c>
      <c r="TMJ306" s="18">
        <v>0</v>
      </c>
      <c r="TMK306" s="18">
        <v>0</v>
      </c>
      <c r="TML306" s="18">
        <v>0</v>
      </c>
      <c r="TMM306" s="18">
        <v>0</v>
      </c>
      <c r="TMN306" s="18">
        <v>0</v>
      </c>
      <c r="TMO306" s="18">
        <v>0</v>
      </c>
      <c r="TMP306" s="18">
        <v>0</v>
      </c>
      <c r="TMQ306" s="18">
        <v>0</v>
      </c>
      <c r="TMR306" s="18">
        <v>0</v>
      </c>
      <c r="TMS306" s="18">
        <v>0</v>
      </c>
      <c r="TMT306" s="18">
        <v>0</v>
      </c>
      <c r="TMU306" s="18">
        <v>0</v>
      </c>
      <c r="TMV306" s="18">
        <v>0</v>
      </c>
      <c r="TMW306" s="18">
        <v>0</v>
      </c>
      <c r="TMX306" s="18">
        <v>0</v>
      </c>
      <c r="TMY306" s="18">
        <v>0</v>
      </c>
      <c r="TMZ306" s="18">
        <v>0</v>
      </c>
      <c r="TNA306" s="18">
        <v>0</v>
      </c>
      <c r="TNB306" s="18">
        <v>0</v>
      </c>
      <c r="TNC306" s="18">
        <v>0</v>
      </c>
      <c r="TND306" s="18">
        <v>0</v>
      </c>
      <c r="TNE306" s="18">
        <v>0</v>
      </c>
      <c r="TNF306" s="18">
        <v>0</v>
      </c>
      <c r="TNG306" s="18">
        <v>0</v>
      </c>
      <c r="TNH306" s="18">
        <v>0</v>
      </c>
      <c r="TNI306" s="18">
        <v>0</v>
      </c>
      <c r="TNJ306" s="18">
        <v>0</v>
      </c>
      <c r="TNK306" s="18">
        <v>0</v>
      </c>
      <c r="TNL306" s="18">
        <v>0</v>
      </c>
      <c r="TNM306" s="18">
        <v>0</v>
      </c>
      <c r="TNN306" s="18">
        <v>0</v>
      </c>
      <c r="TNO306" s="18">
        <v>0</v>
      </c>
      <c r="TNP306" s="18">
        <v>0</v>
      </c>
      <c r="TNQ306" s="18">
        <v>0</v>
      </c>
      <c r="TNR306" s="18">
        <v>0</v>
      </c>
      <c r="TNS306" s="18">
        <v>0</v>
      </c>
      <c r="TNT306" s="18">
        <v>0</v>
      </c>
      <c r="TNU306" s="18">
        <v>0</v>
      </c>
      <c r="TNV306" s="18">
        <v>0</v>
      </c>
      <c r="TNW306" s="18">
        <v>0</v>
      </c>
      <c r="TNX306" s="18">
        <v>0</v>
      </c>
      <c r="TNY306" s="18">
        <v>0</v>
      </c>
      <c r="TNZ306" s="18">
        <v>0</v>
      </c>
      <c r="TOA306" s="18">
        <v>0</v>
      </c>
      <c r="TOB306" s="18">
        <v>0</v>
      </c>
      <c r="TOC306" s="18">
        <v>0</v>
      </c>
      <c r="TOD306" s="18">
        <v>0</v>
      </c>
      <c r="TOE306" s="18">
        <v>0</v>
      </c>
      <c r="TOF306" s="18">
        <v>0</v>
      </c>
      <c r="TOG306" s="18">
        <v>0</v>
      </c>
      <c r="TOH306" s="18">
        <v>0</v>
      </c>
      <c r="TOI306" s="18">
        <v>0</v>
      </c>
      <c r="TOJ306" s="18">
        <v>0</v>
      </c>
      <c r="TOK306" s="18">
        <v>0</v>
      </c>
      <c r="TOL306" s="18">
        <v>0</v>
      </c>
      <c r="TOM306" s="18">
        <v>0</v>
      </c>
      <c r="TON306" s="18">
        <v>0</v>
      </c>
      <c r="TOO306" s="18">
        <v>0</v>
      </c>
      <c r="TOP306" s="18">
        <v>0</v>
      </c>
      <c r="TOQ306" s="18">
        <v>0</v>
      </c>
      <c r="TOR306" s="18">
        <v>0</v>
      </c>
      <c r="TOS306" s="18">
        <v>0</v>
      </c>
      <c r="TOT306" s="18">
        <v>0</v>
      </c>
      <c r="TOU306" s="18">
        <v>0</v>
      </c>
      <c r="TOV306" s="18">
        <v>0</v>
      </c>
      <c r="TOW306" s="18">
        <v>0</v>
      </c>
      <c r="TOX306" s="18">
        <v>0</v>
      </c>
      <c r="TOY306" s="18">
        <v>0</v>
      </c>
      <c r="TOZ306" s="18">
        <v>0</v>
      </c>
      <c r="TPA306" s="18">
        <v>0</v>
      </c>
      <c r="TPB306" s="18">
        <v>0</v>
      </c>
      <c r="TPC306" s="18">
        <v>0</v>
      </c>
      <c r="TPD306" s="18">
        <v>0</v>
      </c>
      <c r="TPE306" s="18">
        <v>0</v>
      </c>
      <c r="TPF306" s="18">
        <v>0</v>
      </c>
      <c r="TPG306" s="18">
        <v>0</v>
      </c>
      <c r="TPH306" s="18">
        <v>0</v>
      </c>
      <c r="TPI306" s="18">
        <v>0</v>
      </c>
      <c r="TPJ306" s="18">
        <v>0</v>
      </c>
      <c r="TPK306" s="18">
        <v>0</v>
      </c>
      <c r="TPL306" s="18">
        <v>0</v>
      </c>
      <c r="TPM306" s="18">
        <v>0</v>
      </c>
      <c r="TPN306" s="18">
        <v>0</v>
      </c>
      <c r="TPO306" s="18">
        <v>0</v>
      </c>
      <c r="TPP306" s="18">
        <v>0</v>
      </c>
      <c r="TPQ306" s="18">
        <v>0</v>
      </c>
      <c r="TPR306" s="18">
        <v>0</v>
      </c>
      <c r="TPS306" s="18">
        <v>0</v>
      </c>
      <c r="TPT306" s="18">
        <v>0</v>
      </c>
      <c r="TPU306" s="18">
        <v>0</v>
      </c>
      <c r="TPV306" s="18">
        <v>0</v>
      </c>
      <c r="TPW306" s="18">
        <v>0</v>
      </c>
      <c r="TPX306" s="18">
        <v>0</v>
      </c>
      <c r="TPY306" s="18">
        <v>0</v>
      </c>
      <c r="TPZ306" s="18">
        <v>0</v>
      </c>
      <c r="TQA306" s="18">
        <v>0</v>
      </c>
      <c r="TQB306" s="18">
        <v>0</v>
      </c>
      <c r="TQC306" s="18">
        <v>0</v>
      </c>
      <c r="TQD306" s="18">
        <v>0</v>
      </c>
      <c r="TQE306" s="18">
        <v>0</v>
      </c>
      <c r="TQF306" s="18">
        <v>0</v>
      </c>
      <c r="TQG306" s="18">
        <v>0</v>
      </c>
      <c r="TQH306" s="18">
        <v>0</v>
      </c>
      <c r="TQI306" s="18">
        <v>0</v>
      </c>
      <c r="TQJ306" s="18">
        <v>0</v>
      </c>
      <c r="TQK306" s="18">
        <v>0</v>
      </c>
      <c r="TQL306" s="18">
        <v>0</v>
      </c>
      <c r="TQM306" s="18">
        <v>0</v>
      </c>
      <c r="TQN306" s="18">
        <v>0</v>
      </c>
      <c r="TQO306" s="18">
        <v>0</v>
      </c>
      <c r="TQP306" s="18">
        <v>0</v>
      </c>
      <c r="TQQ306" s="18">
        <v>0</v>
      </c>
      <c r="TQR306" s="18">
        <v>0</v>
      </c>
      <c r="TQS306" s="18">
        <v>0</v>
      </c>
      <c r="TQT306" s="18">
        <v>0</v>
      </c>
      <c r="TQU306" s="18">
        <v>0</v>
      </c>
      <c r="TQV306" s="18">
        <v>0</v>
      </c>
      <c r="TQW306" s="18">
        <v>0</v>
      </c>
      <c r="TQX306" s="18">
        <v>0</v>
      </c>
      <c r="TQY306" s="18">
        <v>0</v>
      </c>
      <c r="TQZ306" s="18">
        <v>0</v>
      </c>
      <c r="TRA306" s="18">
        <v>0</v>
      </c>
      <c r="TRB306" s="18">
        <v>0</v>
      </c>
      <c r="TRC306" s="18">
        <v>0</v>
      </c>
      <c r="TRD306" s="18">
        <v>0</v>
      </c>
      <c r="TRE306" s="18">
        <v>0</v>
      </c>
      <c r="TRF306" s="18">
        <v>0</v>
      </c>
      <c r="TRG306" s="18">
        <v>0</v>
      </c>
      <c r="TRH306" s="18">
        <v>0</v>
      </c>
      <c r="TRI306" s="18">
        <v>0</v>
      </c>
      <c r="TRJ306" s="18">
        <v>0</v>
      </c>
      <c r="TRK306" s="18">
        <v>0</v>
      </c>
      <c r="TRL306" s="18">
        <v>0</v>
      </c>
      <c r="TRM306" s="18">
        <v>0</v>
      </c>
      <c r="TRN306" s="18">
        <v>0</v>
      </c>
      <c r="TRO306" s="18">
        <v>0</v>
      </c>
      <c r="TRP306" s="18">
        <v>0</v>
      </c>
      <c r="TRQ306" s="18">
        <v>0</v>
      </c>
      <c r="TRR306" s="18">
        <v>0</v>
      </c>
      <c r="TRS306" s="18">
        <v>0</v>
      </c>
      <c r="TRT306" s="18">
        <v>0</v>
      </c>
      <c r="TRU306" s="18">
        <v>0</v>
      </c>
      <c r="TRV306" s="18">
        <v>0</v>
      </c>
      <c r="TRW306" s="18">
        <v>0</v>
      </c>
      <c r="TRX306" s="18">
        <v>0</v>
      </c>
      <c r="TRY306" s="18">
        <v>0</v>
      </c>
      <c r="TRZ306" s="18">
        <v>0</v>
      </c>
      <c r="TSA306" s="18">
        <v>0</v>
      </c>
      <c r="TSB306" s="18">
        <v>0</v>
      </c>
      <c r="TSC306" s="18">
        <v>0</v>
      </c>
      <c r="TSD306" s="18">
        <v>0</v>
      </c>
      <c r="TSE306" s="18">
        <v>0</v>
      </c>
      <c r="TSF306" s="18">
        <v>0</v>
      </c>
      <c r="TSG306" s="18">
        <v>0</v>
      </c>
      <c r="TSH306" s="18">
        <v>0</v>
      </c>
      <c r="TSI306" s="18">
        <v>0</v>
      </c>
      <c r="TSJ306" s="18">
        <v>0</v>
      </c>
      <c r="TSK306" s="18">
        <v>0</v>
      </c>
      <c r="TSL306" s="18">
        <v>0</v>
      </c>
      <c r="TSM306" s="18">
        <v>0</v>
      </c>
      <c r="TSN306" s="18">
        <v>0</v>
      </c>
      <c r="TSO306" s="18">
        <v>0</v>
      </c>
      <c r="TSP306" s="18">
        <v>0</v>
      </c>
      <c r="TSQ306" s="18">
        <v>0</v>
      </c>
      <c r="TSR306" s="18">
        <v>0</v>
      </c>
      <c r="TSS306" s="18">
        <v>0</v>
      </c>
      <c r="TST306" s="18">
        <v>0</v>
      </c>
      <c r="TSU306" s="18">
        <v>0</v>
      </c>
      <c r="TSV306" s="18">
        <v>0</v>
      </c>
      <c r="TSW306" s="18">
        <v>0</v>
      </c>
      <c r="TSX306" s="18">
        <v>0</v>
      </c>
      <c r="TSY306" s="18">
        <v>0</v>
      </c>
      <c r="TSZ306" s="18">
        <v>0</v>
      </c>
      <c r="TTA306" s="18">
        <v>0</v>
      </c>
      <c r="TTB306" s="18">
        <v>0</v>
      </c>
      <c r="TTC306" s="18">
        <v>0</v>
      </c>
      <c r="TTD306" s="18">
        <v>0</v>
      </c>
      <c r="TTE306" s="18">
        <v>0</v>
      </c>
      <c r="TTF306" s="18">
        <v>0</v>
      </c>
      <c r="TTG306" s="18">
        <v>0</v>
      </c>
      <c r="TTH306" s="18">
        <v>0</v>
      </c>
      <c r="TTI306" s="18">
        <v>0</v>
      </c>
      <c r="TTJ306" s="18">
        <v>0</v>
      </c>
      <c r="TTK306" s="18">
        <v>0</v>
      </c>
      <c r="TTL306" s="18">
        <v>0</v>
      </c>
      <c r="TTM306" s="18">
        <v>0</v>
      </c>
      <c r="TTN306" s="18">
        <v>0</v>
      </c>
      <c r="TTO306" s="18">
        <v>0</v>
      </c>
      <c r="TTP306" s="18">
        <v>0</v>
      </c>
      <c r="TTQ306" s="18">
        <v>0</v>
      </c>
      <c r="TTR306" s="18">
        <v>0</v>
      </c>
      <c r="TTS306" s="18">
        <v>0</v>
      </c>
      <c r="TTT306" s="18">
        <v>0</v>
      </c>
      <c r="TTU306" s="18">
        <v>0</v>
      </c>
      <c r="TTV306" s="18">
        <v>0</v>
      </c>
      <c r="TTW306" s="18">
        <v>0</v>
      </c>
      <c r="TTX306" s="18">
        <v>0</v>
      </c>
      <c r="TTY306" s="18">
        <v>0</v>
      </c>
      <c r="TTZ306" s="18">
        <v>0</v>
      </c>
      <c r="TUA306" s="18">
        <v>0</v>
      </c>
      <c r="TUB306" s="18">
        <v>0</v>
      </c>
      <c r="TUC306" s="18">
        <v>0</v>
      </c>
      <c r="TUD306" s="18">
        <v>0</v>
      </c>
      <c r="TUE306" s="18">
        <v>0</v>
      </c>
      <c r="TUF306" s="18">
        <v>0</v>
      </c>
      <c r="TUG306" s="18">
        <v>0</v>
      </c>
      <c r="TUH306" s="18">
        <v>0</v>
      </c>
      <c r="TUI306" s="18">
        <v>0</v>
      </c>
      <c r="TUJ306" s="18">
        <v>0</v>
      </c>
      <c r="TUK306" s="18">
        <v>0</v>
      </c>
      <c r="TUL306" s="18">
        <v>0</v>
      </c>
      <c r="TUM306" s="18">
        <v>0</v>
      </c>
      <c r="TUN306" s="18">
        <v>0</v>
      </c>
      <c r="TUO306" s="18">
        <v>0</v>
      </c>
      <c r="TUP306" s="18">
        <v>0</v>
      </c>
      <c r="TUQ306" s="18">
        <v>0</v>
      </c>
      <c r="TUR306" s="18">
        <v>0</v>
      </c>
      <c r="TUS306" s="18">
        <v>0</v>
      </c>
      <c r="TUT306" s="18">
        <v>0</v>
      </c>
      <c r="TUU306" s="18">
        <v>0</v>
      </c>
      <c r="TUV306" s="18">
        <v>0</v>
      </c>
      <c r="TUW306" s="18">
        <v>0</v>
      </c>
      <c r="TUX306" s="18">
        <v>0</v>
      </c>
      <c r="TUY306" s="18">
        <v>0</v>
      </c>
      <c r="TUZ306" s="18">
        <v>0</v>
      </c>
      <c r="TVA306" s="18">
        <v>0</v>
      </c>
      <c r="TVB306" s="18">
        <v>0</v>
      </c>
      <c r="TVC306" s="18">
        <v>0</v>
      </c>
      <c r="TVD306" s="18">
        <v>0</v>
      </c>
      <c r="TVE306" s="18">
        <v>0</v>
      </c>
      <c r="TVF306" s="18">
        <v>0</v>
      </c>
      <c r="TVG306" s="18">
        <v>0</v>
      </c>
      <c r="TVH306" s="18">
        <v>0</v>
      </c>
      <c r="TVI306" s="18">
        <v>0</v>
      </c>
      <c r="TVJ306" s="18">
        <v>0</v>
      </c>
      <c r="TVK306" s="18">
        <v>0</v>
      </c>
      <c r="TVL306" s="18">
        <v>0</v>
      </c>
      <c r="TVM306" s="18">
        <v>0</v>
      </c>
      <c r="TVN306" s="18">
        <v>0</v>
      </c>
      <c r="TVO306" s="18">
        <v>0</v>
      </c>
      <c r="TVP306" s="18">
        <v>0</v>
      </c>
      <c r="TVQ306" s="18">
        <v>0</v>
      </c>
      <c r="TVR306" s="18">
        <v>0</v>
      </c>
      <c r="TVS306" s="18">
        <v>0</v>
      </c>
      <c r="TVT306" s="18">
        <v>0</v>
      </c>
      <c r="TVU306" s="18">
        <v>0</v>
      </c>
      <c r="TVV306" s="18">
        <v>0</v>
      </c>
      <c r="TVW306" s="18">
        <v>0</v>
      </c>
      <c r="TVX306" s="18">
        <v>0</v>
      </c>
      <c r="TVY306" s="18">
        <v>0</v>
      </c>
      <c r="TVZ306" s="18">
        <v>0</v>
      </c>
      <c r="TWA306" s="18">
        <v>0</v>
      </c>
      <c r="TWB306" s="18">
        <v>0</v>
      </c>
      <c r="TWC306" s="18">
        <v>0</v>
      </c>
      <c r="TWD306" s="18">
        <v>0</v>
      </c>
      <c r="TWE306" s="18">
        <v>0</v>
      </c>
      <c r="TWF306" s="18">
        <v>0</v>
      </c>
      <c r="TWG306" s="18">
        <v>0</v>
      </c>
      <c r="TWH306" s="18">
        <v>0</v>
      </c>
      <c r="TWI306" s="18">
        <v>0</v>
      </c>
      <c r="TWJ306" s="18">
        <v>0</v>
      </c>
      <c r="TWK306" s="18">
        <v>0</v>
      </c>
      <c r="TWL306" s="18">
        <v>0</v>
      </c>
      <c r="TWM306" s="18">
        <v>0</v>
      </c>
      <c r="TWN306" s="18">
        <v>0</v>
      </c>
      <c r="TWO306" s="18">
        <v>0</v>
      </c>
      <c r="TWP306" s="18">
        <v>0</v>
      </c>
      <c r="TWQ306" s="18">
        <v>0</v>
      </c>
      <c r="TWR306" s="18">
        <v>0</v>
      </c>
      <c r="TWS306" s="18">
        <v>0</v>
      </c>
      <c r="TWT306" s="18">
        <v>0</v>
      </c>
      <c r="TWU306" s="18">
        <v>0</v>
      </c>
      <c r="TWV306" s="18">
        <v>0</v>
      </c>
      <c r="TWW306" s="18">
        <v>0</v>
      </c>
      <c r="TWX306" s="18">
        <v>0</v>
      </c>
      <c r="TWY306" s="18">
        <v>0</v>
      </c>
      <c r="TWZ306" s="18">
        <v>0</v>
      </c>
      <c r="TXA306" s="18">
        <v>0</v>
      </c>
      <c r="TXB306" s="18">
        <v>0</v>
      </c>
      <c r="TXC306" s="18">
        <v>0</v>
      </c>
      <c r="TXD306" s="18">
        <v>0</v>
      </c>
      <c r="TXE306" s="18">
        <v>0</v>
      </c>
      <c r="TXF306" s="18">
        <v>0</v>
      </c>
      <c r="TXG306" s="18">
        <v>0</v>
      </c>
      <c r="TXH306" s="18">
        <v>0</v>
      </c>
      <c r="TXI306" s="18">
        <v>0</v>
      </c>
      <c r="TXJ306" s="18">
        <v>0</v>
      </c>
      <c r="TXK306" s="18">
        <v>0</v>
      </c>
      <c r="TXL306" s="18">
        <v>0</v>
      </c>
      <c r="TXM306" s="18">
        <v>0</v>
      </c>
      <c r="TXN306" s="18">
        <v>0</v>
      </c>
      <c r="TXO306" s="18">
        <v>0</v>
      </c>
      <c r="TXP306" s="18">
        <v>0</v>
      </c>
      <c r="TXQ306" s="18">
        <v>0</v>
      </c>
      <c r="TXR306" s="18">
        <v>0</v>
      </c>
      <c r="TXS306" s="18">
        <v>0</v>
      </c>
      <c r="TXT306" s="18">
        <v>0</v>
      </c>
      <c r="TXU306" s="18">
        <v>0</v>
      </c>
      <c r="TXV306" s="18">
        <v>0</v>
      </c>
      <c r="TXW306" s="18">
        <v>0</v>
      </c>
      <c r="TXX306" s="18">
        <v>0</v>
      </c>
      <c r="TXY306" s="18">
        <v>0</v>
      </c>
      <c r="TXZ306" s="18">
        <v>0</v>
      </c>
      <c r="TYA306" s="18">
        <v>0</v>
      </c>
      <c r="TYB306" s="18">
        <v>0</v>
      </c>
      <c r="TYC306" s="18">
        <v>0</v>
      </c>
      <c r="TYD306" s="18">
        <v>0</v>
      </c>
      <c r="TYE306" s="18">
        <v>0</v>
      </c>
      <c r="TYF306" s="18">
        <v>0</v>
      </c>
      <c r="TYG306" s="18">
        <v>0</v>
      </c>
      <c r="TYH306" s="18">
        <v>0</v>
      </c>
      <c r="TYI306" s="18">
        <v>0</v>
      </c>
      <c r="TYJ306" s="18">
        <v>0</v>
      </c>
      <c r="TYK306" s="18">
        <v>0</v>
      </c>
      <c r="TYL306" s="18">
        <v>0</v>
      </c>
      <c r="TYM306" s="18">
        <v>0</v>
      </c>
      <c r="TYN306" s="18">
        <v>0</v>
      </c>
      <c r="TYO306" s="18">
        <v>0</v>
      </c>
      <c r="TYP306" s="18">
        <v>0</v>
      </c>
      <c r="TYQ306" s="18">
        <v>0</v>
      </c>
      <c r="TYR306" s="18">
        <v>0</v>
      </c>
      <c r="TYS306" s="18">
        <v>0</v>
      </c>
      <c r="TYT306" s="18">
        <v>0</v>
      </c>
      <c r="TYU306" s="18">
        <v>0</v>
      </c>
      <c r="TYV306" s="18">
        <v>0</v>
      </c>
      <c r="TYW306" s="18">
        <v>0</v>
      </c>
      <c r="TYX306" s="18">
        <v>0</v>
      </c>
      <c r="TYY306" s="18">
        <v>0</v>
      </c>
      <c r="TYZ306" s="18">
        <v>0</v>
      </c>
      <c r="TZA306" s="18">
        <v>0</v>
      </c>
      <c r="TZB306" s="18">
        <v>0</v>
      </c>
      <c r="TZC306" s="18">
        <v>0</v>
      </c>
      <c r="TZD306" s="18">
        <v>0</v>
      </c>
      <c r="TZE306" s="18">
        <v>0</v>
      </c>
      <c r="TZF306" s="18">
        <v>0</v>
      </c>
      <c r="TZG306" s="18">
        <v>0</v>
      </c>
      <c r="TZH306" s="18">
        <v>0</v>
      </c>
      <c r="TZI306" s="18">
        <v>0</v>
      </c>
      <c r="TZJ306" s="18">
        <v>0</v>
      </c>
      <c r="TZK306" s="18">
        <v>0</v>
      </c>
      <c r="TZL306" s="18">
        <v>0</v>
      </c>
      <c r="TZM306" s="18">
        <v>0</v>
      </c>
      <c r="TZN306" s="18">
        <v>0</v>
      </c>
      <c r="TZO306" s="18">
        <v>0</v>
      </c>
      <c r="TZP306" s="18">
        <v>0</v>
      </c>
      <c r="TZQ306" s="18">
        <v>0</v>
      </c>
      <c r="TZR306" s="18">
        <v>0</v>
      </c>
      <c r="TZS306" s="18">
        <v>0</v>
      </c>
      <c r="TZT306" s="18">
        <v>0</v>
      </c>
      <c r="TZU306" s="18">
        <v>0</v>
      </c>
      <c r="TZV306" s="18">
        <v>0</v>
      </c>
      <c r="TZW306" s="18">
        <v>0</v>
      </c>
      <c r="TZX306" s="18">
        <v>0</v>
      </c>
      <c r="TZY306" s="18">
        <v>0</v>
      </c>
      <c r="TZZ306" s="18">
        <v>0</v>
      </c>
      <c r="UAA306" s="18">
        <v>0</v>
      </c>
      <c r="UAB306" s="18">
        <v>0</v>
      </c>
      <c r="UAC306" s="18">
        <v>0</v>
      </c>
      <c r="UAD306" s="18">
        <v>0</v>
      </c>
      <c r="UAE306" s="18">
        <v>0</v>
      </c>
      <c r="UAF306" s="18">
        <v>0</v>
      </c>
      <c r="UAG306" s="18">
        <v>0</v>
      </c>
      <c r="UAH306" s="18">
        <v>0</v>
      </c>
      <c r="UAI306" s="18">
        <v>0</v>
      </c>
      <c r="UAJ306" s="18">
        <v>0</v>
      </c>
      <c r="UAK306" s="18">
        <v>0</v>
      </c>
      <c r="UAL306" s="18">
        <v>0</v>
      </c>
      <c r="UAM306" s="18">
        <v>0</v>
      </c>
      <c r="UAN306" s="18">
        <v>0</v>
      </c>
      <c r="UAO306" s="18">
        <v>0</v>
      </c>
      <c r="UAP306" s="18">
        <v>0</v>
      </c>
      <c r="UAQ306" s="18">
        <v>0</v>
      </c>
      <c r="UAR306" s="18">
        <v>0</v>
      </c>
      <c r="UAS306" s="18">
        <v>0</v>
      </c>
      <c r="UAT306" s="18">
        <v>0</v>
      </c>
      <c r="UAU306" s="18">
        <v>0</v>
      </c>
      <c r="UAV306" s="18">
        <v>0</v>
      </c>
      <c r="UAW306" s="18">
        <v>0</v>
      </c>
      <c r="UAX306" s="18">
        <v>0</v>
      </c>
      <c r="UAY306" s="18">
        <v>0</v>
      </c>
      <c r="UAZ306" s="18">
        <v>0</v>
      </c>
      <c r="UBA306" s="18">
        <v>0</v>
      </c>
      <c r="UBB306" s="18">
        <v>0</v>
      </c>
      <c r="UBC306" s="18">
        <v>0</v>
      </c>
      <c r="UBD306" s="18">
        <v>0</v>
      </c>
      <c r="UBE306" s="18">
        <v>0</v>
      </c>
      <c r="UBF306" s="18">
        <v>0</v>
      </c>
      <c r="UBG306" s="18">
        <v>0</v>
      </c>
      <c r="UBH306" s="18">
        <v>0</v>
      </c>
      <c r="UBI306" s="18">
        <v>0</v>
      </c>
      <c r="UBJ306" s="18">
        <v>0</v>
      </c>
      <c r="UBK306" s="18">
        <v>0</v>
      </c>
      <c r="UBL306" s="18">
        <v>0</v>
      </c>
      <c r="UBM306" s="18">
        <v>0</v>
      </c>
      <c r="UBN306" s="18">
        <v>0</v>
      </c>
      <c r="UBO306" s="18">
        <v>0</v>
      </c>
      <c r="UBP306" s="18">
        <v>0</v>
      </c>
      <c r="UBQ306" s="18">
        <v>0</v>
      </c>
      <c r="UBR306" s="18">
        <v>0</v>
      </c>
      <c r="UBS306" s="18">
        <v>0</v>
      </c>
      <c r="UBT306" s="18">
        <v>0</v>
      </c>
      <c r="UBU306" s="18">
        <v>0</v>
      </c>
      <c r="UBV306" s="18">
        <v>0</v>
      </c>
      <c r="UBW306" s="18">
        <v>0</v>
      </c>
      <c r="UBX306" s="18">
        <v>0</v>
      </c>
      <c r="UBY306" s="18">
        <v>0</v>
      </c>
      <c r="UBZ306" s="18">
        <v>0</v>
      </c>
      <c r="UCA306" s="18">
        <v>0</v>
      </c>
      <c r="UCB306" s="18">
        <v>0</v>
      </c>
      <c r="UCC306" s="18">
        <v>0</v>
      </c>
      <c r="UCD306" s="18">
        <v>0</v>
      </c>
      <c r="UCE306" s="18">
        <v>0</v>
      </c>
      <c r="UCF306" s="18">
        <v>0</v>
      </c>
      <c r="UCG306" s="18">
        <v>0</v>
      </c>
      <c r="UCH306" s="18">
        <v>0</v>
      </c>
      <c r="UCI306" s="18">
        <v>0</v>
      </c>
      <c r="UCJ306" s="18">
        <v>0</v>
      </c>
      <c r="UCK306" s="18">
        <v>0</v>
      </c>
      <c r="UCL306" s="18">
        <v>0</v>
      </c>
      <c r="UCM306" s="18">
        <v>0</v>
      </c>
      <c r="UCN306" s="18">
        <v>0</v>
      </c>
      <c r="UCO306" s="18">
        <v>0</v>
      </c>
      <c r="UCP306" s="18">
        <v>0</v>
      </c>
      <c r="UCQ306" s="18">
        <v>0</v>
      </c>
      <c r="UCR306" s="18">
        <v>0</v>
      </c>
      <c r="UCS306" s="18">
        <v>0</v>
      </c>
      <c r="UCT306" s="18">
        <v>0</v>
      </c>
      <c r="UCU306" s="18">
        <v>0</v>
      </c>
      <c r="UCV306" s="18">
        <v>0</v>
      </c>
      <c r="UCW306" s="18">
        <v>0</v>
      </c>
      <c r="UCX306" s="18">
        <v>0</v>
      </c>
      <c r="UCY306" s="18">
        <v>0</v>
      </c>
      <c r="UCZ306" s="18">
        <v>0</v>
      </c>
      <c r="UDA306" s="18">
        <v>0</v>
      </c>
      <c r="UDB306" s="18">
        <v>0</v>
      </c>
      <c r="UDC306" s="18">
        <v>0</v>
      </c>
      <c r="UDD306" s="18">
        <v>0</v>
      </c>
      <c r="UDE306" s="18">
        <v>0</v>
      </c>
      <c r="UDF306" s="18">
        <v>0</v>
      </c>
      <c r="UDG306" s="18">
        <v>0</v>
      </c>
      <c r="UDH306" s="18">
        <v>0</v>
      </c>
      <c r="UDI306" s="18">
        <v>0</v>
      </c>
      <c r="UDJ306" s="18">
        <v>0</v>
      </c>
      <c r="UDK306" s="18">
        <v>0</v>
      </c>
      <c r="UDL306" s="18">
        <v>0</v>
      </c>
      <c r="UDM306" s="18">
        <v>0</v>
      </c>
      <c r="UDN306" s="18">
        <v>0</v>
      </c>
      <c r="UDO306" s="18">
        <v>0</v>
      </c>
      <c r="UDP306" s="18">
        <v>0</v>
      </c>
      <c r="UDQ306" s="18">
        <v>0</v>
      </c>
      <c r="UDR306" s="18">
        <v>0</v>
      </c>
      <c r="UDS306" s="18">
        <v>0</v>
      </c>
      <c r="UDT306" s="18">
        <v>0</v>
      </c>
      <c r="UDU306" s="18">
        <v>0</v>
      </c>
      <c r="UDV306" s="18">
        <v>0</v>
      </c>
      <c r="UDW306" s="18">
        <v>0</v>
      </c>
      <c r="UDX306" s="18">
        <v>0</v>
      </c>
      <c r="UDY306" s="18">
        <v>0</v>
      </c>
      <c r="UDZ306" s="18">
        <v>0</v>
      </c>
      <c r="UEA306" s="18">
        <v>0</v>
      </c>
      <c r="UEB306" s="18">
        <v>0</v>
      </c>
      <c r="UEC306" s="18">
        <v>0</v>
      </c>
      <c r="UED306" s="18">
        <v>0</v>
      </c>
      <c r="UEE306" s="18">
        <v>0</v>
      </c>
      <c r="UEF306" s="18">
        <v>0</v>
      </c>
      <c r="UEG306" s="18">
        <v>0</v>
      </c>
      <c r="UEH306" s="18">
        <v>0</v>
      </c>
      <c r="UEI306" s="18">
        <v>0</v>
      </c>
      <c r="UEJ306" s="18">
        <v>0</v>
      </c>
      <c r="UEK306" s="18">
        <v>0</v>
      </c>
      <c r="UEL306" s="18">
        <v>0</v>
      </c>
      <c r="UEM306" s="18">
        <v>0</v>
      </c>
      <c r="UEN306" s="18">
        <v>0</v>
      </c>
      <c r="UEO306" s="18">
        <v>0</v>
      </c>
      <c r="UEP306" s="18">
        <v>0</v>
      </c>
      <c r="UEQ306" s="18">
        <v>0</v>
      </c>
      <c r="UER306" s="18">
        <v>0</v>
      </c>
      <c r="UES306" s="18">
        <v>0</v>
      </c>
      <c r="UET306" s="18">
        <v>0</v>
      </c>
      <c r="UEU306" s="18">
        <v>0</v>
      </c>
      <c r="UEV306" s="18">
        <v>0</v>
      </c>
      <c r="UEW306" s="18">
        <v>0</v>
      </c>
      <c r="UEX306" s="18">
        <v>0</v>
      </c>
      <c r="UEY306" s="18">
        <v>0</v>
      </c>
      <c r="UEZ306" s="18">
        <v>0</v>
      </c>
      <c r="UFA306" s="18">
        <v>0</v>
      </c>
      <c r="UFB306" s="18">
        <v>0</v>
      </c>
      <c r="UFC306" s="18">
        <v>0</v>
      </c>
      <c r="UFD306" s="18">
        <v>0</v>
      </c>
      <c r="UFE306" s="18">
        <v>0</v>
      </c>
      <c r="UFF306" s="18">
        <v>0</v>
      </c>
      <c r="UFG306" s="18">
        <v>0</v>
      </c>
      <c r="UFH306" s="18">
        <v>0</v>
      </c>
      <c r="UFI306" s="18">
        <v>0</v>
      </c>
      <c r="UFJ306" s="18">
        <v>0</v>
      </c>
      <c r="UFK306" s="18">
        <v>0</v>
      </c>
      <c r="UFL306" s="18">
        <v>0</v>
      </c>
      <c r="UFM306" s="18">
        <v>0</v>
      </c>
      <c r="UFN306" s="18">
        <v>0</v>
      </c>
      <c r="UFO306" s="18">
        <v>0</v>
      </c>
      <c r="UFP306" s="18">
        <v>0</v>
      </c>
      <c r="UFQ306" s="18">
        <v>0</v>
      </c>
      <c r="UFR306" s="18">
        <v>0</v>
      </c>
      <c r="UFS306" s="18">
        <v>0</v>
      </c>
      <c r="UFT306" s="18">
        <v>0</v>
      </c>
      <c r="UFU306" s="18">
        <v>0</v>
      </c>
      <c r="UFV306" s="18">
        <v>0</v>
      </c>
      <c r="UFW306" s="18">
        <v>0</v>
      </c>
      <c r="UFX306" s="18">
        <v>0</v>
      </c>
      <c r="UFY306" s="18">
        <v>0</v>
      </c>
      <c r="UFZ306" s="18">
        <v>0</v>
      </c>
      <c r="UGA306" s="18">
        <v>0</v>
      </c>
      <c r="UGB306" s="18">
        <v>0</v>
      </c>
      <c r="UGC306" s="18">
        <v>0</v>
      </c>
      <c r="UGD306" s="18">
        <v>0</v>
      </c>
      <c r="UGE306" s="18">
        <v>0</v>
      </c>
      <c r="UGF306" s="18">
        <v>0</v>
      </c>
      <c r="UGG306" s="18">
        <v>0</v>
      </c>
      <c r="UGH306" s="18">
        <v>0</v>
      </c>
      <c r="UGI306" s="18">
        <v>0</v>
      </c>
      <c r="UGJ306" s="18">
        <v>0</v>
      </c>
      <c r="UGK306" s="18">
        <v>0</v>
      </c>
      <c r="UGL306" s="18">
        <v>0</v>
      </c>
      <c r="UGM306" s="18">
        <v>0</v>
      </c>
      <c r="UGN306" s="18">
        <v>0</v>
      </c>
      <c r="UGO306" s="18">
        <v>0</v>
      </c>
      <c r="UGP306" s="18">
        <v>0</v>
      </c>
      <c r="UGQ306" s="18">
        <v>0</v>
      </c>
      <c r="UGR306" s="18">
        <v>0</v>
      </c>
      <c r="UGS306" s="18">
        <v>0</v>
      </c>
      <c r="UGT306" s="18">
        <v>0</v>
      </c>
      <c r="UGU306" s="18">
        <v>0</v>
      </c>
      <c r="UGV306" s="18">
        <v>0</v>
      </c>
      <c r="UGW306" s="18">
        <v>0</v>
      </c>
      <c r="UGX306" s="18">
        <v>0</v>
      </c>
      <c r="UGY306" s="18">
        <v>0</v>
      </c>
      <c r="UGZ306" s="18">
        <v>0</v>
      </c>
      <c r="UHA306" s="18">
        <v>0</v>
      </c>
      <c r="UHB306" s="18">
        <v>0</v>
      </c>
      <c r="UHC306" s="18">
        <v>0</v>
      </c>
      <c r="UHD306" s="18">
        <v>0</v>
      </c>
      <c r="UHE306" s="18">
        <v>0</v>
      </c>
      <c r="UHF306" s="18">
        <v>0</v>
      </c>
      <c r="UHG306" s="18">
        <v>0</v>
      </c>
      <c r="UHH306" s="18">
        <v>0</v>
      </c>
      <c r="UHI306" s="18">
        <v>0</v>
      </c>
      <c r="UHJ306" s="18">
        <v>0</v>
      </c>
      <c r="UHK306" s="18">
        <v>0</v>
      </c>
      <c r="UHL306" s="18">
        <v>0</v>
      </c>
      <c r="UHM306" s="18">
        <v>0</v>
      </c>
      <c r="UHN306" s="18">
        <v>0</v>
      </c>
      <c r="UHO306" s="18">
        <v>0</v>
      </c>
      <c r="UHP306" s="18">
        <v>0</v>
      </c>
      <c r="UHQ306" s="18">
        <v>0</v>
      </c>
      <c r="UHR306" s="18">
        <v>0</v>
      </c>
      <c r="UHS306" s="18">
        <v>0</v>
      </c>
      <c r="UHT306" s="18">
        <v>0</v>
      </c>
      <c r="UHU306" s="18">
        <v>0</v>
      </c>
      <c r="UHV306" s="18">
        <v>0</v>
      </c>
      <c r="UHW306" s="18">
        <v>0</v>
      </c>
      <c r="UHX306" s="18">
        <v>0</v>
      </c>
      <c r="UHY306" s="18">
        <v>0</v>
      </c>
      <c r="UHZ306" s="18">
        <v>0</v>
      </c>
      <c r="UIA306" s="18">
        <v>0</v>
      </c>
      <c r="UIB306" s="18">
        <v>0</v>
      </c>
      <c r="UIC306" s="18">
        <v>0</v>
      </c>
      <c r="UID306" s="18">
        <v>0</v>
      </c>
      <c r="UIE306" s="18">
        <v>0</v>
      </c>
      <c r="UIF306" s="18">
        <v>0</v>
      </c>
      <c r="UIG306" s="18">
        <v>0</v>
      </c>
      <c r="UIH306" s="18">
        <v>0</v>
      </c>
      <c r="UII306" s="18">
        <v>0</v>
      </c>
      <c r="UIJ306" s="18">
        <v>0</v>
      </c>
      <c r="UIK306" s="18">
        <v>0</v>
      </c>
      <c r="UIL306" s="18">
        <v>0</v>
      </c>
      <c r="UIM306" s="18">
        <v>0</v>
      </c>
      <c r="UIN306" s="18">
        <v>0</v>
      </c>
      <c r="UIO306" s="18">
        <v>0</v>
      </c>
      <c r="UIP306" s="18">
        <v>0</v>
      </c>
      <c r="UIQ306" s="18">
        <v>0</v>
      </c>
      <c r="UIR306" s="18">
        <v>0</v>
      </c>
      <c r="UIS306" s="18">
        <v>0</v>
      </c>
      <c r="UIT306" s="18">
        <v>0</v>
      </c>
      <c r="UIU306" s="18">
        <v>0</v>
      </c>
      <c r="UIV306" s="18">
        <v>0</v>
      </c>
      <c r="UIW306" s="18">
        <v>0</v>
      </c>
      <c r="UIX306" s="18">
        <v>0</v>
      </c>
      <c r="UIY306" s="18">
        <v>0</v>
      </c>
      <c r="UIZ306" s="18">
        <v>0</v>
      </c>
      <c r="UJA306" s="18">
        <v>0</v>
      </c>
      <c r="UJB306" s="18">
        <v>0</v>
      </c>
      <c r="UJC306" s="18">
        <v>0</v>
      </c>
      <c r="UJD306" s="18">
        <v>0</v>
      </c>
      <c r="UJE306" s="18">
        <v>0</v>
      </c>
      <c r="UJF306" s="18">
        <v>0</v>
      </c>
      <c r="UJG306" s="18">
        <v>0</v>
      </c>
      <c r="UJH306" s="18">
        <v>0</v>
      </c>
      <c r="UJI306" s="18">
        <v>0</v>
      </c>
      <c r="UJJ306" s="18">
        <v>0</v>
      </c>
      <c r="UJK306" s="18">
        <v>0</v>
      </c>
      <c r="UJL306" s="18">
        <v>0</v>
      </c>
      <c r="UJM306" s="18">
        <v>0</v>
      </c>
      <c r="UJN306" s="18">
        <v>0</v>
      </c>
      <c r="UJO306" s="18">
        <v>0</v>
      </c>
      <c r="UJP306" s="18">
        <v>0</v>
      </c>
      <c r="UJQ306" s="18">
        <v>0</v>
      </c>
      <c r="UJR306" s="18">
        <v>0</v>
      </c>
      <c r="UJS306" s="18">
        <v>0</v>
      </c>
      <c r="UJT306" s="18">
        <v>0</v>
      </c>
      <c r="UJU306" s="18">
        <v>0</v>
      </c>
      <c r="UJV306" s="18">
        <v>0</v>
      </c>
      <c r="UJW306" s="18">
        <v>0</v>
      </c>
      <c r="UJX306" s="18">
        <v>0</v>
      </c>
      <c r="UJY306" s="18">
        <v>0</v>
      </c>
      <c r="UJZ306" s="18">
        <v>0</v>
      </c>
      <c r="UKA306" s="18">
        <v>0</v>
      </c>
      <c r="UKB306" s="18">
        <v>0</v>
      </c>
      <c r="UKC306" s="18">
        <v>0</v>
      </c>
      <c r="UKD306" s="18">
        <v>0</v>
      </c>
      <c r="UKE306" s="18">
        <v>0</v>
      </c>
      <c r="UKF306" s="18">
        <v>0</v>
      </c>
      <c r="UKG306" s="18">
        <v>0</v>
      </c>
      <c r="UKH306" s="18">
        <v>0</v>
      </c>
      <c r="UKI306" s="18">
        <v>0</v>
      </c>
      <c r="UKJ306" s="18">
        <v>0</v>
      </c>
      <c r="UKK306" s="18">
        <v>0</v>
      </c>
      <c r="UKL306" s="18">
        <v>0</v>
      </c>
      <c r="UKM306" s="18">
        <v>0</v>
      </c>
      <c r="UKN306" s="18">
        <v>0</v>
      </c>
      <c r="UKO306" s="18">
        <v>0</v>
      </c>
      <c r="UKP306" s="18">
        <v>0</v>
      </c>
      <c r="UKQ306" s="18">
        <v>0</v>
      </c>
      <c r="UKR306" s="18">
        <v>0</v>
      </c>
      <c r="UKS306" s="18">
        <v>0</v>
      </c>
      <c r="UKT306" s="18">
        <v>0</v>
      </c>
      <c r="UKU306" s="18">
        <v>0</v>
      </c>
      <c r="UKV306" s="18">
        <v>0</v>
      </c>
      <c r="UKW306" s="18">
        <v>0</v>
      </c>
      <c r="UKX306" s="18">
        <v>0</v>
      </c>
      <c r="UKY306" s="18">
        <v>0</v>
      </c>
      <c r="UKZ306" s="18">
        <v>0</v>
      </c>
      <c r="ULA306" s="18">
        <v>0</v>
      </c>
      <c r="ULB306" s="18">
        <v>0</v>
      </c>
      <c r="ULC306" s="18">
        <v>0</v>
      </c>
      <c r="ULD306" s="18">
        <v>0</v>
      </c>
      <c r="ULE306" s="18">
        <v>0</v>
      </c>
      <c r="ULF306" s="18">
        <v>0</v>
      </c>
      <c r="ULG306" s="18">
        <v>0</v>
      </c>
      <c r="ULH306" s="18">
        <v>0</v>
      </c>
      <c r="ULI306" s="18">
        <v>0</v>
      </c>
      <c r="ULJ306" s="18">
        <v>0</v>
      </c>
      <c r="ULK306" s="18">
        <v>0</v>
      </c>
      <c r="ULL306" s="18">
        <v>0</v>
      </c>
      <c r="ULM306" s="18">
        <v>0</v>
      </c>
      <c r="ULN306" s="18">
        <v>0</v>
      </c>
      <c r="ULO306" s="18">
        <v>0</v>
      </c>
      <c r="ULP306" s="18">
        <v>0</v>
      </c>
      <c r="ULQ306" s="18">
        <v>0</v>
      </c>
      <c r="ULR306" s="18">
        <v>0</v>
      </c>
      <c r="ULS306" s="18">
        <v>0</v>
      </c>
      <c r="ULT306" s="18">
        <v>0</v>
      </c>
      <c r="ULU306" s="18">
        <v>0</v>
      </c>
      <c r="ULV306" s="18">
        <v>0</v>
      </c>
      <c r="ULW306" s="18">
        <v>0</v>
      </c>
      <c r="ULX306" s="18">
        <v>0</v>
      </c>
      <c r="ULY306" s="18">
        <v>0</v>
      </c>
      <c r="ULZ306" s="18">
        <v>0</v>
      </c>
      <c r="UMA306" s="18">
        <v>0</v>
      </c>
      <c r="UMB306" s="18">
        <v>0</v>
      </c>
      <c r="UMC306" s="18">
        <v>0</v>
      </c>
      <c r="UMD306" s="18">
        <v>0</v>
      </c>
      <c r="UME306" s="18">
        <v>0</v>
      </c>
      <c r="UMF306" s="18">
        <v>0</v>
      </c>
      <c r="UMG306" s="18">
        <v>0</v>
      </c>
      <c r="UMH306" s="18">
        <v>0</v>
      </c>
      <c r="UMI306" s="18">
        <v>0</v>
      </c>
      <c r="UMJ306" s="18">
        <v>0</v>
      </c>
      <c r="UMK306" s="18">
        <v>0</v>
      </c>
      <c r="UML306" s="18">
        <v>0</v>
      </c>
      <c r="UMM306" s="18">
        <v>0</v>
      </c>
      <c r="UMN306" s="18">
        <v>0</v>
      </c>
      <c r="UMO306" s="18">
        <v>0</v>
      </c>
      <c r="UMP306" s="18">
        <v>0</v>
      </c>
      <c r="UMQ306" s="18">
        <v>0</v>
      </c>
      <c r="UMR306" s="18">
        <v>0</v>
      </c>
      <c r="UMS306" s="18">
        <v>0</v>
      </c>
      <c r="UMT306" s="18">
        <v>0</v>
      </c>
      <c r="UMU306" s="18">
        <v>0</v>
      </c>
      <c r="UMV306" s="18">
        <v>0</v>
      </c>
      <c r="UMW306" s="18">
        <v>0</v>
      </c>
      <c r="UMX306" s="18">
        <v>0</v>
      </c>
      <c r="UMY306" s="18">
        <v>0</v>
      </c>
      <c r="UMZ306" s="18">
        <v>0</v>
      </c>
      <c r="UNA306" s="18">
        <v>0</v>
      </c>
      <c r="UNB306" s="18">
        <v>0</v>
      </c>
      <c r="UNC306" s="18">
        <v>0</v>
      </c>
      <c r="UND306" s="18">
        <v>0</v>
      </c>
      <c r="UNE306" s="18">
        <v>0</v>
      </c>
      <c r="UNF306" s="18">
        <v>0</v>
      </c>
      <c r="UNG306" s="18">
        <v>0</v>
      </c>
      <c r="UNH306" s="18">
        <v>0</v>
      </c>
      <c r="UNI306" s="18">
        <v>0</v>
      </c>
      <c r="UNJ306" s="18">
        <v>0</v>
      </c>
      <c r="UNK306" s="18">
        <v>0</v>
      </c>
      <c r="UNL306" s="18">
        <v>0</v>
      </c>
      <c r="UNM306" s="18">
        <v>0</v>
      </c>
      <c r="UNN306" s="18">
        <v>0</v>
      </c>
      <c r="UNO306" s="18">
        <v>0</v>
      </c>
      <c r="UNP306" s="18">
        <v>0</v>
      </c>
      <c r="UNQ306" s="18">
        <v>0</v>
      </c>
      <c r="UNR306" s="18">
        <v>0</v>
      </c>
      <c r="UNS306" s="18">
        <v>0</v>
      </c>
      <c r="UNT306" s="18">
        <v>0</v>
      </c>
      <c r="UNU306" s="18">
        <v>0</v>
      </c>
      <c r="UNV306" s="18">
        <v>0</v>
      </c>
      <c r="UNW306" s="18">
        <v>0</v>
      </c>
      <c r="UNX306" s="18">
        <v>0</v>
      </c>
      <c r="UNY306" s="18">
        <v>0</v>
      </c>
      <c r="UNZ306" s="18">
        <v>0</v>
      </c>
      <c r="UOA306" s="18">
        <v>0</v>
      </c>
      <c r="UOB306" s="18">
        <v>0</v>
      </c>
      <c r="UOC306" s="18">
        <v>0</v>
      </c>
      <c r="UOD306" s="18">
        <v>0</v>
      </c>
      <c r="UOE306" s="18">
        <v>0</v>
      </c>
      <c r="UOF306" s="18">
        <v>0</v>
      </c>
      <c r="UOG306" s="18">
        <v>0</v>
      </c>
      <c r="UOH306" s="18">
        <v>0</v>
      </c>
      <c r="UOI306" s="18">
        <v>0</v>
      </c>
      <c r="UOJ306" s="18">
        <v>0</v>
      </c>
      <c r="UOK306" s="18">
        <v>0</v>
      </c>
      <c r="UOL306" s="18">
        <v>0</v>
      </c>
      <c r="UOM306" s="18">
        <v>0</v>
      </c>
      <c r="UON306" s="18">
        <v>0</v>
      </c>
      <c r="UOO306" s="18">
        <v>0</v>
      </c>
      <c r="UOP306" s="18">
        <v>0</v>
      </c>
      <c r="UOQ306" s="18">
        <v>0</v>
      </c>
      <c r="UOR306" s="18">
        <v>0</v>
      </c>
      <c r="UOS306" s="18">
        <v>0</v>
      </c>
      <c r="UOT306" s="18">
        <v>0</v>
      </c>
      <c r="UOU306" s="18">
        <v>0</v>
      </c>
      <c r="UOV306" s="18">
        <v>0</v>
      </c>
      <c r="UOW306" s="18">
        <v>0</v>
      </c>
      <c r="UOX306" s="18">
        <v>0</v>
      </c>
      <c r="UOY306" s="18">
        <v>0</v>
      </c>
      <c r="UOZ306" s="18">
        <v>0</v>
      </c>
      <c r="UPA306" s="18">
        <v>0</v>
      </c>
      <c r="UPB306" s="18">
        <v>0</v>
      </c>
      <c r="UPC306" s="18">
        <v>0</v>
      </c>
      <c r="UPD306" s="18">
        <v>0</v>
      </c>
      <c r="UPE306" s="18">
        <v>0</v>
      </c>
      <c r="UPF306" s="18">
        <v>0</v>
      </c>
      <c r="UPG306" s="18">
        <v>0</v>
      </c>
      <c r="UPH306" s="18">
        <v>0</v>
      </c>
      <c r="UPI306" s="18">
        <v>0</v>
      </c>
      <c r="UPJ306" s="18">
        <v>0</v>
      </c>
      <c r="UPK306" s="18">
        <v>0</v>
      </c>
      <c r="UPL306" s="18">
        <v>0</v>
      </c>
      <c r="UPM306" s="18">
        <v>0</v>
      </c>
      <c r="UPN306" s="18">
        <v>0</v>
      </c>
      <c r="UPO306" s="18">
        <v>0</v>
      </c>
      <c r="UPP306" s="18">
        <v>0</v>
      </c>
      <c r="UPQ306" s="18">
        <v>0</v>
      </c>
      <c r="UPR306" s="18">
        <v>0</v>
      </c>
      <c r="UPS306" s="18">
        <v>0</v>
      </c>
      <c r="UPT306" s="18">
        <v>0</v>
      </c>
      <c r="UPU306" s="18">
        <v>0</v>
      </c>
      <c r="UPV306" s="18">
        <v>0</v>
      </c>
      <c r="UPW306" s="18">
        <v>0</v>
      </c>
      <c r="UPX306" s="18">
        <v>0</v>
      </c>
      <c r="UPY306" s="18">
        <v>0</v>
      </c>
      <c r="UPZ306" s="18">
        <v>0</v>
      </c>
      <c r="UQA306" s="18">
        <v>0</v>
      </c>
      <c r="UQB306" s="18">
        <v>0</v>
      </c>
      <c r="UQC306" s="18">
        <v>0</v>
      </c>
      <c r="UQD306" s="18">
        <v>0</v>
      </c>
      <c r="UQE306" s="18">
        <v>0</v>
      </c>
      <c r="UQF306" s="18">
        <v>0</v>
      </c>
      <c r="UQG306" s="18">
        <v>0</v>
      </c>
      <c r="UQH306" s="18">
        <v>0</v>
      </c>
      <c r="UQI306" s="18">
        <v>0</v>
      </c>
      <c r="UQJ306" s="18">
        <v>0</v>
      </c>
      <c r="UQK306" s="18">
        <v>0</v>
      </c>
      <c r="UQL306" s="18">
        <v>0</v>
      </c>
      <c r="UQM306" s="18">
        <v>0</v>
      </c>
      <c r="UQN306" s="18">
        <v>0</v>
      </c>
      <c r="UQO306" s="18">
        <v>0</v>
      </c>
      <c r="UQP306" s="18">
        <v>0</v>
      </c>
      <c r="UQQ306" s="18">
        <v>0</v>
      </c>
      <c r="UQR306" s="18">
        <v>0</v>
      </c>
      <c r="UQS306" s="18">
        <v>0</v>
      </c>
      <c r="UQT306" s="18">
        <v>0</v>
      </c>
      <c r="UQU306" s="18">
        <v>0</v>
      </c>
      <c r="UQV306" s="18">
        <v>0</v>
      </c>
      <c r="UQW306" s="18">
        <v>0</v>
      </c>
      <c r="UQX306" s="18">
        <v>0</v>
      </c>
      <c r="UQY306" s="18">
        <v>0</v>
      </c>
      <c r="UQZ306" s="18">
        <v>0</v>
      </c>
      <c r="URA306" s="18">
        <v>0</v>
      </c>
      <c r="URB306" s="18">
        <v>0</v>
      </c>
      <c r="URC306" s="18">
        <v>0</v>
      </c>
      <c r="URD306" s="18">
        <v>0</v>
      </c>
      <c r="URE306" s="18">
        <v>0</v>
      </c>
      <c r="URF306" s="18">
        <v>0</v>
      </c>
      <c r="URG306" s="18">
        <v>0</v>
      </c>
      <c r="URH306" s="18">
        <v>0</v>
      </c>
      <c r="URI306" s="18">
        <v>0</v>
      </c>
      <c r="URJ306" s="18">
        <v>0</v>
      </c>
      <c r="URK306" s="18">
        <v>0</v>
      </c>
      <c r="URL306" s="18">
        <v>0</v>
      </c>
      <c r="URM306" s="18">
        <v>0</v>
      </c>
      <c r="URN306" s="18">
        <v>0</v>
      </c>
      <c r="URO306" s="18">
        <v>0</v>
      </c>
      <c r="URP306" s="18">
        <v>0</v>
      </c>
      <c r="URQ306" s="18">
        <v>0</v>
      </c>
      <c r="URR306" s="18">
        <v>0</v>
      </c>
      <c r="URS306" s="18">
        <v>0</v>
      </c>
      <c r="URT306" s="18">
        <v>0</v>
      </c>
      <c r="URU306" s="18">
        <v>0</v>
      </c>
      <c r="URV306" s="18">
        <v>0</v>
      </c>
      <c r="URW306" s="18">
        <v>0</v>
      </c>
      <c r="URX306" s="18">
        <v>0</v>
      </c>
      <c r="URY306" s="18">
        <v>0</v>
      </c>
      <c r="URZ306" s="18">
        <v>0</v>
      </c>
      <c r="USA306" s="18">
        <v>0</v>
      </c>
      <c r="USB306" s="18">
        <v>0</v>
      </c>
      <c r="USC306" s="18">
        <v>0</v>
      </c>
      <c r="USD306" s="18">
        <v>0</v>
      </c>
      <c r="USE306" s="18">
        <v>0</v>
      </c>
      <c r="USF306" s="18">
        <v>0</v>
      </c>
      <c r="USG306" s="18">
        <v>0</v>
      </c>
      <c r="USH306" s="18">
        <v>0</v>
      </c>
      <c r="USI306" s="18">
        <v>0</v>
      </c>
      <c r="USJ306" s="18">
        <v>0</v>
      </c>
      <c r="USK306" s="18">
        <v>0</v>
      </c>
      <c r="USL306" s="18">
        <v>0</v>
      </c>
      <c r="USM306" s="18">
        <v>0</v>
      </c>
      <c r="USN306" s="18">
        <v>0</v>
      </c>
      <c r="USO306" s="18">
        <v>0</v>
      </c>
      <c r="USP306" s="18">
        <v>0</v>
      </c>
      <c r="USQ306" s="18">
        <v>0</v>
      </c>
      <c r="USR306" s="18">
        <v>0</v>
      </c>
      <c r="USS306" s="18">
        <v>0</v>
      </c>
      <c r="UST306" s="18">
        <v>0</v>
      </c>
      <c r="USU306" s="18">
        <v>0</v>
      </c>
      <c r="USV306" s="18">
        <v>0</v>
      </c>
      <c r="USW306" s="18">
        <v>0</v>
      </c>
      <c r="USX306" s="18">
        <v>0</v>
      </c>
      <c r="USY306" s="18">
        <v>0</v>
      </c>
      <c r="USZ306" s="18">
        <v>0</v>
      </c>
      <c r="UTA306" s="18">
        <v>0</v>
      </c>
      <c r="UTB306" s="18">
        <v>0</v>
      </c>
      <c r="UTC306" s="18">
        <v>0</v>
      </c>
      <c r="UTD306" s="18">
        <v>0</v>
      </c>
      <c r="UTE306" s="18">
        <v>0</v>
      </c>
      <c r="UTF306" s="18">
        <v>0</v>
      </c>
      <c r="UTG306" s="18">
        <v>0</v>
      </c>
      <c r="UTH306" s="18">
        <v>0</v>
      </c>
      <c r="UTI306" s="18">
        <v>0</v>
      </c>
      <c r="UTJ306" s="18">
        <v>0</v>
      </c>
      <c r="UTK306" s="18">
        <v>0</v>
      </c>
      <c r="UTL306" s="18">
        <v>0</v>
      </c>
      <c r="UTM306" s="18">
        <v>0</v>
      </c>
      <c r="UTN306" s="18">
        <v>0</v>
      </c>
      <c r="UTO306" s="18">
        <v>0</v>
      </c>
      <c r="UTP306" s="18">
        <v>0</v>
      </c>
      <c r="UTQ306" s="18">
        <v>0</v>
      </c>
      <c r="UTR306" s="18">
        <v>0</v>
      </c>
      <c r="UTS306" s="18">
        <v>0</v>
      </c>
      <c r="UTT306" s="18">
        <v>0</v>
      </c>
      <c r="UTU306" s="18">
        <v>0</v>
      </c>
      <c r="UTV306" s="18">
        <v>0</v>
      </c>
      <c r="UTW306" s="18">
        <v>0</v>
      </c>
      <c r="UTX306" s="18">
        <v>0</v>
      </c>
      <c r="UTY306" s="18">
        <v>0</v>
      </c>
      <c r="UTZ306" s="18">
        <v>0</v>
      </c>
      <c r="UUA306" s="18">
        <v>0</v>
      </c>
      <c r="UUB306" s="18">
        <v>0</v>
      </c>
      <c r="UUC306" s="18">
        <v>0</v>
      </c>
      <c r="UUD306" s="18">
        <v>0</v>
      </c>
      <c r="UUE306" s="18">
        <v>0</v>
      </c>
      <c r="UUF306" s="18">
        <v>0</v>
      </c>
      <c r="UUG306" s="18">
        <v>0</v>
      </c>
      <c r="UUH306" s="18">
        <v>0</v>
      </c>
      <c r="UUI306" s="18">
        <v>0</v>
      </c>
      <c r="UUJ306" s="18">
        <v>0</v>
      </c>
      <c r="UUK306" s="18">
        <v>0</v>
      </c>
      <c r="UUL306" s="18">
        <v>0</v>
      </c>
      <c r="UUM306" s="18">
        <v>0</v>
      </c>
      <c r="UUN306" s="18">
        <v>0</v>
      </c>
      <c r="UUO306" s="18">
        <v>0</v>
      </c>
      <c r="UUP306" s="18">
        <v>0</v>
      </c>
      <c r="UUQ306" s="18">
        <v>0</v>
      </c>
      <c r="UUR306" s="18">
        <v>0</v>
      </c>
      <c r="UUS306" s="18">
        <v>0</v>
      </c>
      <c r="UUT306" s="18">
        <v>0</v>
      </c>
      <c r="UUU306" s="18">
        <v>0</v>
      </c>
      <c r="UUV306" s="18">
        <v>0</v>
      </c>
      <c r="UUW306" s="18">
        <v>0</v>
      </c>
      <c r="UUX306" s="18">
        <v>0</v>
      </c>
      <c r="UUY306" s="18">
        <v>0</v>
      </c>
      <c r="UUZ306" s="18">
        <v>0</v>
      </c>
      <c r="UVA306" s="18">
        <v>0</v>
      </c>
      <c r="UVB306" s="18">
        <v>0</v>
      </c>
      <c r="UVC306" s="18">
        <v>0</v>
      </c>
      <c r="UVD306" s="18">
        <v>0</v>
      </c>
      <c r="UVE306" s="18">
        <v>0</v>
      </c>
      <c r="UVF306" s="18">
        <v>0</v>
      </c>
      <c r="UVG306" s="18">
        <v>0</v>
      </c>
      <c r="UVH306" s="18">
        <v>0</v>
      </c>
      <c r="UVI306" s="18">
        <v>0</v>
      </c>
      <c r="UVJ306" s="18">
        <v>0</v>
      </c>
      <c r="UVK306" s="18">
        <v>0</v>
      </c>
      <c r="UVL306" s="18">
        <v>0</v>
      </c>
      <c r="UVM306" s="18">
        <v>0</v>
      </c>
      <c r="UVN306" s="18">
        <v>0</v>
      </c>
      <c r="UVO306" s="18">
        <v>0</v>
      </c>
      <c r="UVP306" s="18">
        <v>0</v>
      </c>
      <c r="UVQ306" s="18">
        <v>0</v>
      </c>
      <c r="UVR306" s="18">
        <v>0</v>
      </c>
      <c r="UVS306" s="18">
        <v>0</v>
      </c>
      <c r="UVT306" s="18">
        <v>0</v>
      </c>
      <c r="UVU306" s="18">
        <v>0</v>
      </c>
      <c r="UVV306" s="18">
        <v>0</v>
      </c>
      <c r="UVW306" s="18">
        <v>0</v>
      </c>
      <c r="UVX306" s="18">
        <v>0</v>
      </c>
      <c r="UVY306" s="18">
        <v>0</v>
      </c>
      <c r="UVZ306" s="18">
        <v>0</v>
      </c>
      <c r="UWA306" s="18">
        <v>0</v>
      </c>
      <c r="UWB306" s="18">
        <v>0</v>
      </c>
      <c r="UWC306" s="18">
        <v>0</v>
      </c>
      <c r="UWD306" s="18">
        <v>0</v>
      </c>
      <c r="UWE306" s="18">
        <v>0</v>
      </c>
      <c r="UWF306" s="18">
        <v>0</v>
      </c>
      <c r="UWG306" s="18">
        <v>0</v>
      </c>
      <c r="UWH306" s="18">
        <v>0</v>
      </c>
      <c r="UWI306" s="18">
        <v>0</v>
      </c>
      <c r="UWJ306" s="18">
        <v>0</v>
      </c>
      <c r="UWK306" s="18">
        <v>0</v>
      </c>
      <c r="UWL306" s="18">
        <v>0</v>
      </c>
      <c r="UWM306" s="18">
        <v>0</v>
      </c>
      <c r="UWN306" s="18">
        <v>0</v>
      </c>
      <c r="UWO306" s="18">
        <v>0</v>
      </c>
      <c r="UWP306" s="18">
        <v>0</v>
      </c>
      <c r="UWQ306" s="18">
        <v>0</v>
      </c>
      <c r="UWR306" s="18">
        <v>0</v>
      </c>
      <c r="UWS306" s="18">
        <v>0</v>
      </c>
      <c r="UWT306" s="18">
        <v>0</v>
      </c>
      <c r="UWU306" s="18">
        <v>0</v>
      </c>
      <c r="UWV306" s="18">
        <v>0</v>
      </c>
      <c r="UWW306" s="18">
        <v>0</v>
      </c>
      <c r="UWX306" s="18">
        <v>0</v>
      </c>
      <c r="UWY306" s="18">
        <v>0</v>
      </c>
      <c r="UWZ306" s="18">
        <v>0</v>
      </c>
      <c r="UXA306" s="18">
        <v>0</v>
      </c>
      <c r="UXB306" s="18">
        <v>0</v>
      </c>
      <c r="UXC306" s="18">
        <v>0</v>
      </c>
      <c r="UXD306" s="18">
        <v>0</v>
      </c>
      <c r="UXE306" s="18">
        <v>0</v>
      </c>
      <c r="UXF306" s="18">
        <v>0</v>
      </c>
      <c r="UXG306" s="18">
        <v>0</v>
      </c>
      <c r="UXH306" s="18">
        <v>0</v>
      </c>
      <c r="UXI306" s="18">
        <v>0</v>
      </c>
      <c r="UXJ306" s="18">
        <v>0</v>
      </c>
      <c r="UXK306" s="18">
        <v>0</v>
      </c>
      <c r="UXL306" s="18">
        <v>0</v>
      </c>
      <c r="UXM306" s="18">
        <v>0</v>
      </c>
      <c r="UXN306" s="18">
        <v>0</v>
      </c>
      <c r="UXO306" s="18">
        <v>0</v>
      </c>
      <c r="UXP306" s="18">
        <v>0</v>
      </c>
      <c r="UXQ306" s="18">
        <v>0</v>
      </c>
      <c r="UXR306" s="18">
        <v>0</v>
      </c>
      <c r="UXS306" s="18">
        <v>0</v>
      </c>
      <c r="UXT306" s="18">
        <v>0</v>
      </c>
      <c r="UXU306" s="18">
        <v>0</v>
      </c>
      <c r="UXV306" s="18">
        <v>0</v>
      </c>
      <c r="UXW306" s="18">
        <v>0</v>
      </c>
      <c r="UXX306" s="18">
        <v>0</v>
      </c>
      <c r="UXY306" s="18">
        <v>0</v>
      </c>
      <c r="UXZ306" s="18">
        <v>0</v>
      </c>
      <c r="UYA306" s="18">
        <v>0</v>
      </c>
      <c r="UYB306" s="18">
        <v>0</v>
      </c>
      <c r="UYC306" s="18">
        <v>0</v>
      </c>
      <c r="UYD306" s="18">
        <v>0</v>
      </c>
      <c r="UYE306" s="18">
        <v>0</v>
      </c>
      <c r="UYF306" s="18">
        <v>0</v>
      </c>
      <c r="UYG306" s="18">
        <v>0</v>
      </c>
      <c r="UYH306" s="18">
        <v>0</v>
      </c>
      <c r="UYI306" s="18">
        <v>0</v>
      </c>
      <c r="UYJ306" s="18">
        <v>0</v>
      </c>
      <c r="UYK306" s="18">
        <v>0</v>
      </c>
      <c r="UYL306" s="18">
        <v>0</v>
      </c>
      <c r="UYM306" s="18">
        <v>0</v>
      </c>
      <c r="UYN306" s="18">
        <v>0</v>
      </c>
      <c r="UYO306" s="18">
        <v>0</v>
      </c>
      <c r="UYP306" s="18">
        <v>0</v>
      </c>
      <c r="UYQ306" s="18">
        <v>0</v>
      </c>
      <c r="UYR306" s="18">
        <v>0</v>
      </c>
      <c r="UYS306" s="18">
        <v>0</v>
      </c>
      <c r="UYT306" s="18">
        <v>0</v>
      </c>
      <c r="UYU306" s="18">
        <v>0</v>
      </c>
      <c r="UYV306" s="18">
        <v>0</v>
      </c>
      <c r="UYW306" s="18">
        <v>0</v>
      </c>
      <c r="UYX306" s="18">
        <v>0</v>
      </c>
      <c r="UYY306" s="18">
        <v>0</v>
      </c>
      <c r="UYZ306" s="18">
        <v>0</v>
      </c>
      <c r="UZA306" s="18">
        <v>0</v>
      </c>
      <c r="UZB306" s="18">
        <v>0</v>
      </c>
      <c r="UZC306" s="18">
        <v>0</v>
      </c>
      <c r="UZD306" s="18">
        <v>0</v>
      </c>
      <c r="UZE306" s="18">
        <v>0</v>
      </c>
      <c r="UZF306" s="18">
        <v>0</v>
      </c>
      <c r="UZG306" s="18">
        <v>0</v>
      </c>
      <c r="UZH306" s="18">
        <v>0</v>
      </c>
      <c r="UZI306" s="18">
        <v>0</v>
      </c>
      <c r="UZJ306" s="18">
        <v>0</v>
      </c>
      <c r="UZK306" s="18">
        <v>0</v>
      </c>
      <c r="UZL306" s="18">
        <v>0</v>
      </c>
      <c r="UZM306" s="18">
        <v>0</v>
      </c>
      <c r="UZN306" s="18">
        <v>0</v>
      </c>
      <c r="UZO306" s="18">
        <v>0</v>
      </c>
      <c r="UZP306" s="18">
        <v>0</v>
      </c>
      <c r="UZQ306" s="18">
        <v>0</v>
      </c>
      <c r="UZR306" s="18">
        <v>0</v>
      </c>
      <c r="UZS306" s="18">
        <v>0</v>
      </c>
      <c r="UZT306" s="18">
        <v>0</v>
      </c>
      <c r="UZU306" s="18">
        <v>0</v>
      </c>
      <c r="UZV306" s="18">
        <v>0</v>
      </c>
      <c r="UZW306" s="18">
        <v>0</v>
      </c>
      <c r="UZX306" s="18">
        <v>0</v>
      </c>
      <c r="UZY306" s="18">
        <v>0</v>
      </c>
      <c r="UZZ306" s="18">
        <v>0</v>
      </c>
      <c r="VAA306" s="18">
        <v>0</v>
      </c>
      <c r="VAB306" s="18">
        <v>0</v>
      </c>
      <c r="VAC306" s="18">
        <v>0</v>
      </c>
      <c r="VAD306" s="18">
        <v>0</v>
      </c>
      <c r="VAE306" s="18">
        <v>0</v>
      </c>
      <c r="VAF306" s="18">
        <v>0</v>
      </c>
      <c r="VAG306" s="18">
        <v>0</v>
      </c>
      <c r="VAH306" s="18">
        <v>0</v>
      </c>
      <c r="VAI306" s="18">
        <v>0</v>
      </c>
      <c r="VAJ306" s="18">
        <v>0</v>
      </c>
      <c r="VAK306" s="18">
        <v>0</v>
      </c>
      <c r="VAL306" s="18">
        <v>0</v>
      </c>
      <c r="VAM306" s="18">
        <v>0</v>
      </c>
      <c r="VAN306" s="18">
        <v>0</v>
      </c>
      <c r="VAO306" s="18">
        <v>0</v>
      </c>
      <c r="VAP306" s="18">
        <v>0</v>
      </c>
      <c r="VAQ306" s="18">
        <v>0</v>
      </c>
      <c r="VAR306" s="18">
        <v>0</v>
      </c>
      <c r="VAS306" s="18">
        <v>0</v>
      </c>
      <c r="VAT306" s="18">
        <v>0</v>
      </c>
      <c r="VAU306" s="18">
        <v>0</v>
      </c>
      <c r="VAV306" s="18">
        <v>0</v>
      </c>
      <c r="VAW306" s="18">
        <v>0</v>
      </c>
      <c r="VAX306" s="18">
        <v>0</v>
      </c>
      <c r="VAY306" s="18">
        <v>0</v>
      </c>
      <c r="VAZ306" s="18">
        <v>0</v>
      </c>
      <c r="VBA306" s="18">
        <v>0</v>
      </c>
      <c r="VBB306" s="18">
        <v>0</v>
      </c>
      <c r="VBC306" s="18">
        <v>0</v>
      </c>
      <c r="VBD306" s="18">
        <v>0</v>
      </c>
      <c r="VBE306" s="18">
        <v>0</v>
      </c>
      <c r="VBF306" s="18">
        <v>0</v>
      </c>
      <c r="VBG306" s="18">
        <v>0</v>
      </c>
      <c r="VBH306" s="18">
        <v>0</v>
      </c>
      <c r="VBI306" s="18">
        <v>0</v>
      </c>
      <c r="VBJ306" s="18">
        <v>0</v>
      </c>
      <c r="VBK306" s="18">
        <v>0</v>
      </c>
      <c r="VBL306" s="18">
        <v>0</v>
      </c>
      <c r="VBM306" s="18">
        <v>0</v>
      </c>
      <c r="VBN306" s="18">
        <v>0</v>
      </c>
      <c r="VBO306" s="18">
        <v>0</v>
      </c>
      <c r="VBP306" s="18">
        <v>0</v>
      </c>
      <c r="VBQ306" s="18">
        <v>0</v>
      </c>
      <c r="VBR306" s="18">
        <v>0</v>
      </c>
      <c r="VBS306" s="18">
        <v>0</v>
      </c>
      <c r="VBT306" s="18">
        <v>0</v>
      </c>
      <c r="VBU306" s="18">
        <v>0</v>
      </c>
      <c r="VBV306" s="18">
        <v>0</v>
      </c>
      <c r="VBW306" s="18">
        <v>0</v>
      </c>
      <c r="VBX306" s="18">
        <v>0</v>
      </c>
      <c r="VBY306" s="18">
        <v>0</v>
      </c>
      <c r="VBZ306" s="18">
        <v>0</v>
      </c>
      <c r="VCA306" s="18">
        <v>0</v>
      </c>
      <c r="VCB306" s="18">
        <v>0</v>
      </c>
      <c r="VCC306" s="18">
        <v>0</v>
      </c>
      <c r="VCD306" s="18">
        <v>0</v>
      </c>
      <c r="VCE306" s="18">
        <v>0</v>
      </c>
      <c r="VCF306" s="18">
        <v>0</v>
      </c>
      <c r="VCG306" s="18">
        <v>0</v>
      </c>
      <c r="VCH306" s="18">
        <v>0</v>
      </c>
      <c r="VCI306" s="18">
        <v>0</v>
      </c>
      <c r="VCJ306" s="18">
        <v>0</v>
      </c>
      <c r="VCK306" s="18">
        <v>0</v>
      </c>
      <c r="VCL306" s="18">
        <v>0</v>
      </c>
      <c r="VCM306" s="18">
        <v>0</v>
      </c>
      <c r="VCN306" s="18">
        <v>0</v>
      </c>
      <c r="VCO306" s="18">
        <v>0</v>
      </c>
      <c r="VCP306" s="18">
        <v>0</v>
      </c>
      <c r="VCQ306" s="18">
        <v>0</v>
      </c>
      <c r="VCR306" s="18">
        <v>0</v>
      </c>
      <c r="VCS306" s="18">
        <v>0</v>
      </c>
      <c r="VCT306" s="18">
        <v>0</v>
      </c>
      <c r="VCU306" s="18">
        <v>0</v>
      </c>
      <c r="VCV306" s="18">
        <v>0</v>
      </c>
      <c r="VCW306" s="18">
        <v>0</v>
      </c>
      <c r="VCX306" s="18">
        <v>0</v>
      </c>
      <c r="VCY306" s="18">
        <v>0</v>
      </c>
      <c r="VCZ306" s="18">
        <v>0</v>
      </c>
      <c r="VDA306" s="18">
        <v>0</v>
      </c>
      <c r="VDB306" s="18">
        <v>0</v>
      </c>
      <c r="VDC306" s="18">
        <v>0</v>
      </c>
      <c r="VDD306" s="18">
        <v>0</v>
      </c>
      <c r="VDE306" s="18">
        <v>0</v>
      </c>
      <c r="VDF306" s="18">
        <v>0</v>
      </c>
      <c r="VDG306" s="18">
        <v>0</v>
      </c>
      <c r="VDH306" s="18">
        <v>0</v>
      </c>
      <c r="VDI306" s="18">
        <v>0</v>
      </c>
      <c r="VDJ306" s="18">
        <v>0</v>
      </c>
      <c r="VDK306" s="18">
        <v>0</v>
      </c>
      <c r="VDL306" s="18">
        <v>0</v>
      </c>
      <c r="VDM306" s="18">
        <v>0</v>
      </c>
      <c r="VDN306" s="18">
        <v>0</v>
      </c>
      <c r="VDO306" s="18">
        <v>0</v>
      </c>
      <c r="VDP306" s="18">
        <v>0</v>
      </c>
      <c r="VDQ306" s="18">
        <v>0</v>
      </c>
      <c r="VDR306" s="18">
        <v>0</v>
      </c>
      <c r="VDS306" s="18">
        <v>0</v>
      </c>
      <c r="VDT306" s="18">
        <v>0</v>
      </c>
      <c r="VDU306" s="18">
        <v>0</v>
      </c>
      <c r="VDV306" s="18">
        <v>0</v>
      </c>
      <c r="VDW306" s="18">
        <v>0</v>
      </c>
      <c r="VDX306" s="18">
        <v>0</v>
      </c>
      <c r="VDY306" s="18">
        <v>0</v>
      </c>
      <c r="VDZ306" s="18">
        <v>0</v>
      </c>
      <c r="VEA306" s="18">
        <v>0</v>
      </c>
      <c r="VEB306" s="18">
        <v>0</v>
      </c>
      <c r="VEC306" s="18">
        <v>0</v>
      </c>
      <c r="VED306" s="18">
        <v>0</v>
      </c>
      <c r="VEE306" s="18">
        <v>0</v>
      </c>
      <c r="VEF306" s="18">
        <v>0</v>
      </c>
      <c r="VEG306" s="18">
        <v>0</v>
      </c>
      <c r="VEH306" s="18">
        <v>0</v>
      </c>
      <c r="VEI306" s="18">
        <v>0</v>
      </c>
      <c r="VEJ306" s="18">
        <v>0</v>
      </c>
      <c r="VEK306" s="18">
        <v>0</v>
      </c>
      <c r="VEL306" s="18">
        <v>0</v>
      </c>
      <c r="VEM306" s="18">
        <v>0</v>
      </c>
      <c r="VEN306" s="18">
        <v>0</v>
      </c>
      <c r="VEO306" s="18">
        <v>0</v>
      </c>
      <c r="VEP306" s="18">
        <v>0</v>
      </c>
      <c r="VEQ306" s="18">
        <v>0</v>
      </c>
      <c r="VER306" s="18">
        <v>0</v>
      </c>
      <c r="VES306" s="18">
        <v>0</v>
      </c>
      <c r="VET306" s="18">
        <v>0</v>
      </c>
      <c r="VEU306" s="18">
        <v>0</v>
      </c>
      <c r="VEV306" s="18">
        <v>0</v>
      </c>
      <c r="VEW306" s="18">
        <v>0</v>
      </c>
      <c r="VEX306" s="18">
        <v>0</v>
      </c>
      <c r="VEY306" s="18">
        <v>0</v>
      </c>
      <c r="VEZ306" s="18">
        <v>0</v>
      </c>
      <c r="VFA306" s="18">
        <v>0</v>
      </c>
      <c r="VFB306" s="18">
        <v>0</v>
      </c>
      <c r="VFC306" s="18">
        <v>0</v>
      </c>
      <c r="VFD306" s="18">
        <v>0</v>
      </c>
      <c r="VFE306" s="18">
        <v>0</v>
      </c>
      <c r="VFF306" s="18">
        <v>0</v>
      </c>
      <c r="VFG306" s="18">
        <v>0</v>
      </c>
      <c r="VFH306" s="18">
        <v>0</v>
      </c>
      <c r="VFI306" s="18">
        <v>0</v>
      </c>
      <c r="VFJ306" s="18">
        <v>0</v>
      </c>
      <c r="VFK306" s="18">
        <v>0</v>
      </c>
      <c r="VFL306" s="18">
        <v>0</v>
      </c>
      <c r="VFM306" s="18">
        <v>0</v>
      </c>
      <c r="VFN306" s="18">
        <v>0</v>
      </c>
      <c r="VFO306" s="18">
        <v>0</v>
      </c>
      <c r="VFP306" s="18">
        <v>0</v>
      </c>
      <c r="VFQ306" s="18">
        <v>0</v>
      </c>
      <c r="VFR306" s="18">
        <v>0</v>
      </c>
      <c r="VFS306" s="18">
        <v>0</v>
      </c>
      <c r="VFT306" s="18">
        <v>0</v>
      </c>
      <c r="VFU306" s="18">
        <v>0</v>
      </c>
      <c r="VFV306" s="18">
        <v>0</v>
      </c>
      <c r="VFW306" s="18">
        <v>0</v>
      </c>
      <c r="VFX306" s="18">
        <v>0</v>
      </c>
      <c r="VFY306" s="18">
        <v>0</v>
      </c>
      <c r="VFZ306" s="18">
        <v>0</v>
      </c>
      <c r="VGA306" s="18">
        <v>0</v>
      </c>
      <c r="VGB306" s="18">
        <v>0</v>
      </c>
      <c r="VGC306" s="18">
        <v>0</v>
      </c>
      <c r="VGD306" s="18">
        <v>0</v>
      </c>
      <c r="VGE306" s="18">
        <v>0</v>
      </c>
      <c r="VGF306" s="18">
        <v>0</v>
      </c>
      <c r="VGG306" s="18">
        <v>0</v>
      </c>
      <c r="VGH306" s="18">
        <v>0</v>
      </c>
      <c r="VGI306" s="18">
        <v>0</v>
      </c>
      <c r="VGJ306" s="18">
        <v>0</v>
      </c>
      <c r="VGK306" s="18">
        <v>0</v>
      </c>
      <c r="VGL306" s="18">
        <v>0</v>
      </c>
      <c r="VGM306" s="18">
        <v>0</v>
      </c>
      <c r="VGN306" s="18">
        <v>0</v>
      </c>
      <c r="VGO306" s="18">
        <v>0</v>
      </c>
      <c r="VGP306" s="18">
        <v>0</v>
      </c>
      <c r="VGQ306" s="18">
        <v>0</v>
      </c>
      <c r="VGR306" s="18">
        <v>0</v>
      </c>
      <c r="VGS306" s="18">
        <v>0</v>
      </c>
      <c r="VGT306" s="18">
        <v>0</v>
      </c>
      <c r="VGU306" s="18">
        <v>0</v>
      </c>
      <c r="VGV306" s="18">
        <v>0</v>
      </c>
      <c r="VGW306" s="18">
        <v>0</v>
      </c>
      <c r="VGX306" s="18">
        <v>0</v>
      </c>
      <c r="VGY306" s="18">
        <v>0</v>
      </c>
      <c r="VGZ306" s="18">
        <v>0</v>
      </c>
      <c r="VHA306" s="18">
        <v>0</v>
      </c>
      <c r="VHB306" s="18">
        <v>0</v>
      </c>
      <c r="VHC306" s="18">
        <v>0</v>
      </c>
      <c r="VHD306" s="18">
        <v>0</v>
      </c>
      <c r="VHE306" s="18">
        <v>0</v>
      </c>
      <c r="VHF306" s="18">
        <v>0</v>
      </c>
      <c r="VHG306" s="18">
        <v>0</v>
      </c>
      <c r="VHH306" s="18">
        <v>0</v>
      </c>
      <c r="VHI306" s="18">
        <v>0</v>
      </c>
      <c r="VHJ306" s="18">
        <v>0</v>
      </c>
      <c r="VHK306" s="18">
        <v>0</v>
      </c>
      <c r="VHL306" s="18">
        <v>0</v>
      </c>
      <c r="VHM306" s="18">
        <v>0</v>
      </c>
      <c r="VHN306" s="18">
        <v>0</v>
      </c>
      <c r="VHO306" s="18">
        <v>0</v>
      </c>
      <c r="VHP306" s="18">
        <v>0</v>
      </c>
      <c r="VHQ306" s="18">
        <v>0</v>
      </c>
      <c r="VHR306" s="18">
        <v>0</v>
      </c>
      <c r="VHS306" s="18">
        <v>0</v>
      </c>
      <c r="VHT306" s="18">
        <v>0</v>
      </c>
      <c r="VHU306" s="18">
        <v>0</v>
      </c>
      <c r="VHV306" s="18">
        <v>0</v>
      </c>
      <c r="VHW306" s="18">
        <v>0</v>
      </c>
      <c r="VHX306" s="18">
        <v>0</v>
      </c>
      <c r="VHY306" s="18">
        <v>0</v>
      </c>
      <c r="VHZ306" s="18">
        <v>0</v>
      </c>
      <c r="VIA306" s="18">
        <v>0</v>
      </c>
      <c r="VIB306" s="18">
        <v>0</v>
      </c>
      <c r="VIC306" s="18">
        <v>0</v>
      </c>
      <c r="VID306" s="18">
        <v>0</v>
      </c>
      <c r="VIE306" s="18">
        <v>0</v>
      </c>
      <c r="VIF306" s="18">
        <v>0</v>
      </c>
      <c r="VIG306" s="18">
        <v>0</v>
      </c>
      <c r="VIH306" s="18">
        <v>0</v>
      </c>
      <c r="VII306" s="18">
        <v>0</v>
      </c>
      <c r="VIJ306" s="18">
        <v>0</v>
      </c>
      <c r="VIK306" s="18">
        <v>0</v>
      </c>
      <c r="VIL306" s="18">
        <v>0</v>
      </c>
      <c r="VIM306" s="18">
        <v>0</v>
      </c>
      <c r="VIN306" s="18">
        <v>0</v>
      </c>
      <c r="VIO306" s="18">
        <v>0</v>
      </c>
      <c r="VIP306" s="18">
        <v>0</v>
      </c>
      <c r="VIQ306" s="18">
        <v>0</v>
      </c>
      <c r="VIR306" s="18">
        <v>0</v>
      </c>
      <c r="VIS306" s="18">
        <v>0</v>
      </c>
      <c r="VIT306" s="18">
        <v>0</v>
      </c>
      <c r="VIU306" s="18">
        <v>0</v>
      </c>
      <c r="VIV306" s="18">
        <v>0</v>
      </c>
      <c r="VIW306" s="18">
        <v>0</v>
      </c>
      <c r="VIX306" s="18">
        <v>0</v>
      </c>
      <c r="VIY306" s="18">
        <v>0</v>
      </c>
      <c r="VIZ306" s="18">
        <v>0</v>
      </c>
      <c r="VJA306" s="18">
        <v>0</v>
      </c>
      <c r="VJB306" s="18">
        <v>0</v>
      </c>
      <c r="VJC306" s="18">
        <v>0</v>
      </c>
      <c r="VJD306" s="18">
        <v>0</v>
      </c>
      <c r="VJE306" s="18">
        <v>0</v>
      </c>
      <c r="VJF306" s="18">
        <v>0</v>
      </c>
      <c r="VJG306" s="18">
        <v>0</v>
      </c>
      <c r="VJH306" s="18">
        <v>0</v>
      </c>
      <c r="VJI306" s="18">
        <v>0</v>
      </c>
      <c r="VJJ306" s="18">
        <v>0</v>
      </c>
      <c r="VJK306" s="18">
        <v>0</v>
      </c>
      <c r="VJL306" s="18">
        <v>0</v>
      </c>
      <c r="VJM306" s="18">
        <v>0</v>
      </c>
      <c r="VJN306" s="18">
        <v>0</v>
      </c>
      <c r="VJO306" s="18">
        <v>0</v>
      </c>
      <c r="VJP306" s="18">
        <v>0</v>
      </c>
      <c r="VJQ306" s="18">
        <v>0</v>
      </c>
      <c r="VJR306" s="18">
        <v>0</v>
      </c>
      <c r="VJS306" s="18">
        <v>0</v>
      </c>
      <c r="VJT306" s="18">
        <v>0</v>
      </c>
      <c r="VJU306" s="18">
        <v>0</v>
      </c>
      <c r="VJV306" s="18">
        <v>0</v>
      </c>
      <c r="VJW306" s="18">
        <v>0</v>
      </c>
      <c r="VJX306" s="18">
        <v>0</v>
      </c>
      <c r="VJY306" s="18">
        <v>0</v>
      </c>
      <c r="VJZ306" s="18">
        <v>0</v>
      </c>
      <c r="VKA306" s="18">
        <v>0</v>
      </c>
      <c r="VKB306" s="18">
        <v>0</v>
      </c>
      <c r="VKC306" s="18">
        <v>0</v>
      </c>
      <c r="VKD306" s="18">
        <v>0</v>
      </c>
      <c r="VKE306" s="18">
        <v>0</v>
      </c>
      <c r="VKF306" s="18">
        <v>0</v>
      </c>
      <c r="VKG306" s="18">
        <v>0</v>
      </c>
      <c r="VKH306" s="18">
        <v>0</v>
      </c>
      <c r="VKI306" s="18">
        <v>0</v>
      </c>
      <c r="VKJ306" s="18">
        <v>0</v>
      </c>
      <c r="VKK306" s="18">
        <v>0</v>
      </c>
      <c r="VKL306" s="18">
        <v>0</v>
      </c>
      <c r="VKM306" s="18">
        <v>0</v>
      </c>
      <c r="VKN306" s="18">
        <v>0</v>
      </c>
      <c r="VKO306" s="18">
        <v>0</v>
      </c>
      <c r="VKP306" s="18">
        <v>0</v>
      </c>
      <c r="VKQ306" s="18">
        <v>0</v>
      </c>
      <c r="VKR306" s="18">
        <v>0</v>
      </c>
      <c r="VKS306" s="18">
        <v>0</v>
      </c>
      <c r="VKT306" s="18">
        <v>0</v>
      </c>
      <c r="VKU306" s="18">
        <v>0</v>
      </c>
      <c r="VKV306" s="18">
        <v>0</v>
      </c>
      <c r="VKW306" s="18">
        <v>0</v>
      </c>
      <c r="VKX306" s="18">
        <v>0</v>
      </c>
      <c r="VKY306" s="18">
        <v>0</v>
      </c>
      <c r="VKZ306" s="18">
        <v>0</v>
      </c>
      <c r="VLA306" s="18">
        <v>0</v>
      </c>
      <c r="VLB306" s="18">
        <v>0</v>
      </c>
      <c r="VLC306" s="18">
        <v>0</v>
      </c>
      <c r="VLD306" s="18">
        <v>0</v>
      </c>
      <c r="VLE306" s="18">
        <v>0</v>
      </c>
      <c r="VLF306" s="18">
        <v>0</v>
      </c>
      <c r="VLG306" s="18">
        <v>0</v>
      </c>
      <c r="VLH306" s="18">
        <v>0</v>
      </c>
      <c r="VLI306" s="18">
        <v>0</v>
      </c>
      <c r="VLJ306" s="18">
        <v>0</v>
      </c>
      <c r="VLK306" s="18">
        <v>0</v>
      </c>
      <c r="VLL306" s="18">
        <v>0</v>
      </c>
      <c r="VLM306" s="18">
        <v>0</v>
      </c>
      <c r="VLN306" s="18">
        <v>0</v>
      </c>
      <c r="VLO306" s="18">
        <v>0</v>
      </c>
      <c r="VLP306" s="18">
        <v>0</v>
      </c>
      <c r="VLQ306" s="18">
        <v>0</v>
      </c>
      <c r="VLR306" s="18">
        <v>0</v>
      </c>
      <c r="VLS306" s="18">
        <v>0</v>
      </c>
      <c r="VLT306" s="18">
        <v>0</v>
      </c>
      <c r="VLU306" s="18">
        <v>0</v>
      </c>
      <c r="VLV306" s="18">
        <v>0</v>
      </c>
      <c r="VLW306" s="18">
        <v>0</v>
      </c>
      <c r="VLX306" s="18">
        <v>0</v>
      </c>
      <c r="VLY306" s="18">
        <v>0</v>
      </c>
      <c r="VLZ306" s="18">
        <v>0</v>
      </c>
      <c r="VMA306" s="18">
        <v>0</v>
      </c>
      <c r="VMB306" s="18">
        <v>0</v>
      </c>
      <c r="VMC306" s="18">
        <v>0</v>
      </c>
      <c r="VMD306" s="18">
        <v>0</v>
      </c>
      <c r="VME306" s="18">
        <v>0</v>
      </c>
      <c r="VMF306" s="18">
        <v>0</v>
      </c>
      <c r="VMG306" s="18">
        <v>0</v>
      </c>
      <c r="VMH306" s="18">
        <v>0</v>
      </c>
      <c r="VMI306" s="18">
        <v>0</v>
      </c>
      <c r="VMJ306" s="18">
        <v>0</v>
      </c>
      <c r="VMK306" s="18">
        <v>0</v>
      </c>
      <c r="VML306" s="18">
        <v>0</v>
      </c>
      <c r="VMM306" s="18">
        <v>0</v>
      </c>
      <c r="VMN306" s="18">
        <v>0</v>
      </c>
      <c r="VMO306" s="18">
        <v>0</v>
      </c>
      <c r="VMP306" s="18">
        <v>0</v>
      </c>
      <c r="VMQ306" s="18">
        <v>0</v>
      </c>
      <c r="VMR306" s="18">
        <v>0</v>
      </c>
      <c r="VMS306" s="18">
        <v>0</v>
      </c>
      <c r="VMT306" s="18">
        <v>0</v>
      </c>
      <c r="VMU306" s="18">
        <v>0</v>
      </c>
      <c r="VMV306" s="18">
        <v>0</v>
      </c>
      <c r="VMW306" s="18">
        <v>0</v>
      </c>
      <c r="VMX306" s="18">
        <v>0</v>
      </c>
      <c r="VMY306" s="18">
        <v>0</v>
      </c>
      <c r="VMZ306" s="18">
        <v>0</v>
      </c>
      <c r="VNA306" s="18">
        <v>0</v>
      </c>
      <c r="VNB306" s="18">
        <v>0</v>
      </c>
      <c r="VNC306" s="18">
        <v>0</v>
      </c>
      <c r="VND306" s="18">
        <v>0</v>
      </c>
      <c r="VNE306" s="18">
        <v>0</v>
      </c>
      <c r="VNF306" s="18">
        <v>0</v>
      </c>
      <c r="VNG306" s="18">
        <v>0</v>
      </c>
      <c r="VNH306" s="18">
        <v>0</v>
      </c>
      <c r="VNI306" s="18">
        <v>0</v>
      </c>
      <c r="VNJ306" s="18">
        <v>0</v>
      </c>
      <c r="VNK306" s="18">
        <v>0</v>
      </c>
      <c r="VNL306" s="18">
        <v>0</v>
      </c>
      <c r="VNM306" s="18">
        <v>0</v>
      </c>
      <c r="VNN306" s="18">
        <v>0</v>
      </c>
      <c r="VNO306" s="18">
        <v>0</v>
      </c>
      <c r="VNP306" s="18">
        <v>0</v>
      </c>
      <c r="VNQ306" s="18">
        <v>0</v>
      </c>
      <c r="VNR306" s="18">
        <v>0</v>
      </c>
      <c r="VNS306" s="18">
        <v>0</v>
      </c>
      <c r="VNT306" s="18">
        <v>0</v>
      </c>
      <c r="VNU306" s="18">
        <v>0</v>
      </c>
      <c r="VNV306" s="18">
        <v>0</v>
      </c>
      <c r="VNW306" s="18">
        <v>0</v>
      </c>
      <c r="VNX306" s="18">
        <v>0</v>
      </c>
      <c r="VNY306" s="18">
        <v>0</v>
      </c>
      <c r="VNZ306" s="18">
        <v>0</v>
      </c>
      <c r="VOA306" s="18">
        <v>0</v>
      </c>
      <c r="VOB306" s="18">
        <v>0</v>
      </c>
      <c r="VOC306" s="18">
        <v>0</v>
      </c>
      <c r="VOD306" s="18">
        <v>0</v>
      </c>
      <c r="VOE306" s="18">
        <v>0</v>
      </c>
      <c r="VOF306" s="18">
        <v>0</v>
      </c>
      <c r="VOG306" s="18">
        <v>0</v>
      </c>
      <c r="VOH306" s="18">
        <v>0</v>
      </c>
      <c r="VOI306" s="18">
        <v>0</v>
      </c>
      <c r="VOJ306" s="18">
        <v>0</v>
      </c>
      <c r="VOK306" s="18">
        <v>0</v>
      </c>
      <c r="VOL306" s="18">
        <v>0</v>
      </c>
      <c r="VOM306" s="18">
        <v>0</v>
      </c>
      <c r="VON306" s="18">
        <v>0</v>
      </c>
      <c r="VOO306" s="18">
        <v>0</v>
      </c>
      <c r="VOP306" s="18">
        <v>0</v>
      </c>
      <c r="VOQ306" s="18">
        <v>0</v>
      </c>
      <c r="VOR306" s="18">
        <v>0</v>
      </c>
      <c r="VOS306" s="18">
        <v>0</v>
      </c>
      <c r="VOT306" s="18">
        <v>0</v>
      </c>
      <c r="VOU306" s="18">
        <v>0</v>
      </c>
      <c r="VOV306" s="18">
        <v>0</v>
      </c>
      <c r="VOW306" s="18">
        <v>0</v>
      </c>
      <c r="VOX306" s="18">
        <v>0</v>
      </c>
      <c r="VOY306" s="18">
        <v>0</v>
      </c>
      <c r="VOZ306" s="18">
        <v>0</v>
      </c>
      <c r="VPA306" s="18">
        <v>0</v>
      </c>
      <c r="VPB306" s="18">
        <v>0</v>
      </c>
      <c r="VPC306" s="18">
        <v>0</v>
      </c>
      <c r="VPD306" s="18">
        <v>0</v>
      </c>
      <c r="VPE306" s="18">
        <v>0</v>
      </c>
      <c r="VPF306" s="18">
        <v>0</v>
      </c>
      <c r="VPG306" s="18">
        <v>0</v>
      </c>
      <c r="VPH306" s="18">
        <v>0</v>
      </c>
      <c r="VPI306" s="18">
        <v>0</v>
      </c>
      <c r="VPJ306" s="18">
        <v>0</v>
      </c>
      <c r="VPK306" s="18">
        <v>0</v>
      </c>
      <c r="VPL306" s="18">
        <v>0</v>
      </c>
      <c r="VPM306" s="18">
        <v>0</v>
      </c>
      <c r="VPN306" s="18">
        <v>0</v>
      </c>
      <c r="VPO306" s="18">
        <v>0</v>
      </c>
      <c r="VPP306" s="18">
        <v>0</v>
      </c>
      <c r="VPQ306" s="18">
        <v>0</v>
      </c>
      <c r="VPR306" s="18">
        <v>0</v>
      </c>
      <c r="VPS306" s="18">
        <v>0</v>
      </c>
      <c r="VPT306" s="18">
        <v>0</v>
      </c>
      <c r="VPU306" s="18">
        <v>0</v>
      </c>
      <c r="VPV306" s="18">
        <v>0</v>
      </c>
      <c r="VPW306" s="18">
        <v>0</v>
      </c>
      <c r="VPX306" s="18">
        <v>0</v>
      </c>
      <c r="VPY306" s="18">
        <v>0</v>
      </c>
      <c r="VPZ306" s="18">
        <v>0</v>
      </c>
      <c r="VQA306" s="18">
        <v>0</v>
      </c>
      <c r="VQB306" s="18">
        <v>0</v>
      </c>
      <c r="VQC306" s="18">
        <v>0</v>
      </c>
      <c r="VQD306" s="18">
        <v>0</v>
      </c>
      <c r="VQE306" s="18">
        <v>0</v>
      </c>
      <c r="VQF306" s="18">
        <v>0</v>
      </c>
      <c r="VQG306" s="18">
        <v>0</v>
      </c>
      <c r="VQH306" s="18">
        <v>0</v>
      </c>
      <c r="VQI306" s="18">
        <v>0</v>
      </c>
      <c r="VQJ306" s="18">
        <v>0</v>
      </c>
      <c r="VQK306" s="18">
        <v>0</v>
      </c>
      <c r="VQL306" s="18">
        <v>0</v>
      </c>
      <c r="VQM306" s="18">
        <v>0</v>
      </c>
      <c r="VQN306" s="18">
        <v>0</v>
      </c>
      <c r="VQO306" s="18">
        <v>0</v>
      </c>
      <c r="VQP306" s="18">
        <v>0</v>
      </c>
      <c r="VQQ306" s="18">
        <v>0</v>
      </c>
      <c r="VQR306" s="18">
        <v>0</v>
      </c>
      <c r="VQS306" s="18">
        <v>0</v>
      </c>
      <c r="VQT306" s="18">
        <v>0</v>
      </c>
      <c r="VQU306" s="18">
        <v>0</v>
      </c>
      <c r="VQV306" s="18">
        <v>0</v>
      </c>
      <c r="VQW306" s="18">
        <v>0</v>
      </c>
      <c r="VQX306" s="18">
        <v>0</v>
      </c>
      <c r="VQY306" s="18">
        <v>0</v>
      </c>
      <c r="VQZ306" s="18">
        <v>0</v>
      </c>
      <c r="VRA306" s="18">
        <v>0</v>
      </c>
      <c r="VRB306" s="18">
        <v>0</v>
      </c>
      <c r="VRC306" s="18">
        <v>0</v>
      </c>
      <c r="VRD306" s="18">
        <v>0</v>
      </c>
      <c r="VRE306" s="18">
        <v>0</v>
      </c>
      <c r="VRF306" s="18">
        <v>0</v>
      </c>
      <c r="VRG306" s="18">
        <v>0</v>
      </c>
      <c r="VRH306" s="18">
        <v>0</v>
      </c>
      <c r="VRI306" s="18">
        <v>0</v>
      </c>
      <c r="VRJ306" s="18">
        <v>0</v>
      </c>
      <c r="VRK306" s="18">
        <v>0</v>
      </c>
      <c r="VRL306" s="18">
        <v>0</v>
      </c>
      <c r="VRM306" s="18">
        <v>0</v>
      </c>
      <c r="VRN306" s="18">
        <v>0</v>
      </c>
      <c r="VRO306" s="18">
        <v>0</v>
      </c>
      <c r="VRP306" s="18">
        <v>0</v>
      </c>
      <c r="VRQ306" s="18">
        <v>0</v>
      </c>
      <c r="VRR306" s="18">
        <v>0</v>
      </c>
      <c r="VRS306" s="18">
        <v>0</v>
      </c>
      <c r="VRT306" s="18">
        <v>0</v>
      </c>
      <c r="VRU306" s="18">
        <v>0</v>
      </c>
      <c r="VRV306" s="18">
        <v>0</v>
      </c>
      <c r="VRW306" s="18">
        <v>0</v>
      </c>
      <c r="VRX306" s="18">
        <v>0</v>
      </c>
      <c r="VRY306" s="18">
        <v>0</v>
      </c>
      <c r="VRZ306" s="18">
        <v>0</v>
      </c>
      <c r="VSA306" s="18">
        <v>0</v>
      </c>
      <c r="VSB306" s="18">
        <v>0</v>
      </c>
      <c r="VSC306" s="18">
        <v>0</v>
      </c>
      <c r="VSD306" s="18">
        <v>0</v>
      </c>
      <c r="VSE306" s="18">
        <v>0</v>
      </c>
      <c r="VSF306" s="18">
        <v>0</v>
      </c>
      <c r="VSG306" s="18">
        <v>0</v>
      </c>
      <c r="VSH306" s="18">
        <v>0</v>
      </c>
      <c r="VSI306" s="18">
        <v>0</v>
      </c>
      <c r="VSJ306" s="18">
        <v>0</v>
      </c>
      <c r="VSK306" s="18">
        <v>0</v>
      </c>
      <c r="VSL306" s="18">
        <v>0</v>
      </c>
      <c r="VSM306" s="18">
        <v>0</v>
      </c>
      <c r="VSN306" s="18">
        <v>0</v>
      </c>
      <c r="VSO306" s="18">
        <v>0</v>
      </c>
      <c r="VSP306" s="18">
        <v>0</v>
      </c>
      <c r="VSQ306" s="18">
        <v>0</v>
      </c>
      <c r="VSR306" s="18">
        <v>0</v>
      </c>
      <c r="VSS306" s="18">
        <v>0</v>
      </c>
      <c r="VST306" s="18">
        <v>0</v>
      </c>
      <c r="VSU306" s="18">
        <v>0</v>
      </c>
      <c r="VSV306" s="18">
        <v>0</v>
      </c>
      <c r="VSW306" s="18">
        <v>0</v>
      </c>
      <c r="VSX306" s="18">
        <v>0</v>
      </c>
      <c r="VSY306" s="18">
        <v>0</v>
      </c>
      <c r="VSZ306" s="18">
        <v>0</v>
      </c>
      <c r="VTA306" s="18">
        <v>0</v>
      </c>
      <c r="VTB306" s="18">
        <v>0</v>
      </c>
      <c r="VTC306" s="18">
        <v>0</v>
      </c>
      <c r="VTD306" s="18">
        <v>0</v>
      </c>
      <c r="VTE306" s="18">
        <v>0</v>
      </c>
      <c r="VTF306" s="18">
        <v>0</v>
      </c>
      <c r="VTG306" s="18">
        <v>0</v>
      </c>
      <c r="VTH306" s="18">
        <v>0</v>
      </c>
      <c r="VTI306" s="18">
        <v>0</v>
      </c>
      <c r="VTJ306" s="18">
        <v>0</v>
      </c>
      <c r="VTK306" s="18">
        <v>0</v>
      </c>
      <c r="VTL306" s="18">
        <v>0</v>
      </c>
      <c r="VTM306" s="18">
        <v>0</v>
      </c>
      <c r="VTN306" s="18">
        <v>0</v>
      </c>
      <c r="VTO306" s="18">
        <v>0</v>
      </c>
      <c r="VTP306" s="18">
        <v>0</v>
      </c>
      <c r="VTQ306" s="18">
        <v>0</v>
      </c>
      <c r="VTR306" s="18">
        <v>0</v>
      </c>
      <c r="VTS306" s="18">
        <v>0</v>
      </c>
      <c r="VTT306" s="18">
        <v>0</v>
      </c>
      <c r="VTU306" s="18">
        <v>0</v>
      </c>
      <c r="VTV306" s="18">
        <v>0</v>
      </c>
      <c r="VTW306" s="18">
        <v>0</v>
      </c>
      <c r="VTX306" s="18">
        <v>0</v>
      </c>
      <c r="VTY306" s="18">
        <v>0</v>
      </c>
      <c r="VTZ306" s="18">
        <v>0</v>
      </c>
      <c r="VUA306" s="18">
        <v>0</v>
      </c>
      <c r="VUB306" s="18">
        <v>0</v>
      </c>
      <c r="VUC306" s="18">
        <v>0</v>
      </c>
      <c r="VUD306" s="18">
        <v>0</v>
      </c>
      <c r="VUE306" s="18">
        <v>0</v>
      </c>
      <c r="VUF306" s="18">
        <v>0</v>
      </c>
      <c r="VUG306" s="18">
        <v>0</v>
      </c>
      <c r="VUH306" s="18">
        <v>0</v>
      </c>
      <c r="VUI306" s="18">
        <v>0</v>
      </c>
      <c r="VUJ306" s="18">
        <v>0</v>
      </c>
      <c r="VUK306" s="18">
        <v>0</v>
      </c>
      <c r="VUL306" s="18">
        <v>0</v>
      </c>
      <c r="VUM306" s="18">
        <v>0</v>
      </c>
      <c r="VUN306" s="18">
        <v>0</v>
      </c>
      <c r="VUO306" s="18">
        <v>0</v>
      </c>
      <c r="VUP306" s="18">
        <v>0</v>
      </c>
      <c r="VUQ306" s="18">
        <v>0</v>
      </c>
      <c r="VUR306" s="18">
        <v>0</v>
      </c>
      <c r="VUS306" s="18">
        <v>0</v>
      </c>
      <c r="VUT306" s="18">
        <v>0</v>
      </c>
      <c r="VUU306" s="18">
        <v>0</v>
      </c>
      <c r="VUV306" s="18">
        <v>0</v>
      </c>
      <c r="VUW306" s="18">
        <v>0</v>
      </c>
      <c r="VUX306" s="18">
        <v>0</v>
      </c>
      <c r="VUY306" s="18">
        <v>0</v>
      </c>
      <c r="VUZ306" s="18">
        <v>0</v>
      </c>
      <c r="VVA306" s="18">
        <v>0</v>
      </c>
      <c r="VVB306" s="18">
        <v>0</v>
      </c>
      <c r="VVC306" s="18">
        <v>0</v>
      </c>
      <c r="VVD306" s="18">
        <v>0</v>
      </c>
      <c r="VVE306" s="18">
        <v>0</v>
      </c>
      <c r="VVF306" s="18">
        <v>0</v>
      </c>
      <c r="VVG306" s="18">
        <v>0</v>
      </c>
      <c r="VVH306" s="18">
        <v>0</v>
      </c>
      <c r="VVI306" s="18">
        <v>0</v>
      </c>
      <c r="VVJ306" s="18">
        <v>0</v>
      </c>
      <c r="VVK306" s="18">
        <v>0</v>
      </c>
      <c r="VVL306" s="18">
        <v>0</v>
      </c>
      <c r="VVM306" s="18">
        <v>0</v>
      </c>
      <c r="VVN306" s="18">
        <v>0</v>
      </c>
      <c r="VVO306" s="18">
        <v>0</v>
      </c>
      <c r="VVP306" s="18">
        <v>0</v>
      </c>
      <c r="VVQ306" s="18">
        <v>0</v>
      </c>
      <c r="VVR306" s="18">
        <v>0</v>
      </c>
      <c r="VVS306" s="18">
        <v>0</v>
      </c>
      <c r="VVT306" s="18">
        <v>0</v>
      </c>
      <c r="VVU306" s="18">
        <v>0</v>
      </c>
      <c r="VVV306" s="18">
        <v>0</v>
      </c>
      <c r="VVW306" s="18">
        <v>0</v>
      </c>
      <c r="VVX306" s="18">
        <v>0</v>
      </c>
      <c r="VVY306" s="18">
        <v>0</v>
      </c>
      <c r="VVZ306" s="18">
        <v>0</v>
      </c>
      <c r="VWA306" s="18">
        <v>0</v>
      </c>
      <c r="VWB306" s="18">
        <v>0</v>
      </c>
      <c r="VWC306" s="18">
        <v>0</v>
      </c>
      <c r="VWD306" s="18">
        <v>0</v>
      </c>
      <c r="VWE306" s="18">
        <v>0</v>
      </c>
      <c r="VWF306" s="18">
        <v>0</v>
      </c>
      <c r="VWG306" s="18">
        <v>0</v>
      </c>
      <c r="VWH306" s="18">
        <v>0</v>
      </c>
      <c r="VWI306" s="18">
        <v>0</v>
      </c>
      <c r="VWJ306" s="18">
        <v>0</v>
      </c>
      <c r="VWK306" s="18">
        <v>0</v>
      </c>
      <c r="VWL306" s="18">
        <v>0</v>
      </c>
      <c r="VWM306" s="18">
        <v>0</v>
      </c>
      <c r="VWN306" s="18">
        <v>0</v>
      </c>
      <c r="VWO306" s="18">
        <v>0</v>
      </c>
      <c r="VWP306" s="18">
        <v>0</v>
      </c>
      <c r="VWQ306" s="18">
        <v>0</v>
      </c>
      <c r="VWR306" s="18">
        <v>0</v>
      </c>
      <c r="VWS306" s="18">
        <v>0</v>
      </c>
      <c r="VWT306" s="18">
        <v>0</v>
      </c>
      <c r="VWU306" s="18">
        <v>0</v>
      </c>
      <c r="VWV306" s="18">
        <v>0</v>
      </c>
      <c r="VWW306" s="18">
        <v>0</v>
      </c>
      <c r="VWX306" s="18">
        <v>0</v>
      </c>
      <c r="VWY306" s="18">
        <v>0</v>
      </c>
      <c r="VWZ306" s="18">
        <v>0</v>
      </c>
      <c r="VXA306" s="18">
        <v>0</v>
      </c>
      <c r="VXB306" s="18">
        <v>0</v>
      </c>
      <c r="VXC306" s="18">
        <v>0</v>
      </c>
      <c r="VXD306" s="18">
        <v>0</v>
      </c>
      <c r="VXE306" s="18">
        <v>0</v>
      </c>
      <c r="VXF306" s="18">
        <v>0</v>
      </c>
      <c r="VXG306" s="18">
        <v>0</v>
      </c>
      <c r="VXH306" s="18">
        <v>0</v>
      </c>
      <c r="VXI306" s="18">
        <v>0</v>
      </c>
      <c r="VXJ306" s="18">
        <v>0</v>
      </c>
      <c r="VXK306" s="18">
        <v>0</v>
      </c>
      <c r="VXL306" s="18">
        <v>0</v>
      </c>
      <c r="VXM306" s="18">
        <v>0</v>
      </c>
      <c r="VXN306" s="18">
        <v>0</v>
      </c>
      <c r="VXO306" s="18">
        <v>0</v>
      </c>
      <c r="VXP306" s="18">
        <v>0</v>
      </c>
      <c r="VXQ306" s="18">
        <v>0</v>
      </c>
      <c r="VXR306" s="18">
        <v>0</v>
      </c>
      <c r="VXS306" s="18">
        <v>0</v>
      </c>
      <c r="VXT306" s="18">
        <v>0</v>
      </c>
      <c r="VXU306" s="18">
        <v>0</v>
      </c>
      <c r="VXV306" s="18">
        <v>0</v>
      </c>
      <c r="VXW306" s="18">
        <v>0</v>
      </c>
      <c r="VXX306" s="18">
        <v>0</v>
      </c>
      <c r="VXY306" s="18">
        <v>0</v>
      </c>
      <c r="VXZ306" s="18">
        <v>0</v>
      </c>
      <c r="VYA306" s="18">
        <v>0</v>
      </c>
      <c r="VYB306" s="18">
        <v>0</v>
      </c>
      <c r="VYC306" s="18">
        <v>0</v>
      </c>
      <c r="VYD306" s="18">
        <v>0</v>
      </c>
      <c r="VYE306" s="18">
        <v>0</v>
      </c>
      <c r="VYF306" s="18">
        <v>0</v>
      </c>
      <c r="VYG306" s="18">
        <v>0</v>
      </c>
      <c r="VYH306" s="18">
        <v>0</v>
      </c>
      <c r="VYI306" s="18">
        <v>0</v>
      </c>
      <c r="VYJ306" s="18">
        <v>0</v>
      </c>
      <c r="VYK306" s="18">
        <v>0</v>
      </c>
      <c r="VYL306" s="18">
        <v>0</v>
      </c>
      <c r="VYM306" s="18">
        <v>0</v>
      </c>
      <c r="VYN306" s="18">
        <v>0</v>
      </c>
      <c r="VYO306" s="18">
        <v>0</v>
      </c>
      <c r="VYP306" s="18">
        <v>0</v>
      </c>
      <c r="VYQ306" s="18">
        <v>0</v>
      </c>
      <c r="VYR306" s="18">
        <v>0</v>
      </c>
      <c r="VYS306" s="18">
        <v>0</v>
      </c>
      <c r="VYT306" s="18">
        <v>0</v>
      </c>
      <c r="VYU306" s="18">
        <v>0</v>
      </c>
      <c r="VYV306" s="18">
        <v>0</v>
      </c>
      <c r="VYW306" s="18">
        <v>0</v>
      </c>
      <c r="VYX306" s="18">
        <v>0</v>
      </c>
      <c r="VYY306" s="18">
        <v>0</v>
      </c>
      <c r="VYZ306" s="18">
        <v>0</v>
      </c>
      <c r="VZA306" s="18">
        <v>0</v>
      </c>
      <c r="VZB306" s="18">
        <v>0</v>
      </c>
      <c r="VZC306" s="18">
        <v>0</v>
      </c>
      <c r="VZD306" s="18">
        <v>0</v>
      </c>
      <c r="VZE306" s="18">
        <v>0</v>
      </c>
      <c r="VZF306" s="18">
        <v>0</v>
      </c>
      <c r="VZG306" s="18">
        <v>0</v>
      </c>
      <c r="VZH306" s="18">
        <v>0</v>
      </c>
      <c r="VZI306" s="18">
        <v>0</v>
      </c>
      <c r="VZJ306" s="18">
        <v>0</v>
      </c>
      <c r="VZK306" s="18">
        <v>0</v>
      </c>
      <c r="VZL306" s="18">
        <v>0</v>
      </c>
      <c r="VZM306" s="18">
        <v>0</v>
      </c>
      <c r="VZN306" s="18">
        <v>0</v>
      </c>
      <c r="VZO306" s="18">
        <v>0</v>
      </c>
      <c r="VZP306" s="18">
        <v>0</v>
      </c>
      <c r="VZQ306" s="18">
        <v>0</v>
      </c>
      <c r="VZR306" s="18">
        <v>0</v>
      </c>
      <c r="VZS306" s="18">
        <v>0</v>
      </c>
      <c r="VZT306" s="18">
        <v>0</v>
      </c>
      <c r="VZU306" s="18">
        <v>0</v>
      </c>
      <c r="VZV306" s="18">
        <v>0</v>
      </c>
      <c r="VZW306" s="18">
        <v>0</v>
      </c>
      <c r="VZX306" s="18">
        <v>0</v>
      </c>
      <c r="VZY306" s="18">
        <v>0</v>
      </c>
      <c r="VZZ306" s="18">
        <v>0</v>
      </c>
      <c r="WAA306" s="18">
        <v>0</v>
      </c>
      <c r="WAB306" s="18">
        <v>0</v>
      </c>
      <c r="WAC306" s="18">
        <v>0</v>
      </c>
      <c r="WAD306" s="18">
        <v>0</v>
      </c>
      <c r="WAE306" s="18">
        <v>0</v>
      </c>
      <c r="WAF306" s="18">
        <v>0</v>
      </c>
      <c r="WAG306" s="18">
        <v>0</v>
      </c>
      <c r="WAH306" s="18">
        <v>0</v>
      </c>
      <c r="WAI306" s="18">
        <v>0</v>
      </c>
      <c r="WAJ306" s="18">
        <v>0</v>
      </c>
      <c r="WAK306" s="18">
        <v>0</v>
      </c>
      <c r="WAL306" s="18">
        <v>0</v>
      </c>
      <c r="WAM306" s="18">
        <v>0</v>
      </c>
      <c r="WAN306" s="18">
        <v>0</v>
      </c>
      <c r="WAO306" s="18">
        <v>0</v>
      </c>
      <c r="WAP306" s="18">
        <v>0</v>
      </c>
      <c r="WAQ306" s="18">
        <v>0</v>
      </c>
      <c r="WAR306" s="18">
        <v>0</v>
      </c>
      <c r="WAS306" s="18">
        <v>0</v>
      </c>
      <c r="WAT306" s="18">
        <v>0</v>
      </c>
      <c r="WAU306" s="18">
        <v>0</v>
      </c>
      <c r="WAV306" s="18">
        <v>0</v>
      </c>
      <c r="WAW306" s="18">
        <v>0</v>
      </c>
      <c r="WAX306" s="18">
        <v>0</v>
      </c>
      <c r="WAY306" s="18">
        <v>0</v>
      </c>
      <c r="WAZ306" s="18">
        <v>0</v>
      </c>
      <c r="WBA306" s="18">
        <v>0</v>
      </c>
      <c r="WBB306" s="18">
        <v>0</v>
      </c>
      <c r="WBC306" s="18">
        <v>0</v>
      </c>
      <c r="WBD306" s="18">
        <v>0</v>
      </c>
      <c r="WBE306" s="18">
        <v>0</v>
      </c>
      <c r="WBF306" s="18">
        <v>0</v>
      </c>
      <c r="WBG306" s="18">
        <v>0</v>
      </c>
      <c r="WBH306" s="18">
        <v>0</v>
      </c>
      <c r="WBI306" s="18">
        <v>0</v>
      </c>
      <c r="WBJ306" s="18">
        <v>0</v>
      </c>
      <c r="WBK306" s="18">
        <v>0</v>
      </c>
      <c r="WBL306" s="18">
        <v>0</v>
      </c>
      <c r="WBM306" s="18">
        <v>0</v>
      </c>
      <c r="WBN306" s="18">
        <v>0</v>
      </c>
      <c r="WBO306" s="18">
        <v>0</v>
      </c>
      <c r="WBP306" s="18">
        <v>0</v>
      </c>
      <c r="WBQ306" s="18">
        <v>0</v>
      </c>
      <c r="WBR306" s="18">
        <v>0</v>
      </c>
      <c r="WBS306" s="18">
        <v>0</v>
      </c>
      <c r="WBT306" s="18">
        <v>0</v>
      </c>
      <c r="WBU306" s="18">
        <v>0</v>
      </c>
      <c r="WBV306" s="18">
        <v>0</v>
      </c>
      <c r="WBW306" s="18">
        <v>0</v>
      </c>
      <c r="WBX306" s="18">
        <v>0</v>
      </c>
      <c r="WBY306" s="18">
        <v>0</v>
      </c>
      <c r="WBZ306" s="18">
        <v>0</v>
      </c>
      <c r="WCA306" s="18">
        <v>0</v>
      </c>
      <c r="WCB306" s="18">
        <v>0</v>
      </c>
      <c r="WCC306" s="18">
        <v>0</v>
      </c>
      <c r="WCD306" s="18">
        <v>0</v>
      </c>
      <c r="WCE306" s="18">
        <v>0</v>
      </c>
      <c r="WCF306" s="18">
        <v>0</v>
      </c>
      <c r="WCG306" s="18">
        <v>0</v>
      </c>
      <c r="WCH306" s="18">
        <v>0</v>
      </c>
      <c r="WCI306" s="18">
        <v>0</v>
      </c>
      <c r="WCJ306" s="18">
        <v>0</v>
      </c>
      <c r="WCK306" s="18">
        <v>0</v>
      </c>
      <c r="WCL306" s="18">
        <v>0</v>
      </c>
      <c r="WCM306" s="18">
        <v>0</v>
      </c>
      <c r="WCN306" s="18">
        <v>0</v>
      </c>
      <c r="WCO306" s="18">
        <v>0</v>
      </c>
      <c r="WCP306" s="18">
        <v>0</v>
      </c>
      <c r="WCQ306" s="18">
        <v>0</v>
      </c>
      <c r="WCR306" s="18">
        <v>0</v>
      </c>
      <c r="WCS306" s="18">
        <v>0</v>
      </c>
      <c r="WCT306" s="18">
        <v>0</v>
      </c>
      <c r="WCU306" s="18">
        <v>0</v>
      </c>
      <c r="WCV306" s="18">
        <v>0</v>
      </c>
      <c r="WCW306" s="18">
        <v>0</v>
      </c>
      <c r="WCX306" s="18">
        <v>0</v>
      </c>
      <c r="WCY306" s="18">
        <v>0</v>
      </c>
      <c r="WCZ306" s="18">
        <v>0</v>
      </c>
      <c r="WDA306" s="18">
        <v>0</v>
      </c>
      <c r="WDB306" s="18">
        <v>0</v>
      </c>
      <c r="WDC306" s="18">
        <v>0</v>
      </c>
      <c r="WDD306" s="18">
        <v>0</v>
      </c>
      <c r="WDE306" s="18">
        <v>0</v>
      </c>
      <c r="WDF306" s="18">
        <v>0</v>
      </c>
      <c r="WDG306" s="18">
        <v>0</v>
      </c>
      <c r="WDH306" s="18">
        <v>0</v>
      </c>
      <c r="WDI306" s="18">
        <v>0</v>
      </c>
      <c r="WDJ306" s="18">
        <v>0</v>
      </c>
      <c r="WDK306" s="18">
        <v>0</v>
      </c>
      <c r="WDL306" s="18">
        <v>0</v>
      </c>
      <c r="WDM306" s="18">
        <v>0</v>
      </c>
      <c r="WDN306" s="18">
        <v>0</v>
      </c>
      <c r="WDO306" s="18">
        <v>0</v>
      </c>
      <c r="WDP306" s="18">
        <v>0</v>
      </c>
      <c r="WDQ306" s="18">
        <v>0</v>
      </c>
      <c r="WDR306" s="18">
        <v>0</v>
      </c>
      <c r="WDS306" s="18">
        <v>0</v>
      </c>
      <c r="WDT306" s="18">
        <v>0</v>
      </c>
      <c r="WDU306" s="18">
        <v>0</v>
      </c>
      <c r="WDV306" s="18">
        <v>0</v>
      </c>
      <c r="WDW306" s="18">
        <v>0</v>
      </c>
      <c r="WDX306" s="18">
        <v>0</v>
      </c>
      <c r="WDY306" s="18">
        <v>0</v>
      </c>
      <c r="WDZ306" s="18">
        <v>0</v>
      </c>
      <c r="WEA306" s="18">
        <v>0</v>
      </c>
      <c r="WEB306" s="18">
        <v>0</v>
      </c>
      <c r="WEC306" s="18">
        <v>0</v>
      </c>
      <c r="WED306" s="18">
        <v>0</v>
      </c>
      <c r="WEE306" s="18">
        <v>0</v>
      </c>
      <c r="WEF306" s="18">
        <v>0</v>
      </c>
      <c r="WEG306" s="18">
        <v>0</v>
      </c>
      <c r="WEH306" s="18">
        <v>0</v>
      </c>
      <c r="WEI306" s="18">
        <v>0</v>
      </c>
      <c r="WEJ306" s="18">
        <v>0</v>
      </c>
      <c r="WEK306" s="18">
        <v>0</v>
      </c>
      <c r="WEL306" s="18">
        <v>0</v>
      </c>
      <c r="WEM306" s="18">
        <v>0</v>
      </c>
      <c r="WEN306" s="18">
        <v>0</v>
      </c>
      <c r="WEO306" s="18">
        <v>0</v>
      </c>
      <c r="WEP306" s="18">
        <v>0</v>
      </c>
      <c r="WEQ306" s="18">
        <v>0</v>
      </c>
      <c r="WER306" s="18">
        <v>0</v>
      </c>
      <c r="WES306" s="18">
        <v>0</v>
      </c>
      <c r="WET306" s="18">
        <v>0</v>
      </c>
      <c r="WEU306" s="18">
        <v>0</v>
      </c>
      <c r="WEV306" s="18">
        <v>0</v>
      </c>
      <c r="WEW306" s="18">
        <v>0</v>
      </c>
      <c r="WEX306" s="18">
        <v>0</v>
      </c>
      <c r="WEY306" s="18">
        <v>0</v>
      </c>
      <c r="WEZ306" s="18">
        <v>0</v>
      </c>
      <c r="WFA306" s="18">
        <v>0</v>
      </c>
      <c r="WFB306" s="18">
        <v>0</v>
      </c>
      <c r="WFC306" s="18">
        <v>0</v>
      </c>
      <c r="WFD306" s="18">
        <v>0</v>
      </c>
      <c r="WFE306" s="18">
        <v>0</v>
      </c>
      <c r="WFF306" s="18">
        <v>0</v>
      </c>
      <c r="WFG306" s="18">
        <v>0</v>
      </c>
      <c r="WFH306" s="18">
        <v>0</v>
      </c>
      <c r="WFI306" s="18">
        <v>0</v>
      </c>
      <c r="WFJ306" s="18">
        <v>0</v>
      </c>
      <c r="WFK306" s="18">
        <v>0</v>
      </c>
      <c r="WFL306" s="18">
        <v>0</v>
      </c>
      <c r="WFM306" s="18">
        <v>0</v>
      </c>
      <c r="WFN306" s="18">
        <v>0</v>
      </c>
      <c r="WFO306" s="18">
        <v>0</v>
      </c>
      <c r="WFP306" s="18">
        <v>0</v>
      </c>
      <c r="WFQ306" s="18">
        <v>0</v>
      </c>
      <c r="WFR306" s="18">
        <v>0</v>
      </c>
      <c r="WFS306" s="18">
        <v>0</v>
      </c>
      <c r="WFT306" s="18">
        <v>0</v>
      </c>
      <c r="WFU306" s="18">
        <v>0</v>
      </c>
      <c r="WFV306" s="18">
        <v>0</v>
      </c>
      <c r="WFW306" s="18">
        <v>0</v>
      </c>
      <c r="WFX306" s="18">
        <v>0</v>
      </c>
      <c r="WFY306" s="18">
        <v>0</v>
      </c>
      <c r="WFZ306" s="18">
        <v>0</v>
      </c>
      <c r="WGA306" s="18">
        <v>0</v>
      </c>
      <c r="WGB306" s="18">
        <v>0</v>
      </c>
      <c r="WGC306" s="18">
        <v>0</v>
      </c>
      <c r="WGD306" s="18">
        <v>0</v>
      </c>
      <c r="WGE306" s="18">
        <v>0</v>
      </c>
      <c r="WGF306" s="18">
        <v>0</v>
      </c>
      <c r="WGG306" s="18">
        <v>0</v>
      </c>
      <c r="WGH306" s="18">
        <v>0</v>
      </c>
      <c r="WGI306" s="18">
        <v>0</v>
      </c>
      <c r="WGJ306" s="18">
        <v>0</v>
      </c>
      <c r="WGK306" s="18">
        <v>0</v>
      </c>
      <c r="WGL306" s="18">
        <v>0</v>
      </c>
      <c r="WGM306" s="18">
        <v>0</v>
      </c>
      <c r="WGN306" s="18">
        <v>0</v>
      </c>
      <c r="WGO306" s="18">
        <v>0</v>
      </c>
      <c r="WGP306" s="18">
        <v>0</v>
      </c>
      <c r="WGQ306" s="18">
        <v>0</v>
      </c>
      <c r="WGR306" s="18">
        <v>0</v>
      </c>
      <c r="WGS306" s="18">
        <v>0</v>
      </c>
      <c r="WGT306" s="18">
        <v>0</v>
      </c>
      <c r="WGU306" s="18">
        <v>0</v>
      </c>
      <c r="WGV306" s="18">
        <v>0</v>
      </c>
      <c r="WGW306" s="18">
        <v>0</v>
      </c>
      <c r="WGX306" s="18">
        <v>0</v>
      </c>
      <c r="WGY306" s="18">
        <v>0</v>
      </c>
      <c r="WGZ306" s="18">
        <v>0</v>
      </c>
      <c r="WHA306" s="18">
        <v>0</v>
      </c>
      <c r="WHB306" s="18">
        <v>0</v>
      </c>
      <c r="WHC306" s="18">
        <v>0</v>
      </c>
      <c r="WHD306" s="18">
        <v>0</v>
      </c>
      <c r="WHE306" s="18">
        <v>0</v>
      </c>
      <c r="WHF306" s="18">
        <v>0</v>
      </c>
      <c r="WHG306" s="18">
        <v>0</v>
      </c>
      <c r="WHH306" s="18">
        <v>0</v>
      </c>
      <c r="WHI306" s="18">
        <v>0</v>
      </c>
      <c r="WHJ306" s="18">
        <v>0</v>
      </c>
      <c r="WHK306" s="18">
        <v>0</v>
      </c>
      <c r="WHL306" s="18">
        <v>0</v>
      </c>
      <c r="WHM306" s="18">
        <v>0</v>
      </c>
      <c r="WHN306" s="18">
        <v>0</v>
      </c>
      <c r="WHO306" s="18">
        <v>0</v>
      </c>
      <c r="WHP306" s="18">
        <v>0</v>
      </c>
      <c r="WHQ306" s="18">
        <v>0</v>
      </c>
      <c r="WHR306" s="18">
        <v>0</v>
      </c>
      <c r="WHS306" s="18">
        <v>0</v>
      </c>
      <c r="WHT306" s="18">
        <v>0</v>
      </c>
      <c r="WHU306" s="18">
        <v>0</v>
      </c>
      <c r="WHV306" s="18">
        <v>0</v>
      </c>
      <c r="WHW306" s="18">
        <v>0</v>
      </c>
      <c r="WHX306" s="18">
        <v>0</v>
      </c>
      <c r="WHY306" s="18">
        <v>0</v>
      </c>
      <c r="WHZ306" s="18">
        <v>0</v>
      </c>
      <c r="WIA306" s="18">
        <v>0</v>
      </c>
      <c r="WIB306" s="18">
        <v>0</v>
      </c>
      <c r="WIC306" s="18">
        <v>0</v>
      </c>
      <c r="WID306" s="18">
        <v>0</v>
      </c>
      <c r="WIE306" s="18">
        <v>0</v>
      </c>
      <c r="WIF306" s="18">
        <v>0</v>
      </c>
      <c r="WIG306" s="18">
        <v>0</v>
      </c>
      <c r="WIH306" s="18">
        <v>0</v>
      </c>
      <c r="WII306" s="18">
        <v>0</v>
      </c>
      <c r="WIJ306" s="18">
        <v>0</v>
      </c>
      <c r="WIK306" s="18">
        <v>0</v>
      </c>
      <c r="WIL306" s="18">
        <v>0</v>
      </c>
      <c r="WIM306" s="18">
        <v>0</v>
      </c>
      <c r="WIN306" s="18">
        <v>0</v>
      </c>
      <c r="WIO306" s="18">
        <v>0</v>
      </c>
      <c r="WIP306" s="18">
        <v>0</v>
      </c>
      <c r="WIQ306" s="18">
        <v>0</v>
      </c>
      <c r="WIR306" s="18">
        <v>0</v>
      </c>
      <c r="WIS306" s="18">
        <v>0</v>
      </c>
      <c r="WIT306" s="18">
        <v>0</v>
      </c>
      <c r="WIU306" s="18">
        <v>0</v>
      </c>
      <c r="WIV306" s="18">
        <v>0</v>
      </c>
      <c r="WIW306" s="18">
        <v>0</v>
      </c>
      <c r="WIX306" s="18">
        <v>0</v>
      </c>
      <c r="WIY306" s="18">
        <v>0</v>
      </c>
      <c r="WIZ306" s="18">
        <v>0</v>
      </c>
      <c r="WJA306" s="18">
        <v>0</v>
      </c>
      <c r="WJB306" s="18">
        <v>0</v>
      </c>
      <c r="WJC306" s="18">
        <v>0</v>
      </c>
      <c r="WJD306" s="18">
        <v>0</v>
      </c>
      <c r="WJE306" s="18">
        <v>0</v>
      </c>
      <c r="WJF306" s="18">
        <v>0</v>
      </c>
      <c r="WJG306" s="18">
        <v>0</v>
      </c>
      <c r="WJH306" s="18">
        <v>0</v>
      </c>
      <c r="WJI306" s="18">
        <v>0</v>
      </c>
      <c r="WJJ306" s="18">
        <v>0</v>
      </c>
      <c r="WJK306" s="18">
        <v>0</v>
      </c>
      <c r="WJL306" s="18">
        <v>0</v>
      </c>
      <c r="WJM306" s="18">
        <v>0</v>
      </c>
      <c r="WJN306" s="18">
        <v>0</v>
      </c>
      <c r="WJO306" s="18">
        <v>0</v>
      </c>
      <c r="WJP306" s="18">
        <v>0</v>
      </c>
      <c r="WJQ306" s="18">
        <v>0</v>
      </c>
      <c r="WJR306" s="18">
        <v>0</v>
      </c>
      <c r="WJS306" s="18">
        <v>0</v>
      </c>
      <c r="WJT306" s="18">
        <v>0</v>
      </c>
      <c r="WJU306" s="18">
        <v>0</v>
      </c>
      <c r="WJV306" s="18">
        <v>0</v>
      </c>
      <c r="WJW306" s="18">
        <v>0</v>
      </c>
      <c r="WJX306" s="18">
        <v>0</v>
      </c>
      <c r="WJY306" s="18">
        <v>0</v>
      </c>
      <c r="WJZ306" s="18">
        <v>0</v>
      </c>
      <c r="WKA306" s="18">
        <v>0</v>
      </c>
      <c r="WKB306" s="18">
        <v>0</v>
      </c>
      <c r="WKC306" s="18">
        <v>0</v>
      </c>
      <c r="WKD306" s="18">
        <v>0</v>
      </c>
      <c r="WKE306" s="18">
        <v>0</v>
      </c>
      <c r="WKF306" s="18">
        <v>0</v>
      </c>
      <c r="WKG306" s="18">
        <v>0</v>
      </c>
      <c r="WKH306" s="18">
        <v>0</v>
      </c>
      <c r="WKI306" s="18">
        <v>0</v>
      </c>
      <c r="WKJ306" s="18">
        <v>0</v>
      </c>
      <c r="WKK306" s="18">
        <v>0</v>
      </c>
      <c r="WKL306" s="18">
        <v>0</v>
      </c>
      <c r="WKM306" s="18">
        <v>0</v>
      </c>
      <c r="WKN306" s="18">
        <v>0</v>
      </c>
      <c r="WKO306" s="18">
        <v>0</v>
      </c>
      <c r="WKP306" s="18">
        <v>0</v>
      </c>
      <c r="WKQ306" s="18">
        <v>0</v>
      </c>
      <c r="WKR306" s="18">
        <v>0</v>
      </c>
      <c r="WKS306" s="18">
        <v>0</v>
      </c>
      <c r="WKT306" s="18">
        <v>0</v>
      </c>
      <c r="WKU306" s="18">
        <v>0</v>
      </c>
      <c r="WKV306" s="18">
        <v>0</v>
      </c>
      <c r="WKW306" s="18">
        <v>0</v>
      </c>
      <c r="WKX306" s="18">
        <v>0</v>
      </c>
      <c r="WKY306" s="18">
        <v>0</v>
      </c>
      <c r="WKZ306" s="18">
        <v>0</v>
      </c>
      <c r="WLA306" s="18">
        <v>0</v>
      </c>
      <c r="WLB306" s="18">
        <v>0</v>
      </c>
      <c r="WLC306" s="18">
        <v>0</v>
      </c>
      <c r="WLD306" s="18">
        <v>0</v>
      </c>
      <c r="WLE306" s="18">
        <v>0</v>
      </c>
      <c r="WLF306" s="18">
        <v>0</v>
      </c>
      <c r="WLG306" s="18">
        <v>0</v>
      </c>
      <c r="WLH306" s="18">
        <v>0</v>
      </c>
      <c r="WLI306" s="18">
        <v>0</v>
      </c>
      <c r="WLJ306" s="18">
        <v>0</v>
      </c>
      <c r="WLK306" s="18">
        <v>0</v>
      </c>
      <c r="WLL306" s="18">
        <v>0</v>
      </c>
      <c r="WLM306" s="18">
        <v>0</v>
      </c>
      <c r="WLN306" s="18">
        <v>0</v>
      </c>
      <c r="WLO306" s="18">
        <v>0</v>
      </c>
      <c r="WLP306" s="18">
        <v>0</v>
      </c>
      <c r="WLQ306" s="18">
        <v>0</v>
      </c>
      <c r="WLR306" s="18">
        <v>0</v>
      </c>
      <c r="WLS306" s="18">
        <v>0</v>
      </c>
      <c r="WLT306" s="18">
        <v>0</v>
      </c>
      <c r="WLU306" s="18">
        <v>0</v>
      </c>
      <c r="WLV306" s="18">
        <v>0</v>
      </c>
      <c r="WLW306" s="18">
        <v>0</v>
      </c>
      <c r="WLX306" s="18">
        <v>0</v>
      </c>
      <c r="WLY306" s="18">
        <v>0</v>
      </c>
      <c r="WLZ306" s="18">
        <v>0</v>
      </c>
      <c r="WMA306" s="18">
        <v>0</v>
      </c>
      <c r="WMB306" s="18">
        <v>0</v>
      </c>
      <c r="WMC306" s="18">
        <v>0</v>
      </c>
      <c r="WMD306" s="18">
        <v>0</v>
      </c>
      <c r="WME306" s="18">
        <v>0</v>
      </c>
      <c r="WMF306" s="18">
        <v>0</v>
      </c>
      <c r="WMG306" s="18">
        <v>0</v>
      </c>
      <c r="WMH306" s="18">
        <v>0</v>
      </c>
      <c r="WMI306" s="18">
        <v>0</v>
      </c>
      <c r="WMJ306" s="18">
        <v>0</v>
      </c>
      <c r="WMK306" s="18">
        <v>0</v>
      </c>
      <c r="WML306" s="18">
        <v>0</v>
      </c>
      <c r="WMM306" s="18">
        <v>0</v>
      </c>
      <c r="WMN306" s="18">
        <v>0</v>
      </c>
      <c r="WMO306" s="18">
        <v>0</v>
      </c>
      <c r="WMP306" s="18">
        <v>0</v>
      </c>
      <c r="WMQ306" s="18">
        <v>0</v>
      </c>
      <c r="WMR306" s="18">
        <v>0</v>
      </c>
      <c r="WMS306" s="18">
        <v>0</v>
      </c>
      <c r="WMT306" s="18">
        <v>0</v>
      </c>
      <c r="WMU306" s="18">
        <v>0</v>
      </c>
      <c r="WMV306" s="18">
        <v>0</v>
      </c>
      <c r="WMW306" s="18">
        <v>0</v>
      </c>
      <c r="WMX306" s="18">
        <v>0</v>
      </c>
      <c r="WMY306" s="18">
        <v>0</v>
      </c>
      <c r="WMZ306" s="18">
        <v>0</v>
      </c>
      <c r="WNA306" s="18">
        <v>0</v>
      </c>
      <c r="WNB306" s="18">
        <v>0</v>
      </c>
      <c r="WNC306" s="18">
        <v>0</v>
      </c>
      <c r="WND306" s="18">
        <v>0</v>
      </c>
      <c r="WNE306" s="18">
        <v>0</v>
      </c>
      <c r="WNF306" s="18">
        <v>0</v>
      </c>
      <c r="WNG306" s="18">
        <v>0</v>
      </c>
      <c r="WNH306" s="18">
        <v>0</v>
      </c>
      <c r="WNI306" s="18">
        <v>0</v>
      </c>
      <c r="WNJ306" s="18">
        <v>0</v>
      </c>
      <c r="WNK306" s="18">
        <v>0</v>
      </c>
      <c r="WNL306" s="18">
        <v>0</v>
      </c>
      <c r="WNM306" s="18">
        <v>0</v>
      </c>
      <c r="WNN306" s="18">
        <v>0</v>
      </c>
      <c r="WNO306" s="18">
        <v>0</v>
      </c>
      <c r="WNP306" s="18">
        <v>0</v>
      </c>
      <c r="WNQ306" s="18">
        <v>0</v>
      </c>
      <c r="WNR306" s="18">
        <v>0</v>
      </c>
      <c r="WNS306" s="18">
        <v>0</v>
      </c>
      <c r="WNT306" s="18">
        <v>0</v>
      </c>
      <c r="WNU306" s="18">
        <v>0</v>
      </c>
      <c r="WNV306" s="18">
        <v>0</v>
      </c>
      <c r="WNW306" s="18">
        <v>0</v>
      </c>
      <c r="WNX306" s="18">
        <v>0</v>
      </c>
      <c r="WNY306" s="18">
        <v>0</v>
      </c>
      <c r="WNZ306" s="18">
        <v>0</v>
      </c>
      <c r="WOA306" s="18">
        <v>0</v>
      </c>
      <c r="WOB306" s="18">
        <v>0</v>
      </c>
      <c r="WOC306" s="18">
        <v>0</v>
      </c>
      <c r="WOD306" s="18">
        <v>0</v>
      </c>
      <c r="WOE306" s="18">
        <v>0</v>
      </c>
      <c r="WOF306" s="18">
        <v>0</v>
      </c>
      <c r="WOG306" s="18">
        <v>0</v>
      </c>
      <c r="WOH306" s="18">
        <v>0</v>
      </c>
      <c r="WOI306" s="18">
        <v>0</v>
      </c>
      <c r="WOJ306" s="18">
        <v>0</v>
      </c>
      <c r="WOK306" s="18">
        <v>0</v>
      </c>
      <c r="WOL306" s="18">
        <v>0</v>
      </c>
      <c r="WOM306" s="18">
        <v>0</v>
      </c>
      <c r="WON306" s="18">
        <v>0</v>
      </c>
      <c r="WOO306" s="18">
        <v>0</v>
      </c>
      <c r="WOP306" s="18">
        <v>0</v>
      </c>
      <c r="WOQ306" s="18">
        <v>0</v>
      </c>
      <c r="WOR306" s="18">
        <v>0</v>
      </c>
      <c r="WOS306" s="18">
        <v>0</v>
      </c>
      <c r="WOT306" s="18">
        <v>0</v>
      </c>
      <c r="WOU306" s="18">
        <v>0</v>
      </c>
      <c r="WOV306" s="18">
        <v>0</v>
      </c>
      <c r="WOW306" s="18">
        <v>0</v>
      </c>
      <c r="WOX306" s="18">
        <v>0</v>
      </c>
      <c r="WOY306" s="18">
        <v>0</v>
      </c>
      <c r="WOZ306" s="18">
        <v>0</v>
      </c>
      <c r="WPA306" s="18">
        <v>0</v>
      </c>
      <c r="WPB306" s="18">
        <v>0</v>
      </c>
      <c r="WPC306" s="18">
        <v>0</v>
      </c>
      <c r="WPD306" s="18">
        <v>0</v>
      </c>
      <c r="WPE306" s="18">
        <v>0</v>
      </c>
      <c r="WPF306" s="18">
        <v>0</v>
      </c>
      <c r="WPG306" s="18">
        <v>0</v>
      </c>
      <c r="WPH306" s="18">
        <v>0</v>
      </c>
      <c r="WPI306" s="18">
        <v>0</v>
      </c>
      <c r="WPJ306" s="18">
        <v>0</v>
      </c>
      <c r="WPK306" s="18">
        <v>0</v>
      </c>
      <c r="WPL306" s="18">
        <v>0</v>
      </c>
      <c r="WPM306" s="18">
        <v>0</v>
      </c>
      <c r="WPN306" s="18">
        <v>0</v>
      </c>
      <c r="WPO306" s="18">
        <v>0</v>
      </c>
      <c r="WPP306" s="18">
        <v>0</v>
      </c>
      <c r="WPQ306" s="18">
        <v>0</v>
      </c>
      <c r="WPR306" s="18">
        <v>0</v>
      </c>
      <c r="WPS306" s="18">
        <v>0</v>
      </c>
      <c r="WPT306" s="18">
        <v>0</v>
      </c>
      <c r="WPU306" s="18">
        <v>0</v>
      </c>
      <c r="WPV306" s="18">
        <v>0</v>
      </c>
      <c r="WPW306" s="18">
        <v>0</v>
      </c>
      <c r="WPX306" s="18">
        <v>0</v>
      </c>
      <c r="WPY306" s="18">
        <v>0</v>
      </c>
      <c r="WPZ306" s="18">
        <v>0</v>
      </c>
      <c r="WQA306" s="18">
        <v>0</v>
      </c>
      <c r="WQB306" s="18">
        <v>0</v>
      </c>
      <c r="WQC306" s="18">
        <v>0</v>
      </c>
      <c r="WQD306" s="18">
        <v>0</v>
      </c>
      <c r="WQE306" s="18">
        <v>0</v>
      </c>
      <c r="WQF306" s="18">
        <v>0</v>
      </c>
      <c r="WQG306" s="18">
        <v>0</v>
      </c>
      <c r="WQH306" s="18">
        <v>0</v>
      </c>
      <c r="WQI306" s="18">
        <v>0</v>
      </c>
      <c r="WQJ306" s="18">
        <v>0</v>
      </c>
      <c r="WQK306" s="18">
        <v>0</v>
      </c>
      <c r="WQL306" s="18">
        <v>0</v>
      </c>
      <c r="WQM306" s="18">
        <v>0</v>
      </c>
      <c r="WQN306" s="18">
        <v>0</v>
      </c>
      <c r="WQO306" s="18">
        <v>0</v>
      </c>
      <c r="WQP306" s="18">
        <v>0</v>
      </c>
      <c r="WQQ306" s="18">
        <v>0</v>
      </c>
      <c r="WQR306" s="18">
        <v>0</v>
      </c>
      <c r="WQS306" s="18">
        <v>0</v>
      </c>
      <c r="WQT306" s="18">
        <v>0</v>
      </c>
      <c r="WQU306" s="18">
        <v>0</v>
      </c>
      <c r="WQV306" s="18">
        <v>0</v>
      </c>
      <c r="WQW306" s="18">
        <v>0</v>
      </c>
      <c r="WQX306" s="18">
        <v>0</v>
      </c>
      <c r="WQY306" s="18">
        <v>0</v>
      </c>
      <c r="WQZ306" s="18">
        <v>0</v>
      </c>
      <c r="WRA306" s="18">
        <v>0</v>
      </c>
      <c r="WRB306" s="18">
        <v>0</v>
      </c>
      <c r="WRC306" s="18">
        <v>0</v>
      </c>
      <c r="WRD306" s="18">
        <v>0</v>
      </c>
      <c r="WRE306" s="18">
        <v>0</v>
      </c>
      <c r="WRF306" s="18">
        <v>0</v>
      </c>
      <c r="WRG306" s="18">
        <v>0</v>
      </c>
      <c r="WRH306" s="18">
        <v>0</v>
      </c>
      <c r="WRI306" s="18">
        <v>0</v>
      </c>
      <c r="WRJ306" s="18">
        <v>0</v>
      </c>
      <c r="WRK306" s="18">
        <v>0</v>
      </c>
      <c r="WRL306" s="18">
        <v>0</v>
      </c>
      <c r="WRM306" s="18">
        <v>0</v>
      </c>
      <c r="WRN306" s="18">
        <v>0</v>
      </c>
      <c r="WRO306" s="18">
        <v>0</v>
      </c>
      <c r="WRP306" s="18">
        <v>0</v>
      </c>
      <c r="WRQ306" s="18">
        <v>0</v>
      </c>
      <c r="WRR306" s="18">
        <v>0</v>
      </c>
      <c r="WRS306" s="18">
        <v>0</v>
      </c>
      <c r="WRT306" s="18">
        <v>0</v>
      </c>
      <c r="WRU306" s="18">
        <v>0</v>
      </c>
      <c r="WRV306" s="18">
        <v>0</v>
      </c>
      <c r="WRW306" s="18">
        <v>0</v>
      </c>
      <c r="WRX306" s="18">
        <v>0</v>
      </c>
      <c r="WRY306" s="18">
        <v>0</v>
      </c>
      <c r="WRZ306" s="18">
        <v>0</v>
      </c>
      <c r="WSA306" s="18">
        <v>0</v>
      </c>
      <c r="WSB306" s="18">
        <v>0</v>
      </c>
      <c r="WSC306" s="18">
        <v>0</v>
      </c>
      <c r="WSD306" s="18">
        <v>0</v>
      </c>
      <c r="WSE306" s="18">
        <v>0</v>
      </c>
      <c r="WSF306" s="18">
        <v>0</v>
      </c>
      <c r="WSG306" s="18">
        <v>0</v>
      </c>
      <c r="WSH306" s="18">
        <v>0</v>
      </c>
      <c r="WSI306" s="18">
        <v>0</v>
      </c>
      <c r="WSJ306" s="18">
        <v>0</v>
      </c>
      <c r="WSK306" s="18">
        <v>0</v>
      </c>
      <c r="WSL306" s="18">
        <v>0</v>
      </c>
      <c r="WSM306" s="18">
        <v>0</v>
      </c>
      <c r="WSN306" s="18">
        <v>0</v>
      </c>
      <c r="WSO306" s="18">
        <v>0</v>
      </c>
      <c r="WSP306" s="18">
        <v>0</v>
      </c>
      <c r="WSQ306" s="18">
        <v>0</v>
      </c>
      <c r="WSR306" s="18">
        <v>0</v>
      </c>
      <c r="WSS306" s="18">
        <v>0</v>
      </c>
      <c r="WST306" s="18">
        <v>0</v>
      </c>
      <c r="WSU306" s="18">
        <v>0</v>
      </c>
      <c r="WSV306" s="18">
        <v>0</v>
      </c>
      <c r="WSW306" s="18">
        <v>0</v>
      </c>
      <c r="WSX306" s="18">
        <v>0</v>
      </c>
      <c r="WSY306" s="18">
        <v>0</v>
      </c>
      <c r="WSZ306" s="18">
        <v>0</v>
      </c>
      <c r="WTA306" s="18">
        <v>0</v>
      </c>
      <c r="WTB306" s="18">
        <v>0</v>
      </c>
      <c r="WTC306" s="18">
        <v>0</v>
      </c>
      <c r="WTD306" s="18">
        <v>0</v>
      </c>
      <c r="WTE306" s="18">
        <v>0</v>
      </c>
      <c r="WTF306" s="18">
        <v>0</v>
      </c>
      <c r="WTG306" s="18">
        <v>0</v>
      </c>
      <c r="WTH306" s="18">
        <v>0</v>
      </c>
      <c r="WTI306" s="18">
        <v>0</v>
      </c>
      <c r="WTJ306" s="18">
        <v>0</v>
      </c>
      <c r="WTK306" s="18">
        <v>0</v>
      </c>
      <c r="WTL306" s="18">
        <v>0</v>
      </c>
      <c r="WTM306" s="18">
        <v>0</v>
      </c>
      <c r="WTN306" s="18">
        <v>0</v>
      </c>
      <c r="WTO306" s="18">
        <v>0</v>
      </c>
      <c r="WTP306" s="18">
        <v>0</v>
      </c>
      <c r="WTQ306" s="18">
        <v>0</v>
      </c>
      <c r="WTR306" s="18">
        <v>0</v>
      </c>
      <c r="WTS306" s="18">
        <v>0</v>
      </c>
      <c r="WTT306" s="18">
        <v>0</v>
      </c>
      <c r="WTU306" s="18">
        <v>0</v>
      </c>
      <c r="WTV306" s="18">
        <v>0</v>
      </c>
      <c r="WTW306" s="18">
        <v>0</v>
      </c>
      <c r="WTX306" s="18">
        <v>0</v>
      </c>
      <c r="WTY306" s="18">
        <v>0</v>
      </c>
      <c r="WTZ306" s="18">
        <v>0</v>
      </c>
      <c r="WUA306" s="18">
        <v>0</v>
      </c>
      <c r="WUB306" s="18">
        <v>0</v>
      </c>
      <c r="WUC306" s="18">
        <v>0</v>
      </c>
      <c r="WUD306" s="18">
        <v>0</v>
      </c>
      <c r="WUE306" s="18">
        <v>0</v>
      </c>
      <c r="WUF306" s="18">
        <v>0</v>
      </c>
      <c r="WUG306" s="18">
        <v>0</v>
      </c>
      <c r="WUH306" s="18">
        <v>0</v>
      </c>
      <c r="WUI306" s="18">
        <v>0</v>
      </c>
      <c r="WUJ306" s="18">
        <v>0</v>
      </c>
      <c r="WUK306" s="18">
        <v>0</v>
      </c>
      <c r="WUL306" s="18">
        <v>0</v>
      </c>
      <c r="WUM306" s="18">
        <v>0</v>
      </c>
      <c r="WUN306" s="18">
        <v>0</v>
      </c>
      <c r="WUO306" s="18">
        <v>0</v>
      </c>
      <c r="WUP306" s="18">
        <v>0</v>
      </c>
      <c r="WUQ306" s="18">
        <v>0</v>
      </c>
      <c r="WUR306" s="18">
        <v>0</v>
      </c>
      <c r="WUS306" s="18">
        <v>0</v>
      </c>
      <c r="WUT306" s="18">
        <v>0</v>
      </c>
      <c r="WUU306" s="18">
        <v>0</v>
      </c>
      <c r="WUV306" s="18">
        <v>0</v>
      </c>
      <c r="WUW306" s="18">
        <v>0</v>
      </c>
      <c r="WUX306" s="18">
        <v>0</v>
      </c>
      <c r="WUY306" s="18">
        <v>0</v>
      </c>
      <c r="WUZ306" s="18">
        <v>0</v>
      </c>
      <c r="WVA306" s="18">
        <v>0</v>
      </c>
      <c r="WVB306" s="18">
        <v>0</v>
      </c>
      <c r="WVC306" s="18">
        <v>0</v>
      </c>
      <c r="WVD306" s="18">
        <v>0</v>
      </c>
      <c r="WVE306" s="18">
        <v>0</v>
      </c>
      <c r="WVF306" s="18">
        <v>0</v>
      </c>
      <c r="WVG306" s="18">
        <v>0</v>
      </c>
      <c r="WVH306" s="18">
        <v>0</v>
      </c>
      <c r="WVI306" s="18">
        <v>0</v>
      </c>
      <c r="WVJ306" s="18">
        <v>0</v>
      </c>
      <c r="WVK306" s="18">
        <v>0</v>
      </c>
      <c r="WVL306" s="18">
        <v>0</v>
      </c>
      <c r="WVM306" s="18">
        <v>0</v>
      </c>
      <c r="WVN306" s="18">
        <v>0</v>
      </c>
      <c r="WVO306" s="18">
        <v>0</v>
      </c>
      <c r="WVP306" s="18">
        <v>0</v>
      </c>
      <c r="WVQ306" s="18">
        <v>0</v>
      </c>
      <c r="WVR306" s="18">
        <v>0</v>
      </c>
      <c r="WVS306" s="18">
        <v>0</v>
      </c>
      <c r="WVT306" s="18">
        <v>0</v>
      </c>
      <c r="WVU306" s="18">
        <v>0</v>
      </c>
      <c r="WVV306" s="18">
        <v>0</v>
      </c>
      <c r="WVW306" s="18">
        <v>0</v>
      </c>
      <c r="WVX306" s="18">
        <v>0</v>
      </c>
      <c r="WVY306" s="18">
        <v>0</v>
      </c>
      <c r="WVZ306" s="18">
        <v>0</v>
      </c>
      <c r="WWA306" s="18">
        <v>0</v>
      </c>
      <c r="WWB306" s="18">
        <v>0</v>
      </c>
      <c r="WWC306" s="18">
        <v>0</v>
      </c>
      <c r="WWD306" s="18">
        <v>0</v>
      </c>
      <c r="WWE306" s="18">
        <v>0</v>
      </c>
      <c r="WWF306" s="18">
        <v>0</v>
      </c>
      <c r="WWG306" s="18">
        <v>0</v>
      </c>
      <c r="WWH306" s="18">
        <v>0</v>
      </c>
      <c r="WWI306" s="18">
        <v>0</v>
      </c>
      <c r="WWJ306" s="18">
        <v>0</v>
      </c>
      <c r="WWK306" s="18">
        <v>0</v>
      </c>
      <c r="WWL306" s="18">
        <v>0</v>
      </c>
      <c r="WWM306" s="18">
        <v>0</v>
      </c>
      <c r="WWN306" s="18">
        <v>0</v>
      </c>
      <c r="WWO306" s="18">
        <v>0</v>
      </c>
      <c r="WWP306" s="18">
        <v>0</v>
      </c>
      <c r="WWQ306" s="18">
        <v>0</v>
      </c>
      <c r="WWR306" s="18">
        <v>0</v>
      </c>
      <c r="WWS306" s="18">
        <v>0</v>
      </c>
      <c r="WWT306" s="18">
        <v>0</v>
      </c>
      <c r="WWU306" s="18">
        <v>0</v>
      </c>
      <c r="WWV306" s="18">
        <v>0</v>
      </c>
      <c r="WWW306" s="18">
        <v>0</v>
      </c>
      <c r="WWX306" s="18">
        <v>0</v>
      </c>
      <c r="WWY306" s="18">
        <v>0</v>
      </c>
      <c r="WWZ306" s="18">
        <v>0</v>
      </c>
      <c r="WXA306" s="18">
        <v>0</v>
      </c>
      <c r="WXB306" s="18">
        <v>0</v>
      </c>
      <c r="WXC306" s="18">
        <v>0</v>
      </c>
      <c r="WXD306" s="18">
        <v>0</v>
      </c>
      <c r="WXE306" s="18">
        <v>0</v>
      </c>
      <c r="WXF306" s="18">
        <v>0</v>
      </c>
      <c r="WXG306" s="18">
        <v>0</v>
      </c>
      <c r="WXH306" s="18">
        <v>0</v>
      </c>
      <c r="WXI306" s="18">
        <v>0</v>
      </c>
      <c r="WXJ306" s="18">
        <v>0</v>
      </c>
      <c r="WXK306" s="18">
        <v>0</v>
      </c>
      <c r="WXL306" s="18">
        <v>0</v>
      </c>
      <c r="WXM306" s="18">
        <v>0</v>
      </c>
      <c r="WXN306" s="18">
        <v>0</v>
      </c>
      <c r="WXO306" s="18">
        <v>0</v>
      </c>
      <c r="WXP306" s="18">
        <v>0</v>
      </c>
      <c r="WXQ306" s="18">
        <v>0</v>
      </c>
      <c r="WXR306" s="18">
        <v>0</v>
      </c>
      <c r="WXS306" s="18">
        <v>0</v>
      </c>
      <c r="WXT306" s="18">
        <v>0</v>
      </c>
      <c r="WXU306" s="18">
        <v>0</v>
      </c>
      <c r="WXV306" s="18">
        <v>0</v>
      </c>
      <c r="WXW306" s="18">
        <v>0</v>
      </c>
      <c r="WXX306" s="18">
        <v>0</v>
      </c>
      <c r="WXY306" s="18">
        <v>0</v>
      </c>
      <c r="WXZ306" s="18">
        <v>0</v>
      </c>
      <c r="WYA306" s="18">
        <v>0</v>
      </c>
      <c r="WYB306" s="18">
        <v>0</v>
      </c>
      <c r="WYC306" s="18">
        <v>0</v>
      </c>
      <c r="WYD306" s="18">
        <v>0</v>
      </c>
      <c r="WYE306" s="18">
        <v>0</v>
      </c>
      <c r="WYF306" s="18">
        <v>0</v>
      </c>
      <c r="WYG306" s="18">
        <v>0</v>
      </c>
      <c r="WYH306" s="18">
        <v>0</v>
      </c>
      <c r="WYI306" s="18">
        <v>0</v>
      </c>
      <c r="WYJ306" s="18">
        <v>0</v>
      </c>
      <c r="WYK306" s="18">
        <v>0</v>
      </c>
      <c r="WYL306" s="18">
        <v>0</v>
      </c>
      <c r="WYM306" s="18">
        <v>0</v>
      </c>
      <c r="WYN306" s="18">
        <v>0</v>
      </c>
      <c r="WYO306" s="18">
        <v>0</v>
      </c>
      <c r="WYP306" s="18">
        <v>0</v>
      </c>
      <c r="WYQ306" s="18">
        <v>0</v>
      </c>
      <c r="WYR306" s="18">
        <v>0</v>
      </c>
      <c r="WYS306" s="18">
        <v>0</v>
      </c>
      <c r="WYT306" s="18">
        <v>0</v>
      </c>
      <c r="WYU306" s="18">
        <v>0</v>
      </c>
      <c r="WYV306" s="18">
        <v>0</v>
      </c>
      <c r="WYW306" s="18">
        <v>0</v>
      </c>
      <c r="WYX306" s="18">
        <v>0</v>
      </c>
      <c r="WYY306" s="18">
        <v>0</v>
      </c>
      <c r="WYZ306" s="18">
        <v>0</v>
      </c>
      <c r="WZA306" s="18">
        <v>0</v>
      </c>
      <c r="WZB306" s="18">
        <v>0</v>
      </c>
      <c r="WZC306" s="18">
        <v>0</v>
      </c>
      <c r="WZD306" s="18">
        <v>0</v>
      </c>
      <c r="WZE306" s="18">
        <v>0</v>
      </c>
      <c r="WZF306" s="18">
        <v>0</v>
      </c>
      <c r="WZG306" s="18">
        <v>0</v>
      </c>
      <c r="WZH306" s="18">
        <v>0</v>
      </c>
      <c r="WZI306" s="18">
        <v>0</v>
      </c>
      <c r="WZJ306" s="18">
        <v>0</v>
      </c>
      <c r="WZK306" s="18">
        <v>0</v>
      </c>
      <c r="WZL306" s="18">
        <v>0</v>
      </c>
      <c r="WZM306" s="18">
        <v>0</v>
      </c>
      <c r="WZN306" s="18">
        <v>0</v>
      </c>
      <c r="WZO306" s="18">
        <v>0</v>
      </c>
      <c r="WZP306" s="18">
        <v>0</v>
      </c>
      <c r="WZQ306" s="18">
        <v>0</v>
      </c>
      <c r="WZR306" s="18">
        <v>0</v>
      </c>
      <c r="WZS306" s="18">
        <v>0</v>
      </c>
      <c r="WZT306" s="18">
        <v>0</v>
      </c>
      <c r="WZU306" s="18">
        <v>0</v>
      </c>
      <c r="WZV306" s="18">
        <v>0</v>
      </c>
      <c r="WZW306" s="18">
        <v>0</v>
      </c>
      <c r="WZX306" s="18">
        <v>0</v>
      </c>
      <c r="WZY306" s="18">
        <v>0</v>
      </c>
      <c r="WZZ306" s="18">
        <v>0</v>
      </c>
      <c r="XAA306" s="18">
        <v>0</v>
      </c>
      <c r="XAB306" s="18">
        <v>0</v>
      </c>
      <c r="XAC306" s="18">
        <v>0</v>
      </c>
      <c r="XAD306" s="18">
        <v>0</v>
      </c>
      <c r="XAE306" s="18">
        <v>0</v>
      </c>
      <c r="XAF306" s="18">
        <v>0</v>
      </c>
      <c r="XAG306" s="18">
        <v>0</v>
      </c>
      <c r="XAH306" s="18">
        <v>0</v>
      </c>
      <c r="XAI306" s="18">
        <v>0</v>
      </c>
      <c r="XAJ306" s="18">
        <v>0</v>
      </c>
      <c r="XAK306" s="18">
        <v>0</v>
      </c>
      <c r="XAL306" s="18">
        <v>0</v>
      </c>
      <c r="XAM306" s="18">
        <v>0</v>
      </c>
      <c r="XAN306" s="18">
        <v>0</v>
      </c>
      <c r="XAO306" s="18">
        <v>0</v>
      </c>
      <c r="XAP306" s="18">
        <v>0</v>
      </c>
      <c r="XAQ306" s="18">
        <v>0</v>
      </c>
      <c r="XAR306" s="18">
        <v>0</v>
      </c>
      <c r="XAS306" s="18">
        <v>0</v>
      </c>
      <c r="XAT306" s="18">
        <v>0</v>
      </c>
      <c r="XAU306" s="18">
        <v>0</v>
      </c>
      <c r="XAV306" s="18">
        <v>0</v>
      </c>
      <c r="XAW306" s="18">
        <v>0</v>
      </c>
      <c r="XAX306" s="18">
        <v>0</v>
      </c>
      <c r="XAY306" s="18">
        <v>0</v>
      </c>
      <c r="XAZ306" s="18">
        <v>0</v>
      </c>
      <c r="XBA306" s="18">
        <v>0</v>
      </c>
      <c r="XBB306" s="18">
        <v>0</v>
      </c>
      <c r="XBC306" s="18">
        <v>0</v>
      </c>
      <c r="XBD306" s="18">
        <v>0</v>
      </c>
      <c r="XBE306" s="18">
        <v>0</v>
      </c>
      <c r="XBF306" s="18">
        <v>0</v>
      </c>
      <c r="XBG306" s="18">
        <v>0</v>
      </c>
      <c r="XBH306" s="18">
        <v>0</v>
      </c>
      <c r="XBI306" s="18">
        <v>0</v>
      </c>
      <c r="XBJ306" s="18">
        <v>0</v>
      </c>
      <c r="XBK306" s="18">
        <v>0</v>
      </c>
      <c r="XBL306" s="18">
        <v>0</v>
      </c>
      <c r="XBM306" s="18">
        <v>0</v>
      </c>
      <c r="XBN306" s="18">
        <v>0</v>
      </c>
      <c r="XBO306" s="18">
        <v>0</v>
      </c>
      <c r="XBP306" s="18">
        <v>0</v>
      </c>
      <c r="XBQ306" s="18">
        <v>0</v>
      </c>
      <c r="XBR306" s="18">
        <v>0</v>
      </c>
      <c r="XBS306" s="18">
        <v>0</v>
      </c>
      <c r="XBT306" s="18">
        <v>0</v>
      </c>
      <c r="XBU306" s="18">
        <v>0</v>
      </c>
      <c r="XBV306" s="18">
        <v>0</v>
      </c>
      <c r="XBW306" s="18">
        <v>0</v>
      </c>
      <c r="XBX306" s="18">
        <v>0</v>
      </c>
      <c r="XBY306" s="18">
        <v>0</v>
      </c>
      <c r="XBZ306" s="18">
        <v>0</v>
      </c>
      <c r="XCA306" s="18">
        <v>0</v>
      </c>
      <c r="XCB306" s="18">
        <v>0</v>
      </c>
      <c r="XCC306" s="18">
        <v>0</v>
      </c>
      <c r="XCD306" s="18">
        <v>0</v>
      </c>
      <c r="XCE306" s="18">
        <v>0</v>
      </c>
      <c r="XCF306" s="18">
        <v>0</v>
      </c>
      <c r="XCG306" s="18">
        <v>0</v>
      </c>
      <c r="XCH306" s="18">
        <v>0</v>
      </c>
      <c r="XCI306" s="18">
        <v>0</v>
      </c>
      <c r="XCJ306" s="18">
        <v>0</v>
      </c>
      <c r="XCK306" s="18">
        <v>0</v>
      </c>
      <c r="XCL306" s="18">
        <v>0</v>
      </c>
      <c r="XCM306" s="18">
        <v>0</v>
      </c>
      <c r="XCN306" s="18">
        <v>0</v>
      </c>
      <c r="XCO306" s="18">
        <v>0</v>
      </c>
      <c r="XCP306" s="18">
        <v>0</v>
      </c>
      <c r="XCQ306" s="18">
        <v>0</v>
      </c>
      <c r="XCR306" s="18">
        <v>0</v>
      </c>
      <c r="XCS306" s="18">
        <v>0</v>
      </c>
      <c r="XCT306" s="18">
        <v>0</v>
      </c>
      <c r="XCU306" s="18">
        <v>0</v>
      </c>
      <c r="XCV306" s="18">
        <v>0</v>
      </c>
      <c r="XCW306" s="18">
        <v>0</v>
      </c>
      <c r="XCX306" s="18">
        <v>0</v>
      </c>
      <c r="XCY306" s="18">
        <v>0</v>
      </c>
      <c r="XCZ306" s="18">
        <v>0</v>
      </c>
      <c r="XDA306" s="18">
        <v>0</v>
      </c>
      <c r="XDB306" s="18">
        <v>0</v>
      </c>
      <c r="XDC306" s="18">
        <v>0</v>
      </c>
      <c r="XDD306" s="18">
        <v>0</v>
      </c>
      <c r="XDE306" s="18">
        <v>0</v>
      </c>
      <c r="XDF306" s="18">
        <v>0</v>
      </c>
      <c r="XDG306" s="18">
        <v>0</v>
      </c>
      <c r="XDH306" s="18">
        <v>0</v>
      </c>
      <c r="XDI306" s="18">
        <v>0</v>
      </c>
      <c r="XDJ306" s="18">
        <v>0</v>
      </c>
      <c r="XDK306" s="18">
        <v>0</v>
      </c>
      <c r="XDL306" s="18">
        <v>0</v>
      </c>
      <c r="XDM306" s="18">
        <v>0</v>
      </c>
      <c r="XDN306" s="18">
        <v>0</v>
      </c>
      <c r="XDO306" s="18">
        <v>0</v>
      </c>
      <c r="XDP306" s="18">
        <v>0</v>
      </c>
      <c r="XDQ306" s="18">
        <v>0</v>
      </c>
      <c r="XDR306" s="18">
        <v>0</v>
      </c>
      <c r="XDS306" s="18">
        <v>0</v>
      </c>
      <c r="XDT306" s="18">
        <v>0</v>
      </c>
      <c r="XDU306" s="18">
        <v>0</v>
      </c>
      <c r="XDV306" s="18">
        <v>0</v>
      </c>
      <c r="XDW306" s="18">
        <v>0</v>
      </c>
      <c r="XDX306" s="18">
        <v>0</v>
      </c>
      <c r="XDY306" s="18">
        <v>0</v>
      </c>
      <c r="XDZ306" s="18">
        <v>0</v>
      </c>
      <c r="XEA306" s="18">
        <v>0</v>
      </c>
      <c r="XEB306" s="18">
        <v>0</v>
      </c>
      <c r="XEC306" s="18">
        <v>0</v>
      </c>
      <c r="XED306" s="18">
        <v>0</v>
      </c>
      <c r="XEE306" s="18">
        <v>0</v>
      </c>
      <c r="XEF306" s="18">
        <v>0</v>
      </c>
      <c r="XEG306" s="18">
        <v>0</v>
      </c>
      <c r="XEH306" s="18">
        <v>0</v>
      </c>
      <c r="XEI306" s="18">
        <v>0</v>
      </c>
      <c r="XEJ306" s="18">
        <v>0</v>
      </c>
      <c r="XEK306" s="18">
        <v>0</v>
      </c>
      <c r="XEL306" s="18">
        <v>0</v>
      </c>
      <c r="XEM306" s="18">
        <v>0</v>
      </c>
      <c r="XEN306" s="18">
        <v>0</v>
      </c>
      <c r="XEO306" s="18">
        <v>0</v>
      </c>
      <c r="XEP306" s="18">
        <v>0</v>
      </c>
      <c r="XEQ306" s="18">
        <v>0</v>
      </c>
      <c r="XER306" s="18">
        <v>0</v>
      </c>
      <c r="XES306" s="18">
        <v>0</v>
      </c>
      <c r="XET306" s="18">
        <v>0</v>
      </c>
      <c r="XEU306" s="18">
        <v>0</v>
      </c>
      <c r="XEV306" s="18">
        <v>0</v>
      </c>
      <c r="XEW306" s="18">
        <v>0</v>
      </c>
      <c r="XEX306" s="18">
        <v>0</v>
      </c>
    </row>
  </sheetData>
  <mergeCells count="12">
    <mergeCell ref="Q3:Q5"/>
    <mergeCell ref="R3:R5"/>
    <mergeCell ref="A1:J1"/>
    <mergeCell ref="N3:N5"/>
    <mergeCell ref="O3:O5"/>
    <mergeCell ref="A2:B2"/>
    <mergeCell ref="A3:B3"/>
    <mergeCell ref="C2:D2"/>
    <mergeCell ref="C3:D3"/>
    <mergeCell ref="M3:M5"/>
    <mergeCell ref="L3:L5"/>
    <mergeCell ref="P3:P5"/>
  </mergeCells>
  <conditionalFormatting sqref="A6:A15">
    <cfRule type="expression" dxfId="75" priority="37">
      <formula>A6="Saída"</formula>
    </cfRule>
    <cfRule type="expression" dxfId="74" priority="38">
      <formula>A6="Entrada"</formula>
    </cfRule>
  </conditionalFormatting>
  <conditionalFormatting sqref="I6:I15">
    <cfRule type="expression" dxfId="73" priority="35">
      <formula>I6&lt;0</formula>
    </cfRule>
    <cfRule type="expression" dxfId="72" priority="36">
      <formula>I6&gt;0</formula>
    </cfRule>
  </conditionalFormatting>
  <conditionalFormatting sqref="J6:J15">
    <cfRule type="expression" dxfId="71" priority="33">
      <formula>J6="Finalizado"</formula>
    </cfRule>
    <cfRule type="expression" dxfId="70" priority="34">
      <formula>J6="Em andamento"</formula>
    </cfRule>
  </conditionalFormatting>
  <conditionalFormatting sqref="I6 I8 I10 I15">
    <cfRule type="expression" dxfId="69" priority="32">
      <formula>J6=""</formula>
    </cfRule>
  </conditionalFormatting>
  <conditionalFormatting sqref="I9 I7 I11:I14">
    <cfRule type="expression" dxfId="68" priority="24">
      <formula>J7=""</formula>
    </cfRule>
  </conditionalFormatting>
  <conditionalFormatting sqref="H3 G3">
    <cfRule type="expression" dxfId="67" priority="13">
      <formula>$H$3&gt;0</formula>
    </cfRule>
  </conditionalFormatting>
  <conditionalFormatting sqref="A17:A23">
    <cfRule type="expression" dxfId="66" priority="7">
      <formula>A17="Saída"</formula>
    </cfRule>
    <cfRule type="expression" dxfId="65" priority="8">
      <formula>A17="Entrada"</formula>
    </cfRule>
  </conditionalFormatting>
  <conditionalFormatting sqref="I17:I23">
    <cfRule type="expression" dxfId="64" priority="5">
      <formula>I17&lt;0</formula>
    </cfRule>
    <cfRule type="expression" dxfId="63" priority="6">
      <formula>I17&gt;0</formula>
    </cfRule>
  </conditionalFormatting>
  <conditionalFormatting sqref="J17:J23">
    <cfRule type="expression" dxfId="62" priority="3">
      <formula>J17="Finalizado"</formula>
    </cfRule>
    <cfRule type="expression" dxfId="61" priority="4">
      <formula>J17="Em andamento"</formula>
    </cfRule>
  </conditionalFormatting>
  <conditionalFormatting sqref="I17 I19 I21 I23">
    <cfRule type="expression" dxfId="60" priority="2">
      <formula>J17=""</formula>
    </cfRule>
  </conditionalFormatting>
  <conditionalFormatting sqref="I22 I20 I18">
    <cfRule type="expression" dxfId="59" priority="1">
      <formula>J18=""</formula>
    </cfRule>
  </conditionalFormatting>
  <conditionalFormatting sqref="G3:H3">
    <cfRule type="expression" dxfId="58" priority="12">
      <formula>$H$3&lt;0</formula>
    </cfRule>
  </conditionalFormatting>
  <dataValidations count="2">
    <dataValidation type="list" allowBlank="1" showInputMessage="1" showErrorMessage="1" sqref="A17:A23 A6:A15" xr:uid="{A7B30979-EB32-4B64-A811-0156262A0B79}">
      <formula1>"Entrada, Saída"</formula1>
    </dataValidation>
    <dataValidation type="list" allowBlank="1" showInputMessage="1" showErrorMessage="1" sqref="J17:J23 J6:J15" xr:uid="{B29428B8-525D-48FD-9995-E3085F45533D}">
      <formula1>"Em andamento, Finalizado"</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57F44-ED86-4986-9D5B-175CC8468DAC}">
  <sheetPr codeName="Planilha6"/>
  <dimension ref="A1:XEY292"/>
  <sheetViews>
    <sheetView zoomScale="101" zoomScaleNormal="101" workbookViewId="0">
      <selection sqref="A1:K1"/>
    </sheetView>
  </sheetViews>
  <sheetFormatPr defaultColWidth="17.7109375" defaultRowHeight="22.5" customHeight="1" x14ac:dyDescent="0.25"/>
  <cols>
    <col min="1" max="1" width="23.42578125" style="18" customWidth="1"/>
    <col min="2" max="2" width="23.42578125" style="119" customWidth="1"/>
    <col min="3" max="3" width="17.85546875" style="110" bestFit="1" customWidth="1"/>
    <col min="4" max="4" width="23.42578125" style="110" customWidth="1"/>
    <col min="5" max="5" width="23.42578125" style="18" customWidth="1"/>
    <col min="6" max="6" width="23.42578125" style="110" customWidth="1"/>
    <col min="7" max="8" width="23.42578125" style="33" customWidth="1"/>
    <col min="9" max="9" width="23.42578125" style="18" customWidth="1"/>
    <col min="10" max="10" width="23.42578125" style="134" customWidth="1"/>
    <col min="11" max="11" width="29.7109375" style="18" customWidth="1"/>
    <col min="12" max="14" width="23.42578125" style="18" customWidth="1"/>
    <col min="15" max="15" width="26.7109375" style="18" customWidth="1"/>
    <col min="16" max="21" width="23.42578125" style="18" customWidth="1"/>
    <col min="22" max="16384" width="17.7109375" style="18"/>
  </cols>
  <sheetData>
    <row r="1" spans="1:19" s="28" customFormat="1" ht="77.25" customHeight="1" thickBot="1" x14ac:dyDescent="0.3">
      <c r="A1" s="319" t="s">
        <v>355</v>
      </c>
      <c r="B1" s="320"/>
      <c r="C1" s="320"/>
      <c r="D1" s="320"/>
      <c r="E1" s="320"/>
      <c r="F1" s="320"/>
      <c r="G1" s="320"/>
      <c r="H1" s="320"/>
      <c r="I1" s="320"/>
      <c r="J1" s="320"/>
      <c r="K1" s="320"/>
      <c r="M1" s="125" t="str">
        <f>Menu!V3</f>
        <v>1.553,10</v>
      </c>
      <c r="N1" s="126" t="str">
        <f>Menu!X3</f>
        <v xml:space="preserve">5,29 </v>
      </c>
      <c r="O1" s="170">
        <f>M1*N1</f>
        <v>8215.8989999999994</v>
      </c>
      <c r="P1" s="126"/>
      <c r="Q1" s="126"/>
    </row>
    <row r="2" spans="1:19" s="32" customFormat="1" ht="35.25" customHeight="1" thickBot="1" x14ac:dyDescent="0.3">
      <c r="A2" s="313" t="s">
        <v>358</v>
      </c>
      <c r="B2" s="314"/>
      <c r="C2" s="313" t="s">
        <v>349</v>
      </c>
      <c r="D2" s="314"/>
      <c r="E2" s="176" t="s">
        <v>335</v>
      </c>
      <c r="F2" s="189" t="s">
        <v>350</v>
      </c>
      <c r="G2" s="176" t="s">
        <v>352</v>
      </c>
      <c r="H2" s="176" t="s">
        <v>351</v>
      </c>
      <c r="I2" s="176"/>
      <c r="J2" s="190"/>
      <c r="K2" s="177" t="s">
        <v>347</v>
      </c>
    </row>
    <row r="3" spans="1:19" ht="35.25" customHeight="1" thickBot="1" x14ac:dyDescent="0.3">
      <c r="A3" s="315">
        <f>SUM(N6:N291)-SUM(S6:S291)</f>
        <v>5.0648530000000011E-2</v>
      </c>
      <c r="B3" s="316"/>
      <c r="C3" s="317">
        <f>O1*A3</f>
        <v>416.12320697847008</v>
      </c>
      <c r="D3" s="318"/>
      <c r="E3" s="178">
        <f>SUM(M6:M291)</f>
        <v>975</v>
      </c>
      <c r="F3" s="178">
        <f>SUM(R6:R291)</f>
        <v>242.92</v>
      </c>
      <c r="G3" s="178">
        <f>C3+(F3-E3)</f>
        <v>-315.95679302152996</v>
      </c>
      <c r="H3" s="179">
        <f>((G3*100)/E3)/100</f>
        <v>-0.32405824925285126</v>
      </c>
      <c r="I3" s="180"/>
      <c r="J3" s="179"/>
      <c r="K3" s="268">
        <f>SUM(Q6:Q291)/(SUM(M6:M291)/10)</f>
        <v>2053.1558974358977</v>
      </c>
      <c r="M3" s="312" t="s">
        <v>339</v>
      </c>
      <c r="N3" s="300" t="s">
        <v>356</v>
      </c>
      <c r="O3" s="300" t="s">
        <v>345</v>
      </c>
      <c r="P3" s="300" t="s">
        <v>19</v>
      </c>
      <c r="Q3" s="300" t="s">
        <v>346</v>
      </c>
      <c r="R3" s="300" t="s">
        <v>341</v>
      </c>
      <c r="S3" s="300" t="s">
        <v>357</v>
      </c>
    </row>
    <row r="4" spans="1:19" s="28" customFormat="1" ht="12" customHeight="1" thickBot="1" x14ac:dyDescent="0.3">
      <c r="A4" s="111"/>
      <c r="B4" s="187"/>
      <c r="C4" s="114"/>
      <c r="D4" s="114"/>
      <c r="E4" s="112"/>
      <c r="F4" s="114"/>
      <c r="G4" s="112"/>
      <c r="H4" s="112"/>
      <c r="I4" s="112"/>
      <c r="J4" s="191"/>
      <c r="K4" s="113"/>
      <c r="M4" s="312"/>
      <c r="N4" s="300"/>
      <c r="O4" s="300"/>
      <c r="P4" s="300"/>
      <c r="Q4" s="300"/>
      <c r="R4" s="300"/>
      <c r="S4" s="300"/>
    </row>
    <row r="5" spans="1:19" s="32" customFormat="1" ht="35.25" customHeight="1" thickBot="1" x14ac:dyDescent="0.3">
      <c r="A5" s="181" t="s">
        <v>333</v>
      </c>
      <c r="B5" s="188" t="s">
        <v>178</v>
      </c>
      <c r="C5" s="182" t="s">
        <v>334</v>
      </c>
      <c r="D5" s="182" t="s">
        <v>335</v>
      </c>
      <c r="E5" s="183" t="s">
        <v>7</v>
      </c>
      <c r="F5" s="182" t="s">
        <v>180</v>
      </c>
      <c r="G5" s="184" t="s">
        <v>183</v>
      </c>
      <c r="H5" s="184" t="s">
        <v>181</v>
      </c>
      <c r="I5" s="183" t="s">
        <v>182</v>
      </c>
      <c r="J5" s="185" t="s">
        <v>336</v>
      </c>
      <c r="K5" s="186" t="s">
        <v>337</v>
      </c>
      <c r="M5" s="312"/>
      <c r="N5" s="300"/>
      <c r="O5" s="300"/>
      <c r="P5" s="300"/>
      <c r="Q5" s="300"/>
      <c r="R5" s="300"/>
      <c r="S5" s="300"/>
    </row>
    <row r="6" spans="1:19" ht="22.5" customHeight="1" x14ac:dyDescent="0.25">
      <c r="A6" s="193" t="s">
        <v>338</v>
      </c>
      <c r="B6" s="194">
        <v>44678</v>
      </c>
      <c r="C6" s="195" t="s">
        <v>359</v>
      </c>
      <c r="D6" s="195">
        <v>200</v>
      </c>
      <c r="E6" s="196">
        <v>1.3672E-2</v>
      </c>
      <c r="F6" s="195">
        <v>4.97</v>
      </c>
      <c r="G6" s="197">
        <v>2886.31</v>
      </c>
      <c r="H6" s="197" t="s">
        <v>359</v>
      </c>
      <c r="I6" s="198" t="s">
        <v>292</v>
      </c>
      <c r="J6" s="199">
        <v>-1</v>
      </c>
      <c r="K6" s="200" t="s">
        <v>360</v>
      </c>
      <c r="M6" s="18">
        <f>IF(A6="","",IF(A6="Entrada",D6,""))</f>
        <v>200</v>
      </c>
      <c r="N6" s="18">
        <f>IF(A6="","",IF(A6="Entrada",E6,""))</f>
        <v>1.3672E-2</v>
      </c>
      <c r="O6" s="18">
        <f>IF(A6="","",IF(A6="Entrada",1,""))</f>
        <v>1</v>
      </c>
      <c r="P6" s="18">
        <f>IF(O6=1,G6,"")</f>
        <v>2886.31</v>
      </c>
      <c r="Q6" s="18">
        <f>IF(A6="","",IF(A6="Entrada",(M6/10)*P6,""))</f>
        <v>57726.2</v>
      </c>
      <c r="R6" s="18" t="str">
        <f>IF(A6="","",IF(A6="Saída",D6,""))</f>
        <v/>
      </c>
      <c r="S6" s="18" t="str">
        <f>IF(A6="","",IF(A6="Saída",E6,""))</f>
        <v/>
      </c>
    </row>
    <row r="7" spans="1:19" ht="22.5" customHeight="1" x14ac:dyDescent="0.25">
      <c r="A7" s="216" t="s">
        <v>338</v>
      </c>
      <c r="B7" s="217">
        <v>44686</v>
      </c>
      <c r="C7" s="218" t="s">
        <v>359</v>
      </c>
      <c r="D7" s="218">
        <v>100</v>
      </c>
      <c r="E7" s="219">
        <v>7.1310000000000002E-3</v>
      </c>
      <c r="F7" s="218">
        <v>5.03</v>
      </c>
      <c r="G7" s="220">
        <v>2745.27</v>
      </c>
      <c r="H7" s="220" t="s">
        <v>359</v>
      </c>
      <c r="I7" s="221" t="s">
        <v>292</v>
      </c>
      <c r="J7" s="222">
        <v>-1</v>
      </c>
      <c r="K7" s="215" t="s">
        <v>360</v>
      </c>
      <c r="M7" s="18">
        <f t="shared" ref="M7:M59" si="0">IF(A7="","",IF(A7="Entrada",D7,""))</f>
        <v>100</v>
      </c>
      <c r="N7" s="18">
        <f t="shared" ref="N7:N59" si="1">IF(A7="","",IF(A7="Entrada",E7,""))</f>
        <v>7.1310000000000002E-3</v>
      </c>
      <c r="O7" s="18">
        <f t="shared" ref="O7:O59" si="2">IF(A7="","",IF(A7="Entrada",1,""))</f>
        <v>1</v>
      </c>
      <c r="P7" s="18">
        <f t="shared" ref="P7:P59" si="3">IF(O7=1,G7,"")</f>
        <v>2745.27</v>
      </c>
      <c r="Q7" s="18">
        <f t="shared" ref="Q7:Q59" si="4">IF(A7="","",IF(A7="Entrada",(M7/10)*P7,""))</f>
        <v>27452.7</v>
      </c>
      <c r="R7" s="18" t="str">
        <f t="shared" ref="R7:R59" si="5">IF(A7="","",IF(A7="Saída",D7,""))</f>
        <v/>
      </c>
      <c r="S7" s="18" t="str">
        <f t="shared" ref="S7:S59" si="6">IF(A7="","",IF(A7="Saída",E7,""))</f>
        <v/>
      </c>
    </row>
    <row r="8" spans="1:19" ht="22.5" customHeight="1" thickBot="1" x14ac:dyDescent="0.3">
      <c r="A8" s="208" t="s">
        <v>343</v>
      </c>
      <c r="B8" s="209">
        <v>44894</v>
      </c>
      <c r="C8" s="210" t="s">
        <v>291</v>
      </c>
      <c r="D8" s="210">
        <v>0</v>
      </c>
      <c r="E8" s="269">
        <v>2.0802999999999999E-2</v>
      </c>
      <c r="F8" s="210">
        <v>0</v>
      </c>
      <c r="G8" s="212" t="s">
        <v>391</v>
      </c>
      <c r="H8" s="212" t="s">
        <v>391</v>
      </c>
      <c r="I8" s="211" t="s">
        <v>292</v>
      </c>
      <c r="J8" s="213">
        <f>IF(K8="Finalizado",(((D8*100)/SUM(D6:D7))/100)-1,IF(K8="","",""))</f>
        <v>-1</v>
      </c>
      <c r="K8" s="214" t="s">
        <v>360</v>
      </c>
      <c r="M8" s="18" t="str">
        <f t="shared" si="0"/>
        <v/>
      </c>
      <c r="N8" s="18" t="str">
        <f t="shared" si="1"/>
        <v/>
      </c>
      <c r="O8" s="18" t="str">
        <f t="shared" si="2"/>
        <v/>
      </c>
      <c r="P8" s="18" t="str">
        <f t="shared" si="3"/>
        <v/>
      </c>
      <c r="Q8" s="18" t="str">
        <f t="shared" si="4"/>
        <v/>
      </c>
      <c r="R8" s="18">
        <f t="shared" si="5"/>
        <v>0</v>
      </c>
      <c r="S8" s="18">
        <f t="shared" si="6"/>
        <v>2.0802999999999999E-2</v>
      </c>
    </row>
    <row r="9" spans="1:19" s="28" customFormat="1" ht="12" customHeight="1" thickBot="1" x14ac:dyDescent="0.3">
      <c r="A9" s="111"/>
      <c r="B9" s="187"/>
      <c r="C9" s="114"/>
      <c r="D9" s="114"/>
      <c r="E9" s="112"/>
      <c r="F9" s="114"/>
      <c r="G9" s="112"/>
      <c r="H9" s="112"/>
      <c r="I9" s="112"/>
      <c r="J9" s="191"/>
      <c r="K9" s="113"/>
      <c r="M9" s="18" t="str">
        <f t="shared" si="0"/>
        <v/>
      </c>
      <c r="N9" s="18" t="str">
        <f t="shared" si="1"/>
        <v/>
      </c>
      <c r="O9" s="18" t="str">
        <f t="shared" si="2"/>
        <v/>
      </c>
      <c r="P9" s="18" t="str">
        <f t="shared" si="3"/>
        <v/>
      </c>
      <c r="Q9" s="18" t="str">
        <f t="shared" si="4"/>
        <v/>
      </c>
      <c r="R9" s="18" t="str">
        <f t="shared" si="5"/>
        <v/>
      </c>
      <c r="S9" s="18" t="str">
        <f t="shared" si="6"/>
        <v/>
      </c>
    </row>
    <row r="10" spans="1:19" ht="22.5" customHeight="1" x14ac:dyDescent="0.25">
      <c r="A10" s="193" t="s">
        <v>338</v>
      </c>
      <c r="B10" s="194">
        <v>44694</v>
      </c>
      <c r="C10" s="195" t="s">
        <v>359</v>
      </c>
      <c r="D10" s="195">
        <v>100</v>
      </c>
      <c r="E10" s="196">
        <v>9.5877600000000007E-3</v>
      </c>
      <c r="F10" s="195">
        <v>5.0599999999999996</v>
      </c>
      <c r="G10" s="197">
        <v>2038.92</v>
      </c>
      <c r="H10" s="197" t="s">
        <v>359</v>
      </c>
      <c r="I10" s="198" t="s">
        <v>10</v>
      </c>
      <c r="J10" s="199">
        <f>IF(K10="Finalizado",((($G$14*100)/G10)/100)-1,IF(K10="","",((($M$1*100)/G10)/100)-1))</f>
        <v>-0.23827320346065561</v>
      </c>
      <c r="K10" s="200" t="s">
        <v>344</v>
      </c>
      <c r="M10" s="18">
        <f>IF(A10="","",IF(A10="Entrada",D10,""))</f>
        <v>100</v>
      </c>
      <c r="N10" s="18">
        <f>IF(A10="","",IF(A10="Entrada",E10,""))</f>
        <v>9.5877600000000007E-3</v>
      </c>
      <c r="O10" s="18">
        <f>IF(A10="","",IF(A10="Entrada",1,""))</f>
        <v>1</v>
      </c>
      <c r="P10" s="18">
        <f>IF(O10=1,G10,"")</f>
        <v>2038.92</v>
      </c>
      <c r="Q10" s="18">
        <f t="shared" si="4"/>
        <v>20389.2</v>
      </c>
      <c r="R10" s="18" t="str">
        <f>IF(A10="","",IF(A10="Saída",D10,""))</f>
        <v/>
      </c>
      <c r="S10" s="18" t="str">
        <f>IF(A10="","",IF(A10="Saída",E10,""))</f>
        <v/>
      </c>
    </row>
    <row r="11" spans="1:19" ht="22.5" customHeight="1" x14ac:dyDescent="0.25">
      <c r="A11" s="216" t="s">
        <v>338</v>
      </c>
      <c r="B11" s="217">
        <v>44699</v>
      </c>
      <c r="C11" s="218" t="s">
        <v>359</v>
      </c>
      <c r="D11" s="218">
        <v>100</v>
      </c>
      <c r="E11" s="219">
        <v>1.033273E-2</v>
      </c>
      <c r="F11" s="218">
        <v>4.97</v>
      </c>
      <c r="G11" s="220">
        <v>1940.46</v>
      </c>
      <c r="H11" s="220" t="s">
        <v>359</v>
      </c>
      <c r="I11" s="221" t="s">
        <v>10</v>
      </c>
      <c r="J11" s="222">
        <f>IF(K11="Finalizado",((($G$14*100)/G11)/100)-1,IF(K11="","",((($M$1*100)/G11)/100)-1))</f>
        <v>-0.19962276985869343</v>
      </c>
      <c r="K11" s="215" t="s">
        <v>344</v>
      </c>
      <c r="M11" s="18">
        <f t="shared" ref="M11:M15" si="7">IF(A11="","",IF(A11="Entrada",D11,""))</f>
        <v>100</v>
      </c>
      <c r="N11" s="18">
        <f t="shared" ref="N11:N15" si="8">IF(A11="","",IF(A11="Entrada",E11,""))</f>
        <v>1.033273E-2</v>
      </c>
      <c r="O11" s="18">
        <f t="shared" ref="O11:O15" si="9">IF(A11="","",IF(A11="Entrada",1,""))</f>
        <v>1</v>
      </c>
      <c r="P11" s="18">
        <f t="shared" ref="P11:P15" si="10">IF(O11=1,G11,"")</f>
        <v>1940.46</v>
      </c>
      <c r="Q11" s="18">
        <f t="shared" si="4"/>
        <v>19404.599999999999</v>
      </c>
      <c r="R11" s="18" t="str">
        <f t="shared" ref="R11:R15" si="11">IF(A11="","",IF(A11="Saída",D11,""))</f>
        <v/>
      </c>
      <c r="S11" s="18" t="str">
        <f t="shared" ref="S11:S15" si="12">IF(A11="","",IF(A11="Saída",E11,""))</f>
        <v/>
      </c>
    </row>
    <row r="12" spans="1:19" ht="22.5" customHeight="1" x14ac:dyDescent="0.25">
      <c r="A12" s="201" t="s">
        <v>338</v>
      </c>
      <c r="B12" s="202">
        <v>44701</v>
      </c>
      <c r="C12" s="203" t="s">
        <v>359</v>
      </c>
      <c r="D12" s="203">
        <v>100</v>
      </c>
      <c r="E12" s="204">
        <v>1.0350460000000001E-2</v>
      </c>
      <c r="F12" s="203">
        <v>4.88</v>
      </c>
      <c r="G12" s="205">
        <v>1965.91</v>
      </c>
      <c r="H12" s="205" t="s">
        <v>359</v>
      </c>
      <c r="I12" s="206" t="s">
        <v>10</v>
      </c>
      <c r="J12" s="207">
        <f>IF(K12="Finalizado",((($G$14*100)/G12)/100)-1,IF(K12="","",((($M$1*100)/G12)/100)-1))</f>
        <v>-0.20998418035413635</v>
      </c>
      <c r="K12" s="192" t="s">
        <v>344</v>
      </c>
      <c r="M12" s="18">
        <f t="shared" si="7"/>
        <v>100</v>
      </c>
      <c r="N12" s="18">
        <f t="shared" si="8"/>
        <v>1.0350460000000001E-2</v>
      </c>
      <c r="O12" s="18">
        <f t="shared" si="9"/>
        <v>1</v>
      </c>
      <c r="P12" s="18">
        <f t="shared" si="10"/>
        <v>1965.91</v>
      </c>
      <c r="Q12" s="18">
        <f t="shared" si="4"/>
        <v>19659.100000000002</v>
      </c>
      <c r="R12" s="18" t="str">
        <f t="shared" si="11"/>
        <v/>
      </c>
      <c r="S12" s="18" t="str">
        <f t="shared" si="12"/>
        <v/>
      </c>
    </row>
    <row r="13" spans="1:19" ht="22.5" customHeight="1" x14ac:dyDescent="0.25">
      <c r="A13" s="216" t="s">
        <v>338</v>
      </c>
      <c r="B13" s="217">
        <v>44704</v>
      </c>
      <c r="C13" s="218" t="s">
        <v>359</v>
      </c>
      <c r="D13" s="218">
        <v>100</v>
      </c>
      <c r="E13" s="221">
        <v>1.0385790000000001E-2</v>
      </c>
      <c r="F13" s="218">
        <v>4.82</v>
      </c>
      <c r="G13" s="220">
        <v>1993.92</v>
      </c>
      <c r="H13" s="220" t="s">
        <v>359</v>
      </c>
      <c r="I13" s="221" t="s">
        <v>10</v>
      </c>
      <c r="J13" s="222">
        <f>IF(K13="Finalizado",((($G$14*100)/G13)/100)-1,IF(K13="","",((($M$1*100)/G13)/100)-1))</f>
        <v>-0.22108208955223885</v>
      </c>
      <c r="K13" s="215" t="s">
        <v>344</v>
      </c>
      <c r="M13" s="18">
        <f t="shared" si="7"/>
        <v>100</v>
      </c>
      <c r="N13" s="18">
        <f t="shared" si="8"/>
        <v>1.0385790000000001E-2</v>
      </c>
      <c r="O13" s="18">
        <f t="shared" si="9"/>
        <v>1</v>
      </c>
      <c r="P13" s="18">
        <f t="shared" si="10"/>
        <v>1993.92</v>
      </c>
      <c r="Q13" s="18">
        <f t="shared" si="4"/>
        <v>19939.2</v>
      </c>
      <c r="R13" s="18" t="str">
        <f t="shared" si="11"/>
        <v/>
      </c>
      <c r="S13" s="18" t="str">
        <f t="shared" si="12"/>
        <v/>
      </c>
    </row>
    <row r="14" spans="1:19" ht="22.5" customHeight="1" thickBot="1" x14ac:dyDescent="0.3">
      <c r="A14" s="208"/>
      <c r="B14" s="209"/>
      <c r="C14" s="210"/>
      <c r="D14" s="210"/>
      <c r="E14" s="211"/>
      <c r="F14" s="210"/>
      <c r="G14" s="212"/>
      <c r="H14" s="212"/>
      <c r="I14" s="211"/>
      <c r="J14" s="213" t="str">
        <f>IF(K14="Finalizado",(((D14*100)/SUM(D10:D13))/100)-1,IF(K14="","",""))</f>
        <v/>
      </c>
      <c r="K14" s="214"/>
      <c r="M14" s="18" t="str">
        <f t="shared" si="7"/>
        <v/>
      </c>
      <c r="N14" s="18" t="str">
        <f t="shared" si="8"/>
        <v/>
      </c>
      <c r="O14" s="18" t="str">
        <f t="shared" si="9"/>
        <v/>
      </c>
      <c r="P14" s="18" t="str">
        <f t="shared" si="10"/>
        <v/>
      </c>
      <c r="Q14" s="18" t="str">
        <f t="shared" si="4"/>
        <v/>
      </c>
      <c r="R14" s="18" t="str">
        <f t="shared" si="11"/>
        <v/>
      </c>
      <c r="S14" s="18" t="str">
        <f t="shared" si="12"/>
        <v/>
      </c>
    </row>
    <row r="15" spans="1:19" s="28" customFormat="1" ht="12" customHeight="1" thickBot="1" x14ac:dyDescent="0.3">
      <c r="A15" s="111"/>
      <c r="B15" s="187"/>
      <c r="C15" s="114"/>
      <c r="D15" s="114"/>
      <c r="E15" s="112"/>
      <c r="F15" s="114"/>
      <c r="G15" s="112"/>
      <c r="H15" s="112"/>
      <c r="I15" s="112"/>
      <c r="J15" s="191"/>
      <c r="K15" s="113"/>
      <c r="M15" s="18" t="str">
        <f t="shared" si="7"/>
        <v/>
      </c>
      <c r="N15" s="18" t="str">
        <f t="shared" si="8"/>
        <v/>
      </c>
      <c r="O15" s="18" t="str">
        <f t="shared" si="9"/>
        <v/>
      </c>
      <c r="P15" s="18" t="str">
        <f t="shared" si="10"/>
        <v/>
      </c>
      <c r="Q15" s="18" t="str">
        <f t="shared" si="4"/>
        <v/>
      </c>
      <c r="R15" s="18" t="str">
        <f t="shared" si="11"/>
        <v/>
      </c>
      <c r="S15" s="18" t="str">
        <f t="shared" si="12"/>
        <v/>
      </c>
    </row>
    <row r="16" spans="1:19" ht="22.5" customHeight="1" x14ac:dyDescent="0.25">
      <c r="A16" s="193" t="s">
        <v>338</v>
      </c>
      <c r="B16" s="194">
        <v>44726</v>
      </c>
      <c r="C16" s="195" t="s">
        <v>359</v>
      </c>
      <c r="D16" s="195">
        <v>200</v>
      </c>
      <c r="E16" s="196">
        <v>3.0842959999999999E-2</v>
      </c>
      <c r="F16" s="195">
        <v>5.13</v>
      </c>
      <c r="G16" s="197">
        <v>1246.26</v>
      </c>
      <c r="H16" s="197">
        <v>22679</v>
      </c>
      <c r="I16" s="198" t="s">
        <v>294</v>
      </c>
      <c r="J16" s="199">
        <f>IF(K16="Finalizado",(((G17*100)/G16)/100)-1,IF(K16="","",((($M$1*100)/G16)/100)-1))</f>
        <v>0.23533612568805862</v>
      </c>
      <c r="K16" s="200" t="s">
        <v>360</v>
      </c>
      <c r="M16" s="18">
        <f t="shared" si="0"/>
        <v>200</v>
      </c>
      <c r="N16" s="18">
        <f t="shared" si="1"/>
        <v>3.0842959999999999E-2</v>
      </c>
      <c r="O16" s="18">
        <f t="shared" si="2"/>
        <v>1</v>
      </c>
      <c r="P16" s="18">
        <f t="shared" si="3"/>
        <v>1246.26</v>
      </c>
      <c r="Q16" s="18">
        <f t="shared" si="4"/>
        <v>24925.200000000001</v>
      </c>
      <c r="R16" s="18" t="str">
        <f t="shared" si="5"/>
        <v/>
      </c>
      <c r="S16" s="18" t="str">
        <f t="shared" si="6"/>
        <v/>
      </c>
    </row>
    <row r="17" spans="1:19" ht="22.5" customHeight="1" thickBot="1" x14ac:dyDescent="0.3">
      <c r="A17" s="223" t="s">
        <v>343</v>
      </c>
      <c r="B17" s="224">
        <v>44803</v>
      </c>
      <c r="C17" s="225" t="s">
        <v>359</v>
      </c>
      <c r="D17" s="225">
        <v>242.92</v>
      </c>
      <c r="E17" s="226">
        <v>3.0842950000000001E-2</v>
      </c>
      <c r="F17" s="225">
        <v>5.12</v>
      </c>
      <c r="G17" s="227">
        <v>1539.55</v>
      </c>
      <c r="H17" s="227">
        <v>19908.62</v>
      </c>
      <c r="I17" s="226" t="s">
        <v>294</v>
      </c>
      <c r="J17" s="228">
        <f>IF(K17="Finalizado",(((D17*100)/SUM(D16:D16))/100)-1,IF(K17="","",""))</f>
        <v>0.2145999999999999</v>
      </c>
      <c r="K17" s="229" t="s">
        <v>360</v>
      </c>
      <c r="M17" s="18" t="str">
        <f t="shared" si="0"/>
        <v/>
      </c>
      <c r="N17" s="18" t="str">
        <f t="shared" si="1"/>
        <v/>
      </c>
      <c r="O17" s="18" t="str">
        <f t="shared" si="2"/>
        <v/>
      </c>
      <c r="P17" s="18" t="str">
        <f t="shared" si="3"/>
        <v/>
      </c>
      <c r="Q17" s="18" t="str">
        <f t="shared" si="4"/>
        <v/>
      </c>
      <c r="R17" s="18">
        <f t="shared" si="5"/>
        <v>242.92</v>
      </c>
      <c r="S17" s="18">
        <f t="shared" si="6"/>
        <v>3.0842950000000001E-2</v>
      </c>
    </row>
    <row r="18" spans="1:19" s="28" customFormat="1" ht="12" customHeight="1" thickBot="1" x14ac:dyDescent="0.3">
      <c r="A18" s="111"/>
      <c r="B18" s="187"/>
      <c r="C18" s="114"/>
      <c r="D18" s="114"/>
      <c r="E18" s="112"/>
      <c r="F18" s="114"/>
      <c r="G18" s="112"/>
      <c r="H18" s="112"/>
      <c r="I18" s="112"/>
      <c r="J18" s="191"/>
      <c r="K18" s="113"/>
      <c r="M18" s="18" t="str">
        <f t="shared" si="0"/>
        <v/>
      </c>
      <c r="N18" s="18" t="str">
        <f t="shared" si="1"/>
        <v/>
      </c>
      <c r="O18" s="18" t="str">
        <f t="shared" si="2"/>
        <v/>
      </c>
      <c r="P18" s="18" t="str">
        <f t="shared" si="3"/>
        <v/>
      </c>
      <c r="Q18" s="18" t="str">
        <f t="shared" ref="Q18:Q25" si="13">IF(A18="","",IF(A18="Entrada",(M18/10)*P18,""))</f>
        <v/>
      </c>
      <c r="R18" s="18" t="str">
        <f t="shared" si="5"/>
        <v/>
      </c>
      <c r="S18" s="18" t="str">
        <f t="shared" si="6"/>
        <v/>
      </c>
    </row>
    <row r="19" spans="1:19" ht="22.5" customHeight="1" x14ac:dyDescent="0.25">
      <c r="A19" s="193" t="s">
        <v>338</v>
      </c>
      <c r="B19" s="194">
        <v>44899</v>
      </c>
      <c r="C19" s="195">
        <v>0.99</v>
      </c>
      <c r="D19" s="195">
        <v>50</v>
      </c>
      <c r="E19" s="196">
        <v>7.1379700000000004E-3</v>
      </c>
      <c r="F19" s="195">
        <v>5.22</v>
      </c>
      <c r="G19" s="197">
        <v>1315.2</v>
      </c>
      <c r="H19" s="197">
        <v>17582.66</v>
      </c>
      <c r="I19" s="198" t="s">
        <v>294</v>
      </c>
      <c r="J19" s="199">
        <f t="shared" ref="J19:J24" si="14">IF(K19="Finalizado",((($G$25*100)/G19)/100)-1,IF(K19="","",((($M$1*100)/G19)/100)-1))</f>
        <v>0.18088503649635035</v>
      </c>
      <c r="K19" s="200" t="s">
        <v>344</v>
      </c>
      <c r="M19" s="18">
        <f t="shared" ref="M19:M26" si="15">IF(A19="","",IF(A19="Entrada",D19,""))</f>
        <v>50</v>
      </c>
      <c r="N19" s="18">
        <f t="shared" ref="N19:N26" si="16">IF(A19="","",IF(A19="Entrada",E19,""))</f>
        <v>7.1379700000000004E-3</v>
      </c>
      <c r="O19" s="18">
        <f t="shared" ref="O19:O26" si="17">IF(A19="","",IF(A19="Entrada",1,""))</f>
        <v>1</v>
      </c>
      <c r="P19" s="18">
        <f t="shared" ref="P19:P26" si="18">IF(O19=1,G19,"")</f>
        <v>1315.2</v>
      </c>
      <c r="Q19" s="18">
        <f t="shared" si="13"/>
        <v>6576</v>
      </c>
      <c r="R19" s="18" t="str">
        <f t="shared" ref="R19:R26" si="19">IF(A19="","",IF(A19="Saída",D19,""))</f>
        <v/>
      </c>
      <c r="S19" s="18" t="str">
        <f t="shared" ref="S19:S26" si="20">IF(A19="","",IF(A19="Saída",E19,""))</f>
        <v/>
      </c>
    </row>
    <row r="20" spans="1:19" ht="22.5" customHeight="1" x14ac:dyDescent="0.25">
      <c r="A20" s="216" t="s">
        <v>338</v>
      </c>
      <c r="B20" s="217">
        <v>44963</v>
      </c>
      <c r="C20" s="218">
        <v>0.49</v>
      </c>
      <c r="D20" s="218">
        <v>25</v>
      </c>
      <c r="E20" s="219">
        <v>2.85381E-3</v>
      </c>
      <c r="F20" s="218">
        <v>5.15</v>
      </c>
      <c r="G20" s="220">
        <v>1644.2</v>
      </c>
      <c r="H20" s="220">
        <v>22980</v>
      </c>
      <c r="I20" s="221" t="s">
        <v>294</v>
      </c>
      <c r="J20" s="222">
        <f t="shared" si="14"/>
        <v>-5.5406884807201018E-2</v>
      </c>
      <c r="K20" s="215" t="s">
        <v>344</v>
      </c>
      <c r="M20" s="18">
        <f t="shared" si="15"/>
        <v>25</v>
      </c>
      <c r="N20" s="18">
        <f t="shared" si="16"/>
        <v>2.85381E-3</v>
      </c>
      <c r="O20" s="18">
        <f t="shared" si="17"/>
        <v>1</v>
      </c>
      <c r="P20" s="18">
        <f t="shared" si="18"/>
        <v>1644.2</v>
      </c>
      <c r="Q20" s="18">
        <f t="shared" si="13"/>
        <v>4110.5</v>
      </c>
      <c r="R20" s="18" t="str">
        <f t="shared" si="19"/>
        <v/>
      </c>
      <c r="S20" s="18" t="str">
        <f t="shared" si="20"/>
        <v/>
      </c>
    </row>
    <row r="21" spans="1:19" ht="22.5" customHeight="1" x14ac:dyDescent="0.25">
      <c r="A21" s="201"/>
      <c r="B21" s="202"/>
      <c r="C21" s="203"/>
      <c r="D21" s="203"/>
      <c r="E21" s="204"/>
      <c r="F21" s="203"/>
      <c r="G21" s="205"/>
      <c r="H21" s="205"/>
      <c r="I21" s="206"/>
      <c r="J21" s="207" t="str">
        <f t="shared" si="14"/>
        <v/>
      </c>
      <c r="K21" s="192"/>
      <c r="M21" s="18" t="str">
        <f t="shared" si="15"/>
        <v/>
      </c>
      <c r="N21" s="18" t="str">
        <f t="shared" si="16"/>
        <v/>
      </c>
      <c r="O21" s="18" t="str">
        <f t="shared" si="17"/>
        <v/>
      </c>
      <c r="P21" s="18" t="str">
        <f t="shared" si="18"/>
        <v/>
      </c>
      <c r="Q21" s="18" t="str">
        <f t="shared" si="13"/>
        <v/>
      </c>
      <c r="R21" s="18" t="str">
        <f t="shared" si="19"/>
        <v/>
      </c>
      <c r="S21" s="18" t="str">
        <f t="shared" si="20"/>
        <v/>
      </c>
    </row>
    <row r="22" spans="1:19" ht="22.5" customHeight="1" x14ac:dyDescent="0.25">
      <c r="A22" s="216"/>
      <c r="B22" s="217"/>
      <c r="C22" s="218"/>
      <c r="D22" s="218"/>
      <c r="E22" s="221"/>
      <c r="F22" s="218"/>
      <c r="G22" s="220"/>
      <c r="H22" s="220"/>
      <c r="I22" s="221"/>
      <c r="J22" s="222" t="str">
        <f t="shared" si="14"/>
        <v/>
      </c>
      <c r="K22" s="215"/>
      <c r="M22" s="18" t="str">
        <f t="shared" si="15"/>
        <v/>
      </c>
      <c r="N22" s="18" t="str">
        <f t="shared" si="16"/>
        <v/>
      </c>
      <c r="O22" s="18" t="str">
        <f t="shared" si="17"/>
        <v/>
      </c>
      <c r="P22" s="18" t="str">
        <f t="shared" si="18"/>
        <v/>
      </c>
      <c r="Q22" s="18" t="str">
        <f t="shared" si="13"/>
        <v/>
      </c>
      <c r="R22" s="18" t="str">
        <f t="shared" si="19"/>
        <v/>
      </c>
      <c r="S22" s="18" t="str">
        <f t="shared" si="20"/>
        <v/>
      </c>
    </row>
    <row r="23" spans="1:19" ht="22.5" customHeight="1" x14ac:dyDescent="0.25">
      <c r="A23" s="201"/>
      <c r="B23" s="202"/>
      <c r="C23" s="203"/>
      <c r="D23" s="203"/>
      <c r="E23" s="206"/>
      <c r="F23" s="203"/>
      <c r="G23" s="205"/>
      <c r="H23" s="205"/>
      <c r="I23" s="206"/>
      <c r="J23" s="207" t="str">
        <f t="shared" si="14"/>
        <v/>
      </c>
      <c r="K23" s="192"/>
      <c r="M23" s="18" t="str">
        <f t="shared" si="15"/>
        <v/>
      </c>
      <c r="N23" s="18" t="str">
        <f t="shared" si="16"/>
        <v/>
      </c>
      <c r="O23" s="18" t="str">
        <f t="shared" si="17"/>
        <v/>
      </c>
      <c r="P23" s="18" t="str">
        <f t="shared" si="18"/>
        <v/>
      </c>
      <c r="Q23" s="18" t="str">
        <f t="shared" si="13"/>
        <v/>
      </c>
      <c r="R23" s="18" t="str">
        <f t="shared" si="19"/>
        <v/>
      </c>
      <c r="S23" s="18" t="str">
        <f t="shared" si="20"/>
        <v/>
      </c>
    </row>
    <row r="24" spans="1:19" ht="22.5" customHeight="1" x14ac:dyDescent="0.25">
      <c r="A24" s="216"/>
      <c r="B24" s="217"/>
      <c r="C24" s="218"/>
      <c r="D24" s="218"/>
      <c r="E24" s="221"/>
      <c r="F24" s="218"/>
      <c r="G24" s="220"/>
      <c r="H24" s="220"/>
      <c r="I24" s="221"/>
      <c r="J24" s="222" t="str">
        <f t="shared" si="14"/>
        <v/>
      </c>
      <c r="K24" s="215"/>
      <c r="M24" s="18" t="str">
        <f t="shared" si="15"/>
        <v/>
      </c>
      <c r="N24" s="18" t="str">
        <f t="shared" si="16"/>
        <v/>
      </c>
      <c r="O24" s="18" t="str">
        <f t="shared" si="17"/>
        <v/>
      </c>
      <c r="P24" s="18" t="str">
        <f t="shared" si="18"/>
        <v/>
      </c>
      <c r="Q24" s="18" t="str">
        <f t="shared" si="13"/>
        <v/>
      </c>
      <c r="R24" s="18" t="str">
        <f t="shared" si="19"/>
        <v/>
      </c>
      <c r="S24" s="18" t="str">
        <f t="shared" si="20"/>
        <v/>
      </c>
    </row>
    <row r="25" spans="1:19" ht="22.5" customHeight="1" thickBot="1" x14ac:dyDescent="0.3">
      <c r="A25" s="208"/>
      <c r="B25" s="209"/>
      <c r="C25" s="210"/>
      <c r="D25" s="210"/>
      <c r="E25" s="211"/>
      <c r="F25" s="210"/>
      <c r="G25" s="212"/>
      <c r="H25" s="212"/>
      <c r="I25" s="211"/>
      <c r="J25" s="213" t="str">
        <f>IF(K25="Finalizado",(((D25*100)/SUM(D19:D24))/100)-1,IF(K25="","",""))</f>
        <v/>
      </c>
      <c r="K25" s="214"/>
      <c r="M25" s="18" t="str">
        <f t="shared" si="15"/>
        <v/>
      </c>
      <c r="N25" s="18" t="str">
        <f t="shared" si="16"/>
        <v/>
      </c>
      <c r="O25" s="18" t="str">
        <f t="shared" si="17"/>
        <v/>
      </c>
      <c r="P25" s="18" t="str">
        <f t="shared" si="18"/>
        <v/>
      </c>
      <c r="Q25" s="18" t="str">
        <f t="shared" si="13"/>
        <v/>
      </c>
      <c r="R25" s="18" t="str">
        <f t="shared" si="19"/>
        <v/>
      </c>
      <c r="S25" s="18" t="str">
        <f t="shared" si="20"/>
        <v/>
      </c>
    </row>
    <row r="26" spans="1:19" s="28" customFormat="1" ht="12" customHeight="1" thickBot="1" x14ac:dyDescent="0.3">
      <c r="A26" s="111"/>
      <c r="B26" s="187"/>
      <c r="C26" s="114"/>
      <c r="D26" s="114"/>
      <c r="E26" s="112"/>
      <c r="F26" s="114"/>
      <c r="G26" s="112"/>
      <c r="H26" s="112"/>
      <c r="I26" s="112"/>
      <c r="J26" s="191"/>
      <c r="K26" s="113"/>
      <c r="M26" s="18" t="str">
        <f t="shared" si="15"/>
        <v/>
      </c>
      <c r="N26" s="18" t="str">
        <f t="shared" si="16"/>
        <v/>
      </c>
      <c r="O26" s="18" t="str">
        <f t="shared" si="17"/>
        <v/>
      </c>
      <c r="P26" s="18" t="str">
        <f t="shared" si="18"/>
        <v/>
      </c>
      <c r="Q26" s="18" t="str">
        <f t="shared" ref="Q26:Q33" si="21">IF(A26="","",IF(A26="Entrada",(M26/10)*P26,""))</f>
        <v/>
      </c>
      <c r="R26" s="18" t="str">
        <f t="shared" si="19"/>
        <v/>
      </c>
      <c r="S26" s="18" t="str">
        <f t="shared" si="20"/>
        <v/>
      </c>
    </row>
    <row r="27" spans="1:19" ht="22.5" customHeight="1" x14ac:dyDescent="0.25">
      <c r="A27" s="193"/>
      <c r="B27" s="194"/>
      <c r="C27" s="195"/>
      <c r="D27" s="195"/>
      <c r="E27" s="196"/>
      <c r="F27" s="195"/>
      <c r="G27" s="197"/>
      <c r="H27" s="197"/>
      <c r="I27" s="198"/>
      <c r="J27" s="199" t="str">
        <f t="shared" ref="J27:J32" si="22">IF(K27="Finalizado",((($G$25*100)/G27)/100)-1,IF(K27="","",((($M$1*100)/G27)/100)-1))</f>
        <v/>
      </c>
      <c r="K27" s="200"/>
      <c r="M27" s="18" t="str">
        <f t="shared" ref="M27:M34" si="23">IF(A27="","",IF(A27="Entrada",D27,""))</f>
        <v/>
      </c>
      <c r="N27" s="18" t="str">
        <f t="shared" ref="N27:N34" si="24">IF(A27="","",IF(A27="Entrada",E27,""))</f>
        <v/>
      </c>
      <c r="O27" s="18" t="str">
        <f t="shared" ref="O27:O34" si="25">IF(A27="","",IF(A27="Entrada",1,""))</f>
        <v/>
      </c>
      <c r="P27" s="18" t="str">
        <f t="shared" ref="P27:P34" si="26">IF(O27=1,G27,"")</f>
        <v/>
      </c>
      <c r="Q27" s="18" t="str">
        <f t="shared" si="21"/>
        <v/>
      </c>
      <c r="R27" s="18" t="str">
        <f t="shared" ref="R27:R34" si="27">IF(A27="","",IF(A27="Saída",D27,""))</f>
        <v/>
      </c>
      <c r="S27" s="18" t="str">
        <f t="shared" ref="S27:S34" si="28">IF(A27="","",IF(A27="Saída",E27,""))</f>
        <v/>
      </c>
    </row>
    <row r="28" spans="1:19" ht="22.5" customHeight="1" x14ac:dyDescent="0.25">
      <c r="A28" s="216"/>
      <c r="B28" s="217"/>
      <c r="C28" s="218"/>
      <c r="D28" s="218"/>
      <c r="E28" s="219"/>
      <c r="F28" s="218"/>
      <c r="G28" s="220"/>
      <c r="H28" s="220"/>
      <c r="I28" s="221"/>
      <c r="J28" s="222" t="str">
        <f t="shared" si="22"/>
        <v/>
      </c>
      <c r="K28" s="215"/>
      <c r="M28" s="18" t="str">
        <f t="shared" si="23"/>
        <v/>
      </c>
      <c r="N28" s="18" t="str">
        <f t="shared" si="24"/>
        <v/>
      </c>
      <c r="O28" s="18" t="str">
        <f t="shared" si="25"/>
        <v/>
      </c>
      <c r="P28" s="18" t="str">
        <f t="shared" si="26"/>
        <v/>
      </c>
      <c r="Q28" s="18" t="str">
        <f t="shared" si="21"/>
        <v/>
      </c>
      <c r="R28" s="18" t="str">
        <f t="shared" si="27"/>
        <v/>
      </c>
      <c r="S28" s="18" t="str">
        <f t="shared" si="28"/>
        <v/>
      </c>
    </row>
    <row r="29" spans="1:19" ht="22.5" customHeight="1" x14ac:dyDescent="0.25">
      <c r="A29" s="201"/>
      <c r="B29" s="202"/>
      <c r="C29" s="203"/>
      <c r="D29" s="203"/>
      <c r="E29" s="204"/>
      <c r="F29" s="203"/>
      <c r="G29" s="205"/>
      <c r="H29" s="205"/>
      <c r="I29" s="206"/>
      <c r="J29" s="207" t="str">
        <f t="shared" si="22"/>
        <v/>
      </c>
      <c r="K29" s="192"/>
      <c r="M29" s="18" t="str">
        <f t="shared" si="23"/>
        <v/>
      </c>
      <c r="N29" s="18" t="str">
        <f t="shared" si="24"/>
        <v/>
      </c>
      <c r="O29" s="18" t="str">
        <f t="shared" si="25"/>
        <v/>
      </c>
      <c r="P29" s="18" t="str">
        <f t="shared" si="26"/>
        <v/>
      </c>
      <c r="Q29" s="18" t="str">
        <f t="shared" si="21"/>
        <v/>
      </c>
      <c r="R29" s="18" t="str">
        <f t="shared" si="27"/>
        <v/>
      </c>
      <c r="S29" s="18" t="str">
        <f t="shared" si="28"/>
        <v/>
      </c>
    </row>
    <row r="30" spans="1:19" ht="22.5" customHeight="1" x14ac:dyDescent="0.25">
      <c r="A30" s="216"/>
      <c r="B30" s="217"/>
      <c r="C30" s="218"/>
      <c r="D30" s="218"/>
      <c r="E30" s="221"/>
      <c r="F30" s="218"/>
      <c r="G30" s="220"/>
      <c r="H30" s="220"/>
      <c r="I30" s="221"/>
      <c r="J30" s="222" t="str">
        <f t="shared" si="22"/>
        <v/>
      </c>
      <c r="K30" s="215"/>
      <c r="M30" s="18" t="str">
        <f t="shared" si="23"/>
        <v/>
      </c>
      <c r="N30" s="18" t="str">
        <f t="shared" si="24"/>
        <v/>
      </c>
      <c r="O30" s="18" t="str">
        <f t="shared" si="25"/>
        <v/>
      </c>
      <c r="P30" s="18" t="str">
        <f t="shared" si="26"/>
        <v/>
      </c>
      <c r="Q30" s="18" t="str">
        <f t="shared" si="21"/>
        <v/>
      </c>
      <c r="R30" s="18" t="str">
        <f t="shared" si="27"/>
        <v/>
      </c>
      <c r="S30" s="18" t="str">
        <f t="shared" si="28"/>
        <v/>
      </c>
    </row>
    <row r="31" spans="1:19" ht="22.5" customHeight="1" x14ac:dyDescent="0.25">
      <c r="A31" s="201"/>
      <c r="B31" s="202"/>
      <c r="C31" s="203"/>
      <c r="D31" s="203"/>
      <c r="E31" s="206"/>
      <c r="F31" s="203"/>
      <c r="G31" s="205"/>
      <c r="H31" s="205"/>
      <c r="I31" s="206"/>
      <c r="J31" s="207" t="str">
        <f t="shared" si="22"/>
        <v/>
      </c>
      <c r="K31" s="192"/>
      <c r="M31" s="18" t="str">
        <f t="shared" si="23"/>
        <v/>
      </c>
      <c r="N31" s="18" t="str">
        <f t="shared" si="24"/>
        <v/>
      </c>
      <c r="O31" s="18" t="str">
        <f t="shared" si="25"/>
        <v/>
      </c>
      <c r="P31" s="18" t="str">
        <f t="shared" si="26"/>
        <v/>
      </c>
      <c r="Q31" s="18" t="str">
        <f t="shared" si="21"/>
        <v/>
      </c>
      <c r="R31" s="18" t="str">
        <f t="shared" si="27"/>
        <v/>
      </c>
      <c r="S31" s="18" t="str">
        <f t="shared" si="28"/>
        <v/>
      </c>
    </row>
    <row r="32" spans="1:19" ht="22.5" customHeight="1" x14ac:dyDescent="0.25">
      <c r="A32" s="216"/>
      <c r="B32" s="217"/>
      <c r="C32" s="218"/>
      <c r="D32" s="218"/>
      <c r="E32" s="221"/>
      <c r="F32" s="218"/>
      <c r="G32" s="220"/>
      <c r="H32" s="220"/>
      <c r="I32" s="221"/>
      <c r="J32" s="222" t="str">
        <f t="shared" si="22"/>
        <v/>
      </c>
      <c r="K32" s="215"/>
      <c r="M32" s="18" t="str">
        <f t="shared" si="23"/>
        <v/>
      </c>
      <c r="N32" s="18" t="str">
        <f t="shared" si="24"/>
        <v/>
      </c>
      <c r="O32" s="18" t="str">
        <f t="shared" si="25"/>
        <v/>
      </c>
      <c r="P32" s="18" t="str">
        <f t="shared" si="26"/>
        <v/>
      </c>
      <c r="Q32" s="18" t="str">
        <f t="shared" si="21"/>
        <v/>
      </c>
      <c r="R32" s="18" t="str">
        <f t="shared" si="27"/>
        <v/>
      </c>
      <c r="S32" s="18" t="str">
        <f t="shared" si="28"/>
        <v/>
      </c>
    </row>
    <row r="33" spans="1:19" ht="22.5" customHeight="1" thickBot="1" x14ac:dyDescent="0.3">
      <c r="A33" s="208"/>
      <c r="B33" s="209"/>
      <c r="C33" s="210"/>
      <c r="D33" s="210"/>
      <c r="E33" s="211"/>
      <c r="F33" s="210"/>
      <c r="G33" s="212"/>
      <c r="H33" s="212"/>
      <c r="I33" s="211"/>
      <c r="J33" s="213" t="str">
        <f>IF(K33="Finalizado",(((D33*100)/SUM(D27:D32))/100)-1,IF(K33="","",""))</f>
        <v/>
      </c>
      <c r="K33" s="214"/>
      <c r="M33" s="18" t="str">
        <f t="shared" si="23"/>
        <v/>
      </c>
      <c r="N33" s="18" t="str">
        <f t="shared" si="24"/>
        <v/>
      </c>
      <c r="O33" s="18" t="str">
        <f t="shared" si="25"/>
        <v/>
      </c>
      <c r="P33" s="18" t="str">
        <f t="shared" si="26"/>
        <v/>
      </c>
      <c r="Q33" s="18" t="str">
        <f t="shared" si="21"/>
        <v/>
      </c>
      <c r="R33" s="18" t="str">
        <f t="shared" si="27"/>
        <v/>
      </c>
      <c r="S33" s="18" t="str">
        <f t="shared" si="28"/>
        <v/>
      </c>
    </row>
    <row r="34" spans="1:19" s="28" customFormat="1" ht="12" customHeight="1" thickBot="1" x14ac:dyDescent="0.3">
      <c r="A34" s="111"/>
      <c r="B34" s="187"/>
      <c r="C34" s="114"/>
      <c r="D34" s="114"/>
      <c r="E34" s="112"/>
      <c r="F34" s="114"/>
      <c r="G34" s="112"/>
      <c r="H34" s="112"/>
      <c r="I34" s="112"/>
      <c r="J34" s="191"/>
      <c r="K34" s="113"/>
      <c r="M34" s="18" t="str">
        <f t="shared" si="23"/>
        <v/>
      </c>
      <c r="N34" s="18" t="str">
        <f t="shared" si="24"/>
        <v/>
      </c>
      <c r="O34" s="18" t="str">
        <f t="shared" si="25"/>
        <v/>
      </c>
      <c r="P34" s="18" t="str">
        <f t="shared" si="26"/>
        <v/>
      </c>
      <c r="Q34" s="18" t="str">
        <f t="shared" ref="Q34" si="29">IF(A34="","",IF(A34="Entrada",(M34/10)*P34,""))</f>
        <v/>
      </c>
      <c r="R34" s="18" t="str">
        <f t="shared" si="27"/>
        <v/>
      </c>
      <c r="S34" s="18" t="str">
        <f t="shared" si="28"/>
        <v/>
      </c>
    </row>
    <row r="35" spans="1:19" ht="22.5" customHeight="1" x14ac:dyDescent="0.25">
      <c r="A35" s="201"/>
      <c r="B35" s="202"/>
      <c r="C35" s="203"/>
      <c r="D35" s="203"/>
      <c r="E35" s="204"/>
      <c r="F35" s="203"/>
      <c r="G35" s="205"/>
      <c r="H35" s="205"/>
      <c r="I35" s="206"/>
      <c r="J35" s="207"/>
      <c r="K35" s="192"/>
      <c r="M35" s="18" t="str">
        <f t="shared" si="0"/>
        <v/>
      </c>
      <c r="N35" s="18" t="str">
        <f t="shared" si="1"/>
        <v/>
      </c>
      <c r="O35" s="18" t="str">
        <f t="shared" si="2"/>
        <v/>
      </c>
      <c r="P35" s="18" t="str">
        <f t="shared" si="3"/>
        <v/>
      </c>
      <c r="Q35" s="18" t="str">
        <f t="shared" si="4"/>
        <v/>
      </c>
      <c r="R35" s="18" t="str">
        <f t="shared" si="5"/>
        <v/>
      </c>
      <c r="S35" s="18" t="str">
        <f t="shared" si="6"/>
        <v/>
      </c>
    </row>
    <row r="36" spans="1:19" ht="22.5" customHeight="1" x14ac:dyDescent="0.25">
      <c r="A36" s="216"/>
      <c r="B36" s="217"/>
      <c r="C36" s="218"/>
      <c r="D36" s="218"/>
      <c r="E36" s="221"/>
      <c r="F36" s="218"/>
      <c r="G36" s="220"/>
      <c r="H36" s="220"/>
      <c r="I36" s="221"/>
      <c r="J36" s="222"/>
      <c r="K36" s="215"/>
      <c r="M36" s="18" t="str">
        <f t="shared" si="0"/>
        <v/>
      </c>
      <c r="N36" s="18" t="str">
        <f t="shared" si="1"/>
        <v/>
      </c>
      <c r="O36" s="18" t="str">
        <f t="shared" si="2"/>
        <v/>
      </c>
      <c r="P36" s="18" t="str">
        <f t="shared" si="3"/>
        <v/>
      </c>
      <c r="Q36" s="18" t="str">
        <f t="shared" si="4"/>
        <v/>
      </c>
      <c r="R36" s="18" t="str">
        <f t="shared" si="5"/>
        <v/>
      </c>
      <c r="S36" s="18" t="str">
        <f t="shared" si="6"/>
        <v/>
      </c>
    </row>
    <row r="37" spans="1:19" ht="22.5" customHeight="1" x14ac:dyDescent="0.25">
      <c r="A37" s="201"/>
      <c r="B37" s="202"/>
      <c r="C37" s="203"/>
      <c r="D37" s="203"/>
      <c r="E37" s="204"/>
      <c r="F37" s="203"/>
      <c r="G37" s="205"/>
      <c r="H37" s="205"/>
      <c r="I37" s="206"/>
      <c r="J37" s="207"/>
      <c r="K37" s="192"/>
      <c r="M37" s="18" t="str">
        <f t="shared" si="0"/>
        <v/>
      </c>
      <c r="N37" s="18" t="str">
        <f t="shared" si="1"/>
        <v/>
      </c>
      <c r="O37" s="18" t="str">
        <f t="shared" si="2"/>
        <v/>
      </c>
      <c r="P37" s="18" t="str">
        <f t="shared" si="3"/>
        <v/>
      </c>
      <c r="Q37" s="18" t="str">
        <f t="shared" si="4"/>
        <v/>
      </c>
      <c r="R37" s="18" t="str">
        <f t="shared" si="5"/>
        <v/>
      </c>
      <c r="S37" s="18" t="str">
        <f t="shared" si="6"/>
        <v/>
      </c>
    </row>
    <row r="38" spans="1:19" ht="22.5" customHeight="1" x14ac:dyDescent="0.25">
      <c r="A38" s="216"/>
      <c r="B38" s="217"/>
      <c r="C38" s="218"/>
      <c r="D38" s="218"/>
      <c r="E38" s="221"/>
      <c r="F38" s="218"/>
      <c r="G38" s="220"/>
      <c r="H38" s="220"/>
      <c r="I38" s="221"/>
      <c r="J38" s="222"/>
      <c r="K38" s="215"/>
      <c r="M38" s="18" t="str">
        <f t="shared" si="0"/>
        <v/>
      </c>
      <c r="N38" s="18" t="str">
        <f t="shared" si="1"/>
        <v/>
      </c>
      <c r="O38" s="18" t="str">
        <f t="shared" si="2"/>
        <v/>
      </c>
      <c r="P38" s="18" t="str">
        <f t="shared" si="3"/>
        <v/>
      </c>
      <c r="Q38" s="18" t="str">
        <f t="shared" si="4"/>
        <v/>
      </c>
      <c r="R38" s="18" t="str">
        <f t="shared" si="5"/>
        <v/>
      </c>
      <c r="S38" s="18" t="str">
        <f t="shared" si="6"/>
        <v/>
      </c>
    </row>
    <row r="39" spans="1:19" ht="22.5" customHeight="1" x14ac:dyDescent="0.25">
      <c r="A39" s="201"/>
      <c r="B39" s="202"/>
      <c r="C39" s="203"/>
      <c r="D39" s="203"/>
      <c r="E39" s="204"/>
      <c r="F39" s="203"/>
      <c r="G39" s="205"/>
      <c r="H39" s="205"/>
      <c r="I39" s="206"/>
      <c r="J39" s="207"/>
      <c r="K39" s="192"/>
      <c r="M39" s="18" t="str">
        <f t="shared" si="0"/>
        <v/>
      </c>
      <c r="N39" s="18" t="str">
        <f t="shared" si="1"/>
        <v/>
      </c>
      <c r="O39" s="18" t="str">
        <f t="shared" si="2"/>
        <v/>
      </c>
      <c r="P39" s="18" t="str">
        <f t="shared" si="3"/>
        <v/>
      </c>
      <c r="Q39" s="18" t="str">
        <f t="shared" si="4"/>
        <v/>
      </c>
      <c r="R39" s="18" t="str">
        <f t="shared" si="5"/>
        <v/>
      </c>
      <c r="S39" s="18" t="str">
        <f t="shared" si="6"/>
        <v/>
      </c>
    </row>
    <row r="40" spans="1:19" ht="22.5" customHeight="1" x14ac:dyDescent="0.25">
      <c r="A40" s="216"/>
      <c r="B40" s="217"/>
      <c r="C40" s="218"/>
      <c r="D40" s="218"/>
      <c r="E40" s="221"/>
      <c r="F40" s="218"/>
      <c r="G40" s="220"/>
      <c r="H40" s="220"/>
      <c r="I40" s="221"/>
      <c r="J40" s="222"/>
      <c r="K40" s="215"/>
      <c r="M40" s="18" t="str">
        <f t="shared" si="0"/>
        <v/>
      </c>
      <c r="N40" s="18" t="str">
        <f t="shared" si="1"/>
        <v/>
      </c>
      <c r="O40" s="18" t="str">
        <f t="shared" si="2"/>
        <v/>
      </c>
      <c r="P40" s="18" t="str">
        <f t="shared" si="3"/>
        <v/>
      </c>
      <c r="Q40" s="18" t="str">
        <f t="shared" si="4"/>
        <v/>
      </c>
      <c r="R40" s="18" t="str">
        <f t="shared" si="5"/>
        <v/>
      </c>
      <c r="S40" s="18" t="str">
        <f t="shared" si="6"/>
        <v/>
      </c>
    </row>
    <row r="41" spans="1:19" ht="22.5" customHeight="1" x14ac:dyDescent="0.25">
      <c r="A41" s="201"/>
      <c r="B41" s="202"/>
      <c r="C41" s="203"/>
      <c r="D41" s="203"/>
      <c r="E41" s="204"/>
      <c r="F41" s="203"/>
      <c r="G41" s="205"/>
      <c r="H41" s="205"/>
      <c r="I41" s="206"/>
      <c r="J41" s="207"/>
      <c r="K41" s="192"/>
      <c r="M41" s="18" t="str">
        <f t="shared" si="0"/>
        <v/>
      </c>
      <c r="N41" s="18" t="str">
        <f t="shared" si="1"/>
        <v/>
      </c>
      <c r="O41" s="18" t="str">
        <f t="shared" si="2"/>
        <v/>
      </c>
      <c r="P41" s="18" t="str">
        <f t="shared" si="3"/>
        <v/>
      </c>
      <c r="Q41" s="18" t="str">
        <f t="shared" si="4"/>
        <v/>
      </c>
      <c r="R41" s="18" t="str">
        <f t="shared" si="5"/>
        <v/>
      </c>
      <c r="S41" s="18" t="str">
        <f t="shared" si="6"/>
        <v/>
      </c>
    </row>
    <row r="42" spans="1:19" ht="22.5" customHeight="1" x14ac:dyDescent="0.25">
      <c r="A42" s="216"/>
      <c r="B42" s="217"/>
      <c r="C42" s="218"/>
      <c r="D42" s="218"/>
      <c r="E42" s="221"/>
      <c r="F42" s="218"/>
      <c r="G42" s="220"/>
      <c r="H42" s="220"/>
      <c r="I42" s="221"/>
      <c r="J42" s="222"/>
      <c r="K42" s="215"/>
      <c r="M42" s="18" t="str">
        <f t="shared" si="0"/>
        <v/>
      </c>
      <c r="N42" s="18" t="str">
        <f t="shared" si="1"/>
        <v/>
      </c>
      <c r="O42" s="18" t="str">
        <f t="shared" si="2"/>
        <v/>
      </c>
      <c r="P42" s="18" t="str">
        <f t="shared" si="3"/>
        <v/>
      </c>
      <c r="Q42" s="18" t="str">
        <f t="shared" si="4"/>
        <v/>
      </c>
      <c r="R42" s="18" t="str">
        <f t="shared" si="5"/>
        <v/>
      </c>
      <c r="S42" s="18" t="str">
        <f t="shared" si="6"/>
        <v/>
      </c>
    </row>
    <row r="43" spans="1:19" ht="22.5" customHeight="1" x14ac:dyDescent="0.25">
      <c r="A43" s="201"/>
      <c r="B43" s="202"/>
      <c r="C43" s="203"/>
      <c r="D43" s="203"/>
      <c r="E43" s="204"/>
      <c r="F43" s="203"/>
      <c r="G43" s="205"/>
      <c r="H43" s="205"/>
      <c r="I43" s="206"/>
      <c r="J43" s="207"/>
      <c r="K43" s="192"/>
      <c r="M43" s="18" t="str">
        <f t="shared" si="0"/>
        <v/>
      </c>
      <c r="N43" s="18" t="str">
        <f t="shared" si="1"/>
        <v/>
      </c>
      <c r="O43" s="18" t="str">
        <f t="shared" si="2"/>
        <v/>
      </c>
      <c r="P43" s="18" t="str">
        <f t="shared" si="3"/>
        <v/>
      </c>
      <c r="Q43" s="18" t="str">
        <f t="shared" si="4"/>
        <v/>
      </c>
      <c r="R43" s="18" t="str">
        <f t="shared" si="5"/>
        <v/>
      </c>
      <c r="S43" s="18" t="str">
        <f t="shared" si="6"/>
        <v/>
      </c>
    </row>
    <row r="44" spans="1:19" ht="22.5" customHeight="1" x14ac:dyDescent="0.25">
      <c r="A44" s="216"/>
      <c r="B44" s="217"/>
      <c r="C44" s="218"/>
      <c r="D44" s="218"/>
      <c r="E44" s="221"/>
      <c r="F44" s="218"/>
      <c r="G44" s="220"/>
      <c r="H44" s="220"/>
      <c r="I44" s="221"/>
      <c r="J44" s="222"/>
      <c r="K44" s="215"/>
      <c r="M44" s="18" t="str">
        <f t="shared" si="0"/>
        <v/>
      </c>
      <c r="N44" s="18" t="str">
        <f t="shared" si="1"/>
        <v/>
      </c>
      <c r="O44" s="18" t="str">
        <f t="shared" si="2"/>
        <v/>
      </c>
      <c r="P44" s="18" t="str">
        <f t="shared" si="3"/>
        <v/>
      </c>
      <c r="Q44" s="18" t="str">
        <f t="shared" si="4"/>
        <v/>
      </c>
      <c r="R44" s="18" t="str">
        <f t="shared" si="5"/>
        <v/>
      </c>
      <c r="S44" s="18" t="str">
        <f t="shared" si="6"/>
        <v/>
      </c>
    </row>
    <row r="45" spans="1:19" ht="22.5" customHeight="1" x14ac:dyDescent="0.25">
      <c r="A45" s="201"/>
      <c r="B45" s="202"/>
      <c r="C45" s="203"/>
      <c r="D45" s="203"/>
      <c r="E45" s="204"/>
      <c r="F45" s="203"/>
      <c r="G45" s="205"/>
      <c r="H45" s="205"/>
      <c r="I45" s="206"/>
      <c r="J45" s="207"/>
      <c r="K45" s="192"/>
      <c r="M45" s="18" t="str">
        <f t="shared" si="0"/>
        <v/>
      </c>
      <c r="N45" s="18" t="str">
        <f t="shared" si="1"/>
        <v/>
      </c>
      <c r="O45" s="18" t="str">
        <f t="shared" si="2"/>
        <v/>
      </c>
      <c r="P45" s="18" t="str">
        <f t="shared" si="3"/>
        <v/>
      </c>
      <c r="Q45" s="18" t="str">
        <f t="shared" si="4"/>
        <v/>
      </c>
      <c r="R45" s="18" t="str">
        <f t="shared" si="5"/>
        <v/>
      </c>
      <c r="S45" s="18" t="str">
        <f t="shared" si="6"/>
        <v/>
      </c>
    </row>
    <row r="46" spans="1:19" ht="22.5" customHeight="1" x14ac:dyDescent="0.25">
      <c r="A46" s="216"/>
      <c r="B46" s="217"/>
      <c r="C46" s="218"/>
      <c r="D46" s="218"/>
      <c r="E46" s="221"/>
      <c r="F46" s="218"/>
      <c r="G46" s="220"/>
      <c r="H46" s="220"/>
      <c r="I46" s="221"/>
      <c r="J46" s="222"/>
      <c r="K46" s="215"/>
      <c r="M46" s="18" t="str">
        <f t="shared" si="0"/>
        <v/>
      </c>
      <c r="N46" s="18" t="str">
        <f t="shared" si="1"/>
        <v/>
      </c>
      <c r="O46" s="18" t="str">
        <f t="shared" si="2"/>
        <v/>
      </c>
      <c r="P46" s="18" t="str">
        <f t="shared" si="3"/>
        <v/>
      </c>
      <c r="Q46" s="18" t="str">
        <f t="shared" si="4"/>
        <v/>
      </c>
      <c r="R46" s="18" t="str">
        <f t="shared" si="5"/>
        <v/>
      </c>
      <c r="S46" s="18" t="str">
        <f t="shared" si="6"/>
        <v/>
      </c>
    </row>
    <row r="47" spans="1:19" ht="22.5" customHeight="1" x14ac:dyDescent="0.25">
      <c r="A47" s="201"/>
      <c r="B47" s="202"/>
      <c r="C47" s="203"/>
      <c r="D47" s="203"/>
      <c r="E47" s="204"/>
      <c r="F47" s="203"/>
      <c r="G47" s="205"/>
      <c r="H47" s="205"/>
      <c r="I47" s="206"/>
      <c r="J47" s="207"/>
      <c r="K47" s="192"/>
      <c r="M47" s="18" t="str">
        <f t="shared" si="0"/>
        <v/>
      </c>
      <c r="N47" s="18" t="str">
        <f t="shared" si="1"/>
        <v/>
      </c>
      <c r="O47" s="18" t="str">
        <f t="shared" si="2"/>
        <v/>
      </c>
      <c r="P47" s="18" t="str">
        <f t="shared" si="3"/>
        <v/>
      </c>
      <c r="Q47" s="18" t="str">
        <f t="shared" si="4"/>
        <v/>
      </c>
      <c r="R47" s="18" t="str">
        <f t="shared" si="5"/>
        <v/>
      </c>
      <c r="S47" s="18" t="str">
        <f t="shared" si="6"/>
        <v/>
      </c>
    </row>
    <row r="48" spans="1:19" ht="22.5" customHeight="1" x14ac:dyDescent="0.25">
      <c r="A48" s="216"/>
      <c r="B48" s="217"/>
      <c r="C48" s="218"/>
      <c r="D48" s="218"/>
      <c r="E48" s="221"/>
      <c r="F48" s="218"/>
      <c r="G48" s="220"/>
      <c r="H48" s="220"/>
      <c r="I48" s="221"/>
      <c r="J48" s="222"/>
      <c r="K48" s="215"/>
      <c r="M48" s="18" t="str">
        <f t="shared" si="0"/>
        <v/>
      </c>
      <c r="N48" s="18" t="str">
        <f t="shared" si="1"/>
        <v/>
      </c>
      <c r="O48" s="18" t="str">
        <f t="shared" si="2"/>
        <v/>
      </c>
      <c r="P48" s="18" t="str">
        <f t="shared" si="3"/>
        <v/>
      </c>
      <c r="Q48" s="18" t="str">
        <f t="shared" si="4"/>
        <v/>
      </c>
      <c r="R48" s="18" t="str">
        <f t="shared" si="5"/>
        <v/>
      </c>
      <c r="S48" s="18" t="str">
        <f t="shared" si="6"/>
        <v/>
      </c>
    </row>
    <row r="49" spans="1:19" ht="22.5" customHeight="1" x14ac:dyDescent="0.25">
      <c r="A49" s="201"/>
      <c r="B49" s="202"/>
      <c r="C49" s="203"/>
      <c r="D49" s="203"/>
      <c r="E49" s="204"/>
      <c r="F49" s="203"/>
      <c r="G49" s="205"/>
      <c r="H49" s="205"/>
      <c r="I49" s="206"/>
      <c r="J49" s="207"/>
      <c r="K49" s="192"/>
      <c r="M49" s="18" t="str">
        <f t="shared" si="0"/>
        <v/>
      </c>
      <c r="N49" s="18" t="str">
        <f t="shared" si="1"/>
        <v/>
      </c>
      <c r="O49" s="18" t="str">
        <f t="shared" si="2"/>
        <v/>
      </c>
      <c r="P49" s="18" t="str">
        <f t="shared" si="3"/>
        <v/>
      </c>
      <c r="Q49" s="18" t="str">
        <f t="shared" si="4"/>
        <v/>
      </c>
      <c r="R49" s="18" t="str">
        <f t="shared" si="5"/>
        <v/>
      </c>
      <c r="S49" s="18" t="str">
        <f t="shared" si="6"/>
        <v/>
      </c>
    </row>
    <row r="50" spans="1:19" ht="22.5" customHeight="1" x14ac:dyDescent="0.25">
      <c r="A50" s="216"/>
      <c r="B50" s="217"/>
      <c r="C50" s="218"/>
      <c r="D50" s="218"/>
      <c r="E50" s="221"/>
      <c r="F50" s="218"/>
      <c r="G50" s="220"/>
      <c r="H50" s="220"/>
      <c r="I50" s="221"/>
      <c r="J50" s="222"/>
      <c r="K50" s="215"/>
      <c r="M50" s="18" t="str">
        <f t="shared" si="0"/>
        <v/>
      </c>
      <c r="N50" s="18" t="str">
        <f t="shared" si="1"/>
        <v/>
      </c>
      <c r="O50" s="18" t="str">
        <f t="shared" si="2"/>
        <v/>
      </c>
      <c r="P50" s="18" t="str">
        <f t="shared" si="3"/>
        <v/>
      </c>
      <c r="Q50" s="18" t="str">
        <f t="shared" si="4"/>
        <v/>
      </c>
      <c r="R50" s="18" t="str">
        <f t="shared" si="5"/>
        <v/>
      </c>
      <c r="S50" s="18" t="str">
        <f t="shared" si="6"/>
        <v/>
      </c>
    </row>
    <row r="51" spans="1:19" ht="22.5" customHeight="1" x14ac:dyDescent="0.25">
      <c r="A51" s="201"/>
      <c r="B51" s="202"/>
      <c r="C51" s="203"/>
      <c r="D51" s="203"/>
      <c r="E51" s="204"/>
      <c r="F51" s="203"/>
      <c r="G51" s="205"/>
      <c r="H51" s="205"/>
      <c r="I51" s="206"/>
      <c r="J51" s="207"/>
      <c r="K51" s="192"/>
      <c r="M51" s="18" t="str">
        <f t="shared" si="0"/>
        <v/>
      </c>
      <c r="N51" s="18" t="str">
        <f t="shared" si="1"/>
        <v/>
      </c>
      <c r="O51" s="18" t="str">
        <f t="shared" si="2"/>
        <v/>
      </c>
      <c r="P51" s="18" t="str">
        <f t="shared" si="3"/>
        <v/>
      </c>
      <c r="Q51" s="18" t="str">
        <f t="shared" si="4"/>
        <v/>
      </c>
      <c r="R51" s="18" t="str">
        <f t="shared" si="5"/>
        <v/>
      </c>
      <c r="S51" s="18" t="str">
        <f t="shared" si="6"/>
        <v/>
      </c>
    </row>
    <row r="52" spans="1:19" ht="22.5" customHeight="1" x14ac:dyDescent="0.25">
      <c r="A52" s="216"/>
      <c r="B52" s="217"/>
      <c r="C52" s="218"/>
      <c r="D52" s="218"/>
      <c r="E52" s="221"/>
      <c r="F52" s="218"/>
      <c r="G52" s="220"/>
      <c r="H52" s="220"/>
      <c r="I52" s="221"/>
      <c r="J52" s="222"/>
      <c r="K52" s="215"/>
      <c r="M52" s="18" t="str">
        <f t="shared" si="0"/>
        <v/>
      </c>
      <c r="N52" s="18" t="str">
        <f t="shared" si="1"/>
        <v/>
      </c>
      <c r="O52" s="18" t="str">
        <f t="shared" si="2"/>
        <v/>
      </c>
      <c r="P52" s="18" t="str">
        <f t="shared" si="3"/>
        <v/>
      </c>
      <c r="Q52" s="18" t="str">
        <f t="shared" si="4"/>
        <v/>
      </c>
      <c r="R52" s="18" t="str">
        <f t="shared" si="5"/>
        <v/>
      </c>
      <c r="S52" s="18" t="str">
        <f t="shared" si="6"/>
        <v/>
      </c>
    </row>
    <row r="53" spans="1:19" ht="22.5" customHeight="1" x14ac:dyDescent="0.25">
      <c r="A53" s="201"/>
      <c r="B53" s="202"/>
      <c r="C53" s="203"/>
      <c r="D53" s="203"/>
      <c r="E53" s="204"/>
      <c r="F53" s="203"/>
      <c r="G53" s="205"/>
      <c r="H53" s="205"/>
      <c r="I53" s="206"/>
      <c r="J53" s="207"/>
      <c r="K53" s="192"/>
      <c r="M53" s="18" t="str">
        <f t="shared" si="0"/>
        <v/>
      </c>
      <c r="N53" s="18" t="str">
        <f t="shared" si="1"/>
        <v/>
      </c>
      <c r="O53" s="18" t="str">
        <f t="shared" si="2"/>
        <v/>
      </c>
      <c r="P53" s="18" t="str">
        <f t="shared" si="3"/>
        <v/>
      </c>
      <c r="Q53" s="18" t="str">
        <f t="shared" si="4"/>
        <v/>
      </c>
      <c r="R53" s="18" t="str">
        <f t="shared" si="5"/>
        <v/>
      </c>
      <c r="S53" s="18" t="str">
        <f t="shared" si="6"/>
        <v/>
      </c>
    </row>
    <row r="54" spans="1:19" ht="22.5" customHeight="1" x14ac:dyDescent="0.25">
      <c r="A54" s="216"/>
      <c r="B54" s="217"/>
      <c r="C54" s="218"/>
      <c r="D54" s="218"/>
      <c r="E54" s="221"/>
      <c r="F54" s="218"/>
      <c r="G54" s="220"/>
      <c r="H54" s="220"/>
      <c r="I54" s="221"/>
      <c r="J54" s="222"/>
      <c r="K54" s="215"/>
      <c r="M54" s="18" t="str">
        <f t="shared" si="0"/>
        <v/>
      </c>
      <c r="N54" s="18" t="str">
        <f t="shared" si="1"/>
        <v/>
      </c>
      <c r="O54" s="18" t="str">
        <f t="shared" si="2"/>
        <v/>
      </c>
      <c r="P54" s="18" t="str">
        <f t="shared" si="3"/>
        <v/>
      </c>
      <c r="Q54" s="18" t="str">
        <f t="shared" si="4"/>
        <v/>
      </c>
      <c r="R54" s="18" t="str">
        <f t="shared" si="5"/>
        <v/>
      </c>
      <c r="S54" s="18" t="str">
        <f t="shared" si="6"/>
        <v/>
      </c>
    </row>
    <row r="55" spans="1:19" ht="22.5" customHeight="1" x14ac:dyDescent="0.25">
      <c r="A55" s="201"/>
      <c r="B55" s="202"/>
      <c r="C55" s="203"/>
      <c r="D55" s="203"/>
      <c r="E55" s="204"/>
      <c r="F55" s="203"/>
      <c r="G55" s="205"/>
      <c r="H55" s="205"/>
      <c r="I55" s="206"/>
      <c r="J55" s="207"/>
      <c r="K55" s="192"/>
      <c r="M55" s="18" t="str">
        <f t="shared" si="0"/>
        <v/>
      </c>
      <c r="N55" s="18" t="str">
        <f t="shared" si="1"/>
        <v/>
      </c>
      <c r="O55" s="18" t="str">
        <f t="shared" si="2"/>
        <v/>
      </c>
      <c r="P55" s="18" t="str">
        <f t="shared" si="3"/>
        <v/>
      </c>
      <c r="Q55" s="18" t="str">
        <f t="shared" si="4"/>
        <v/>
      </c>
      <c r="R55" s="18" t="str">
        <f t="shared" si="5"/>
        <v/>
      </c>
      <c r="S55" s="18" t="str">
        <f t="shared" si="6"/>
        <v/>
      </c>
    </row>
    <row r="56" spans="1:19" ht="22.5" customHeight="1" x14ac:dyDescent="0.25">
      <c r="A56" s="216"/>
      <c r="B56" s="217"/>
      <c r="C56" s="218"/>
      <c r="D56" s="218"/>
      <c r="E56" s="221"/>
      <c r="F56" s="218"/>
      <c r="G56" s="220"/>
      <c r="H56" s="220"/>
      <c r="I56" s="221"/>
      <c r="J56" s="222"/>
      <c r="K56" s="215"/>
      <c r="M56" s="18" t="str">
        <f t="shared" si="0"/>
        <v/>
      </c>
      <c r="N56" s="18" t="str">
        <f t="shared" si="1"/>
        <v/>
      </c>
      <c r="O56" s="18" t="str">
        <f t="shared" si="2"/>
        <v/>
      </c>
      <c r="P56" s="18" t="str">
        <f t="shared" si="3"/>
        <v/>
      </c>
      <c r="Q56" s="18" t="str">
        <f t="shared" si="4"/>
        <v/>
      </c>
      <c r="R56" s="18" t="str">
        <f t="shared" si="5"/>
        <v/>
      </c>
      <c r="S56" s="18" t="str">
        <f t="shared" si="6"/>
        <v/>
      </c>
    </row>
    <row r="57" spans="1:19" ht="22.5" customHeight="1" x14ac:dyDescent="0.25">
      <c r="A57" s="201"/>
      <c r="B57" s="202"/>
      <c r="C57" s="203"/>
      <c r="D57" s="203"/>
      <c r="E57" s="204"/>
      <c r="F57" s="203"/>
      <c r="G57" s="205"/>
      <c r="H57" s="205"/>
      <c r="I57" s="206"/>
      <c r="J57" s="207"/>
      <c r="K57" s="192"/>
      <c r="M57" s="18" t="str">
        <f t="shared" si="0"/>
        <v/>
      </c>
      <c r="N57" s="18" t="str">
        <f t="shared" si="1"/>
        <v/>
      </c>
      <c r="O57" s="18" t="str">
        <f t="shared" si="2"/>
        <v/>
      </c>
      <c r="P57" s="18" t="str">
        <f t="shared" si="3"/>
        <v/>
      </c>
      <c r="Q57" s="18" t="str">
        <f t="shared" si="4"/>
        <v/>
      </c>
      <c r="R57" s="18" t="str">
        <f t="shared" si="5"/>
        <v/>
      </c>
      <c r="S57" s="18" t="str">
        <f t="shared" si="6"/>
        <v/>
      </c>
    </row>
    <row r="58" spans="1:19" ht="22.5" customHeight="1" x14ac:dyDescent="0.25">
      <c r="A58" s="216"/>
      <c r="B58" s="217"/>
      <c r="C58" s="218"/>
      <c r="D58" s="218"/>
      <c r="E58" s="221"/>
      <c r="F58" s="218"/>
      <c r="G58" s="220"/>
      <c r="H58" s="220"/>
      <c r="I58" s="221"/>
      <c r="J58" s="222"/>
      <c r="K58" s="215"/>
      <c r="M58" s="18" t="str">
        <f t="shared" si="0"/>
        <v/>
      </c>
      <c r="N58" s="18" t="str">
        <f t="shared" si="1"/>
        <v/>
      </c>
      <c r="O58" s="18" t="str">
        <f t="shared" si="2"/>
        <v/>
      </c>
      <c r="P58" s="18" t="str">
        <f t="shared" si="3"/>
        <v/>
      </c>
      <c r="Q58" s="18" t="str">
        <f t="shared" si="4"/>
        <v/>
      </c>
      <c r="R58" s="18" t="str">
        <f t="shared" si="5"/>
        <v/>
      </c>
      <c r="S58" s="18" t="str">
        <f t="shared" si="6"/>
        <v/>
      </c>
    </row>
    <row r="59" spans="1:19" ht="22.5" customHeight="1" x14ac:dyDescent="0.25">
      <c r="A59" s="201"/>
      <c r="B59" s="202"/>
      <c r="C59" s="203"/>
      <c r="D59" s="203"/>
      <c r="E59" s="204"/>
      <c r="F59" s="203"/>
      <c r="G59" s="205"/>
      <c r="H59" s="205"/>
      <c r="I59" s="206"/>
      <c r="J59" s="207"/>
      <c r="K59" s="192"/>
      <c r="M59" s="18" t="str">
        <f t="shared" si="0"/>
        <v/>
      </c>
      <c r="N59" s="18" t="str">
        <f t="shared" si="1"/>
        <v/>
      </c>
      <c r="O59" s="18" t="str">
        <f t="shared" si="2"/>
        <v/>
      </c>
      <c r="P59" s="18" t="str">
        <f t="shared" si="3"/>
        <v/>
      </c>
      <c r="Q59" s="18" t="str">
        <f t="shared" si="4"/>
        <v/>
      </c>
      <c r="R59" s="18" t="str">
        <f t="shared" si="5"/>
        <v/>
      </c>
      <c r="S59" s="18" t="str">
        <f t="shared" si="6"/>
        <v/>
      </c>
    </row>
    <row r="60" spans="1:19" ht="22.5" customHeight="1" x14ac:dyDescent="0.25">
      <c r="A60" s="216"/>
      <c r="B60" s="217"/>
      <c r="C60" s="218"/>
      <c r="D60" s="218"/>
      <c r="E60" s="221"/>
      <c r="F60" s="218"/>
      <c r="G60" s="220"/>
      <c r="H60" s="220"/>
      <c r="I60" s="221"/>
      <c r="J60" s="222"/>
      <c r="K60" s="215"/>
      <c r="M60" s="18" t="str">
        <f t="shared" ref="M60:M123" si="30">IF(A60="","",IF(A60="Entrada",D60,""))</f>
        <v/>
      </c>
      <c r="N60" s="18" t="str">
        <f t="shared" ref="N60:N123" si="31">IF(A60="","",IF(A60="Entrada",E60,""))</f>
        <v/>
      </c>
      <c r="O60" s="18" t="str">
        <f t="shared" ref="O60:O123" si="32">IF(A60="","",IF(A60="Entrada",1,""))</f>
        <v/>
      </c>
      <c r="P60" s="18" t="str">
        <f t="shared" ref="P60:P123" si="33">IF(O60=1,G60,"")</f>
        <v/>
      </c>
      <c r="Q60" s="18" t="str">
        <f t="shared" ref="Q60:Q123" si="34">IF(A60="","",IF(A60="Entrada",(M60/10)*P60,""))</f>
        <v/>
      </c>
      <c r="R60" s="18" t="str">
        <f t="shared" ref="R60:R123" si="35">IF(A60="","",IF(A60="Saída",D60,""))</f>
        <v/>
      </c>
      <c r="S60" s="18" t="str">
        <f t="shared" ref="S60:S123" si="36">IF(A60="","",IF(A60="Saída",E60,""))</f>
        <v/>
      </c>
    </row>
    <row r="61" spans="1:19" ht="22.5" customHeight="1" x14ac:dyDescent="0.25">
      <c r="A61" s="201"/>
      <c r="B61" s="202"/>
      <c r="C61" s="203"/>
      <c r="D61" s="203"/>
      <c r="E61" s="204"/>
      <c r="F61" s="203"/>
      <c r="G61" s="205"/>
      <c r="H61" s="205"/>
      <c r="I61" s="206"/>
      <c r="J61" s="207"/>
      <c r="K61" s="192"/>
      <c r="M61" s="18" t="str">
        <f t="shared" si="30"/>
        <v/>
      </c>
      <c r="N61" s="18" t="str">
        <f t="shared" si="31"/>
        <v/>
      </c>
      <c r="O61" s="18" t="str">
        <f t="shared" si="32"/>
        <v/>
      </c>
      <c r="P61" s="18" t="str">
        <f t="shared" si="33"/>
        <v/>
      </c>
      <c r="Q61" s="18" t="str">
        <f t="shared" si="34"/>
        <v/>
      </c>
      <c r="R61" s="18" t="str">
        <f t="shared" si="35"/>
        <v/>
      </c>
      <c r="S61" s="18" t="str">
        <f t="shared" si="36"/>
        <v/>
      </c>
    </row>
    <row r="62" spans="1:19" ht="22.5" customHeight="1" x14ac:dyDescent="0.25">
      <c r="A62" s="216"/>
      <c r="B62" s="217"/>
      <c r="C62" s="218"/>
      <c r="D62" s="218"/>
      <c r="E62" s="221"/>
      <c r="F62" s="218"/>
      <c r="G62" s="220"/>
      <c r="H62" s="220"/>
      <c r="I62" s="221"/>
      <c r="J62" s="222"/>
      <c r="K62" s="215"/>
      <c r="M62" s="18" t="str">
        <f t="shared" si="30"/>
        <v/>
      </c>
      <c r="N62" s="18" t="str">
        <f t="shared" si="31"/>
        <v/>
      </c>
      <c r="O62" s="18" t="str">
        <f t="shared" si="32"/>
        <v/>
      </c>
      <c r="P62" s="18" t="str">
        <f t="shared" si="33"/>
        <v/>
      </c>
      <c r="Q62" s="18" t="str">
        <f t="shared" si="34"/>
        <v/>
      </c>
      <c r="R62" s="18" t="str">
        <f t="shared" si="35"/>
        <v/>
      </c>
      <c r="S62" s="18" t="str">
        <f t="shared" si="36"/>
        <v/>
      </c>
    </row>
    <row r="63" spans="1:19" ht="22.5" customHeight="1" x14ac:dyDescent="0.25">
      <c r="A63" s="201"/>
      <c r="B63" s="202"/>
      <c r="C63" s="203"/>
      <c r="D63" s="203"/>
      <c r="E63" s="204"/>
      <c r="F63" s="203"/>
      <c r="G63" s="205"/>
      <c r="H63" s="205"/>
      <c r="I63" s="206"/>
      <c r="J63" s="207"/>
      <c r="K63" s="192"/>
      <c r="M63" s="18" t="str">
        <f t="shared" si="30"/>
        <v/>
      </c>
      <c r="N63" s="18" t="str">
        <f t="shared" si="31"/>
        <v/>
      </c>
      <c r="O63" s="18" t="str">
        <f t="shared" si="32"/>
        <v/>
      </c>
      <c r="P63" s="18" t="str">
        <f t="shared" si="33"/>
        <v/>
      </c>
      <c r="Q63" s="18" t="str">
        <f t="shared" si="34"/>
        <v/>
      </c>
      <c r="R63" s="18" t="str">
        <f t="shared" si="35"/>
        <v/>
      </c>
      <c r="S63" s="18" t="str">
        <f t="shared" si="36"/>
        <v/>
      </c>
    </row>
    <row r="64" spans="1:19" ht="22.5" customHeight="1" x14ac:dyDescent="0.25">
      <c r="A64" s="216"/>
      <c r="B64" s="217"/>
      <c r="C64" s="218"/>
      <c r="D64" s="218"/>
      <c r="E64" s="221"/>
      <c r="F64" s="218"/>
      <c r="G64" s="220"/>
      <c r="H64" s="220"/>
      <c r="I64" s="221"/>
      <c r="J64" s="222"/>
      <c r="K64" s="215"/>
      <c r="M64" s="18" t="str">
        <f t="shared" si="30"/>
        <v/>
      </c>
      <c r="N64" s="18" t="str">
        <f t="shared" si="31"/>
        <v/>
      </c>
      <c r="O64" s="18" t="str">
        <f t="shared" si="32"/>
        <v/>
      </c>
      <c r="P64" s="18" t="str">
        <f t="shared" si="33"/>
        <v/>
      </c>
      <c r="Q64" s="18" t="str">
        <f t="shared" si="34"/>
        <v/>
      </c>
      <c r="R64" s="18" t="str">
        <f t="shared" si="35"/>
        <v/>
      </c>
      <c r="S64" s="18" t="str">
        <f t="shared" si="36"/>
        <v/>
      </c>
    </row>
    <row r="65" spans="1:19" ht="22.5" customHeight="1" x14ac:dyDescent="0.25">
      <c r="A65" s="201"/>
      <c r="B65" s="202"/>
      <c r="C65" s="203"/>
      <c r="D65" s="203"/>
      <c r="E65" s="204"/>
      <c r="F65" s="203"/>
      <c r="G65" s="205"/>
      <c r="H65" s="205"/>
      <c r="I65" s="206"/>
      <c r="J65" s="207"/>
      <c r="K65" s="192"/>
      <c r="M65" s="18" t="str">
        <f t="shared" si="30"/>
        <v/>
      </c>
      <c r="N65" s="18" t="str">
        <f t="shared" si="31"/>
        <v/>
      </c>
      <c r="O65" s="18" t="str">
        <f t="shared" si="32"/>
        <v/>
      </c>
      <c r="P65" s="18" t="str">
        <f t="shared" si="33"/>
        <v/>
      </c>
      <c r="Q65" s="18" t="str">
        <f t="shared" si="34"/>
        <v/>
      </c>
      <c r="R65" s="18" t="str">
        <f t="shared" si="35"/>
        <v/>
      </c>
      <c r="S65" s="18" t="str">
        <f t="shared" si="36"/>
        <v/>
      </c>
    </row>
    <row r="66" spans="1:19" ht="22.5" customHeight="1" x14ac:dyDescent="0.25">
      <c r="A66" s="216"/>
      <c r="B66" s="217"/>
      <c r="C66" s="218"/>
      <c r="D66" s="218"/>
      <c r="E66" s="221"/>
      <c r="F66" s="218"/>
      <c r="G66" s="220"/>
      <c r="H66" s="220"/>
      <c r="I66" s="221"/>
      <c r="J66" s="222"/>
      <c r="K66" s="215"/>
      <c r="M66" s="18" t="str">
        <f t="shared" si="30"/>
        <v/>
      </c>
      <c r="N66" s="18" t="str">
        <f t="shared" si="31"/>
        <v/>
      </c>
      <c r="O66" s="18" t="str">
        <f t="shared" si="32"/>
        <v/>
      </c>
      <c r="P66" s="18" t="str">
        <f t="shared" si="33"/>
        <v/>
      </c>
      <c r="Q66" s="18" t="str">
        <f t="shared" si="34"/>
        <v/>
      </c>
      <c r="R66" s="18" t="str">
        <f t="shared" si="35"/>
        <v/>
      </c>
      <c r="S66" s="18" t="str">
        <f t="shared" si="36"/>
        <v/>
      </c>
    </row>
    <row r="67" spans="1:19" ht="22.5" customHeight="1" x14ac:dyDescent="0.25">
      <c r="A67" s="201"/>
      <c r="B67" s="202"/>
      <c r="C67" s="203"/>
      <c r="D67" s="203"/>
      <c r="E67" s="204"/>
      <c r="F67" s="203"/>
      <c r="G67" s="205"/>
      <c r="H67" s="205"/>
      <c r="I67" s="206"/>
      <c r="J67" s="207"/>
      <c r="K67" s="192"/>
      <c r="M67" s="18" t="str">
        <f t="shared" si="30"/>
        <v/>
      </c>
      <c r="N67" s="18" t="str">
        <f t="shared" si="31"/>
        <v/>
      </c>
      <c r="O67" s="18" t="str">
        <f t="shared" si="32"/>
        <v/>
      </c>
      <c r="P67" s="18" t="str">
        <f t="shared" si="33"/>
        <v/>
      </c>
      <c r="Q67" s="18" t="str">
        <f t="shared" si="34"/>
        <v/>
      </c>
      <c r="R67" s="18" t="str">
        <f t="shared" si="35"/>
        <v/>
      </c>
      <c r="S67" s="18" t="str">
        <f t="shared" si="36"/>
        <v/>
      </c>
    </row>
    <row r="68" spans="1:19" ht="22.5" customHeight="1" x14ac:dyDescent="0.25">
      <c r="A68" s="216"/>
      <c r="B68" s="217"/>
      <c r="C68" s="218"/>
      <c r="D68" s="218"/>
      <c r="E68" s="221"/>
      <c r="F68" s="218"/>
      <c r="G68" s="220"/>
      <c r="H68" s="220"/>
      <c r="I68" s="221"/>
      <c r="J68" s="222"/>
      <c r="K68" s="215"/>
      <c r="M68" s="18" t="str">
        <f t="shared" si="30"/>
        <v/>
      </c>
      <c r="N68" s="18" t="str">
        <f t="shared" si="31"/>
        <v/>
      </c>
      <c r="O68" s="18" t="str">
        <f t="shared" si="32"/>
        <v/>
      </c>
      <c r="P68" s="18" t="str">
        <f t="shared" si="33"/>
        <v/>
      </c>
      <c r="Q68" s="18" t="str">
        <f t="shared" si="34"/>
        <v/>
      </c>
      <c r="R68" s="18" t="str">
        <f t="shared" si="35"/>
        <v/>
      </c>
      <c r="S68" s="18" t="str">
        <f t="shared" si="36"/>
        <v/>
      </c>
    </row>
    <row r="69" spans="1:19" ht="22.5" customHeight="1" x14ac:dyDescent="0.25">
      <c r="A69" s="201"/>
      <c r="B69" s="202"/>
      <c r="C69" s="203"/>
      <c r="D69" s="203"/>
      <c r="E69" s="204"/>
      <c r="F69" s="203"/>
      <c r="G69" s="205"/>
      <c r="H69" s="205"/>
      <c r="I69" s="206"/>
      <c r="J69" s="207"/>
      <c r="K69" s="192"/>
      <c r="M69" s="18" t="str">
        <f t="shared" si="30"/>
        <v/>
      </c>
      <c r="N69" s="18" t="str">
        <f t="shared" si="31"/>
        <v/>
      </c>
      <c r="O69" s="18" t="str">
        <f t="shared" si="32"/>
        <v/>
      </c>
      <c r="P69" s="18" t="str">
        <f t="shared" si="33"/>
        <v/>
      </c>
      <c r="Q69" s="18" t="str">
        <f t="shared" si="34"/>
        <v/>
      </c>
      <c r="R69" s="18" t="str">
        <f t="shared" si="35"/>
        <v/>
      </c>
      <c r="S69" s="18" t="str">
        <f t="shared" si="36"/>
        <v/>
      </c>
    </row>
    <row r="70" spans="1:19" ht="22.5" customHeight="1" x14ac:dyDescent="0.25">
      <c r="A70" s="216"/>
      <c r="B70" s="217"/>
      <c r="C70" s="218"/>
      <c r="D70" s="218"/>
      <c r="E70" s="221"/>
      <c r="F70" s="218"/>
      <c r="G70" s="220"/>
      <c r="H70" s="220"/>
      <c r="I70" s="221"/>
      <c r="J70" s="222"/>
      <c r="K70" s="215"/>
      <c r="M70" s="18" t="str">
        <f t="shared" si="30"/>
        <v/>
      </c>
      <c r="N70" s="18" t="str">
        <f t="shared" si="31"/>
        <v/>
      </c>
      <c r="O70" s="18" t="str">
        <f t="shared" si="32"/>
        <v/>
      </c>
      <c r="P70" s="18" t="str">
        <f t="shared" si="33"/>
        <v/>
      </c>
      <c r="Q70" s="18" t="str">
        <f t="shared" si="34"/>
        <v/>
      </c>
      <c r="R70" s="18" t="str">
        <f t="shared" si="35"/>
        <v/>
      </c>
      <c r="S70" s="18" t="str">
        <f t="shared" si="36"/>
        <v/>
      </c>
    </row>
    <row r="71" spans="1:19" ht="22.5" customHeight="1" x14ac:dyDescent="0.25">
      <c r="A71" s="201"/>
      <c r="B71" s="202"/>
      <c r="C71" s="203"/>
      <c r="D71" s="203"/>
      <c r="E71" s="204"/>
      <c r="F71" s="203"/>
      <c r="G71" s="205"/>
      <c r="H71" s="205"/>
      <c r="I71" s="206"/>
      <c r="J71" s="207"/>
      <c r="K71" s="192"/>
      <c r="M71" s="18" t="str">
        <f t="shared" si="30"/>
        <v/>
      </c>
      <c r="N71" s="18" t="str">
        <f t="shared" si="31"/>
        <v/>
      </c>
      <c r="O71" s="18" t="str">
        <f t="shared" si="32"/>
        <v/>
      </c>
      <c r="P71" s="18" t="str">
        <f t="shared" si="33"/>
        <v/>
      </c>
      <c r="Q71" s="18" t="str">
        <f t="shared" si="34"/>
        <v/>
      </c>
      <c r="R71" s="18" t="str">
        <f t="shared" si="35"/>
        <v/>
      </c>
      <c r="S71" s="18" t="str">
        <f t="shared" si="36"/>
        <v/>
      </c>
    </row>
    <row r="72" spans="1:19" ht="22.5" customHeight="1" x14ac:dyDescent="0.25">
      <c r="A72" s="216"/>
      <c r="B72" s="217"/>
      <c r="C72" s="218"/>
      <c r="D72" s="218"/>
      <c r="E72" s="221"/>
      <c r="F72" s="218"/>
      <c r="G72" s="220"/>
      <c r="H72" s="220"/>
      <c r="I72" s="221"/>
      <c r="J72" s="222"/>
      <c r="K72" s="215"/>
      <c r="M72" s="18" t="str">
        <f t="shared" si="30"/>
        <v/>
      </c>
      <c r="N72" s="18" t="str">
        <f t="shared" si="31"/>
        <v/>
      </c>
      <c r="O72" s="18" t="str">
        <f t="shared" si="32"/>
        <v/>
      </c>
      <c r="P72" s="18" t="str">
        <f t="shared" si="33"/>
        <v/>
      </c>
      <c r="Q72" s="18" t="str">
        <f t="shared" si="34"/>
        <v/>
      </c>
      <c r="R72" s="18" t="str">
        <f t="shared" si="35"/>
        <v/>
      </c>
      <c r="S72" s="18" t="str">
        <f t="shared" si="36"/>
        <v/>
      </c>
    </row>
    <row r="73" spans="1:19" ht="22.5" customHeight="1" x14ac:dyDescent="0.25">
      <c r="A73" s="201"/>
      <c r="B73" s="202"/>
      <c r="C73" s="203"/>
      <c r="D73" s="203"/>
      <c r="E73" s="204"/>
      <c r="F73" s="203"/>
      <c r="G73" s="205"/>
      <c r="H73" s="205"/>
      <c r="I73" s="206"/>
      <c r="J73" s="207"/>
      <c r="K73" s="192"/>
      <c r="M73" s="18" t="str">
        <f t="shared" si="30"/>
        <v/>
      </c>
      <c r="N73" s="18" t="str">
        <f t="shared" si="31"/>
        <v/>
      </c>
      <c r="O73" s="18" t="str">
        <f t="shared" si="32"/>
        <v/>
      </c>
      <c r="P73" s="18" t="str">
        <f t="shared" si="33"/>
        <v/>
      </c>
      <c r="Q73" s="18" t="str">
        <f t="shared" si="34"/>
        <v/>
      </c>
      <c r="R73" s="18" t="str">
        <f t="shared" si="35"/>
        <v/>
      </c>
      <c r="S73" s="18" t="str">
        <f t="shared" si="36"/>
        <v/>
      </c>
    </row>
    <row r="74" spans="1:19" ht="22.5" customHeight="1" x14ac:dyDescent="0.25">
      <c r="A74" s="216"/>
      <c r="B74" s="217"/>
      <c r="C74" s="218"/>
      <c r="D74" s="218"/>
      <c r="E74" s="221"/>
      <c r="F74" s="218"/>
      <c r="G74" s="220"/>
      <c r="H74" s="220"/>
      <c r="I74" s="221"/>
      <c r="J74" s="222"/>
      <c r="K74" s="215"/>
      <c r="M74" s="18" t="str">
        <f t="shared" si="30"/>
        <v/>
      </c>
      <c r="N74" s="18" t="str">
        <f t="shared" si="31"/>
        <v/>
      </c>
      <c r="O74" s="18" t="str">
        <f t="shared" si="32"/>
        <v/>
      </c>
      <c r="P74" s="18" t="str">
        <f t="shared" si="33"/>
        <v/>
      </c>
      <c r="Q74" s="18" t="str">
        <f t="shared" si="34"/>
        <v/>
      </c>
      <c r="R74" s="18" t="str">
        <f t="shared" si="35"/>
        <v/>
      </c>
      <c r="S74" s="18" t="str">
        <f t="shared" si="36"/>
        <v/>
      </c>
    </row>
    <row r="75" spans="1:19" ht="22.5" customHeight="1" x14ac:dyDescent="0.25">
      <c r="A75" s="201"/>
      <c r="B75" s="202"/>
      <c r="C75" s="203"/>
      <c r="D75" s="203"/>
      <c r="E75" s="204"/>
      <c r="F75" s="203"/>
      <c r="G75" s="205"/>
      <c r="H75" s="205"/>
      <c r="I75" s="206"/>
      <c r="J75" s="207"/>
      <c r="K75" s="192"/>
      <c r="M75" s="18" t="str">
        <f t="shared" si="30"/>
        <v/>
      </c>
      <c r="N75" s="18" t="str">
        <f t="shared" si="31"/>
        <v/>
      </c>
      <c r="O75" s="18" t="str">
        <f t="shared" si="32"/>
        <v/>
      </c>
      <c r="P75" s="18" t="str">
        <f t="shared" si="33"/>
        <v/>
      </c>
      <c r="Q75" s="18" t="str">
        <f t="shared" si="34"/>
        <v/>
      </c>
      <c r="R75" s="18" t="str">
        <f t="shared" si="35"/>
        <v/>
      </c>
      <c r="S75" s="18" t="str">
        <f t="shared" si="36"/>
        <v/>
      </c>
    </row>
    <row r="76" spans="1:19" ht="22.5" customHeight="1" x14ac:dyDescent="0.25">
      <c r="A76" s="216"/>
      <c r="B76" s="217"/>
      <c r="C76" s="218"/>
      <c r="D76" s="218"/>
      <c r="E76" s="221"/>
      <c r="F76" s="218"/>
      <c r="G76" s="220"/>
      <c r="H76" s="220"/>
      <c r="I76" s="221"/>
      <c r="J76" s="222"/>
      <c r="K76" s="215"/>
      <c r="M76" s="18" t="str">
        <f t="shared" si="30"/>
        <v/>
      </c>
      <c r="N76" s="18" t="str">
        <f t="shared" si="31"/>
        <v/>
      </c>
      <c r="O76" s="18" t="str">
        <f t="shared" si="32"/>
        <v/>
      </c>
      <c r="P76" s="18" t="str">
        <f t="shared" si="33"/>
        <v/>
      </c>
      <c r="Q76" s="18" t="str">
        <f t="shared" si="34"/>
        <v/>
      </c>
      <c r="R76" s="18" t="str">
        <f t="shared" si="35"/>
        <v/>
      </c>
      <c r="S76" s="18" t="str">
        <f t="shared" si="36"/>
        <v/>
      </c>
    </row>
    <row r="77" spans="1:19" ht="22.5" customHeight="1" x14ac:dyDescent="0.25">
      <c r="A77" s="201"/>
      <c r="B77" s="202"/>
      <c r="C77" s="203"/>
      <c r="D77" s="203"/>
      <c r="E77" s="204"/>
      <c r="F77" s="203"/>
      <c r="G77" s="205"/>
      <c r="H77" s="205"/>
      <c r="I77" s="206"/>
      <c r="J77" s="207"/>
      <c r="K77" s="192"/>
      <c r="M77" s="18" t="str">
        <f t="shared" si="30"/>
        <v/>
      </c>
      <c r="N77" s="18" t="str">
        <f t="shared" si="31"/>
        <v/>
      </c>
      <c r="O77" s="18" t="str">
        <f t="shared" si="32"/>
        <v/>
      </c>
      <c r="P77" s="18" t="str">
        <f t="shared" si="33"/>
        <v/>
      </c>
      <c r="Q77" s="18" t="str">
        <f t="shared" si="34"/>
        <v/>
      </c>
      <c r="R77" s="18" t="str">
        <f t="shared" si="35"/>
        <v/>
      </c>
      <c r="S77" s="18" t="str">
        <f t="shared" si="36"/>
        <v/>
      </c>
    </row>
    <row r="78" spans="1:19" ht="22.5" customHeight="1" x14ac:dyDescent="0.25">
      <c r="A78" s="216"/>
      <c r="B78" s="217"/>
      <c r="C78" s="218"/>
      <c r="D78" s="218"/>
      <c r="E78" s="221"/>
      <c r="F78" s="218"/>
      <c r="G78" s="220"/>
      <c r="H78" s="220"/>
      <c r="I78" s="221"/>
      <c r="J78" s="222"/>
      <c r="K78" s="215"/>
      <c r="M78" s="18" t="str">
        <f t="shared" si="30"/>
        <v/>
      </c>
      <c r="N78" s="18" t="str">
        <f t="shared" si="31"/>
        <v/>
      </c>
      <c r="O78" s="18" t="str">
        <f t="shared" si="32"/>
        <v/>
      </c>
      <c r="P78" s="18" t="str">
        <f t="shared" si="33"/>
        <v/>
      </c>
      <c r="Q78" s="18" t="str">
        <f t="shared" si="34"/>
        <v/>
      </c>
      <c r="R78" s="18" t="str">
        <f t="shared" si="35"/>
        <v/>
      </c>
      <c r="S78" s="18" t="str">
        <f t="shared" si="36"/>
        <v/>
      </c>
    </row>
    <row r="79" spans="1:19" ht="22.5" customHeight="1" x14ac:dyDescent="0.25">
      <c r="A79" s="201"/>
      <c r="B79" s="202"/>
      <c r="C79" s="203"/>
      <c r="D79" s="203"/>
      <c r="E79" s="204"/>
      <c r="F79" s="203"/>
      <c r="G79" s="205"/>
      <c r="H79" s="205"/>
      <c r="I79" s="206"/>
      <c r="J79" s="207"/>
      <c r="K79" s="192"/>
      <c r="M79" s="18" t="str">
        <f t="shared" si="30"/>
        <v/>
      </c>
      <c r="N79" s="18" t="str">
        <f t="shared" si="31"/>
        <v/>
      </c>
      <c r="O79" s="18" t="str">
        <f t="shared" si="32"/>
        <v/>
      </c>
      <c r="P79" s="18" t="str">
        <f t="shared" si="33"/>
        <v/>
      </c>
      <c r="Q79" s="18" t="str">
        <f t="shared" si="34"/>
        <v/>
      </c>
      <c r="R79" s="18" t="str">
        <f t="shared" si="35"/>
        <v/>
      </c>
      <c r="S79" s="18" t="str">
        <f t="shared" si="36"/>
        <v/>
      </c>
    </row>
    <row r="80" spans="1:19" ht="22.5" customHeight="1" x14ac:dyDescent="0.25">
      <c r="A80" s="216"/>
      <c r="B80" s="217"/>
      <c r="C80" s="218"/>
      <c r="D80" s="218"/>
      <c r="E80" s="221"/>
      <c r="F80" s="218"/>
      <c r="G80" s="220"/>
      <c r="H80" s="220"/>
      <c r="I80" s="221"/>
      <c r="J80" s="222"/>
      <c r="K80" s="215"/>
      <c r="M80" s="18" t="str">
        <f t="shared" si="30"/>
        <v/>
      </c>
      <c r="N80" s="18" t="str">
        <f t="shared" si="31"/>
        <v/>
      </c>
      <c r="O80" s="18" t="str">
        <f t="shared" si="32"/>
        <v/>
      </c>
      <c r="P80" s="18" t="str">
        <f t="shared" si="33"/>
        <v/>
      </c>
      <c r="Q80" s="18" t="str">
        <f t="shared" si="34"/>
        <v/>
      </c>
      <c r="R80" s="18" t="str">
        <f t="shared" si="35"/>
        <v/>
      </c>
      <c r="S80" s="18" t="str">
        <f t="shared" si="36"/>
        <v/>
      </c>
    </row>
    <row r="81" spans="1:19" ht="22.5" customHeight="1" x14ac:dyDescent="0.25">
      <c r="A81" s="201"/>
      <c r="B81" s="202"/>
      <c r="C81" s="203"/>
      <c r="D81" s="203"/>
      <c r="E81" s="204"/>
      <c r="F81" s="203"/>
      <c r="G81" s="205"/>
      <c r="H81" s="205"/>
      <c r="I81" s="206"/>
      <c r="J81" s="207"/>
      <c r="K81" s="192"/>
      <c r="M81" s="18" t="str">
        <f t="shared" si="30"/>
        <v/>
      </c>
      <c r="N81" s="18" t="str">
        <f t="shared" si="31"/>
        <v/>
      </c>
      <c r="O81" s="18" t="str">
        <f t="shared" si="32"/>
        <v/>
      </c>
      <c r="P81" s="18" t="str">
        <f t="shared" si="33"/>
        <v/>
      </c>
      <c r="Q81" s="18" t="str">
        <f t="shared" si="34"/>
        <v/>
      </c>
      <c r="R81" s="18" t="str">
        <f t="shared" si="35"/>
        <v/>
      </c>
      <c r="S81" s="18" t="str">
        <f t="shared" si="36"/>
        <v/>
      </c>
    </row>
    <row r="82" spans="1:19" ht="22.5" customHeight="1" x14ac:dyDescent="0.25">
      <c r="A82" s="216"/>
      <c r="B82" s="217"/>
      <c r="C82" s="218"/>
      <c r="D82" s="218"/>
      <c r="E82" s="221"/>
      <c r="F82" s="218"/>
      <c r="G82" s="220"/>
      <c r="H82" s="220"/>
      <c r="I82" s="221"/>
      <c r="J82" s="222"/>
      <c r="K82" s="215"/>
      <c r="M82" s="18" t="str">
        <f t="shared" si="30"/>
        <v/>
      </c>
      <c r="N82" s="18" t="str">
        <f t="shared" si="31"/>
        <v/>
      </c>
      <c r="O82" s="18" t="str">
        <f t="shared" si="32"/>
        <v/>
      </c>
      <c r="P82" s="18" t="str">
        <f t="shared" si="33"/>
        <v/>
      </c>
      <c r="Q82" s="18" t="str">
        <f t="shared" si="34"/>
        <v/>
      </c>
      <c r="R82" s="18" t="str">
        <f t="shared" si="35"/>
        <v/>
      </c>
      <c r="S82" s="18" t="str">
        <f t="shared" si="36"/>
        <v/>
      </c>
    </row>
    <row r="83" spans="1:19" ht="22.5" customHeight="1" x14ac:dyDescent="0.25">
      <c r="A83" s="201"/>
      <c r="B83" s="202"/>
      <c r="C83" s="203"/>
      <c r="D83" s="203"/>
      <c r="E83" s="204"/>
      <c r="F83" s="203"/>
      <c r="G83" s="205"/>
      <c r="H83" s="205"/>
      <c r="I83" s="206"/>
      <c r="J83" s="207"/>
      <c r="K83" s="192"/>
      <c r="M83" s="18" t="str">
        <f t="shared" si="30"/>
        <v/>
      </c>
      <c r="N83" s="18" t="str">
        <f t="shared" si="31"/>
        <v/>
      </c>
      <c r="O83" s="18" t="str">
        <f t="shared" si="32"/>
        <v/>
      </c>
      <c r="P83" s="18" t="str">
        <f t="shared" si="33"/>
        <v/>
      </c>
      <c r="Q83" s="18" t="str">
        <f t="shared" si="34"/>
        <v/>
      </c>
      <c r="R83" s="18" t="str">
        <f t="shared" si="35"/>
        <v/>
      </c>
      <c r="S83" s="18" t="str">
        <f t="shared" si="36"/>
        <v/>
      </c>
    </row>
    <row r="84" spans="1:19" ht="22.5" customHeight="1" x14ac:dyDescent="0.25">
      <c r="A84" s="216"/>
      <c r="B84" s="217"/>
      <c r="C84" s="218"/>
      <c r="D84" s="218"/>
      <c r="E84" s="221"/>
      <c r="F84" s="218"/>
      <c r="G84" s="220"/>
      <c r="H84" s="220"/>
      <c r="I84" s="221"/>
      <c r="J84" s="222"/>
      <c r="K84" s="215"/>
      <c r="M84" s="18" t="str">
        <f t="shared" si="30"/>
        <v/>
      </c>
      <c r="N84" s="18" t="str">
        <f t="shared" si="31"/>
        <v/>
      </c>
      <c r="O84" s="18" t="str">
        <f t="shared" si="32"/>
        <v/>
      </c>
      <c r="P84" s="18" t="str">
        <f t="shared" si="33"/>
        <v/>
      </c>
      <c r="Q84" s="18" t="str">
        <f t="shared" si="34"/>
        <v/>
      </c>
      <c r="R84" s="18" t="str">
        <f t="shared" si="35"/>
        <v/>
      </c>
      <c r="S84" s="18" t="str">
        <f t="shared" si="36"/>
        <v/>
      </c>
    </row>
    <row r="85" spans="1:19" ht="22.5" customHeight="1" x14ac:dyDescent="0.25">
      <c r="A85" s="201"/>
      <c r="B85" s="202"/>
      <c r="C85" s="203"/>
      <c r="D85" s="203"/>
      <c r="E85" s="204"/>
      <c r="F85" s="203"/>
      <c r="G85" s="205"/>
      <c r="H85" s="205"/>
      <c r="I85" s="206"/>
      <c r="J85" s="207"/>
      <c r="K85" s="192"/>
      <c r="M85" s="18" t="str">
        <f t="shared" si="30"/>
        <v/>
      </c>
      <c r="N85" s="18" t="str">
        <f t="shared" si="31"/>
        <v/>
      </c>
      <c r="O85" s="18" t="str">
        <f t="shared" si="32"/>
        <v/>
      </c>
      <c r="P85" s="18" t="str">
        <f t="shared" si="33"/>
        <v/>
      </c>
      <c r="Q85" s="18" t="str">
        <f t="shared" si="34"/>
        <v/>
      </c>
      <c r="R85" s="18" t="str">
        <f t="shared" si="35"/>
        <v/>
      </c>
      <c r="S85" s="18" t="str">
        <f t="shared" si="36"/>
        <v/>
      </c>
    </row>
    <row r="86" spans="1:19" ht="22.5" customHeight="1" x14ac:dyDescent="0.25">
      <c r="A86" s="216"/>
      <c r="B86" s="217"/>
      <c r="C86" s="218"/>
      <c r="D86" s="218"/>
      <c r="E86" s="221"/>
      <c r="F86" s="218"/>
      <c r="G86" s="220"/>
      <c r="H86" s="220"/>
      <c r="I86" s="221"/>
      <c r="J86" s="222"/>
      <c r="K86" s="215"/>
      <c r="M86" s="18" t="str">
        <f t="shared" si="30"/>
        <v/>
      </c>
      <c r="N86" s="18" t="str">
        <f t="shared" si="31"/>
        <v/>
      </c>
      <c r="O86" s="18" t="str">
        <f t="shared" si="32"/>
        <v/>
      </c>
      <c r="P86" s="18" t="str">
        <f t="shared" si="33"/>
        <v/>
      </c>
      <c r="Q86" s="18" t="str">
        <f t="shared" si="34"/>
        <v/>
      </c>
      <c r="R86" s="18" t="str">
        <f t="shared" si="35"/>
        <v/>
      </c>
      <c r="S86" s="18" t="str">
        <f t="shared" si="36"/>
        <v/>
      </c>
    </row>
    <row r="87" spans="1:19" ht="22.5" customHeight="1" x14ac:dyDescent="0.25">
      <c r="A87" s="201"/>
      <c r="B87" s="202"/>
      <c r="C87" s="203"/>
      <c r="D87" s="203"/>
      <c r="E87" s="204"/>
      <c r="F87" s="203"/>
      <c r="G87" s="205"/>
      <c r="H87" s="205"/>
      <c r="I87" s="206"/>
      <c r="J87" s="207"/>
      <c r="K87" s="192"/>
      <c r="M87" s="18" t="str">
        <f t="shared" si="30"/>
        <v/>
      </c>
      <c r="N87" s="18" t="str">
        <f t="shared" si="31"/>
        <v/>
      </c>
      <c r="O87" s="18" t="str">
        <f t="shared" si="32"/>
        <v/>
      </c>
      <c r="P87" s="18" t="str">
        <f t="shared" si="33"/>
        <v/>
      </c>
      <c r="Q87" s="18" t="str">
        <f t="shared" si="34"/>
        <v/>
      </c>
      <c r="R87" s="18" t="str">
        <f t="shared" si="35"/>
        <v/>
      </c>
      <c r="S87" s="18" t="str">
        <f t="shared" si="36"/>
        <v/>
      </c>
    </row>
    <row r="88" spans="1:19" ht="22.5" customHeight="1" x14ac:dyDescent="0.25">
      <c r="A88" s="216"/>
      <c r="B88" s="217"/>
      <c r="C88" s="218"/>
      <c r="D88" s="218"/>
      <c r="E88" s="221"/>
      <c r="F88" s="218"/>
      <c r="G88" s="220"/>
      <c r="H88" s="220"/>
      <c r="I88" s="221"/>
      <c r="J88" s="222"/>
      <c r="K88" s="215"/>
      <c r="M88" s="18" t="str">
        <f t="shared" si="30"/>
        <v/>
      </c>
      <c r="N88" s="18" t="str">
        <f t="shared" si="31"/>
        <v/>
      </c>
      <c r="O88" s="18" t="str">
        <f t="shared" si="32"/>
        <v/>
      </c>
      <c r="P88" s="18" t="str">
        <f t="shared" si="33"/>
        <v/>
      </c>
      <c r="Q88" s="18" t="str">
        <f t="shared" si="34"/>
        <v/>
      </c>
      <c r="R88" s="18" t="str">
        <f t="shared" si="35"/>
        <v/>
      </c>
      <c r="S88" s="18" t="str">
        <f t="shared" si="36"/>
        <v/>
      </c>
    </row>
    <row r="89" spans="1:19" ht="22.5" customHeight="1" x14ac:dyDescent="0.25">
      <c r="A89" s="201"/>
      <c r="B89" s="202"/>
      <c r="C89" s="203"/>
      <c r="D89" s="203"/>
      <c r="E89" s="204"/>
      <c r="F89" s="203"/>
      <c r="G89" s="205"/>
      <c r="H89" s="205"/>
      <c r="I89" s="206"/>
      <c r="J89" s="207"/>
      <c r="K89" s="192"/>
      <c r="M89" s="18" t="str">
        <f t="shared" si="30"/>
        <v/>
      </c>
      <c r="N89" s="18" t="str">
        <f t="shared" si="31"/>
        <v/>
      </c>
      <c r="O89" s="18" t="str">
        <f t="shared" si="32"/>
        <v/>
      </c>
      <c r="P89" s="18" t="str">
        <f t="shared" si="33"/>
        <v/>
      </c>
      <c r="Q89" s="18" t="str">
        <f t="shared" si="34"/>
        <v/>
      </c>
      <c r="R89" s="18" t="str">
        <f t="shared" si="35"/>
        <v/>
      </c>
      <c r="S89" s="18" t="str">
        <f t="shared" si="36"/>
        <v/>
      </c>
    </row>
    <row r="90" spans="1:19" ht="22.5" customHeight="1" x14ac:dyDescent="0.25">
      <c r="A90" s="216"/>
      <c r="B90" s="217"/>
      <c r="C90" s="218"/>
      <c r="D90" s="218"/>
      <c r="E90" s="221"/>
      <c r="F90" s="218"/>
      <c r="G90" s="220"/>
      <c r="H90" s="220"/>
      <c r="I90" s="221"/>
      <c r="J90" s="222"/>
      <c r="K90" s="215"/>
      <c r="M90" s="18" t="str">
        <f t="shared" si="30"/>
        <v/>
      </c>
      <c r="N90" s="18" t="str">
        <f t="shared" si="31"/>
        <v/>
      </c>
      <c r="O90" s="18" t="str">
        <f t="shared" si="32"/>
        <v/>
      </c>
      <c r="P90" s="18" t="str">
        <f t="shared" si="33"/>
        <v/>
      </c>
      <c r="Q90" s="18" t="str">
        <f t="shared" si="34"/>
        <v/>
      </c>
      <c r="R90" s="18" t="str">
        <f t="shared" si="35"/>
        <v/>
      </c>
      <c r="S90" s="18" t="str">
        <f t="shared" si="36"/>
        <v/>
      </c>
    </row>
    <row r="91" spans="1:19" ht="22.5" customHeight="1" x14ac:dyDescent="0.25">
      <c r="A91" s="201"/>
      <c r="B91" s="202"/>
      <c r="C91" s="203"/>
      <c r="D91" s="203"/>
      <c r="E91" s="204"/>
      <c r="F91" s="203"/>
      <c r="G91" s="205"/>
      <c r="H91" s="205"/>
      <c r="I91" s="206"/>
      <c r="J91" s="207"/>
      <c r="K91" s="192"/>
      <c r="M91" s="18" t="str">
        <f t="shared" si="30"/>
        <v/>
      </c>
      <c r="N91" s="18" t="str">
        <f t="shared" si="31"/>
        <v/>
      </c>
      <c r="O91" s="18" t="str">
        <f t="shared" si="32"/>
        <v/>
      </c>
      <c r="P91" s="18" t="str">
        <f t="shared" si="33"/>
        <v/>
      </c>
      <c r="Q91" s="18" t="str">
        <f t="shared" si="34"/>
        <v/>
      </c>
      <c r="R91" s="18" t="str">
        <f t="shared" si="35"/>
        <v/>
      </c>
      <c r="S91" s="18" t="str">
        <f t="shared" si="36"/>
        <v/>
      </c>
    </row>
    <row r="92" spans="1:19" ht="22.5" customHeight="1" x14ac:dyDescent="0.25">
      <c r="A92" s="216"/>
      <c r="B92" s="217"/>
      <c r="C92" s="218"/>
      <c r="D92" s="218"/>
      <c r="E92" s="221"/>
      <c r="F92" s="218"/>
      <c r="G92" s="220"/>
      <c r="H92" s="220"/>
      <c r="I92" s="221"/>
      <c r="J92" s="222"/>
      <c r="K92" s="215"/>
      <c r="M92" s="18" t="str">
        <f t="shared" si="30"/>
        <v/>
      </c>
      <c r="N92" s="18" t="str">
        <f t="shared" si="31"/>
        <v/>
      </c>
      <c r="O92" s="18" t="str">
        <f t="shared" si="32"/>
        <v/>
      </c>
      <c r="P92" s="18" t="str">
        <f t="shared" si="33"/>
        <v/>
      </c>
      <c r="Q92" s="18" t="str">
        <f t="shared" si="34"/>
        <v/>
      </c>
      <c r="R92" s="18" t="str">
        <f t="shared" si="35"/>
        <v/>
      </c>
      <c r="S92" s="18" t="str">
        <f t="shared" si="36"/>
        <v/>
      </c>
    </row>
    <row r="93" spans="1:19" ht="22.5" customHeight="1" x14ac:dyDescent="0.25">
      <c r="A93" s="201"/>
      <c r="B93" s="202"/>
      <c r="C93" s="203"/>
      <c r="D93" s="203"/>
      <c r="E93" s="204"/>
      <c r="F93" s="203"/>
      <c r="G93" s="205"/>
      <c r="H93" s="205"/>
      <c r="I93" s="206"/>
      <c r="J93" s="207"/>
      <c r="K93" s="192"/>
      <c r="M93" s="18" t="str">
        <f t="shared" si="30"/>
        <v/>
      </c>
      <c r="N93" s="18" t="str">
        <f t="shared" si="31"/>
        <v/>
      </c>
      <c r="O93" s="18" t="str">
        <f t="shared" si="32"/>
        <v/>
      </c>
      <c r="P93" s="18" t="str">
        <f t="shared" si="33"/>
        <v/>
      </c>
      <c r="Q93" s="18" t="str">
        <f t="shared" si="34"/>
        <v/>
      </c>
      <c r="R93" s="18" t="str">
        <f t="shared" si="35"/>
        <v/>
      </c>
      <c r="S93" s="18" t="str">
        <f t="shared" si="36"/>
        <v/>
      </c>
    </row>
    <row r="94" spans="1:19" ht="22.5" customHeight="1" x14ac:dyDescent="0.25">
      <c r="A94" s="216"/>
      <c r="B94" s="217"/>
      <c r="C94" s="218"/>
      <c r="D94" s="218"/>
      <c r="E94" s="221"/>
      <c r="F94" s="218"/>
      <c r="G94" s="220"/>
      <c r="H94" s="220"/>
      <c r="I94" s="221"/>
      <c r="J94" s="222"/>
      <c r="K94" s="215"/>
      <c r="M94" s="18" t="str">
        <f t="shared" si="30"/>
        <v/>
      </c>
      <c r="N94" s="18" t="str">
        <f t="shared" si="31"/>
        <v/>
      </c>
      <c r="O94" s="18" t="str">
        <f t="shared" si="32"/>
        <v/>
      </c>
      <c r="P94" s="18" t="str">
        <f t="shared" si="33"/>
        <v/>
      </c>
      <c r="Q94" s="18" t="str">
        <f t="shared" si="34"/>
        <v/>
      </c>
      <c r="R94" s="18" t="str">
        <f t="shared" si="35"/>
        <v/>
      </c>
      <c r="S94" s="18" t="str">
        <f t="shared" si="36"/>
        <v/>
      </c>
    </row>
    <row r="95" spans="1:19" ht="22.5" customHeight="1" x14ac:dyDescent="0.25">
      <c r="A95" s="201"/>
      <c r="B95" s="202"/>
      <c r="C95" s="203"/>
      <c r="D95" s="203"/>
      <c r="E95" s="204"/>
      <c r="F95" s="203"/>
      <c r="G95" s="205"/>
      <c r="H95" s="205"/>
      <c r="I95" s="206"/>
      <c r="J95" s="207"/>
      <c r="K95" s="192"/>
      <c r="M95" s="18" t="str">
        <f t="shared" si="30"/>
        <v/>
      </c>
      <c r="N95" s="18" t="str">
        <f t="shared" si="31"/>
        <v/>
      </c>
      <c r="O95" s="18" t="str">
        <f t="shared" si="32"/>
        <v/>
      </c>
      <c r="P95" s="18" t="str">
        <f t="shared" si="33"/>
        <v/>
      </c>
      <c r="Q95" s="18" t="str">
        <f t="shared" si="34"/>
        <v/>
      </c>
      <c r="R95" s="18" t="str">
        <f t="shared" si="35"/>
        <v/>
      </c>
      <c r="S95" s="18" t="str">
        <f t="shared" si="36"/>
        <v/>
      </c>
    </row>
    <row r="96" spans="1:19" ht="22.5" customHeight="1" x14ac:dyDescent="0.25">
      <c r="A96" s="216"/>
      <c r="B96" s="217"/>
      <c r="C96" s="218"/>
      <c r="D96" s="218"/>
      <c r="E96" s="221"/>
      <c r="F96" s="218"/>
      <c r="G96" s="220"/>
      <c r="H96" s="220"/>
      <c r="I96" s="221"/>
      <c r="J96" s="222"/>
      <c r="K96" s="215"/>
      <c r="M96" s="18" t="str">
        <f t="shared" si="30"/>
        <v/>
      </c>
      <c r="N96" s="18" t="str">
        <f t="shared" si="31"/>
        <v/>
      </c>
      <c r="O96" s="18" t="str">
        <f t="shared" si="32"/>
        <v/>
      </c>
      <c r="P96" s="18" t="str">
        <f t="shared" si="33"/>
        <v/>
      </c>
      <c r="Q96" s="18" t="str">
        <f t="shared" si="34"/>
        <v/>
      </c>
      <c r="R96" s="18" t="str">
        <f t="shared" si="35"/>
        <v/>
      </c>
      <c r="S96" s="18" t="str">
        <f t="shared" si="36"/>
        <v/>
      </c>
    </row>
    <row r="97" spans="1:19" ht="22.5" customHeight="1" x14ac:dyDescent="0.25">
      <c r="A97" s="201"/>
      <c r="B97" s="202"/>
      <c r="C97" s="203"/>
      <c r="D97" s="203"/>
      <c r="E97" s="204"/>
      <c r="F97" s="203"/>
      <c r="G97" s="205"/>
      <c r="H97" s="205"/>
      <c r="I97" s="206"/>
      <c r="J97" s="207"/>
      <c r="K97" s="192"/>
      <c r="M97" s="18" t="str">
        <f t="shared" si="30"/>
        <v/>
      </c>
      <c r="N97" s="18" t="str">
        <f t="shared" si="31"/>
        <v/>
      </c>
      <c r="O97" s="18" t="str">
        <f t="shared" si="32"/>
        <v/>
      </c>
      <c r="P97" s="18" t="str">
        <f t="shared" si="33"/>
        <v/>
      </c>
      <c r="Q97" s="18" t="str">
        <f t="shared" si="34"/>
        <v/>
      </c>
      <c r="R97" s="18" t="str">
        <f t="shared" si="35"/>
        <v/>
      </c>
      <c r="S97" s="18" t="str">
        <f t="shared" si="36"/>
        <v/>
      </c>
    </row>
    <row r="98" spans="1:19" ht="22.5" customHeight="1" x14ac:dyDescent="0.25">
      <c r="A98" s="216"/>
      <c r="B98" s="217"/>
      <c r="C98" s="218"/>
      <c r="D98" s="218"/>
      <c r="E98" s="221"/>
      <c r="F98" s="218"/>
      <c r="G98" s="220"/>
      <c r="H98" s="220"/>
      <c r="I98" s="221"/>
      <c r="J98" s="222"/>
      <c r="K98" s="215"/>
      <c r="M98" s="18" t="str">
        <f t="shared" si="30"/>
        <v/>
      </c>
      <c r="N98" s="18" t="str">
        <f t="shared" si="31"/>
        <v/>
      </c>
      <c r="O98" s="18" t="str">
        <f t="shared" si="32"/>
        <v/>
      </c>
      <c r="P98" s="18" t="str">
        <f t="shared" si="33"/>
        <v/>
      </c>
      <c r="Q98" s="18" t="str">
        <f t="shared" si="34"/>
        <v/>
      </c>
      <c r="R98" s="18" t="str">
        <f t="shared" si="35"/>
        <v/>
      </c>
      <c r="S98" s="18" t="str">
        <f t="shared" si="36"/>
        <v/>
      </c>
    </row>
    <row r="99" spans="1:19" ht="22.5" customHeight="1" x14ac:dyDescent="0.25">
      <c r="A99" s="201"/>
      <c r="B99" s="202"/>
      <c r="C99" s="203"/>
      <c r="D99" s="203"/>
      <c r="E99" s="204"/>
      <c r="F99" s="203"/>
      <c r="G99" s="205"/>
      <c r="H99" s="205"/>
      <c r="I99" s="206"/>
      <c r="J99" s="207"/>
      <c r="K99" s="192"/>
      <c r="M99" s="18" t="str">
        <f t="shared" si="30"/>
        <v/>
      </c>
      <c r="N99" s="18" t="str">
        <f t="shared" si="31"/>
        <v/>
      </c>
      <c r="O99" s="18" t="str">
        <f t="shared" si="32"/>
        <v/>
      </c>
      <c r="P99" s="18" t="str">
        <f t="shared" si="33"/>
        <v/>
      </c>
      <c r="Q99" s="18" t="str">
        <f t="shared" si="34"/>
        <v/>
      </c>
      <c r="R99" s="18" t="str">
        <f t="shared" si="35"/>
        <v/>
      </c>
      <c r="S99" s="18" t="str">
        <f t="shared" si="36"/>
        <v/>
      </c>
    </row>
    <row r="100" spans="1:19" ht="22.5" customHeight="1" x14ac:dyDescent="0.25">
      <c r="A100" s="216"/>
      <c r="B100" s="217"/>
      <c r="C100" s="218"/>
      <c r="D100" s="218"/>
      <c r="E100" s="221"/>
      <c r="F100" s="218"/>
      <c r="G100" s="220"/>
      <c r="H100" s="220"/>
      <c r="I100" s="221"/>
      <c r="J100" s="222"/>
      <c r="K100" s="215"/>
      <c r="M100" s="18" t="str">
        <f t="shared" si="30"/>
        <v/>
      </c>
      <c r="N100" s="18" t="str">
        <f t="shared" si="31"/>
        <v/>
      </c>
      <c r="O100" s="18" t="str">
        <f t="shared" si="32"/>
        <v/>
      </c>
      <c r="P100" s="18" t="str">
        <f t="shared" si="33"/>
        <v/>
      </c>
      <c r="Q100" s="18" t="str">
        <f t="shared" si="34"/>
        <v/>
      </c>
      <c r="R100" s="18" t="str">
        <f t="shared" si="35"/>
        <v/>
      </c>
      <c r="S100" s="18" t="str">
        <f t="shared" si="36"/>
        <v/>
      </c>
    </row>
    <row r="101" spans="1:19" ht="22.5" customHeight="1" x14ac:dyDescent="0.25">
      <c r="A101" s="201"/>
      <c r="B101" s="202"/>
      <c r="C101" s="203"/>
      <c r="D101" s="203"/>
      <c r="E101" s="204"/>
      <c r="F101" s="203"/>
      <c r="G101" s="205"/>
      <c r="H101" s="205"/>
      <c r="I101" s="206"/>
      <c r="J101" s="207"/>
      <c r="K101" s="192"/>
      <c r="M101" s="18" t="str">
        <f t="shared" si="30"/>
        <v/>
      </c>
      <c r="N101" s="18" t="str">
        <f t="shared" si="31"/>
        <v/>
      </c>
      <c r="O101" s="18" t="str">
        <f t="shared" si="32"/>
        <v/>
      </c>
      <c r="P101" s="18" t="str">
        <f t="shared" si="33"/>
        <v/>
      </c>
      <c r="Q101" s="18" t="str">
        <f t="shared" si="34"/>
        <v/>
      </c>
      <c r="R101" s="18" t="str">
        <f t="shared" si="35"/>
        <v/>
      </c>
      <c r="S101" s="18" t="str">
        <f t="shared" si="36"/>
        <v/>
      </c>
    </row>
    <row r="102" spans="1:19" ht="22.5" customHeight="1" x14ac:dyDescent="0.25">
      <c r="A102" s="216"/>
      <c r="B102" s="217"/>
      <c r="C102" s="218"/>
      <c r="D102" s="218"/>
      <c r="E102" s="221"/>
      <c r="F102" s="218"/>
      <c r="G102" s="220"/>
      <c r="H102" s="220"/>
      <c r="I102" s="221"/>
      <c r="J102" s="222"/>
      <c r="K102" s="215"/>
      <c r="M102" s="18" t="str">
        <f t="shared" si="30"/>
        <v/>
      </c>
      <c r="N102" s="18" t="str">
        <f t="shared" si="31"/>
        <v/>
      </c>
      <c r="O102" s="18" t="str">
        <f t="shared" si="32"/>
        <v/>
      </c>
      <c r="P102" s="18" t="str">
        <f t="shared" si="33"/>
        <v/>
      </c>
      <c r="Q102" s="18" t="str">
        <f t="shared" si="34"/>
        <v/>
      </c>
      <c r="R102" s="18" t="str">
        <f t="shared" si="35"/>
        <v/>
      </c>
      <c r="S102" s="18" t="str">
        <f t="shared" si="36"/>
        <v/>
      </c>
    </row>
    <row r="103" spans="1:19" ht="22.5" customHeight="1" x14ac:dyDescent="0.25">
      <c r="A103" s="201"/>
      <c r="B103" s="202"/>
      <c r="C103" s="203"/>
      <c r="D103" s="203"/>
      <c r="E103" s="204"/>
      <c r="F103" s="203"/>
      <c r="G103" s="205"/>
      <c r="H103" s="205"/>
      <c r="I103" s="206"/>
      <c r="J103" s="207"/>
      <c r="K103" s="192"/>
      <c r="M103" s="18" t="str">
        <f t="shared" si="30"/>
        <v/>
      </c>
      <c r="N103" s="18" t="str">
        <f t="shared" si="31"/>
        <v/>
      </c>
      <c r="O103" s="18" t="str">
        <f t="shared" si="32"/>
        <v/>
      </c>
      <c r="P103" s="18" t="str">
        <f t="shared" si="33"/>
        <v/>
      </c>
      <c r="Q103" s="18" t="str">
        <f t="shared" si="34"/>
        <v/>
      </c>
      <c r="R103" s="18" t="str">
        <f t="shared" si="35"/>
        <v/>
      </c>
      <c r="S103" s="18" t="str">
        <f t="shared" si="36"/>
        <v/>
      </c>
    </row>
    <row r="104" spans="1:19" ht="22.5" customHeight="1" x14ac:dyDescent="0.25">
      <c r="A104" s="216"/>
      <c r="B104" s="217"/>
      <c r="C104" s="218"/>
      <c r="D104" s="218"/>
      <c r="E104" s="221"/>
      <c r="F104" s="218"/>
      <c r="G104" s="220"/>
      <c r="H104" s="220"/>
      <c r="I104" s="221"/>
      <c r="J104" s="222"/>
      <c r="K104" s="215"/>
      <c r="M104" s="18" t="str">
        <f t="shared" si="30"/>
        <v/>
      </c>
      <c r="N104" s="18" t="str">
        <f t="shared" si="31"/>
        <v/>
      </c>
      <c r="O104" s="18" t="str">
        <f t="shared" si="32"/>
        <v/>
      </c>
      <c r="P104" s="18" t="str">
        <f t="shared" si="33"/>
        <v/>
      </c>
      <c r="Q104" s="18" t="str">
        <f t="shared" si="34"/>
        <v/>
      </c>
      <c r="R104" s="18" t="str">
        <f t="shared" si="35"/>
        <v/>
      </c>
      <c r="S104" s="18" t="str">
        <f t="shared" si="36"/>
        <v/>
      </c>
    </row>
    <row r="105" spans="1:19" ht="22.5" customHeight="1" x14ac:dyDescent="0.25">
      <c r="A105" s="201"/>
      <c r="B105" s="202"/>
      <c r="C105" s="203"/>
      <c r="D105" s="203"/>
      <c r="E105" s="204"/>
      <c r="F105" s="203"/>
      <c r="G105" s="205"/>
      <c r="H105" s="205"/>
      <c r="I105" s="206"/>
      <c r="J105" s="207"/>
      <c r="K105" s="192"/>
      <c r="M105" s="18" t="str">
        <f t="shared" si="30"/>
        <v/>
      </c>
      <c r="N105" s="18" t="str">
        <f t="shared" si="31"/>
        <v/>
      </c>
      <c r="O105" s="18" t="str">
        <f t="shared" si="32"/>
        <v/>
      </c>
      <c r="P105" s="18" t="str">
        <f t="shared" si="33"/>
        <v/>
      </c>
      <c r="Q105" s="18" t="str">
        <f t="shared" si="34"/>
        <v/>
      </c>
      <c r="R105" s="18" t="str">
        <f t="shared" si="35"/>
        <v/>
      </c>
      <c r="S105" s="18" t="str">
        <f t="shared" si="36"/>
        <v/>
      </c>
    </row>
    <row r="106" spans="1:19" ht="22.5" customHeight="1" x14ac:dyDescent="0.25">
      <c r="A106" s="216"/>
      <c r="B106" s="217"/>
      <c r="C106" s="218"/>
      <c r="D106" s="218"/>
      <c r="E106" s="221"/>
      <c r="F106" s="218"/>
      <c r="G106" s="220"/>
      <c r="H106" s="220"/>
      <c r="I106" s="221"/>
      <c r="J106" s="222"/>
      <c r="K106" s="215"/>
      <c r="M106" s="18" t="str">
        <f t="shared" si="30"/>
        <v/>
      </c>
      <c r="N106" s="18" t="str">
        <f t="shared" si="31"/>
        <v/>
      </c>
      <c r="O106" s="18" t="str">
        <f t="shared" si="32"/>
        <v/>
      </c>
      <c r="P106" s="18" t="str">
        <f t="shared" si="33"/>
        <v/>
      </c>
      <c r="Q106" s="18" t="str">
        <f t="shared" si="34"/>
        <v/>
      </c>
      <c r="R106" s="18" t="str">
        <f t="shared" si="35"/>
        <v/>
      </c>
      <c r="S106" s="18" t="str">
        <f t="shared" si="36"/>
        <v/>
      </c>
    </row>
    <row r="107" spans="1:19" ht="22.5" customHeight="1" x14ac:dyDescent="0.25">
      <c r="A107" s="201"/>
      <c r="B107" s="202"/>
      <c r="C107" s="203"/>
      <c r="D107" s="203"/>
      <c r="E107" s="204"/>
      <c r="F107" s="203"/>
      <c r="G107" s="205"/>
      <c r="H107" s="205"/>
      <c r="I107" s="206"/>
      <c r="J107" s="207"/>
      <c r="K107" s="192"/>
      <c r="M107" s="18" t="str">
        <f t="shared" si="30"/>
        <v/>
      </c>
      <c r="N107" s="18" t="str">
        <f t="shared" si="31"/>
        <v/>
      </c>
      <c r="O107" s="18" t="str">
        <f t="shared" si="32"/>
        <v/>
      </c>
      <c r="P107" s="18" t="str">
        <f t="shared" si="33"/>
        <v/>
      </c>
      <c r="Q107" s="18" t="str">
        <f t="shared" si="34"/>
        <v/>
      </c>
      <c r="R107" s="18" t="str">
        <f t="shared" si="35"/>
        <v/>
      </c>
      <c r="S107" s="18" t="str">
        <f t="shared" si="36"/>
        <v/>
      </c>
    </row>
    <row r="108" spans="1:19" ht="22.5" customHeight="1" x14ac:dyDescent="0.25">
      <c r="A108" s="216"/>
      <c r="B108" s="217"/>
      <c r="C108" s="218"/>
      <c r="D108" s="218"/>
      <c r="E108" s="221"/>
      <c r="F108" s="218"/>
      <c r="G108" s="220"/>
      <c r="H108" s="220"/>
      <c r="I108" s="221"/>
      <c r="J108" s="222"/>
      <c r="K108" s="215"/>
      <c r="M108" s="18" t="str">
        <f t="shared" si="30"/>
        <v/>
      </c>
      <c r="N108" s="18" t="str">
        <f t="shared" si="31"/>
        <v/>
      </c>
      <c r="O108" s="18" t="str">
        <f t="shared" si="32"/>
        <v/>
      </c>
      <c r="P108" s="18" t="str">
        <f t="shared" si="33"/>
        <v/>
      </c>
      <c r="Q108" s="18" t="str">
        <f t="shared" si="34"/>
        <v/>
      </c>
      <c r="R108" s="18" t="str">
        <f t="shared" si="35"/>
        <v/>
      </c>
      <c r="S108" s="18" t="str">
        <f t="shared" si="36"/>
        <v/>
      </c>
    </row>
    <row r="109" spans="1:19" ht="22.5" customHeight="1" x14ac:dyDescent="0.25">
      <c r="A109" s="201"/>
      <c r="B109" s="202"/>
      <c r="C109" s="203"/>
      <c r="D109" s="203"/>
      <c r="E109" s="204"/>
      <c r="F109" s="203"/>
      <c r="G109" s="205"/>
      <c r="H109" s="205"/>
      <c r="I109" s="206"/>
      <c r="J109" s="207"/>
      <c r="K109" s="192"/>
      <c r="M109" s="18" t="str">
        <f t="shared" si="30"/>
        <v/>
      </c>
      <c r="N109" s="18" t="str">
        <f t="shared" si="31"/>
        <v/>
      </c>
      <c r="O109" s="18" t="str">
        <f t="shared" si="32"/>
        <v/>
      </c>
      <c r="P109" s="18" t="str">
        <f t="shared" si="33"/>
        <v/>
      </c>
      <c r="Q109" s="18" t="str">
        <f t="shared" si="34"/>
        <v/>
      </c>
      <c r="R109" s="18" t="str">
        <f t="shared" si="35"/>
        <v/>
      </c>
      <c r="S109" s="18" t="str">
        <f t="shared" si="36"/>
        <v/>
      </c>
    </row>
    <row r="110" spans="1:19" ht="22.5" customHeight="1" x14ac:dyDescent="0.25">
      <c r="A110" s="216"/>
      <c r="B110" s="217"/>
      <c r="C110" s="218"/>
      <c r="D110" s="218"/>
      <c r="E110" s="221"/>
      <c r="F110" s="218"/>
      <c r="G110" s="220"/>
      <c r="H110" s="220"/>
      <c r="I110" s="221"/>
      <c r="J110" s="222"/>
      <c r="K110" s="215"/>
      <c r="M110" s="18" t="str">
        <f t="shared" si="30"/>
        <v/>
      </c>
      <c r="N110" s="18" t="str">
        <f t="shared" si="31"/>
        <v/>
      </c>
      <c r="O110" s="18" t="str">
        <f t="shared" si="32"/>
        <v/>
      </c>
      <c r="P110" s="18" t="str">
        <f t="shared" si="33"/>
        <v/>
      </c>
      <c r="Q110" s="18" t="str">
        <f t="shared" si="34"/>
        <v/>
      </c>
      <c r="R110" s="18" t="str">
        <f t="shared" si="35"/>
        <v/>
      </c>
      <c r="S110" s="18" t="str">
        <f t="shared" si="36"/>
        <v/>
      </c>
    </row>
    <row r="111" spans="1:19" ht="22.5" customHeight="1" x14ac:dyDescent="0.25">
      <c r="A111" s="201"/>
      <c r="B111" s="202"/>
      <c r="C111" s="203"/>
      <c r="D111" s="203"/>
      <c r="E111" s="204"/>
      <c r="F111" s="203"/>
      <c r="G111" s="205"/>
      <c r="H111" s="205"/>
      <c r="I111" s="206"/>
      <c r="J111" s="207"/>
      <c r="K111" s="192"/>
      <c r="M111" s="18" t="str">
        <f t="shared" si="30"/>
        <v/>
      </c>
      <c r="N111" s="18" t="str">
        <f t="shared" si="31"/>
        <v/>
      </c>
      <c r="O111" s="18" t="str">
        <f t="shared" si="32"/>
        <v/>
      </c>
      <c r="P111" s="18" t="str">
        <f t="shared" si="33"/>
        <v/>
      </c>
      <c r="Q111" s="18" t="str">
        <f t="shared" si="34"/>
        <v/>
      </c>
      <c r="R111" s="18" t="str">
        <f t="shared" si="35"/>
        <v/>
      </c>
      <c r="S111" s="18" t="str">
        <f t="shared" si="36"/>
        <v/>
      </c>
    </row>
    <row r="112" spans="1:19" ht="22.5" customHeight="1" x14ac:dyDescent="0.25">
      <c r="A112" s="216"/>
      <c r="B112" s="217"/>
      <c r="C112" s="218"/>
      <c r="D112" s="218"/>
      <c r="E112" s="221"/>
      <c r="F112" s="218"/>
      <c r="G112" s="220"/>
      <c r="H112" s="220"/>
      <c r="I112" s="221"/>
      <c r="J112" s="222"/>
      <c r="K112" s="215"/>
      <c r="M112" s="18" t="str">
        <f t="shared" si="30"/>
        <v/>
      </c>
      <c r="N112" s="18" t="str">
        <f t="shared" si="31"/>
        <v/>
      </c>
      <c r="O112" s="18" t="str">
        <f t="shared" si="32"/>
        <v/>
      </c>
      <c r="P112" s="18" t="str">
        <f t="shared" si="33"/>
        <v/>
      </c>
      <c r="Q112" s="18" t="str">
        <f t="shared" si="34"/>
        <v/>
      </c>
      <c r="R112" s="18" t="str">
        <f t="shared" si="35"/>
        <v/>
      </c>
      <c r="S112" s="18" t="str">
        <f t="shared" si="36"/>
        <v/>
      </c>
    </row>
    <row r="113" spans="1:19" ht="22.5" customHeight="1" x14ac:dyDescent="0.25">
      <c r="A113" s="201"/>
      <c r="B113" s="202"/>
      <c r="C113" s="203"/>
      <c r="D113" s="203"/>
      <c r="E113" s="204"/>
      <c r="F113" s="203"/>
      <c r="G113" s="205"/>
      <c r="H113" s="205"/>
      <c r="I113" s="206"/>
      <c r="J113" s="207"/>
      <c r="K113" s="192"/>
      <c r="M113" s="18" t="str">
        <f t="shared" si="30"/>
        <v/>
      </c>
      <c r="N113" s="18" t="str">
        <f t="shared" si="31"/>
        <v/>
      </c>
      <c r="O113" s="18" t="str">
        <f t="shared" si="32"/>
        <v/>
      </c>
      <c r="P113" s="18" t="str">
        <f t="shared" si="33"/>
        <v/>
      </c>
      <c r="Q113" s="18" t="str">
        <f t="shared" si="34"/>
        <v/>
      </c>
      <c r="R113" s="18" t="str">
        <f t="shared" si="35"/>
        <v/>
      </c>
      <c r="S113" s="18" t="str">
        <f t="shared" si="36"/>
        <v/>
      </c>
    </row>
    <row r="114" spans="1:19" ht="22.5" customHeight="1" x14ac:dyDescent="0.25">
      <c r="A114" s="216"/>
      <c r="B114" s="217"/>
      <c r="C114" s="218"/>
      <c r="D114" s="218"/>
      <c r="E114" s="221"/>
      <c r="F114" s="218"/>
      <c r="G114" s="220"/>
      <c r="H114" s="220"/>
      <c r="I114" s="221"/>
      <c r="J114" s="222"/>
      <c r="K114" s="215"/>
      <c r="M114" s="18" t="str">
        <f t="shared" si="30"/>
        <v/>
      </c>
      <c r="N114" s="18" t="str">
        <f t="shared" si="31"/>
        <v/>
      </c>
      <c r="O114" s="18" t="str">
        <f t="shared" si="32"/>
        <v/>
      </c>
      <c r="P114" s="18" t="str">
        <f t="shared" si="33"/>
        <v/>
      </c>
      <c r="Q114" s="18" t="str">
        <f t="shared" si="34"/>
        <v/>
      </c>
      <c r="R114" s="18" t="str">
        <f t="shared" si="35"/>
        <v/>
      </c>
      <c r="S114" s="18" t="str">
        <f t="shared" si="36"/>
        <v/>
      </c>
    </row>
    <row r="115" spans="1:19" ht="22.5" customHeight="1" x14ac:dyDescent="0.25">
      <c r="A115" s="201"/>
      <c r="B115" s="202"/>
      <c r="C115" s="203"/>
      <c r="D115" s="203"/>
      <c r="E115" s="204"/>
      <c r="F115" s="203"/>
      <c r="G115" s="205"/>
      <c r="H115" s="205"/>
      <c r="I115" s="206"/>
      <c r="J115" s="207"/>
      <c r="K115" s="192"/>
      <c r="M115" s="18" t="str">
        <f t="shared" si="30"/>
        <v/>
      </c>
      <c r="N115" s="18" t="str">
        <f t="shared" si="31"/>
        <v/>
      </c>
      <c r="O115" s="18" t="str">
        <f t="shared" si="32"/>
        <v/>
      </c>
      <c r="P115" s="18" t="str">
        <f t="shared" si="33"/>
        <v/>
      </c>
      <c r="Q115" s="18" t="str">
        <f t="shared" si="34"/>
        <v/>
      </c>
      <c r="R115" s="18" t="str">
        <f t="shared" si="35"/>
        <v/>
      </c>
      <c r="S115" s="18" t="str">
        <f t="shared" si="36"/>
        <v/>
      </c>
    </row>
    <row r="116" spans="1:19" ht="22.5" customHeight="1" x14ac:dyDescent="0.25">
      <c r="A116" s="216"/>
      <c r="B116" s="217"/>
      <c r="C116" s="218"/>
      <c r="D116" s="218"/>
      <c r="E116" s="221"/>
      <c r="F116" s="218"/>
      <c r="G116" s="220"/>
      <c r="H116" s="220"/>
      <c r="I116" s="221"/>
      <c r="J116" s="222"/>
      <c r="K116" s="215"/>
      <c r="M116" s="18" t="str">
        <f t="shared" si="30"/>
        <v/>
      </c>
      <c r="N116" s="18" t="str">
        <f t="shared" si="31"/>
        <v/>
      </c>
      <c r="O116" s="18" t="str">
        <f t="shared" si="32"/>
        <v/>
      </c>
      <c r="P116" s="18" t="str">
        <f t="shared" si="33"/>
        <v/>
      </c>
      <c r="Q116" s="18" t="str">
        <f t="shared" si="34"/>
        <v/>
      </c>
      <c r="R116" s="18" t="str">
        <f t="shared" si="35"/>
        <v/>
      </c>
      <c r="S116" s="18" t="str">
        <f t="shared" si="36"/>
        <v/>
      </c>
    </row>
    <row r="117" spans="1:19" ht="22.5" customHeight="1" x14ac:dyDescent="0.25">
      <c r="A117" s="201"/>
      <c r="B117" s="202"/>
      <c r="C117" s="203"/>
      <c r="D117" s="203"/>
      <c r="E117" s="204"/>
      <c r="F117" s="203"/>
      <c r="G117" s="205"/>
      <c r="H117" s="205"/>
      <c r="I117" s="206"/>
      <c r="J117" s="207"/>
      <c r="K117" s="192"/>
      <c r="M117" s="18" t="str">
        <f t="shared" si="30"/>
        <v/>
      </c>
      <c r="N117" s="18" t="str">
        <f t="shared" si="31"/>
        <v/>
      </c>
      <c r="O117" s="18" t="str">
        <f t="shared" si="32"/>
        <v/>
      </c>
      <c r="P117" s="18" t="str">
        <f t="shared" si="33"/>
        <v/>
      </c>
      <c r="Q117" s="18" t="str">
        <f t="shared" si="34"/>
        <v/>
      </c>
      <c r="R117" s="18" t="str">
        <f t="shared" si="35"/>
        <v/>
      </c>
      <c r="S117" s="18" t="str">
        <f t="shared" si="36"/>
        <v/>
      </c>
    </row>
    <row r="118" spans="1:19" ht="22.5" customHeight="1" x14ac:dyDescent="0.25">
      <c r="A118" s="216"/>
      <c r="B118" s="217"/>
      <c r="C118" s="218"/>
      <c r="D118" s="218"/>
      <c r="E118" s="221"/>
      <c r="F118" s="218"/>
      <c r="G118" s="220"/>
      <c r="H118" s="220"/>
      <c r="I118" s="221"/>
      <c r="J118" s="222"/>
      <c r="K118" s="215"/>
      <c r="M118" s="18" t="str">
        <f t="shared" si="30"/>
        <v/>
      </c>
      <c r="N118" s="18" t="str">
        <f t="shared" si="31"/>
        <v/>
      </c>
      <c r="O118" s="18" t="str">
        <f t="shared" si="32"/>
        <v/>
      </c>
      <c r="P118" s="18" t="str">
        <f t="shared" si="33"/>
        <v/>
      </c>
      <c r="Q118" s="18" t="str">
        <f t="shared" si="34"/>
        <v/>
      </c>
      <c r="R118" s="18" t="str">
        <f t="shared" si="35"/>
        <v/>
      </c>
      <c r="S118" s="18" t="str">
        <f t="shared" si="36"/>
        <v/>
      </c>
    </row>
    <row r="119" spans="1:19" ht="22.5" customHeight="1" x14ac:dyDescent="0.25">
      <c r="A119" s="201"/>
      <c r="B119" s="202"/>
      <c r="C119" s="203"/>
      <c r="D119" s="203"/>
      <c r="E119" s="204"/>
      <c r="F119" s="203"/>
      <c r="G119" s="205"/>
      <c r="H119" s="205"/>
      <c r="I119" s="206"/>
      <c r="J119" s="207"/>
      <c r="K119" s="192"/>
      <c r="M119" s="18" t="str">
        <f t="shared" si="30"/>
        <v/>
      </c>
      <c r="N119" s="18" t="str">
        <f t="shared" si="31"/>
        <v/>
      </c>
      <c r="O119" s="18" t="str">
        <f t="shared" si="32"/>
        <v/>
      </c>
      <c r="P119" s="18" t="str">
        <f t="shared" si="33"/>
        <v/>
      </c>
      <c r="Q119" s="18" t="str">
        <f t="shared" si="34"/>
        <v/>
      </c>
      <c r="R119" s="18" t="str">
        <f t="shared" si="35"/>
        <v/>
      </c>
      <c r="S119" s="18" t="str">
        <f t="shared" si="36"/>
        <v/>
      </c>
    </row>
    <row r="120" spans="1:19" ht="22.5" customHeight="1" x14ac:dyDescent="0.25">
      <c r="A120" s="216"/>
      <c r="B120" s="217"/>
      <c r="C120" s="218"/>
      <c r="D120" s="218"/>
      <c r="E120" s="221"/>
      <c r="F120" s="218"/>
      <c r="G120" s="220"/>
      <c r="H120" s="220"/>
      <c r="I120" s="221"/>
      <c r="J120" s="222"/>
      <c r="K120" s="215"/>
      <c r="M120" s="18" t="str">
        <f t="shared" si="30"/>
        <v/>
      </c>
      <c r="N120" s="18" t="str">
        <f t="shared" si="31"/>
        <v/>
      </c>
      <c r="O120" s="18" t="str">
        <f t="shared" si="32"/>
        <v/>
      </c>
      <c r="P120" s="18" t="str">
        <f t="shared" si="33"/>
        <v/>
      </c>
      <c r="Q120" s="18" t="str">
        <f t="shared" si="34"/>
        <v/>
      </c>
      <c r="R120" s="18" t="str">
        <f t="shared" si="35"/>
        <v/>
      </c>
      <c r="S120" s="18" t="str">
        <f t="shared" si="36"/>
        <v/>
      </c>
    </row>
    <row r="121" spans="1:19" ht="22.5" customHeight="1" x14ac:dyDescent="0.25">
      <c r="A121" s="201"/>
      <c r="B121" s="202"/>
      <c r="C121" s="203"/>
      <c r="D121" s="203"/>
      <c r="E121" s="204"/>
      <c r="F121" s="203"/>
      <c r="G121" s="205"/>
      <c r="H121" s="205"/>
      <c r="I121" s="206"/>
      <c r="J121" s="207"/>
      <c r="K121" s="192"/>
      <c r="M121" s="18" t="str">
        <f t="shared" si="30"/>
        <v/>
      </c>
      <c r="N121" s="18" t="str">
        <f t="shared" si="31"/>
        <v/>
      </c>
      <c r="O121" s="18" t="str">
        <f t="shared" si="32"/>
        <v/>
      </c>
      <c r="P121" s="18" t="str">
        <f t="shared" si="33"/>
        <v/>
      </c>
      <c r="Q121" s="18" t="str">
        <f t="shared" si="34"/>
        <v/>
      </c>
      <c r="R121" s="18" t="str">
        <f t="shared" si="35"/>
        <v/>
      </c>
      <c r="S121" s="18" t="str">
        <f t="shared" si="36"/>
        <v/>
      </c>
    </row>
    <row r="122" spans="1:19" ht="22.5" customHeight="1" x14ac:dyDescent="0.25">
      <c r="A122" s="216"/>
      <c r="B122" s="217"/>
      <c r="C122" s="218"/>
      <c r="D122" s="218"/>
      <c r="E122" s="221"/>
      <c r="F122" s="218"/>
      <c r="G122" s="220"/>
      <c r="H122" s="220"/>
      <c r="I122" s="221"/>
      <c r="J122" s="222"/>
      <c r="K122" s="215"/>
      <c r="M122" s="18" t="str">
        <f t="shared" si="30"/>
        <v/>
      </c>
      <c r="N122" s="18" t="str">
        <f t="shared" si="31"/>
        <v/>
      </c>
      <c r="O122" s="18" t="str">
        <f t="shared" si="32"/>
        <v/>
      </c>
      <c r="P122" s="18" t="str">
        <f t="shared" si="33"/>
        <v/>
      </c>
      <c r="Q122" s="18" t="str">
        <f t="shared" si="34"/>
        <v/>
      </c>
      <c r="R122" s="18" t="str">
        <f t="shared" si="35"/>
        <v/>
      </c>
      <c r="S122" s="18" t="str">
        <f t="shared" si="36"/>
        <v/>
      </c>
    </row>
    <row r="123" spans="1:19" ht="22.5" customHeight="1" x14ac:dyDescent="0.25">
      <c r="A123" s="201"/>
      <c r="B123" s="202"/>
      <c r="C123" s="203"/>
      <c r="D123" s="203"/>
      <c r="E123" s="204"/>
      <c r="F123" s="203"/>
      <c r="G123" s="205"/>
      <c r="H123" s="205"/>
      <c r="I123" s="206"/>
      <c r="J123" s="207"/>
      <c r="K123" s="192"/>
      <c r="M123" s="18" t="str">
        <f t="shared" si="30"/>
        <v/>
      </c>
      <c r="N123" s="18" t="str">
        <f t="shared" si="31"/>
        <v/>
      </c>
      <c r="O123" s="18" t="str">
        <f t="shared" si="32"/>
        <v/>
      </c>
      <c r="P123" s="18" t="str">
        <f t="shared" si="33"/>
        <v/>
      </c>
      <c r="Q123" s="18" t="str">
        <f t="shared" si="34"/>
        <v/>
      </c>
      <c r="R123" s="18" t="str">
        <f t="shared" si="35"/>
        <v/>
      </c>
      <c r="S123" s="18" t="str">
        <f t="shared" si="36"/>
        <v/>
      </c>
    </row>
    <row r="124" spans="1:19" ht="22.5" customHeight="1" x14ac:dyDescent="0.25">
      <c r="A124" s="216"/>
      <c r="B124" s="217"/>
      <c r="C124" s="218"/>
      <c r="D124" s="218"/>
      <c r="E124" s="221"/>
      <c r="F124" s="218"/>
      <c r="G124" s="220"/>
      <c r="H124" s="220"/>
      <c r="I124" s="221"/>
      <c r="J124" s="222"/>
      <c r="K124" s="215"/>
      <c r="M124" s="18" t="str">
        <f t="shared" ref="M124:M187" si="37">IF(A124="","",IF(A124="Entrada",D124,""))</f>
        <v/>
      </c>
      <c r="N124" s="18" t="str">
        <f t="shared" ref="N124:N187" si="38">IF(A124="","",IF(A124="Entrada",E124,""))</f>
        <v/>
      </c>
      <c r="O124" s="18" t="str">
        <f t="shared" ref="O124:O187" si="39">IF(A124="","",IF(A124="Entrada",1,""))</f>
        <v/>
      </c>
      <c r="P124" s="18" t="str">
        <f t="shared" ref="P124:P187" si="40">IF(O124=1,G124,"")</f>
        <v/>
      </c>
      <c r="Q124" s="18" t="str">
        <f t="shared" ref="Q124:Q187" si="41">IF(A124="","",IF(A124="Entrada",(M124/10)*P124,""))</f>
        <v/>
      </c>
      <c r="R124" s="18" t="str">
        <f t="shared" ref="R124:R187" si="42">IF(A124="","",IF(A124="Saída",D124,""))</f>
        <v/>
      </c>
      <c r="S124" s="18" t="str">
        <f t="shared" ref="S124:S187" si="43">IF(A124="","",IF(A124="Saída",E124,""))</f>
        <v/>
      </c>
    </row>
    <row r="125" spans="1:19" ht="22.5" customHeight="1" x14ac:dyDescent="0.25">
      <c r="A125" s="201"/>
      <c r="B125" s="202"/>
      <c r="C125" s="203"/>
      <c r="D125" s="203"/>
      <c r="E125" s="204"/>
      <c r="F125" s="203"/>
      <c r="G125" s="205"/>
      <c r="H125" s="205"/>
      <c r="I125" s="206"/>
      <c r="J125" s="207"/>
      <c r="K125" s="192"/>
      <c r="M125" s="18" t="str">
        <f t="shared" si="37"/>
        <v/>
      </c>
      <c r="N125" s="18" t="str">
        <f t="shared" si="38"/>
        <v/>
      </c>
      <c r="O125" s="18" t="str">
        <f t="shared" si="39"/>
        <v/>
      </c>
      <c r="P125" s="18" t="str">
        <f t="shared" si="40"/>
        <v/>
      </c>
      <c r="Q125" s="18" t="str">
        <f t="shared" si="41"/>
        <v/>
      </c>
      <c r="R125" s="18" t="str">
        <f t="shared" si="42"/>
        <v/>
      </c>
      <c r="S125" s="18" t="str">
        <f t="shared" si="43"/>
        <v/>
      </c>
    </row>
    <row r="126" spans="1:19" ht="22.5" customHeight="1" x14ac:dyDescent="0.25">
      <c r="A126" s="216"/>
      <c r="B126" s="217"/>
      <c r="C126" s="218"/>
      <c r="D126" s="218"/>
      <c r="E126" s="221"/>
      <c r="F126" s="218"/>
      <c r="G126" s="220"/>
      <c r="H126" s="220"/>
      <c r="I126" s="221"/>
      <c r="J126" s="222"/>
      <c r="K126" s="215"/>
      <c r="M126" s="18" t="str">
        <f t="shared" si="37"/>
        <v/>
      </c>
      <c r="N126" s="18" t="str">
        <f t="shared" si="38"/>
        <v/>
      </c>
      <c r="O126" s="18" t="str">
        <f t="shared" si="39"/>
        <v/>
      </c>
      <c r="P126" s="18" t="str">
        <f t="shared" si="40"/>
        <v/>
      </c>
      <c r="Q126" s="18" t="str">
        <f t="shared" si="41"/>
        <v/>
      </c>
      <c r="R126" s="18" t="str">
        <f t="shared" si="42"/>
        <v/>
      </c>
      <c r="S126" s="18" t="str">
        <f t="shared" si="43"/>
        <v/>
      </c>
    </row>
    <row r="127" spans="1:19" ht="22.5" customHeight="1" x14ac:dyDescent="0.25">
      <c r="A127" s="201"/>
      <c r="B127" s="202"/>
      <c r="C127" s="203"/>
      <c r="D127" s="203"/>
      <c r="E127" s="204"/>
      <c r="F127" s="203"/>
      <c r="G127" s="205"/>
      <c r="H127" s="205"/>
      <c r="I127" s="206"/>
      <c r="J127" s="207"/>
      <c r="K127" s="192"/>
      <c r="M127" s="18" t="str">
        <f t="shared" si="37"/>
        <v/>
      </c>
      <c r="N127" s="18" t="str">
        <f t="shared" si="38"/>
        <v/>
      </c>
      <c r="O127" s="18" t="str">
        <f t="shared" si="39"/>
        <v/>
      </c>
      <c r="P127" s="18" t="str">
        <f t="shared" si="40"/>
        <v/>
      </c>
      <c r="Q127" s="18" t="str">
        <f t="shared" si="41"/>
        <v/>
      </c>
      <c r="R127" s="18" t="str">
        <f t="shared" si="42"/>
        <v/>
      </c>
      <c r="S127" s="18" t="str">
        <f t="shared" si="43"/>
        <v/>
      </c>
    </row>
    <row r="128" spans="1:19" ht="22.5" customHeight="1" x14ac:dyDescent="0.25">
      <c r="A128" s="216"/>
      <c r="B128" s="217"/>
      <c r="C128" s="218"/>
      <c r="D128" s="218"/>
      <c r="E128" s="221"/>
      <c r="F128" s="218"/>
      <c r="G128" s="220"/>
      <c r="H128" s="220"/>
      <c r="I128" s="221"/>
      <c r="J128" s="222"/>
      <c r="K128" s="215"/>
      <c r="M128" s="18" t="str">
        <f t="shared" si="37"/>
        <v/>
      </c>
      <c r="N128" s="18" t="str">
        <f t="shared" si="38"/>
        <v/>
      </c>
      <c r="O128" s="18" t="str">
        <f t="shared" si="39"/>
        <v/>
      </c>
      <c r="P128" s="18" t="str">
        <f t="shared" si="40"/>
        <v/>
      </c>
      <c r="Q128" s="18" t="str">
        <f t="shared" si="41"/>
        <v/>
      </c>
      <c r="R128" s="18" t="str">
        <f t="shared" si="42"/>
        <v/>
      </c>
      <c r="S128" s="18" t="str">
        <f t="shared" si="43"/>
        <v/>
      </c>
    </row>
    <row r="129" spans="1:19" ht="22.5" customHeight="1" x14ac:dyDescent="0.25">
      <c r="A129" s="201"/>
      <c r="B129" s="202"/>
      <c r="C129" s="203"/>
      <c r="D129" s="203"/>
      <c r="E129" s="204"/>
      <c r="F129" s="203"/>
      <c r="G129" s="205"/>
      <c r="H129" s="205"/>
      <c r="I129" s="206"/>
      <c r="J129" s="207"/>
      <c r="K129" s="192"/>
      <c r="M129" s="18" t="str">
        <f t="shared" si="37"/>
        <v/>
      </c>
      <c r="N129" s="18" t="str">
        <f t="shared" si="38"/>
        <v/>
      </c>
      <c r="O129" s="18" t="str">
        <f t="shared" si="39"/>
        <v/>
      </c>
      <c r="P129" s="18" t="str">
        <f t="shared" si="40"/>
        <v/>
      </c>
      <c r="Q129" s="18" t="str">
        <f t="shared" si="41"/>
        <v/>
      </c>
      <c r="R129" s="18" t="str">
        <f t="shared" si="42"/>
        <v/>
      </c>
      <c r="S129" s="18" t="str">
        <f t="shared" si="43"/>
        <v/>
      </c>
    </row>
    <row r="130" spans="1:19" ht="22.5" customHeight="1" x14ac:dyDescent="0.25">
      <c r="A130" s="216"/>
      <c r="B130" s="217"/>
      <c r="C130" s="218"/>
      <c r="D130" s="218"/>
      <c r="E130" s="221"/>
      <c r="F130" s="218"/>
      <c r="G130" s="220"/>
      <c r="H130" s="220"/>
      <c r="I130" s="221"/>
      <c r="J130" s="222"/>
      <c r="K130" s="215"/>
      <c r="M130" s="18" t="str">
        <f t="shared" si="37"/>
        <v/>
      </c>
      <c r="N130" s="18" t="str">
        <f t="shared" si="38"/>
        <v/>
      </c>
      <c r="O130" s="18" t="str">
        <f t="shared" si="39"/>
        <v/>
      </c>
      <c r="P130" s="18" t="str">
        <f t="shared" si="40"/>
        <v/>
      </c>
      <c r="Q130" s="18" t="str">
        <f t="shared" si="41"/>
        <v/>
      </c>
      <c r="R130" s="18" t="str">
        <f t="shared" si="42"/>
        <v/>
      </c>
      <c r="S130" s="18" t="str">
        <f t="shared" si="43"/>
        <v/>
      </c>
    </row>
    <row r="131" spans="1:19" ht="22.5" customHeight="1" x14ac:dyDescent="0.25">
      <c r="A131" s="201"/>
      <c r="B131" s="202"/>
      <c r="C131" s="203"/>
      <c r="D131" s="203"/>
      <c r="E131" s="204"/>
      <c r="F131" s="203"/>
      <c r="G131" s="205"/>
      <c r="H131" s="205"/>
      <c r="I131" s="206"/>
      <c r="J131" s="207"/>
      <c r="K131" s="192"/>
      <c r="M131" s="18" t="str">
        <f t="shared" si="37"/>
        <v/>
      </c>
      <c r="N131" s="18" t="str">
        <f t="shared" si="38"/>
        <v/>
      </c>
      <c r="O131" s="18" t="str">
        <f t="shared" si="39"/>
        <v/>
      </c>
      <c r="P131" s="18" t="str">
        <f t="shared" si="40"/>
        <v/>
      </c>
      <c r="Q131" s="18" t="str">
        <f t="shared" si="41"/>
        <v/>
      </c>
      <c r="R131" s="18" t="str">
        <f t="shared" si="42"/>
        <v/>
      </c>
      <c r="S131" s="18" t="str">
        <f t="shared" si="43"/>
        <v/>
      </c>
    </row>
    <row r="132" spans="1:19" ht="22.5" customHeight="1" x14ac:dyDescent="0.25">
      <c r="A132" s="216"/>
      <c r="B132" s="217"/>
      <c r="C132" s="218"/>
      <c r="D132" s="218"/>
      <c r="E132" s="221"/>
      <c r="F132" s="218"/>
      <c r="G132" s="220"/>
      <c r="H132" s="220"/>
      <c r="I132" s="221"/>
      <c r="J132" s="222"/>
      <c r="K132" s="215"/>
      <c r="M132" s="18" t="str">
        <f t="shared" si="37"/>
        <v/>
      </c>
      <c r="N132" s="18" t="str">
        <f t="shared" si="38"/>
        <v/>
      </c>
      <c r="O132" s="18" t="str">
        <f t="shared" si="39"/>
        <v/>
      </c>
      <c r="P132" s="18" t="str">
        <f t="shared" si="40"/>
        <v/>
      </c>
      <c r="Q132" s="18" t="str">
        <f t="shared" si="41"/>
        <v/>
      </c>
      <c r="R132" s="18" t="str">
        <f t="shared" si="42"/>
        <v/>
      </c>
      <c r="S132" s="18" t="str">
        <f t="shared" si="43"/>
        <v/>
      </c>
    </row>
    <row r="133" spans="1:19" ht="22.5" customHeight="1" x14ac:dyDescent="0.25">
      <c r="A133" s="201"/>
      <c r="B133" s="202"/>
      <c r="C133" s="203"/>
      <c r="D133" s="203"/>
      <c r="E133" s="204"/>
      <c r="F133" s="203"/>
      <c r="G133" s="205"/>
      <c r="H133" s="205"/>
      <c r="I133" s="206"/>
      <c r="J133" s="207"/>
      <c r="K133" s="192"/>
      <c r="M133" s="18" t="str">
        <f t="shared" si="37"/>
        <v/>
      </c>
      <c r="N133" s="18" t="str">
        <f t="shared" si="38"/>
        <v/>
      </c>
      <c r="O133" s="18" t="str">
        <f t="shared" si="39"/>
        <v/>
      </c>
      <c r="P133" s="18" t="str">
        <f t="shared" si="40"/>
        <v/>
      </c>
      <c r="Q133" s="18" t="str">
        <f t="shared" si="41"/>
        <v/>
      </c>
      <c r="R133" s="18" t="str">
        <f t="shared" si="42"/>
        <v/>
      </c>
      <c r="S133" s="18" t="str">
        <f t="shared" si="43"/>
        <v/>
      </c>
    </row>
    <row r="134" spans="1:19" ht="22.5" customHeight="1" x14ac:dyDescent="0.25">
      <c r="A134" s="216"/>
      <c r="B134" s="217"/>
      <c r="C134" s="218"/>
      <c r="D134" s="218"/>
      <c r="E134" s="221"/>
      <c r="F134" s="218"/>
      <c r="G134" s="220"/>
      <c r="H134" s="220"/>
      <c r="I134" s="221"/>
      <c r="J134" s="222"/>
      <c r="K134" s="215"/>
      <c r="M134" s="18" t="str">
        <f t="shared" si="37"/>
        <v/>
      </c>
      <c r="N134" s="18" t="str">
        <f t="shared" si="38"/>
        <v/>
      </c>
      <c r="O134" s="18" t="str">
        <f t="shared" si="39"/>
        <v/>
      </c>
      <c r="P134" s="18" t="str">
        <f t="shared" si="40"/>
        <v/>
      </c>
      <c r="Q134" s="18" t="str">
        <f t="shared" si="41"/>
        <v/>
      </c>
      <c r="R134" s="18" t="str">
        <f t="shared" si="42"/>
        <v/>
      </c>
      <c r="S134" s="18" t="str">
        <f t="shared" si="43"/>
        <v/>
      </c>
    </row>
    <row r="135" spans="1:19" ht="22.5" customHeight="1" x14ac:dyDescent="0.25">
      <c r="A135" s="201"/>
      <c r="B135" s="202"/>
      <c r="C135" s="203"/>
      <c r="D135" s="203"/>
      <c r="E135" s="204"/>
      <c r="F135" s="203"/>
      <c r="G135" s="205"/>
      <c r="H135" s="205"/>
      <c r="I135" s="206"/>
      <c r="J135" s="207"/>
      <c r="K135" s="192"/>
      <c r="M135" s="18" t="str">
        <f t="shared" si="37"/>
        <v/>
      </c>
      <c r="N135" s="18" t="str">
        <f t="shared" si="38"/>
        <v/>
      </c>
      <c r="O135" s="18" t="str">
        <f t="shared" si="39"/>
        <v/>
      </c>
      <c r="P135" s="18" t="str">
        <f t="shared" si="40"/>
        <v/>
      </c>
      <c r="Q135" s="18" t="str">
        <f t="shared" si="41"/>
        <v/>
      </c>
      <c r="R135" s="18" t="str">
        <f t="shared" si="42"/>
        <v/>
      </c>
      <c r="S135" s="18" t="str">
        <f t="shared" si="43"/>
        <v/>
      </c>
    </row>
    <row r="136" spans="1:19" ht="22.5" customHeight="1" x14ac:dyDescent="0.25">
      <c r="A136" s="216"/>
      <c r="B136" s="217"/>
      <c r="C136" s="218"/>
      <c r="D136" s="218"/>
      <c r="E136" s="221"/>
      <c r="F136" s="218"/>
      <c r="G136" s="220"/>
      <c r="H136" s="220"/>
      <c r="I136" s="221"/>
      <c r="J136" s="222"/>
      <c r="K136" s="215"/>
      <c r="M136" s="18" t="str">
        <f t="shared" si="37"/>
        <v/>
      </c>
      <c r="N136" s="18" t="str">
        <f t="shared" si="38"/>
        <v/>
      </c>
      <c r="O136" s="18" t="str">
        <f t="shared" si="39"/>
        <v/>
      </c>
      <c r="P136" s="18" t="str">
        <f t="shared" si="40"/>
        <v/>
      </c>
      <c r="Q136" s="18" t="str">
        <f t="shared" si="41"/>
        <v/>
      </c>
      <c r="R136" s="18" t="str">
        <f t="shared" si="42"/>
        <v/>
      </c>
      <c r="S136" s="18" t="str">
        <f t="shared" si="43"/>
        <v/>
      </c>
    </row>
    <row r="137" spans="1:19" ht="22.5" customHeight="1" x14ac:dyDescent="0.25">
      <c r="A137" s="201"/>
      <c r="B137" s="202"/>
      <c r="C137" s="203"/>
      <c r="D137" s="203"/>
      <c r="E137" s="204"/>
      <c r="F137" s="203"/>
      <c r="G137" s="205"/>
      <c r="H137" s="205"/>
      <c r="I137" s="206"/>
      <c r="J137" s="207"/>
      <c r="K137" s="192"/>
      <c r="M137" s="18" t="str">
        <f t="shared" si="37"/>
        <v/>
      </c>
      <c r="N137" s="18" t="str">
        <f t="shared" si="38"/>
        <v/>
      </c>
      <c r="O137" s="18" t="str">
        <f t="shared" si="39"/>
        <v/>
      </c>
      <c r="P137" s="18" t="str">
        <f t="shared" si="40"/>
        <v/>
      </c>
      <c r="Q137" s="18" t="str">
        <f t="shared" si="41"/>
        <v/>
      </c>
      <c r="R137" s="18" t="str">
        <f t="shared" si="42"/>
        <v/>
      </c>
      <c r="S137" s="18" t="str">
        <f t="shared" si="43"/>
        <v/>
      </c>
    </row>
    <row r="138" spans="1:19" ht="22.5" customHeight="1" x14ac:dyDescent="0.25">
      <c r="A138" s="216"/>
      <c r="B138" s="217"/>
      <c r="C138" s="218"/>
      <c r="D138" s="218"/>
      <c r="E138" s="221"/>
      <c r="F138" s="218"/>
      <c r="G138" s="220"/>
      <c r="H138" s="220"/>
      <c r="I138" s="221"/>
      <c r="J138" s="222"/>
      <c r="K138" s="215"/>
      <c r="M138" s="18" t="str">
        <f t="shared" si="37"/>
        <v/>
      </c>
      <c r="N138" s="18" t="str">
        <f t="shared" si="38"/>
        <v/>
      </c>
      <c r="O138" s="18" t="str">
        <f t="shared" si="39"/>
        <v/>
      </c>
      <c r="P138" s="18" t="str">
        <f t="shared" si="40"/>
        <v/>
      </c>
      <c r="Q138" s="18" t="str">
        <f t="shared" si="41"/>
        <v/>
      </c>
      <c r="R138" s="18" t="str">
        <f t="shared" si="42"/>
        <v/>
      </c>
      <c r="S138" s="18" t="str">
        <f t="shared" si="43"/>
        <v/>
      </c>
    </row>
    <row r="139" spans="1:19" ht="22.5" customHeight="1" x14ac:dyDescent="0.25">
      <c r="A139" s="201"/>
      <c r="B139" s="202"/>
      <c r="C139" s="203"/>
      <c r="D139" s="203"/>
      <c r="E139" s="204"/>
      <c r="F139" s="203"/>
      <c r="G139" s="205"/>
      <c r="H139" s="205"/>
      <c r="I139" s="206"/>
      <c r="J139" s="207"/>
      <c r="K139" s="192"/>
      <c r="M139" s="18" t="str">
        <f t="shared" si="37"/>
        <v/>
      </c>
      <c r="N139" s="18" t="str">
        <f t="shared" si="38"/>
        <v/>
      </c>
      <c r="O139" s="18" t="str">
        <f t="shared" si="39"/>
        <v/>
      </c>
      <c r="P139" s="18" t="str">
        <f t="shared" si="40"/>
        <v/>
      </c>
      <c r="Q139" s="18" t="str">
        <f t="shared" si="41"/>
        <v/>
      </c>
      <c r="R139" s="18" t="str">
        <f t="shared" si="42"/>
        <v/>
      </c>
      <c r="S139" s="18" t="str">
        <f t="shared" si="43"/>
        <v/>
      </c>
    </row>
    <row r="140" spans="1:19" ht="22.5" customHeight="1" x14ac:dyDescent="0.25">
      <c r="A140" s="216"/>
      <c r="B140" s="217"/>
      <c r="C140" s="218"/>
      <c r="D140" s="218"/>
      <c r="E140" s="221"/>
      <c r="F140" s="218"/>
      <c r="G140" s="220"/>
      <c r="H140" s="220"/>
      <c r="I140" s="221"/>
      <c r="J140" s="222"/>
      <c r="K140" s="215"/>
      <c r="M140" s="18" t="str">
        <f t="shared" si="37"/>
        <v/>
      </c>
      <c r="N140" s="18" t="str">
        <f t="shared" si="38"/>
        <v/>
      </c>
      <c r="O140" s="18" t="str">
        <f t="shared" si="39"/>
        <v/>
      </c>
      <c r="P140" s="18" t="str">
        <f t="shared" si="40"/>
        <v/>
      </c>
      <c r="Q140" s="18" t="str">
        <f t="shared" si="41"/>
        <v/>
      </c>
      <c r="R140" s="18" t="str">
        <f t="shared" si="42"/>
        <v/>
      </c>
      <c r="S140" s="18" t="str">
        <f t="shared" si="43"/>
        <v/>
      </c>
    </row>
    <row r="141" spans="1:19" ht="22.5" customHeight="1" x14ac:dyDescent="0.25">
      <c r="A141" s="201"/>
      <c r="B141" s="202"/>
      <c r="C141" s="203"/>
      <c r="D141" s="203"/>
      <c r="E141" s="204"/>
      <c r="F141" s="203"/>
      <c r="G141" s="205"/>
      <c r="H141" s="205"/>
      <c r="I141" s="206"/>
      <c r="J141" s="207"/>
      <c r="K141" s="192"/>
      <c r="M141" s="18" t="str">
        <f t="shared" si="37"/>
        <v/>
      </c>
      <c r="N141" s="18" t="str">
        <f t="shared" si="38"/>
        <v/>
      </c>
      <c r="O141" s="18" t="str">
        <f t="shared" si="39"/>
        <v/>
      </c>
      <c r="P141" s="18" t="str">
        <f t="shared" si="40"/>
        <v/>
      </c>
      <c r="Q141" s="18" t="str">
        <f t="shared" si="41"/>
        <v/>
      </c>
      <c r="R141" s="18" t="str">
        <f t="shared" si="42"/>
        <v/>
      </c>
      <c r="S141" s="18" t="str">
        <f t="shared" si="43"/>
        <v/>
      </c>
    </row>
    <row r="142" spans="1:19" ht="22.5" customHeight="1" x14ac:dyDescent="0.25">
      <c r="A142" s="216"/>
      <c r="B142" s="217"/>
      <c r="C142" s="218"/>
      <c r="D142" s="218"/>
      <c r="E142" s="221"/>
      <c r="F142" s="218"/>
      <c r="G142" s="220"/>
      <c r="H142" s="220"/>
      <c r="I142" s="221"/>
      <c r="J142" s="222"/>
      <c r="K142" s="215"/>
      <c r="M142" s="18" t="str">
        <f t="shared" si="37"/>
        <v/>
      </c>
      <c r="N142" s="18" t="str">
        <f t="shared" si="38"/>
        <v/>
      </c>
      <c r="O142" s="18" t="str">
        <f t="shared" si="39"/>
        <v/>
      </c>
      <c r="P142" s="18" t="str">
        <f t="shared" si="40"/>
        <v/>
      </c>
      <c r="Q142" s="18" t="str">
        <f t="shared" si="41"/>
        <v/>
      </c>
      <c r="R142" s="18" t="str">
        <f t="shared" si="42"/>
        <v/>
      </c>
      <c r="S142" s="18" t="str">
        <f t="shared" si="43"/>
        <v/>
      </c>
    </row>
    <row r="143" spans="1:19" ht="22.5" customHeight="1" x14ac:dyDescent="0.25">
      <c r="A143" s="201"/>
      <c r="B143" s="202"/>
      <c r="C143" s="203"/>
      <c r="D143" s="203"/>
      <c r="E143" s="204"/>
      <c r="F143" s="203"/>
      <c r="G143" s="205"/>
      <c r="H143" s="205"/>
      <c r="I143" s="206"/>
      <c r="J143" s="207"/>
      <c r="K143" s="192"/>
      <c r="M143" s="18" t="str">
        <f t="shared" si="37"/>
        <v/>
      </c>
      <c r="N143" s="18" t="str">
        <f t="shared" si="38"/>
        <v/>
      </c>
      <c r="O143" s="18" t="str">
        <f t="shared" si="39"/>
        <v/>
      </c>
      <c r="P143" s="18" t="str">
        <f t="shared" si="40"/>
        <v/>
      </c>
      <c r="Q143" s="18" t="str">
        <f t="shared" si="41"/>
        <v/>
      </c>
      <c r="R143" s="18" t="str">
        <f t="shared" si="42"/>
        <v/>
      </c>
      <c r="S143" s="18" t="str">
        <f t="shared" si="43"/>
        <v/>
      </c>
    </row>
    <row r="144" spans="1:19" ht="22.5" customHeight="1" x14ac:dyDescent="0.25">
      <c r="A144" s="216"/>
      <c r="B144" s="217"/>
      <c r="C144" s="218"/>
      <c r="D144" s="218"/>
      <c r="E144" s="221"/>
      <c r="F144" s="218"/>
      <c r="G144" s="220"/>
      <c r="H144" s="220"/>
      <c r="I144" s="221"/>
      <c r="J144" s="222"/>
      <c r="K144" s="215"/>
      <c r="M144" s="18" t="str">
        <f t="shared" si="37"/>
        <v/>
      </c>
      <c r="N144" s="18" t="str">
        <f t="shared" si="38"/>
        <v/>
      </c>
      <c r="O144" s="18" t="str">
        <f t="shared" si="39"/>
        <v/>
      </c>
      <c r="P144" s="18" t="str">
        <f t="shared" si="40"/>
        <v/>
      </c>
      <c r="Q144" s="18" t="str">
        <f t="shared" si="41"/>
        <v/>
      </c>
      <c r="R144" s="18" t="str">
        <f t="shared" si="42"/>
        <v/>
      </c>
      <c r="S144" s="18" t="str">
        <f t="shared" si="43"/>
        <v/>
      </c>
    </row>
    <row r="145" spans="1:19" ht="22.5" customHeight="1" x14ac:dyDescent="0.25">
      <c r="A145" s="201"/>
      <c r="B145" s="202"/>
      <c r="C145" s="203"/>
      <c r="D145" s="203"/>
      <c r="E145" s="204"/>
      <c r="F145" s="203"/>
      <c r="G145" s="205"/>
      <c r="H145" s="205"/>
      <c r="I145" s="206"/>
      <c r="J145" s="207"/>
      <c r="K145" s="192"/>
      <c r="M145" s="18" t="str">
        <f t="shared" si="37"/>
        <v/>
      </c>
      <c r="N145" s="18" t="str">
        <f t="shared" si="38"/>
        <v/>
      </c>
      <c r="O145" s="18" t="str">
        <f t="shared" si="39"/>
        <v/>
      </c>
      <c r="P145" s="18" t="str">
        <f t="shared" si="40"/>
        <v/>
      </c>
      <c r="Q145" s="18" t="str">
        <f t="shared" si="41"/>
        <v/>
      </c>
      <c r="R145" s="18" t="str">
        <f t="shared" si="42"/>
        <v/>
      </c>
      <c r="S145" s="18" t="str">
        <f t="shared" si="43"/>
        <v/>
      </c>
    </row>
    <row r="146" spans="1:19" ht="22.5" customHeight="1" x14ac:dyDescent="0.25">
      <c r="A146" s="216"/>
      <c r="B146" s="217"/>
      <c r="C146" s="218"/>
      <c r="D146" s="218"/>
      <c r="E146" s="221"/>
      <c r="F146" s="218"/>
      <c r="G146" s="220"/>
      <c r="H146" s="220"/>
      <c r="I146" s="221"/>
      <c r="J146" s="222"/>
      <c r="K146" s="215"/>
      <c r="M146" s="18" t="str">
        <f t="shared" si="37"/>
        <v/>
      </c>
      <c r="N146" s="18" t="str">
        <f t="shared" si="38"/>
        <v/>
      </c>
      <c r="O146" s="18" t="str">
        <f t="shared" si="39"/>
        <v/>
      </c>
      <c r="P146" s="18" t="str">
        <f t="shared" si="40"/>
        <v/>
      </c>
      <c r="Q146" s="18" t="str">
        <f t="shared" si="41"/>
        <v/>
      </c>
      <c r="R146" s="18" t="str">
        <f t="shared" si="42"/>
        <v/>
      </c>
      <c r="S146" s="18" t="str">
        <f t="shared" si="43"/>
        <v/>
      </c>
    </row>
    <row r="147" spans="1:19" ht="22.5" customHeight="1" x14ac:dyDescent="0.25">
      <c r="A147" s="201"/>
      <c r="B147" s="202"/>
      <c r="C147" s="203"/>
      <c r="D147" s="203"/>
      <c r="E147" s="204"/>
      <c r="F147" s="203"/>
      <c r="G147" s="205"/>
      <c r="H147" s="205"/>
      <c r="I147" s="206"/>
      <c r="J147" s="207"/>
      <c r="K147" s="192"/>
      <c r="M147" s="18" t="str">
        <f t="shared" si="37"/>
        <v/>
      </c>
      <c r="N147" s="18" t="str">
        <f t="shared" si="38"/>
        <v/>
      </c>
      <c r="O147" s="18" t="str">
        <f t="shared" si="39"/>
        <v/>
      </c>
      <c r="P147" s="18" t="str">
        <f t="shared" si="40"/>
        <v/>
      </c>
      <c r="Q147" s="18" t="str">
        <f t="shared" si="41"/>
        <v/>
      </c>
      <c r="R147" s="18" t="str">
        <f t="shared" si="42"/>
        <v/>
      </c>
      <c r="S147" s="18" t="str">
        <f t="shared" si="43"/>
        <v/>
      </c>
    </row>
    <row r="148" spans="1:19" ht="22.5" customHeight="1" x14ac:dyDescent="0.25">
      <c r="A148" s="216"/>
      <c r="B148" s="217"/>
      <c r="C148" s="218"/>
      <c r="D148" s="218"/>
      <c r="E148" s="221"/>
      <c r="F148" s="218"/>
      <c r="G148" s="220"/>
      <c r="H148" s="220"/>
      <c r="I148" s="221"/>
      <c r="J148" s="222"/>
      <c r="K148" s="215"/>
      <c r="M148" s="18" t="str">
        <f t="shared" si="37"/>
        <v/>
      </c>
      <c r="N148" s="18" t="str">
        <f t="shared" si="38"/>
        <v/>
      </c>
      <c r="O148" s="18" t="str">
        <f t="shared" si="39"/>
        <v/>
      </c>
      <c r="P148" s="18" t="str">
        <f t="shared" si="40"/>
        <v/>
      </c>
      <c r="Q148" s="18" t="str">
        <f t="shared" si="41"/>
        <v/>
      </c>
      <c r="R148" s="18" t="str">
        <f t="shared" si="42"/>
        <v/>
      </c>
      <c r="S148" s="18" t="str">
        <f t="shared" si="43"/>
        <v/>
      </c>
    </row>
    <row r="149" spans="1:19" ht="22.5" customHeight="1" x14ac:dyDescent="0.25">
      <c r="A149" s="201"/>
      <c r="B149" s="202"/>
      <c r="C149" s="203"/>
      <c r="D149" s="203"/>
      <c r="E149" s="204"/>
      <c r="F149" s="203"/>
      <c r="G149" s="205"/>
      <c r="H149" s="205"/>
      <c r="I149" s="206"/>
      <c r="J149" s="207"/>
      <c r="K149" s="192"/>
      <c r="M149" s="18" t="str">
        <f t="shared" si="37"/>
        <v/>
      </c>
      <c r="N149" s="18" t="str">
        <f t="shared" si="38"/>
        <v/>
      </c>
      <c r="O149" s="18" t="str">
        <f t="shared" si="39"/>
        <v/>
      </c>
      <c r="P149" s="18" t="str">
        <f t="shared" si="40"/>
        <v/>
      </c>
      <c r="Q149" s="18" t="str">
        <f t="shared" si="41"/>
        <v/>
      </c>
      <c r="R149" s="18" t="str">
        <f t="shared" si="42"/>
        <v/>
      </c>
      <c r="S149" s="18" t="str">
        <f t="shared" si="43"/>
        <v/>
      </c>
    </row>
    <row r="150" spans="1:19" ht="22.5" customHeight="1" x14ac:dyDescent="0.25">
      <c r="A150" s="216"/>
      <c r="B150" s="217"/>
      <c r="C150" s="218"/>
      <c r="D150" s="218"/>
      <c r="E150" s="221"/>
      <c r="F150" s="218"/>
      <c r="G150" s="220"/>
      <c r="H150" s="220"/>
      <c r="I150" s="221"/>
      <c r="J150" s="222"/>
      <c r="K150" s="215"/>
      <c r="M150" s="18" t="str">
        <f t="shared" si="37"/>
        <v/>
      </c>
      <c r="N150" s="18" t="str">
        <f t="shared" si="38"/>
        <v/>
      </c>
      <c r="O150" s="18" t="str">
        <f t="shared" si="39"/>
        <v/>
      </c>
      <c r="P150" s="18" t="str">
        <f t="shared" si="40"/>
        <v/>
      </c>
      <c r="Q150" s="18" t="str">
        <f t="shared" si="41"/>
        <v/>
      </c>
      <c r="R150" s="18" t="str">
        <f t="shared" si="42"/>
        <v/>
      </c>
      <c r="S150" s="18" t="str">
        <f t="shared" si="43"/>
        <v/>
      </c>
    </row>
    <row r="151" spans="1:19" ht="22.5" customHeight="1" x14ac:dyDescent="0.25">
      <c r="A151" s="201"/>
      <c r="B151" s="202"/>
      <c r="C151" s="203"/>
      <c r="D151" s="203"/>
      <c r="E151" s="204"/>
      <c r="F151" s="203"/>
      <c r="G151" s="205"/>
      <c r="H151" s="205"/>
      <c r="I151" s="206"/>
      <c r="J151" s="207"/>
      <c r="K151" s="192"/>
      <c r="M151" s="18" t="str">
        <f t="shared" si="37"/>
        <v/>
      </c>
      <c r="N151" s="18" t="str">
        <f t="shared" si="38"/>
        <v/>
      </c>
      <c r="O151" s="18" t="str">
        <f t="shared" si="39"/>
        <v/>
      </c>
      <c r="P151" s="18" t="str">
        <f t="shared" si="40"/>
        <v/>
      </c>
      <c r="Q151" s="18" t="str">
        <f t="shared" si="41"/>
        <v/>
      </c>
      <c r="R151" s="18" t="str">
        <f t="shared" si="42"/>
        <v/>
      </c>
      <c r="S151" s="18" t="str">
        <f t="shared" si="43"/>
        <v/>
      </c>
    </row>
    <row r="152" spans="1:19" ht="22.5" customHeight="1" x14ac:dyDescent="0.25">
      <c r="A152" s="216"/>
      <c r="B152" s="217"/>
      <c r="C152" s="218"/>
      <c r="D152" s="218"/>
      <c r="E152" s="221"/>
      <c r="F152" s="218"/>
      <c r="G152" s="220"/>
      <c r="H152" s="220"/>
      <c r="I152" s="221"/>
      <c r="J152" s="222"/>
      <c r="K152" s="215"/>
      <c r="M152" s="18" t="str">
        <f t="shared" si="37"/>
        <v/>
      </c>
      <c r="N152" s="18" t="str">
        <f t="shared" si="38"/>
        <v/>
      </c>
      <c r="O152" s="18" t="str">
        <f t="shared" si="39"/>
        <v/>
      </c>
      <c r="P152" s="18" t="str">
        <f t="shared" si="40"/>
        <v/>
      </c>
      <c r="Q152" s="18" t="str">
        <f t="shared" si="41"/>
        <v/>
      </c>
      <c r="R152" s="18" t="str">
        <f t="shared" si="42"/>
        <v/>
      </c>
      <c r="S152" s="18" t="str">
        <f t="shared" si="43"/>
        <v/>
      </c>
    </row>
    <row r="153" spans="1:19" ht="22.5" customHeight="1" x14ac:dyDescent="0.25">
      <c r="A153" s="201"/>
      <c r="B153" s="202"/>
      <c r="C153" s="203"/>
      <c r="D153" s="203"/>
      <c r="E153" s="204"/>
      <c r="F153" s="203"/>
      <c r="G153" s="205"/>
      <c r="H153" s="205"/>
      <c r="I153" s="206"/>
      <c r="J153" s="207"/>
      <c r="K153" s="192"/>
      <c r="M153" s="18" t="str">
        <f t="shared" si="37"/>
        <v/>
      </c>
      <c r="N153" s="18" t="str">
        <f t="shared" si="38"/>
        <v/>
      </c>
      <c r="O153" s="18" t="str">
        <f t="shared" si="39"/>
        <v/>
      </c>
      <c r="P153" s="18" t="str">
        <f t="shared" si="40"/>
        <v/>
      </c>
      <c r="Q153" s="18" t="str">
        <f t="shared" si="41"/>
        <v/>
      </c>
      <c r="R153" s="18" t="str">
        <f t="shared" si="42"/>
        <v/>
      </c>
      <c r="S153" s="18" t="str">
        <f t="shared" si="43"/>
        <v/>
      </c>
    </row>
    <row r="154" spans="1:19" ht="22.5" customHeight="1" x14ac:dyDescent="0.25">
      <c r="A154" s="216"/>
      <c r="B154" s="217"/>
      <c r="C154" s="218"/>
      <c r="D154" s="218"/>
      <c r="E154" s="221"/>
      <c r="F154" s="218"/>
      <c r="G154" s="220"/>
      <c r="H154" s="220"/>
      <c r="I154" s="221"/>
      <c r="J154" s="222"/>
      <c r="K154" s="215"/>
      <c r="M154" s="18" t="str">
        <f t="shared" si="37"/>
        <v/>
      </c>
      <c r="N154" s="18" t="str">
        <f t="shared" si="38"/>
        <v/>
      </c>
      <c r="O154" s="18" t="str">
        <f t="shared" si="39"/>
        <v/>
      </c>
      <c r="P154" s="18" t="str">
        <f t="shared" si="40"/>
        <v/>
      </c>
      <c r="Q154" s="18" t="str">
        <f t="shared" si="41"/>
        <v/>
      </c>
      <c r="R154" s="18" t="str">
        <f t="shared" si="42"/>
        <v/>
      </c>
      <c r="S154" s="18" t="str">
        <f t="shared" si="43"/>
        <v/>
      </c>
    </row>
    <row r="155" spans="1:19" ht="22.5" customHeight="1" x14ac:dyDescent="0.25">
      <c r="A155" s="201"/>
      <c r="B155" s="202"/>
      <c r="C155" s="203"/>
      <c r="D155" s="203"/>
      <c r="E155" s="204"/>
      <c r="F155" s="203"/>
      <c r="G155" s="205"/>
      <c r="H155" s="205"/>
      <c r="I155" s="206"/>
      <c r="J155" s="207"/>
      <c r="K155" s="192"/>
      <c r="M155" s="18" t="str">
        <f t="shared" si="37"/>
        <v/>
      </c>
      <c r="N155" s="18" t="str">
        <f t="shared" si="38"/>
        <v/>
      </c>
      <c r="O155" s="18" t="str">
        <f t="shared" si="39"/>
        <v/>
      </c>
      <c r="P155" s="18" t="str">
        <f t="shared" si="40"/>
        <v/>
      </c>
      <c r="Q155" s="18" t="str">
        <f t="shared" si="41"/>
        <v/>
      </c>
      <c r="R155" s="18" t="str">
        <f t="shared" si="42"/>
        <v/>
      </c>
      <c r="S155" s="18" t="str">
        <f t="shared" si="43"/>
        <v/>
      </c>
    </row>
    <row r="156" spans="1:19" ht="22.5" customHeight="1" x14ac:dyDescent="0.25">
      <c r="A156" s="216"/>
      <c r="B156" s="217"/>
      <c r="C156" s="218"/>
      <c r="D156" s="218"/>
      <c r="E156" s="221"/>
      <c r="F156" s="218"/>
      <c r="G156" s="220"/>
      <c r="H156" s="220"/>
      <c r="I156" s="221"/>
      <c r="J156" s="222"/>
      <c r="K156" s="215"/>
      <c r="M156" s="18" t="str">
        <f t="shared" si="37"/>
        <v/>
      </c>
      <c r="N156" s="18" t="str">
        <f t="shared" si="38"/>
        <v/>
      </c>
      <c r="O156" s="18" t="str">
        <f t="shared" si="39"/>
        <v/>
      </c>
      <c r="P156" s="18" t="str">
        <f t="shared" si="40"/>
        <v/>
      </c>
      <c r="Q156" s="18" t="str">
        <f t="shared" si="41"/>
        <v/>
      </c>
      <c r="R156" s="18" t="str">
        <f t="shared" si="42"/>
        <v/>
      </c>
      <c r="S156" s="18" t="str">
        <f t="shared" si="43"/>
        <v/>
      </c>
    </row>
    <row r="157" spans="1:19" ht="22.5" customHeight="1" x14ac:dyDescent="0.25">
      <c r="A157" s="201"/>
      <c r="B157" s="202"/>
      <c r="C157" s="203"/>
      <c r="D157" s="203"/>
      <c r="E157" s="204"/>
      <c r="F157" s="203"/>
      <c r="G157" s="205"/>
      <c r="H157" s="205"/>
      <c r="I157" s="206"/>
      <c r="J157" s="207"/>
      <c r="K157" s="192"/>
      <c r="M157" s="18" t="str">
        <f t="shared" si="37"/>
        <v/>
      </c>
      <c r="N157" s="18" t="str">
        <f t="shared" si="38"/>
        <v/>
      </c>
      <c r="O157" s="18" t="str">
        <f t="shared" si="39"/>
        <v/>
      </c>
      <c r="P157" s="18" t="str">
        <f t="shared" si="40"/>
        <v/>
      </c>
      <c r="Q157" s="18" t="str">
        <f t="shared" si="41"/>
        <v/>
      </c>
      <c r="R157" s="18" t="str">
        <f t="shared" si="42"/>
        <v/>
      </c>
      <c r="S157" s="18" t="str">
        <f t="shared" si="43"/>
        <v/>
      </c>
    </row>
    <row r="158" spans="1:19" ht="22.5" customHeight="1" x14ac:dyDescent="0.25">
      <c r="A158" s="216"/>
      <c r="B158" s="217"/>
      <c r="C158" s="218"/>
      <c r="D158" s="218"/>
      <c r="E158" s="221"/>
      <c r="F158" s="218"/>
      <c r="G158" s="220"/>
      <c r="H158" s="220"/>
      <c r="I158" s="221"/>
      <c r="J158" s="222"/>
      <c r="K158" s="215"/>
      <c r="M158" s="18" t="str">
        <f t="shared" si="37"/>
        <v/>
      </c>
      <c r="N158" s="18" t="str">
        <f t="shared" si="38"/>
        <v/>
      </c>
      <c r="O158" s="18" t="str">
        <f t="shared" si="39"/>
        <v/>
      </c>
      <c r="P158" s="18" t="str">
        <f t="shared" si="40"/>
        <v/>
      </c>
      <c r="Q158" s="18" t="str">
        <f t="shared" si="41"/>
        <v/>
      </c>
      <c r="R158" s="18" t="str">
        <f t="shared" si="42"/>
        <v/>
      </c>
      <c r="S158" s="18" t="str">
        <f t="shared" si="43"/>
        <v/>
      </c>
    </row>
    <row r="159" spans="1:19" ht="22.5" customHeight="1" x14ac:dyDescent="0.25">
      <c r="A159" s="201"/>
      <c r="B159" s="202"/>
      <c r="C159" s="203"/>
      <c r="D159" s="203"/>
      <c r="E159" s="204"/>
      <c r="F159" s="203"/>
      <c r="G159" s="205"/>
      <c r="H159" s="205"/>
      <c r="I159" s="206"/>
      <c r="J159" s="207"/>
      <c r="K159" s="192"/>
      <c r="M159" s="18" t="str">
        <f t="shared" si="37"/>
        <v/>
      </c>
      <c r="N159" s="18" t="str">
        <f t="shared" si="38"/>
        <v/>
      </c>
      <c r="O159" s="18" t="str">
        <f t="shared" si="39"/>
        <v/>
      </c>
      <c r="P159" s="18" t="str">
        <f t="shared" si="40"/>
        <v/>
      </c>
      <c r="Q159" s="18" t="str">
        <f t="shared" si="41"/>
        <v/>
      </c>
      <c r="R159" s="18" t="str">
        <f t="shared" si="42"/>
        <v/>
      </c>
      <c r="S159" s="18" t="str">
        <f t="shared" si="43"/>
        <v/>
      </c>
    </row>
    <row r="160" spans="1:19" ht="22.5" customHeight="1" x14ac:dyDescent="0.25">
      <c r="A160" s="216"/>
      <c r="B160" s="217"/>
      <c r="C160" s="218"/>
      <c r="D160" s="218"/>
      <c r="E160" s="221"/>
      <c r="F160" s="218"/>
      <c r="G160" s="220"/>
      <c r="H160" s="220"/>
      <c r="I160" s="221"/>
      <c r="J160" s="222"/>
      <c r="K160" s="215"/>
      <c r="M160" s="18" t="str">
        <f t="shared" si="37"/>
        <v/>
      </c>
      <c r="N160" s="18" t="str">
        <f t="shared" si="38"/>
        <v/>
      </c>
      <c r="O160" s="18" t="str">
        <f t="shared" si="39"/>
        <v/>
      </c>
      <c r="P160" s="18" t="str">
        <f t="shared" si="40"/>
        <v/>
      </c>
      <c r="Q160" s="18" t="str">
        <f t="shared" si="41"/>
        <v/>
      </c>
      <c r="R160" s="18" t="str">
        <f t="shared" si="42"/>
        <v/>
      </c>
      <c r="S160" s="18" t="str">
        <f t="shared" si="43"/>
        <v/>
      </c>
    </row>
    <row r="161" spans="1:19" ht="22.5" customHeight="1" x14ac:dyDescent="0.25">
      <c r="A161" s="201"/>
      <c r="B161" s="202"/>
      <c r="C161" s="203"/>
      <c r="D161" s="203"/>
      <c r="E161" s="204"/>
      <c r="F161" s="203"/>
      <c r="G161" s="205"/>
      <c r="H161" s="205"/>
      <c r="I161" s="206"/>
      <c r="J161" s="207"/>
      <c r="K161" s="192"/>
      <c r="M161" s="18" t="str">
        <f t="shared" si="37"/>
        <v/>
      </c>
      <c r="N161" s="18" t="str">
        <f t="shared" si="38"/>
        <v/>
      </c>
      <c r="O161" s="18" t="str">
        <f t="shared" si="39"/>
        <v/>
      </c>
      <c r="P161" s="18" t="str">
        <f t="shared" si="40"/>
        <v/>
      </c>
      <c r="Q161" s="18" t="str">
        <f t="shared" si="41"/>
        <v/>
      </c>
      <c r="R161" s="18" t="str">
        <f t="shared" si="42"/>
        <v/>
      </c>
      <c r="S161" s="18" t="str">
        <f t="shared" si="43"/>
        <v/>
      </c>
    </row>
    <row r="162" spans="1:19" ht="22.5" customHeight="1" x14ac:dyDescent="0.25">
      <c r="A162" s="216"/>
      <c r="B162" s="217"/>
      <c r="C162" s="218"/>
      <c r="D162" s="218"/>
      <c r="E162" s="221"/>
      <c r="F162" s="218"/>
      <c r="G162" s="220"/>
      <c r="H162" s="220"/>
      <c r="I162" s="221"/>
      <c r="J162" s="222"/>
      <c r="K162" s="215"/>
      <c r="M162" s="18" t="str">
        <f t="shared" si="37"/>
        <v/>
      </c>
      <c r="N162" s="18" t="str">
        <f t="shared" si="38"/>
        <v/>
      </c>
      <c r="O162" s="18" t="str">
        <f t="shared" si="39"/>
        <v/>
      </c>
      <c r="P162" s="18" t="str">
        <f t="shared" si="40"/>
        <v/>
      </c>
      <c r="Q162" s="18" t="str">
        <f t="shared" si="41"/>
        <v/>
      </c>
      <c r="R162" s="18" t="str">
        <f t="shared" si="42"/>
        <v/>
      </c>
      <c r="S162" s="18" t="str">
        <f t="shared" si="43"/>
        <v/>
      </c>
    </row>
    <row r="163" spans="1:19" ht="22.5" customHeight="1" x14ac:dyDescent="0.25">
      <c r="A163" s="201"/>
      <c r="B163" s="202"/>
      <c r="C163" s="203"/>
      <c r="D163" s="203"/>
      <c r="E163" s="204"/>
      <c r="F163" s="203"/>
      <c r="G163" s="205"/>
      <c r="H163" s="205"/>
      <c r="I163" s="206"/>
      <c r="J163" s="207"/>
      <c r="K163" s="192"/>
      <c r="M163" s="18" t="str">
        <f t="shared" si="37"/>
        <v/>
      </c>
      <c r="N163" s="18" t="str">
        <f t="shared" si="38"/>
        <v/>
      </c>
      <c r="O163" s="18" t="str">
        <f t="shared" si="39"/>
        <v/>
      </c>
      <c r="P163" s="18" t="str">
        <f t="shared" si="40"/>
        <v/>
      </c>
      <c r="Q163" s="18" t="str">
        <f t="shared" si="41"/>
        <v/>
      </c>
      <c r="R163" s="18" t="str">
        <f t="shared" si="42"/>
        <v/>
      </c>
      <c r="S163" s="18" t="str">
        <f t="shared" si="43"/>
        <v/>
      </c>
    </row>
    <row r="164" spans="1:19" ht="22.5" customHeight="1" x14ac:dyDescent="0.25">
      <c r="A164" s="216"/>
      <c r="B164" s="217"/>
      <c r="C164" s="218"/>
      <c r="D164" s="218"/>
      <c r="E164" s="221"/>
      <c r="F164" s="218"/>
      <c r="G164" s="220"/>
      <c r="H164" s="220"/>
      <c r="I164" s="221"/>
      <c r="J164" s="222"/>
      <c r="K164" s="215"/>
      <c r="M164" s="18" t="str">
        <f t="shared" si="37"/>
        <v/>
      </c>
      <c r="N164" s="18" t="str">
        <f t="shared" si="38"/>
        <v/>
      </c>
      <c r="O164" s="18" t="str">
        <f t="shared" si="39"/>
        <v/>
      </c>
      <c r="P164" s="18" t="str">
        <f t="shared" si="40"/>
        <v/>
      </c>
      <c r="Q164" s="18" t="str">
        <f t="shared" si="41"/>
        <v/>
      </c>
      <c r="R164" s="18" t="str">
        <f t="shared" si="42"/>
        <v/>
      </c>
      <c r="S164" s="18" t="str">
        <f t="shared" si="43"/>
        <v/>
      </c>
    </row>
    <row r="165" spans="1:19" ht="22.5" customHeight="1" x14ac:dyDescent="0.25">
      <c r="A165" s="201"/>
      <c r="B165" s="202"/>
      <c r="C165" s="203"/>
      <c r="D165" s="203"/>
      <c r="E165" s="204"/>
      <c r="F165" s="203"/>
      <c r="G165" s="205"/>
      <c r="H165" s="205"/>
      <c r="I165" s="206"/>
      <c r="J165" s="207"/>
      <c r="K165" s="192"/>
      <c r="M165" s="18" t="str">
        <f t="shared" si="37"/>
        <v/>
      </c>
      <c r="N165" s="18" t="str">
        <f t="shared" si="38"/>
        <v/>
      </c>
      <c r="O165" s="18" t="str">
        <f t="shared" si="39"/>
        <v/>
      </c>
      <c r="P165" s="18" t="str">
        <f t="shared" si="40"/>
        <v/>
      </c>
      <c r="Q165" s="18" t="str">
        <f t="shared" si="41"/>
        <v/>
      </c>
      <c r="R165" s="18" t="str">
        <f t="shared" si="42"/>
        <v/>
      </c>
      <c r="S165" s="18" t="str">
        <f t="shared" si="43"/>
        <v/>
      </c>
    </row>
    <row r="166" spans="1:19" ht="22.5" customHeight="1" x14ac:dyDescent="0.25">
      <c r="A166" s="216"/>
      <c r="B166" s="217"/>
      <c r="C166" s="218"/>
      <c r="D166" s="218"/>
      <c r="E166" s="221"/>
      <c r="F166" s="218"/>
      <c r="G166" s="220"/>
      <c r="H166" s="220"/>
      <c r="I166" s="221"/>
      <c r="J166" s="222"/>
      <c r="K166" s="215"/>
      <c r="M166" s="18" t="str">
        <f t="shared" si="37"/>
        <v/>
      </c>
      <c r="N166" s="18" t="str">
        <f t="shared" si="38"/>
        <v/>
      </c>
      <c r="O166" s="18" t="str">
        <f t="shared" si="39"/>
        <v/>
      </c>
      <c r="P166" s="18" t="str">
        <f t="shared" si="40"/>
        <v/>
      </c>
      <c r="Q166" s="18" t="str">
        <f t="shared" si="41"/>
        <v/>
      </c>
      <c r="R166" s="18" t="str">
        <f t="shared" si="42"/>
        <v/>
      </c>
      <c r="S166" s="18" t="str">
        <f t="shared" si="43"/>
        <v/>
      </c>
    </row>
    <row r="167" spans="1:19" ht="22.5" customHeight="1" x14ac:dyDescent="0.25">
      <c r="A167" s="201"/>
      <c r="B167" s="202"/>
      <c r="C167" s="203"/>
      <c r="D167" s="203"/>
      <c r="E167" s="204"/>
      <c r="F167" s="203"/>
      <c r="G167" s="205"/>
      <c r="H167" s="205"/>
      <c r="I167" s="206"/>
      <c r="J167" s="207"/>
      <c r="K167" s="192"/>
      <c r="M167" s="18" t="str">
        <f t="shared" si="37"/>
        <v/>
      </c>
      <c r="N167" s="18" t="str">
        <f t="shared" si="38"/>
        <v/>
      </c>
      <c r="O167" s="18" t="str">
        <f t="shared" si="39"/>
        <v/>
      </c>
      <c r="P167" s="18" t="str">
        <f t="shared" si="40"/>
        <v/>
      </c>
      <c r="Q167" s="18" t="str">
        <f t="shared" si="41"/>
        <v/>
      </c>
      <c r="R167" s="18" t="str">
        <f t="shared" si="42"/>
        <v/>
      </c>
      <c r="S167" s="18" t="str">
        <f t="shared" si="43"/>
        <v/>
      </c>
    </row>
    <row r="168" spans="1:19" ht="22.5" customHeight="1" x14ac:dyDescent="0.25">
      <c r="A168" s="216"/>
      <c r="B168" s="217"/>
      <c r="C168" s="218"/>
      <c r="D168" s="218"/>
      <c r="E168" s="221"/>
      <c r="F168" s="218"/>
      <c r="G168" s="220"/>
      <c r="H168" s="220"/>
      <c r="I168" s="221"/>
      <c r="J168" s="222"/>
      <c r="K168" s="215"/>
      <c r="M168" s="18" t="str">
        <f t="shared" si="37"/>
        <v/>
      </c>
      <c r="N168" s="18" t="str">
        <f t="shared" si="38"/>
        <v/>
      </c>
      <c r="O168" s="18" t="str">
        <f t="shared" si="39"/>
        <v/>
      </c>
      <c r="P168" s="18" t="str">
        <f t="shared" si="40"/>
        <v/>
      </c>
      <c r="Q168" s="18" t="str">
        <f t="shared" si="41"/>
        <v/>
      </c>
      <c r="R168" s="18" t="str">
        <f t="shared" si="42"/>
        <v/>
      </c>
      <c r="S168" s="18" t="str">
        <f t="shared" si="43"/>
        <v/>
      </c>
    </row>
    <row r="169" spans="1:19" ht="22.5" customHeight="1" x14ac:dyDescent="0.25">
      <c r="A169" s="201"/>
      <c r="B169" s="202"/>
      <c r="C169" s="203"/>
      <c r="D169" s="203"/>
      <c r="E169" s="204"/>
      <c r="F169" s="203"/>
      <c r="G169" s="205"/>
      <c r="H169" s="205"/>
      <c r="I169" s="206"/>
      <c r="J169" s="207"/>
      <c r="K169" s="192"/>
      <c r="M169" s="18" t="str">
        <f t="shared" si="37"/>
        <v/>
      </c>
      <c r="N169" s="18" t="str">
        <f t="shared" si="38"/>
        <v/>
      </c>
      <c r="O169" s="18" t="str">
        <f t="shared" si="39"/>
        <v/>
      </c>
      <c r="P169" s="18" t="str">
        <f t="shared" si="40"/>
        <v/>
      </c>
      <c r="Q169" s="18" t="str">
        <f t="shared" si="41"/>
        <v/>
      </c>
      <c r="R169" s="18" t="str">
        <f t="shared" si="42"/>
        <v/>
      </c>
      <c r="S169" s="18" t="str">
        <f t="shared" si="43"/>
        <v/>
      </c>
    </row>
    <row r="170" spans="1:19" ht="22.5" customHeight="1" x14ac:dyDescent="0.25">
      <c r="A170" s="216"/>
      <c r="B170" s="217"/>
      <c r="C170" s="218"/>
      <c r="D170" s="218"/>
      <c r="E170" s="221"/>
      <c r="F170" s="218"/>
      <c r="G170" s="220"/>
      <c r="H170" s="220"/>
      <c r="I170" s="221"/>
      <c r="J170" s="222"/>
      <c r="K170" s="215"/>
      <c r="M170" s="18" t="str">
        <f t="shared" si="37"/>
        <v/>
      </c>
      <c r="N170" s="18" t="str">
        <f t="shared" si="38"/>
        <v/>
      </c>
      <c r="O170" s="18" t="str">
        <f t="shared" si="39"/>
        <v/>
      </c>
      <c r="P170" s="18" t="str">
        <f t="shared" si="40"/>
        <v/>
      </c>
      <c r="Q170" s="18" t="str">
        <f t="shared" si="41"/>
        <v/>
      </c>
      <c r="R170" s="18" t="str">
        <f t="shared" si="42"/>
        <v/>
      </c>
      <c r="S170" s="18" t="str">
        <f t="shared" si="43"/>
        <v/>
      </c>
    </row>
    <row r="171" spans="1:19" ht="22.5" customHeight="1" x14ac:dyDescent="0.25">
      <c r="A171" s="201"/>
      <c r="B171" s="202"/>
      <c r="C171" s="203"/>
      <c r="D171" s="203"/>
      <c r="E171" s="204"/>
      <c r="F171" s="203"/>
      <c r="G171" s="205"/>
      <c r="H171" s="205"/>
      <c r="I171" s="206"/>
      <c r="J171" s="207"/>
      <c r="K171" s="192"/>
      <c r="M171" s="18" t="str">
        <f t="shared" si="37"/>
        <v/>
      </c>
      <c r="N171" s="18" t="str">
        <f t="shared" si="38"/>
        <v/>
      </c>
      <c r="O171" s="18" t="str">
        <f t="shared" si="39"/>
        <v/>
      </c>
      <c r="P171" s="18" t="str">
        <f t="shared" si="40"/>
        <v/>
      </c>
      <c r="Q171" s="18" t="str">
        <f t="shared" si="41"/>
        <v/>
      </c>
      <c r="R171" s="18" t="str">
        <f t="shared" si="42"/>
        <v/>
      </c>
      <c r="S171" s="18" t="str">
        <f t="shared" si="43"/>
        <v/>
      </c>
    </row>
    <row r="172" spans="1:19" ht="22.5" customHeight="1" x14ac:dyDescent="0.25">
      <c r="A172" s="216"/>
      <c r="B172" s="217"/>
      <c r="C172" s="218"/>
      <c r="D172" s="218"/>
      <c r="E172" s="221"/>
      <c r="F172" s="218"/>
      <c r="G172" s="220"/>
      <c r="H172" s="220"/>
      <c r="I172" s="221"/>
      <c r="J172" s="222"/>
      <c r="K172" s="215"/>
      <c r="M172" s="18" t="str">
        <f t="shared" si="37"/>
        <v/>
      </c>
      <c r="N172" s="18" t="str">
        <f t="shared" si="38"/>
        <v/>
      </c>
      <c r="O172" s="18" t="str">
        <f t="shared" si="39"/>
        <v/>
      </c>
      <c r="P172" s="18" t="str">
        <f t="shared" si="40"/>
        <v/>
      </c>
      <c r="Q172" s="18" t="str">
        <f t="shared" si="41"/>
        <v/>
      </c>
      <c r="R172" s="18" t="str">
        <f t="shared" si="42"/>
        <v/>
      </c>
      <c r="S172" s="18" t="str">
        <f t="shared" si="43"/>
        <v/>
      </c>
    </row>
    <row r="173" spans="1:19" ht="22.5" customHeight="1" x14ac:dyDescent="0.25">
      <c r="A173" s="201"/>
      <c r="B173" s="202"/>
      <c r="C173" s="203"/>
      <c r="D173" s="203"/>
      <c r="E173" s="204"/>
      <c r="F173" s="203"/>
      <c r="G173" s="205"/>
      <c r="H173" s="205"/>
      <c r="I173" s="206"/>
      <c r="J173" s="207"/>
      <c r="K173" s="192"/>
      <c r="M173" s="18" t="str">
        <f t="shared" si="37"/>
        <v/>
      </c>
      <c r="N173" s="18" t="str">
        <f t="shared" si="38"/>
        <v/>
      </c>
      <c r="O173" s="18" t="str">
        <f t="shared" si="39"/>
        <v/>
      </c>
      <c r="P173" s="18" t="str">
        <f t="shared" si="40"/>
        <v/>
      </c>
      <c r="Q173" s="18" t="str">
        <f t="shared" si="41"/>
        <v/>
      </c>
      <c r="R173" s="18" t="str">
        <f t="shared" si="42"/>
        <v/>
      </c>
      <c r="S173" s="18" t="str">
        <f t="shared" si="43"/>
        <v/>
      </c>
    </row>
    <row r="174" spans="1:19" ht="22.5" customHeight="1" x14ac:dyDescent="0.25">
      <c r="A174" s="216"/>
      <c r="B174" s="217"/>
      <c r="C174" s="218"/>
      <c r="D174" s="218"/>
      <c r="E174" s="221"/>
      <c r="F174" s="218"/>
      <c r="G174" s="220"/>
      <c r="H174" s="220"/>
      <c r="I174" s="221"/>
      <c r="J174" s="222"/>
      <c r="K174" s="215"/>
      <c r="M174" s="18" t="str">
        <f t="shared" si="37"/>
        <v/>
      </c>
      <c r="N174" s="18" t="str">
        <f t="shared" si="38"/>
        <v/>
      </c>
      <c r="O174" s="18" t="str">
        <f t="shared" si="39"/>
        <v/>
      </c>
      <c r="P174" s="18" t="str">
        <f t="shared" si="40"/>
        <v/>
      </c>
      <c r="Q174" s="18" t="str">
        <f t="shared" si="41"/>
        <v/>
      </c>
      <c r="R174" s="18" t="str">
        <f t="shared" si="42"/>
        <v/>
      </c>
      <c r="S174" s="18" t="str">
        <f t="shared" si="43"/>
        <v/>
      </c>
    </row>
    <row r="175" spans="1:19" ht="22.5" customHeight="1" x14ac:dyDescent="0.25">
      <c r="A175" s="201"/>
      <c r="B175" s="202"/>
      <c r="C175" s="203"/>
      <c r="D175" s="203"/>
      <c r="E175" s="204"/>
      <c r="F175" s="203"/>
      <c r="G175" s="205"/>
      <c r="H175" s="205"/>
      <c r="I175" s="206"/>
      <c r="J175" s="207"/>
      <c r="K175" s="192"/>
      <c r="M175" s="18" t="str">
        <f t="shared" si="37"/>
        <v/>
      </c>
      <c r="N175" s="18" t="str">
        <f t="shared" si="38"/>
        <v/>
      </c>
      <c r="O175" s="18" t="str">
        <f t="shared" si="39"/>
        <v/>
      </c>
      <c r="P175" s="18" t="str">
        <f t="shared" si="40"/>
        <v/>
      </c>
      <c r="Q175" s="18" t="str">
        <f t="shared" si="41"/>
        <v/>
      </c>
      <c r="R175" s="18" t="str">
        <f t="shared" si="42"/>
        <v/>
      </c>
      <c r="S175" s="18" t="str">
        <f t="shared" si="43"/>
        <v/>
      </c>
    </row>
    <row r="176" spans="1:19" ht="22.5" customHeight="1" x14ac:dyDescent="0.25">
      <c r="A176" s="216"/>
      <c r="B176" s="217"/>
      <c r="C176" s="218"/>
      <c r="D176" s="218"/>
      <c r="E176" s="221"/>
      <c r="F176" s="218"/>
      <c r="G176" s="220"/>
      <c r="H176" s="220"/>
      <c r="I176" s="221"/>
      <c r="J176" s="222"/>
      <c r="K176" s="215"/>
      <c r="M176" s="18" t="str">
        <f t="shared" si="37"/>
        <v/>
      </c>
      <c r="N176" s="18" t="str">
        <f t="shared" si="38"/>
        <v/>
      </c>
      <c r="O176" s="18" t="str">
        <f t="shared" si="39"/>
        <v/>
      </c>
      <c r="P176" s="18" t="str">
        <f t="shared" si="40"/>
        <v/>
      </c>
      <c r="Q176" s="18" t="str">
        <f t="shared" si="41"/>
        <v/>
      </c>
      <c r="R176" s="18" t="str">
        <f t="shared" si="42"/>
        <v/>
      </c>
      <c r="S176" s="18" t="str">
        <f t="shared" si="43"/>
        <v/>
      </c>
    </row>
    <row r="177" spans="1:19" ht="22.5" customHeight="1" x14ac:dyDescent="0.25">
      <c r="A177" s="201"/>
      <c r="B177" s="202"/>
      <c r="C177" s="203"/>
      <c r="D177" s="203"/>
      <c r="E177" s="204"/>
      <c r="F177" s="203"/>
      <c r="G177" s="205"/>
      <c r="H177" s="205"/>
      <c r="I177" s="206"/>
      <c r="J177" s="207"/>
      <c r="K177" s="192"/>
      <c r="M177" s="18" t="str">
        <f t="shared" si="37"/>
        <v/>
      </c>
      <c r="N177" s="18" t="str">
        <f t="shared" si="38"/>
        <v/>
      </c>
      <c r="O177" s="18" t="str">
        <f t="shared" si="39"/>
        <v/>
      </c>
      <c r="P177" s="18" t="str">
        <f t="shared" si="40"/>
        <v/>
      </c>
      <c r="Q177" s="18" t="str">
        <f t="shared" si="41"/>
        <v/>
      </c>
      <c r="R177" s="18" t="str">
        <f t="shared" si="42"/>
        <v/>
      </c>
      <c r="S177" s="18" t="str">
        <f t="shared" si="43"/>
        <v/>
      </c>
    </row>
    <row r="178" spans="1:19" ht="22.5" customHeight="1" x14ac:dyDescent="0.25">
      <c r="A178" s="216"/>
      <c r="B178" s="217"/>
      <c r="C178" s="218"/>
      <c r="D178" s="218"/>
      <c r="E178" s="221"/>
      <c r="F178" s="218"/>
      <c r="G178" s="220"/>
      <c r="H178" s="220"/>
      <c r="I178" s="221"/>
      <c r="J178" s="222"/>
      <c r="K178" s="215"/>
      <c r="M178" s="18" t="str">
        <f t="shared" si="37"/>
        <v/>
      </c>
      <c r="N178" s="18" t="str">
        <f t="shared" si="38"/>
        <v/>
      </c>
      <c r="O178" s="18" t="str">
        <f t="shared" si="39"/>
        <v/>
      </c>
      <c r="P178" s="18" t="str">
        <f t="shared" si="40"/>
        <v/>
      </c>
      <c r="Q178" s="18" t="str">
        <f t="shared" si="41"/>
        <v/>
      </c>
      <c r="R178" s="18" t="str">
        <f t="shared" si="42"/>
        <v/>
      </c>
      <c r="S178" s="18" t="str">
        <f t="shared" si="43"/>
        <v/>
      </c>
    </row>
    <row r="179" spans="1:19" ht="22.5" customHeight="1" x14ac:dyDescent="0.25">
      <c r="A179" s="201"/>
      <c r="B179" s="202"/>
      <c r="C179" s="203"/>
      <c r="D179" s="203"/>
      <c r="E179" s="204"/>
      <c r="F179" s="203"/>
      <c r="G179" s="205"/>
      <c r="H179" s="205"/>
      <c r="I179" s="206"/>
      <c r="J179" s="207"/>
      <c r="K179" s="192"/>
      <c r="M179" s="18" t="str">
        <f t="shared" si="37"/>
        <v/>
      </c>
      <c r="N179" s="18" t="str">
        <f t="shared" si="38"/>
        <v/>
      </c>
      <c r="O179" s="18" t="str">
        <f t="shared" si="39"/>
        <v/>
      </c>
      <c r="P179" s="18" t="str">
        <f t="shared" si="40"/>
        <v/>
      </c>
      <c r="Q179" s="18" t="str">
        <f t="shared" si="41"/>
        <v/>
      </c>
      <c r="R179" s="18" t="str">
        <f t="shared" si="42"/>
        <v/>
      </c>
      <c r="S179" s="18" t="str">
        <f t="shared" si="43"/>
        <v/>
      </c>
    </row>
    <row r="180" spans="1:19" ht="22.5" customHeight="1" x14ac:dyDescent="0.25">
      <c r="A180" s="216"/>
      <c r="B180" s="217"/>
      <c r="C180" s="218"/>
      <c r="D180" s="218"/>
      <c r="E180" s="221"/>
      <c r="F180" s="218"/>
      <c r="G180" s="220"/>
      <c r="H180" s="220"/>
      <c r="I180" s="221"/>
      <c r="J180" s="222"/>
      <c r="K180" s="215"/>
      <c r="M180" s="18" t="str">
        <f t="shared" si="37"/>
        <v/>
      </c>
      <c r="N180" s="18" t="str">
        <f t="shared" si="38"/>
        <v/>
      </c>
      <c r="O180" s="18" t="str">
        <f t="shared" si="39"/>
        <v/>
      </c>
      <c r="P180" s="18" t="str">
        <f t="shared" si="40"/>
        <v/>
      </c>
      <c r="Q180" s="18" t="str">
        <f t="shared" si="41"/>
        <v/>
      </c>
      <c r="R180" s="18" t="str">
        <f t="shared" si="42"/>
        <v/>
      </c>
      <c r="S180" s="18" t="str">
        <f t="shared" si="43"/>
        <v/>
      </c>
    </row>
    <row r="181" spans="1:19" ht="22.5" customHeight="1" x14ac:dyDescent="0.25">
      <c r="A181" s="201"/>
      <c r="B181" s="202"/>
      <c r="C181" s="203"/>
      <c r="D181" s="203"/>
      <c r="E181" s="204"/>
      <c r="F181" s="203"/>
      <c r="G181" s="205"/>
      <c r="H181" s="205"/>
      <c r="I181" s="206"/>
      <c r="J181" s="207"/>
      <c r="K181" s="192"/>
      <c r="M181" s="18" t="str">
        <f t="shared" si="37"/>
        <v/>
      </c>
      <c r="N181" s="18" t="str">
        <f t="shared" si="38"/>
        <v/>
      </c>
      <c r="O181" s="18" t="str">
        <f t="shared" si="39"/>
        <v/>
      </c>
      <c r="P181" s="18" t="str">
        <f t="shared" si="40"/>
        <v/>
      </c>
      <c r="Q181" s="18" t="str">
        <f t="shared" si="41"/>
        <v/>
      </c>
      <c r="R181" s="18" t="str">
        <f t="shared" si="42"/>
        <v/>
      </c>
      <c r="S181" s="18" t="str">
        <f t="shared" si="43"/>
        <v/>
      </c>
    </row>
    <row r="182" spans="1:19" ht="22.5" customHeight="1" x14ac:dyDescent="0.25">
      <c r="A182" s="216"/>
      <c r="B182" s="217"/>
      <c r="C182" s="218"/>
      <c r="D182" s="218"/>
      <c r="E182" s="221"/>
      <c r="F182" s="218"/>
      <c r="G182" s="220"/>
      <c r="H182" s="220"/>
      <c r="I182" s="221"/>
      <c r="J182" s="222"/>
      <c r="K182" s="215"/>
      <c r="M182" s="18" t="str">
        <f t="shared" si="37"/>
        <v/>
      </c>
      <c r="N182" s="18" t="str">
        <f t="shared" si="38"/>
        <v/>
      </c>
      <c r="O182" s="18" t="str">
        <f t="shared" si="39"/>
        <v/>
      </c>
      <c r="P182" s="18" t="str">
        <f t="shared" si="40"/>
        <v/>
      </c>
      <c r="Q182" s="18" t="str">
        <f t="shared" si="41"/>
        <v/>
      </c>
      <c r="R182" s="18" t="str">
        <f t="shared" si="42"/>
        <v/>
      </c>
      <c r="S182" s="18" t="str">
        <f t="shared" si="43"/>
        <v/>
      </c>
    </row>
    <row r="183" spans="1:19" ht="22.5" customHeight="1" x14ac:dyDescent="0.25">
      <c r="A183" s="201"/>
      <c r="B183" s="202"/>
      <c r="C183" s="203"/>
      <c r="D183" s="203"/>
      <c r="E183" s="204"/>
      <c r="F183" s="203"/>
      <c r="G183" s="205"/>
      <c r="H183" s="205"/>
      <c r="I183" s="206"/>
      <c r="J183" s="207"/>
      <c r="K183" s="192"/>
      <c r="M183" s="18" t="str">
        <f t="shared" si="37"/>
        <v/>
      </c>
      <c r="N183" s="18" t="str">
        <f t="shared" si="38"/>
        <v/>
      </c>
      <c r="O183" s="18" t="str">
        <f t="shared" si="39"/>
        <v/>
      </c>
      <c r="P183" s="18" t="str">
        <f t="shared" si="40"/>
        <v/>
      </c>
      <c r="Q183" s="18" t="str">
        <f t="shared" si="41"/>
        <v/>
      </c>
      <c r="R183" s="18" t="str">
        <f t="shared" si="42"/>
        <v/>
      </c>
      <c r="S183" s="18" t="str">
        <f t="shared" si="43"/>
        <v/>
      </c>
    </row>
    <row r="184" spans="1:19" ht="22.5" customHeight="1" x14ac:dyDescent="0.25">
      <c r="A184" s="216"/>
      <c r="B184" s="217"/>
      <c r="C184" s="218"/>
      <c r="D184" s="218"/>
      <c r="E184" s="221"/>
      <c r="F184" s="218"/>
      <c r="G184" s="220"/>
      <c r="H184" s="220"/>
      <c r="I184" s="221"/>
      <c r="J184" s="222"/>
      <c r="K184" s="215"/>
      <c r="M184" s="18" t="str">
        <f t="shared" si="37"/>
        <v/>
      </c>
      <c r="N184" s="18" t="str">
        <f t="shared" si="38"/>
        <v/>
      </c>
      <c r="O184" s="18" t="str">
        <f t="shared" si="39"/>
        <v/>
      </c>
      <c r="P184" s="18" t="str">
        <f t="shared" si="40"/>
        <v/>
      </c>
      <c r="Q184" s="18" t="str">
        <f t="shared" si="41"/>
        <v/>
      </c>
      <c r="R184" s="18" t="str">
        <f t="shared" si="42"/>
        <v/>
      </c>
      <c r="S184" s="18" t="str">
        <f t="shared" si="43"/>
        <v/>
      </c>
    </row>
    <row r="185" spans="1:19" ht="22.5" customHeight="1" x14ac:dyDescent="0.25">
      <c r="A185" s="201"/>
      <c r="B185" s="202"/>
      <c r="C185" s="203"/>
      <c r="D185" s="203"/>
      <c r="E185" s="204"/>
      <c r="F185" s="203"/>
      <c r="G185" s="205"/>
      <c r="H185" s="205"/>
      <c r="I185" s="206"/>
      <c r="J185" s="207"/>
      <c r="K185" s="192"/>
      <c r="M185" s="18" t="str">
        <f t="shared" si="37"/>
        <v/>
      </c>
      <c r="N185" s="18" t="str">
        <f t="shared" si="38"/>
        <v/>
      </c>
      <c r="O185" s="18" t="str">
        <f t="shared" si="39"/>
        <v/>
      </c>
      <c r="P185" s="18" t="str">
        <f t="shared" si="40"/>
        <v/>
      </c>
      <c r="Q185" s="18" t="str">
        <f t="shared" si="41"/>
        <v/>
      </c>
      <c r="R185" s="18" t="str">
        <f t="shared" si="42"/>
        <v/>
      </c>
      <c r="S185" s="18" t="str">
        <f t="shared" si="43"/>
        <v/>
      </c>
    </row>
    <row r="186" spans="1:19" ht="22.5" customHeight="1" x14ac:dyDescent="0.25">
      <c r="A186" s="216"/>
      <c r="B186" s="217"/>
      <c r="C186" s="218"/>
      <c r="D186" s="218"/>
      <c r="E186" s="221"/>
      <c r="F186" s="218"/>
      <c r="G186" s="220"/>
      <c r="H186" s="220"/>
      <c r="I186" s="221"/>
      <c r="J186" s="222"/>
      <c r="K186" s="215"/>
      <c r="M186" s="18" t="str">
        <f t="shared" si="37"/>
        <v/>
      </c>
      <c r="N186" s="18" t="str">
        <f t="shared" si="38"/>
        <v/>
      </c>
      <c r="O186" s="18" t="str">
        <f t="shared" si="39"/>
        <v/>
      </c>
      <c r="P186" s="18" t="str">
        <f t="shared" si="40"/>
        <v/>
      </c>
      <c r="Q186" s="18" t="str">
        <f t="shared" si="41"/>
        <v/>
      </c>
      <c r="R186" s="18" t="str">
        <f t="shared" si="42"/>
        <v/>
      </c>
      <c r="S186" s="18" t="str">
        <f t="shared" si="43"/>
        <v/>
      </c>
    </row>
    <row r="187" spans="1:19" ht="22.5" customHeight="1" x14ac:dyDescent="0.25">
      <c r="A187" s="201"/>
      <c r="B187" s="202"/>
      <c r="C187" s="203"/>
      <c r="D187" s="203"/>
      <c r="E187" s="204"/>
      <c r="F187" s="203"/>
      <c r="G187" s="205"/>
      <c r="H187" s="205"/>
      <c r="I187" s="206"/>
      <c r="J187" s="207"/>
      <c r="K187" s="192"/>
      <c r="M187" s="18" t="str">
        <f t="shared" si="37"/>
        <v/>
      </c>
      <c r="N187" s="18" t="str">
        <f t="shared" si="38"/>
        <v/>
      </c>
      <c r="O187" s="18" t="str">
        <f t="shared" si="39"/>
        <v/>
      </c>
      <c r="P187" s="18" t="str">
        <f t="shared" si="40"/>
        <v/>
      </c>
      <c r="Q187" s="18" t="str">
        <f t="shared" si="41"/>
        <v/>
      </c>
      <c r="R187" s="18" t="str">
        <f t="shared" si="42"/>
        <v/>
      </c>
      <c r="S187" s="18" t="str">
        <f t="shared" si="43"/>
        <v/>
      </c>
    </row>
    <row r="188" spans="1:19" ht="22.5" customHeight="1" x14ac:dyDescent="0.25">
      <c r="A188" s="216"/>
      <c r="B188" s="217"/>
      <c r="C188" s="218"/>
      <c r="D188" s="218"/>
      <c r="E188" s="221"/>
      <c r="F188" s="218"/>
      <c r="G188" s="220"/>
      <c r="H188" s="220"/>
      <c r="I188" s="221"/>
      <c r="J188" s="222"/>
      <c r="K188" s="215"/>
      <c r="M188" s="18" t="str">
        <f t="shared" ref="M188:M251" si="44">IF(A188="","",IF(A188="Entrada",D188,""))</f>
        <v/>
      </c>
      <c r="N188" s="18" t="str">
        <f t="shared" ref="N188:N251" si="45">IF(A188="","",IF(A188="Entrada",E188,""))</f>
        <v/>
      </c>
      <c r="O188" s="18" t="str">
        <f t="shared" ref="O188:O251" si="46">IF(A188="","",IF(A188="Entrada",1,""))</f>
        <v/>
      </c>
      <c r="P188" s="18" t="str">
        <f t="shared" ref="P188:P251" si="47">IF(O188=1,G188,"")</f>
        <v/>
      </c>
      <c r="Q188" s="18" t="str">
        <f t="shared" ref="Q188:Q251" si="48">IF(A188="","",IF(A188="Entrada",(M188/10)*P188,""))</f>
        <v/>
      </c>
      <c r="R188" s="18" t="str">
        <f t="shared" ref="R188:R251" si="49">IF(A188="","",IF(A188="Saída",D188,""))</f>
        <v/>
      </c>
      <c r="S188" s="18" t="str">
        <f t="shared" ref="S188:S251" si="50">IF(A188="","",IF(A188="Saída",E188,""))</f>
        <v/>
      </c>
    </row>
    <row r="189" spans="1:19" ht="22.5" customHeight="1" x14ac:dyDescent="0.25">
      <c r="A189" s="201"/>
      <c r="B189" s="202"/>
      <c r="C189" s="203"/>
      <c r="D189" s="203"/>
      <c r="E189" s="204"/>
      <c r="F189" s="203"/>
      <c r="G189" s="205"/>
      <c r="H189" s="205"/>
      <c r="I189" s="206"/>
      <c r="J189" s="207"/>
      <c r="K189" s="192"/>
      <c r="M189" s="18" t="str">
        <f t="shared" si="44"/>
        <v/>
      </c>
      <c r="N189" s="18" t="str">
        <f t="shared" si="45"/>
        <v/>
      </c>
      <c r="O189" s="18" t="str">
        <f t="shared" si="46"/>
        <v/>
      </c>
      <c r="P189" s="18" t="str">
        <f t="shared" si="47"/>
        <v/>
      </c>
      <c r="Q189" s="18" t="str">
        <f t="shared" si="48"/>
        <v/>
      </c>
      <c r="R189" s="18" t="str">
        <f t="shared" si="49"/>
        <v/>
      </c>
      <c r="S189" s="18" t="str">
        <f t="shared" si="50"/>
        <v/>
      </c>
    </row>
    <row r="190" spans="1:19" ht="22.5" customHeight="1" x14ac:dyDescent="0.25">
      <c r="A190" s="216"/>
      <c r="B190" s="217"/>
      <c r="C190" s="218"/>
      <c r="D190" s="218"/>
      <c r="E190" s="221"/>
      <c r="F190" s="218"/>
      <c r="G190" s="220"/>
      <c r="H190" s="220"/>
      <c r="I190" s="221"/>
      <c r="J190" s="222"/>
      <c r="K190" s="215"/>
      <c r="M190" s="18" t="str">
        <f t="shared" si="44"/>
        <v/>
      </c>
      <c r="N190" s="18" t="str">
        <f t="shared" si="45"/>
        <v/>
      </c>
      <c r="O190" s="18" t="str">
        <f t="shared" si="46"/>
        <v/>
      </c>
      <c r="P190" s="18" t="str">
        <f t="shared" si="47"/>
        <v/>
      </c>
      <c r="Q190" s="18" t="str">
        <f t="shared" si="48"/>
        <v/>
      </c>
      <c r="R190" s="18" t="str">
        <f t="shared" si="49"/>
        <v/>
      </c>
      <c r="S190" s="18" t="str">
        <f t="shared" si="50"/>
        <v/>
      </c>
    </row>
    <row r="191" spans="1:19" ht="22.5" customHeight="1" x14ac:dyDescent="0.25">
      <c r="A191" s="201"/>
      <c r="B191" s="202"/>
      <c r="C191" s="203"/>
      <c r="D191" s="203"/>
      <c r="E191" s="204"/>
      <c r="F191" s="203"/>
      <c r="G191" s="205"/>
      <c r="H191" s="205"/>
      <c r="I191" s="206"/>
      <c r="J191" s="207"/>
      <c r="K191" s="192"/>
      <c r="M191" s="18" t="str">
        <f t="shared" si="44"/>
        <v/>
      </c>
      <c r="N191" s="18" t="str">
        <f t="shared" si="45"/>
        <v/>
      </c>
      <c r="O191" s="18" t="str">
        <f t="shared" si="46"/>
        <v/>
      </c>
      <c r="P191" s="18" t="str">
        <f t="shared" si="47"/>
        <v/>
      </c>
      <c r="Q191" s="18" t="str">
        <f t="shared" si="48"/>
        <v/>
      </c>
      <c r="R191" s="18" t="str">
        <f t="shared" si="49"/>
        <v/>
      </c>
      <c r="S191" s="18" t="str">
        <f t="shared" si="50"/>
        <v/>
      </c>
    </row>
    <row r="192" spans="1:19" ht="22.5" customHeight="1" x14ac:dyDescent="0.25">
      <c r="A192" s="216"/>
      <c r="B192" s="217"/>
      <c r="C192" s="218"/>
      <c r="D192" s="218"/>
      <c r="E192" s="221"/>
      <c r="F192" s="218"/>
      <c r="G192" s="220"/>
      <c r="H192" s="220"/>
      <c r="I192" s="221"/>
      <c r="J192" s="222"/>
      <c r="K192" s="215"/>
      <c r="M192" s="18" t="str">
        <f t="shared" si="44"/>
        <v/>
      </c>
      <c r="N192" s="18" t="str">
        <f t="shared" si="45"/>
        <v/>
      </c>
      <c r="O192" s="18" t="str">
        <f t="shared" si="46"/>
        <v/>
      </c>
      <c r="P192" s="18" t="str">
        <f t="shared" si="47"/>
        <v/>
      </c>
      <c r="Q192" s="18" t="str">
        <f t="shared" si="48"/>
        <v/>
      </c>
      <c r="R192" s="18" t="str">
        <f t="shared" si="49"/>
        <v/>
      </c>
      <c r="S192" s="18" t="str">
        <f t="shared" si="50"/>
        <v/>
      </c>
    </row>
    <row r="193" spans="1:19" ht="22.5" customHeight="1" x14ac:dyDescent="0.25">
      <c r="A193" s="201"/>
      <c r="B193" s="202"/>
      <c r="C193" s="203"/>
      <c r="D193" s="203"/>
      <c r="E193" s="204"/>
      <c r="F193" s="203"/>
      <c r="G193" s="205"/>
      <c r="H193" s="205"/>
      <c r="I193" s="206"/>
      <c r="J193" s="207"/>
      <c r="K193" s="192"/>
      <c r="M193" s="18" t="str">
        <f t="shared" si="44"/>
        <v/>
      </c>
      <c r="N193" s="18" t="str">
        <f t="shared" si="45"/>
        <v/>
      </c>
      <c r="O193" s="18" t="str">
        <f t="shared" si="46"/>
        <v/>
      </c>
      <c r="P193" s="18" t="str">
        <f t="shared" si="47"/>
        <v/>
      </c>
      <c r="Q193" s="18" t="str">
        <f t="shared" si="48"/>
        <v/>
      </c>
      <c r="R193" s="18" t="str">
        <f t="shared" si="49"/>
        <v/>
      </c>
      <c r="S193" s="18" t="str">
        <f t="shared" si="50"/>
        <v/>
      </c>
    </row>
    <row r="194" spans="1:19" ht="22.5" customHeight="1" x14ac:dyDescent="0.25">
      <c r="A194" s="216"/>
      <c r="B194" s="217"/>
      <c r="C194" s="218"/>
      <c r="D194" s="218"/>
      <c r="E194" s="221"/>
      <c r="F194" s="218"/>
      <c r="G194" s="220"/>
      <c r="H194" s="220"/>
      <c r="I194" s="221"/>
      <c r="J194" s="222"/>
      <c r="K194" s="215"/>
      <c r="M194" s="18" t="str">
        <f t="shared" si="44"/>
        <v/>
      </c>
      <c r="N194" s="18" t="str">
        <f t="shared" si="45"/>
        <v/>
      </c>
      <c r="O194" s="18" t="str">
        <f t="shared" si="46"/>
        <v/>
      </c>
      <c r="P194" s="18" t="str">
        <f t="shared" si="47"/>
        <v/>
      </c>
      <c r="Q194" s="18" t="str">
        <f t="shared" si="48"/>
        <v/>
      </c>
      <c r="R194" s="18" t="str">
        <f t="shared" si="49"/>
        <v/>
      </c>
      <c r="S194" s="18" t="str">
        <f t="shared" si="50"/>
        <v/>
      </c>
    </row>
    <row r="195" spans="1:19" ht="22.5" customHeight="1" x14ac:dyDescent="0.25">
      <c r="A195" s="201"/>
      <c r="B195" s="202"/>
      <c r="C195" s="203"/>
      <c r="D195" s="203"/>
      <c r="E195" s="204"/>
      <c r="F195" s="203"/>
      <c r="G195" s="205"/>
      <c r="H195" s="205"/>
      <c r="I195" s="206"/>
      <c r="J195" s="207"/>
      <c r="K195" s="192"/>
      <c r="M195" s="18" t="str">
        <f t="shared" si="44"/>
        <v/>
      </c>
      <c r="N195" s="18" t="str">
        <f t="shared" si="45"/>
        <v/>
      </c>
      <c r="O195" s="18" t="str">
        <f t="shared" si="46"/>
        <v/>
      </c>
      <c r="P195" s="18" t="str">
        <f t="shared" si="47"/>
        <v/>
      </c>
      <c r="Q195" s="18" t="str">
        <f t="shared" si="48"/>
        <v/>
      </c>
      <c r="R195" s="18" t="str">
        <f t="shared" si="49"/>
        <v/>
      </c>
      <c r="S195" s="18" t="str">
        <f t="shared" si="50"/>
        <v/>
      </c>
    </row>
    <row r="196" spans="1:19" ht="22.5" customHeight="1" x14ac:dyDescent="0.25">
      <c r="A196" s="216"/>
      <c r="B196" s="217"/>
      <c r="C196" s="218"/>
      <c r="D196" s="218"/>
      <c r="E196" s="221"/>
      <c r="F196" s="218"/>
      <c r="G196" s="220"/>
      <c r="H196" s="220"/>
      <c r="I196" s="221"/>
      <c r="J196" s="222"/>
      <c r="K196" s="215"/>
      <c r="M196" s="18" t="str">
        <f t="shared" si="44"/>
        <v/>
      </c>
      <c r="N196" s="18" t="str">
        <f t="shared" si="45"/>
        <v/>
      </c>
      <c r="O196" s="18" t="str">
        <f t="shared" si="46"/>
        <v/>
      </c>
      <c r="P196" s="18" t="str">
        <f t="shared" si="47"/>
        <v/>
      </c>
      <c r="Q196" s="18" t="str">
        <f t="shared" si="48"/>
        <v/>
      </c>
      <c r="R196" s="18" t="str">
        <f t="shared" si="49"/>
        <v/>
      </c>
      <c r="S196" s="18" t="str">
        <f t="shared" si="50"/>
        <v/>
      </c>
    </row>
    <row r="197" spans="1:19" ht="22.5" customHeight="1" x14ac:dyDescent="0.25">
      <c r="A197" s="201"/>
      <c r="B197" s="202"/>
      <c r="C197" s="203"/>
      <c r="D197" s="203"/>
      <c r="E197" s="204"/>
      <c r="F197" s="203"/>
      <c r="G197" s="205"/>
      <c r="H197" s="205"/>
      <c r="I197" s="206"/>
      <c r="J197" s="207"/>
      <c r="K197" s="192"/>
      <c r="M197" s="18" t="str">
        <f t="shared" si="44"/>
        <v/>
      </c>
      <c r="N197" s="18" t="str">
        <f t="shared" si="45"/>
        <v/>
      </c>
      <c r="O197" s="18" t="str">
        <f t="shared" si="46"/>
        <v/>
      </c>
      <c r="P197" s="18" t="str">
        <f t="shared" si="47"/>
        <v/>
      </c>
      <c r="Q197" s="18" t="str">
        <f t="shared" si="48"/>
        <v/>
      </c>
      <c r="R197" s="18" t="str">
        <f t="shared" si="49"/>
        <v/>
      </c>
      <c r="S197" s="18" t="str">
        <f t="shared" si="50"/>
        <v/>
      </c>
    </row>
    <row r="198" spans="1:19" ht="22.5" customHeight="1" x14ac:dyDescent="0.25">
      <c r="A198" s="216"/>
      <c r="B198" s="217"/>
      <c r="C198" s="218"/>
      <c r="D198" s="218"/>
      <c r="E198" s="221"/>
      <c r="F198" s="218"/>
      <c r="G198" s="220"/>
      <c r="H198" s="220"/>
      <c r="I198" s="221"/>
      <c r="J198" s="222"/>
      <c r="K198" s="215"/>
      <c r="M198" s="18" t="str">
        <f t="shared" si="44"/>
        <v/>
      </c>
      <c r="N198" s="18" t="str">
        <f t="shared" si="45"/>
        <v/>
      </c>
      <c r="O198" s="18" t="str">
        <f t="shared" si="46"/>
        <v/>
      </c>
      <c r="P198" s="18" t="str">
        <f t="shared" si="47"/>
        <v/>
      </c>
      <c r="Q198" s="18" t="str">
        <f t="shared" si="48"/>
        <v/>
      </c>
      <c r="R198" s="18" t="str">
        <f t="shared" si="49"/>
        <v/>
      </c>
      <c r="S198" s="18" t="str">
        <f t="shared" si="50"/>
        <v/>
      </c>
    </row>
    <row r="199" spans="1:19" ht="22.5" customHeight="1" x14ac:dyDescent="0.25">
      <c r="A199" s="201"/>
      <c r="B199" s="202"/>
      <c r="C199" s="203"/>
      <c r="D199" s="203"/>
      <c r="E199" s="204"/>
      <c r="F199" s="203"/>
      <c r="G199" s="205"/>
      <c r="H199" s="205"/>
      <c r="I199" s="206"/>
      <c r="J199" s="207"/>
      <c r="K199" s="192"/>
      <c r="M199" s="18" t="str">
        <f t="shared" si="44"/>
        <v/>
      </c>
      <c r="N199" s="18" t="str">
        <f t="shared" si="45"/>
        <v/>
      </c>
      <c r="O199" s="18" t="str">
        <f t="shared" si="46"/>
        <v/>
      </c>
      <c r="P199" s="18" t="str">
        <f t="shared" si="47"/>
        <v/>
      </c>
      <c r="Q199" s="18" t="str">
        <f t="shared" si="48"/>
        <v/>
      </c>
      <c r="R199" s="18" t="str">
        <f t="shared" si="49"/>
        <v/>
      </c>
      <c r="S199" s="18" t="str">
        <f t="shared" si="50"/>
        <v/>
      </c>
    </row>
    <row r="200" spans="1:19" ht="22.5" customHeight="1" x14ac:dyDescent="0.25">
      <c r="A200" s="216"/>
      <c r="B200" s="217"/>
      <c r="C200" s="218"/>
      <c r="D200" s="218"/>
      <c r="E200" s="221"/>
      <c r="F200" s="218"/>
      <c r="G200" s="220"/>
      <c r="H200" s="220"/>
      <c r="I200" s="221"/>
      <c r="J200" s="222"/>
      <c r="K200" s="215"/>
      <c r="M200" s="18" t="str">
        <f t="shared" si="44"/>
        <v/>
      </c>
      <c r="N200" s="18" t="str">
        <f t="shared" si="45"/>
        <v/>
      </c>
      <c r="O200" s="18" t="str">
        <f t="shared" si="46"/>
        <v/>
      </c>
      <c r="P200" s="18" t="str">
        <f t="shared" si="47"/>
        <v/>
      </c>
      <c r="Q200" s="18" t="str">
        <f t="shared" si="48"/>
        <v/>
      </c>
      <c r="R200" s="18" t="str">
        <f t="shared" si="49"/>
        <v/>
      </c>
      <c r="S200" s="18" t="str">
        <f t="shared" si="50"/>
        <v/>
      </c>
    </row>
    <row r="201" spans="1:19" ht="22.5" customHeight="1" x14ac:dyDescent="0.25">
      <c r="A201" s="201"/>
      <c r="B201" s="202"/>
      <c r="C201" s="203"/>
      <c r="D201" s="203"/>
      <c r="E201" s="204"/>
      <c r="F201" s="203"/>
      <c r="G201" s="205"/>
      <c r="H201" s="205"/>
      <c r="I201" s="206"/>
      <c r="J201" s="207"/>
      <c r="K201" s="192"/>
      <c r="M201" s="18" t="str">
        <f t="shared" si="44"/>
        <v/>
      </c>
      <c r="N201" s="18" t="str">
        <f t="shared" si="45"/>
        <v/>
      </c>
      <c r="O201" s="18" t="str">
        <f t="shared" si="46"/>
        <v/>
      </c>
      <c r="P201" s="18" t="str">
        <f t="shared" si="47"/>
        <v/>
      </c>
      <c r="Q201" s="18" t="str">
        <f t="shared" si="48"/>
        <v/>
      </c>
      <c r="R201" s="18" t="str">
        <f t="shared" si="49"/>
        <v/>
      </c>
      <c r="S201" s="18" t="str">
        <f t="shared" si="50"/>
        <v/>
      </c>
    </row>
    <row r="202" spans="1:19" ht="22.5" customHeight="1" x14ac:dyDescent="0.25">
      <c r="A202" s="216"/>
      <c r="B202" s="217"/>
      <c r="C202" s="218"/>
      <c r="D202" s="218"/>
      <c r="E202" s="221"/>
      <c r="F202" s="218"/>
      <c r="G202" s="220"/>
      <c r="H202" s="220"/>
      <c r="I202" s="221"/>
      <c r="J202" s="222"/>
      <c r="K202" s="215"/>
      <c r="M202" s="18" t="str">
        <f t="shared" si="44"/>
        <v/>
      </c>
      <c r="N202" s="18" t="str">
        <f t="shared" si="45"/>
        <v/>
      </c>
      <c r="O202" s="18" t="str">
        <f t="shared" si="46"/>
        <v/>
      </c>
      <c r="P202" s="18" t="str">
        <f t="shared" si="47"/>
        <v/>
      </c>
      <c r="Q202" s="18" t="str">
        <f t="shared" si="48"/>
        <v/>
      </c>
      <c r="R202" s="18" t="str">
        <f t="shared" si="49"/>
        <v/>
      </c>
      <c r="S202" s="18" t="str">
        <f t="shared" si="50"/>
        <v/>
      </c>
    </row>
    <row r="203" spans="1:19" ht="22.5" customHeight="1" x14ac:dyDescent="0.25">
      <c r="A203" s="201"/>
      <c r="B203" s="202"/>
      <c r="C203" s="203"/>
      <c r="D203" s="203"/>
      <c r="E203" s="204"/>
      <c r="F203" s="203"/>
      <c r="G203" s="205"/>
      <c r="H203" s="205"/>
      <c r="I203" s="206"/>
      <c r="J203" s="207"/>
      <c r="K203" s="192"/>
      <c r="M203" s="18" t="str">
        <f t="shared" si="44"/>
        <v/>
      </c>
      <c r="N203" s="18" t="str">
        <f t="shared" si="45"/>
        <v/>
      </c>
      <c r="O203" s="18" t="str">
        <f t="shared" si="46"/>
        <v/>
      </c>
      <c r="P203" s="18" t="str">
        <f t="shared" si="47"/>
        <v/>
      </c>
      <c r="Q203" s="18" t="str">
        <f t="shared" si="48"/>
        <v/>
      </c>
      <c r="R203" s="18" t="str">
        <f t="shared" si="49"/>
        <v/>
      </c>
      <c r="S203" s="18" t="str">
        <f t="shared" si="50"/>
        <v/>
      </c>
    </row>
    <row r="204" spans="1:19" ht="22.5" customHeight="1" x14ac:dyDescent="0.25">
      <c r="A204" s="216"/>
      <c r="B204" s="217"/>
      <c r="C204" s="218"/>
      <c r="D204" s="218"/>
      <c r="E204" s="221"/>
      <c r="F204" s="218"/>
      <c r="G204" s="220"/>
      <c r="H204" s="220"/>
      <c r="I204" s="221"/>
      <c r="J204" s="222"/>
      <c r="K204" s="215"/>
      <c r="M204" s="18" t="str">
        <f t="shared" si="44"/>
        <v/>
      </c>
      <c r="N204" s="18" t="str">
        <f t="shared" si="45"/>
        <v/>
      </c>
      <c r="O204" s="18" t="str">
        <f t="shared" si="46"/>
        <v/>
      </c>
      <c r="P204" s="18" t="str">
        <f t="shared" si="47"/>
        <v/>
      </c>
      <c r="Q204" s="18" t="str">
        <f t="shared" si="48"/>
        <v/>
      </c>
      <c r="R204" s="18" t="str">
        <f t="shared" si="49"/>
        <v/>
      </c>
      <c r="S204" s="18" t="str">
        <f t="shared" si="50"/>
        <v/>
      </c>
    </row>
    <row r="205" spans="1:19" ht="22.5" customHeight="1" x14ac:dyDescent="0.25">
      <c r="A205" s="201"/>
      <c r="B205" s="202"/>
      <c r="C205" s="203"/>
      <c r="D205" s="203"/>
      <c r="E205" s="204"/>
      <c r="F205" s="203"/>
      <c r="G205" s="205"/>
      <c r="H205" s="205"/>
      <c r="I205" s="206"/>
      <c r="J205" s="207"/>
      <c r="K205" s="192"/>
      <c r="M205" s="18" t="str">
        <f t="shared" si="44"/>
        <v/>
      </c>
      <c r="N205" s="18" t="str">
        <f t="shared" si="45"/>
        <v/>
      </c>
      <c r="O205" s="18" t="str">
        <f t="shared" si="46"/>
        <v/>
      </c>
      <c r="P205" s="18" t="str">
        <f t="shared" si="47"/>
        <v/>
      </c>
      <c r="Q205" s="18" t="str">
        <f t="shared" si="48"/>
        <v/>
      </c>
      <c r="R205" s="18" t="str">
        <f t="shared" si="49"/>
        <v/>
      </c>
      <c r="S205" s="18" t="str">
        <f t="shared" si="50"/>
        <v/>
      </c>
    </row>
    <row r="206" spans="1:19" ht="22.5" customHeight="1" x14ac:dyDescent="0.25">
      <c r="A206" s="216"/>
      <c r="B206" s="217"/>
      <c r="C206" s="218"/>
      <c r="D206" s="218"/>
      <c r="E206" s="221"/>
      <c r="F206" s="218"/>
      <c r="G206" s="220"/>
      <c r="H206" s="220"/>
      <c r="I206" s="221"/>
      <c r="J206" s="222"/>
      <c r="K206" s="215"/>
      <c r="M206" s="18" t="str">
        <f t="shared" si="44"/>
        <v/>
      </c>
      <c r="N206" s="18" t="str">
        <f t="shared" si="45"/>
        <v/>
      </c>
      <c r="O206" s="18" t="str">
        <f t="shared" si="46"/>
        <v/>
      </c>
      <c r="P206" s="18" t="str">
        <f t="shared" si="47"/>
        <v/>
      </c>
      <c r="Q206" s="18" t="str">
        <f t="shared" si="48"/>
        <v/>
      </c>
      <c r="R206" s="18" t="str">
        <f t="shared" si="49"/>
        <v/>
      </c>
      <c r="S206" s="18" t="str">
        <f t="shared" si="50"/>
        <v/>
      </c>
    </row>
    <row r="207" spans="1:19" ht="22.5" customHeight="1" x14ac:dyDescent="0.25">
      <c r="A207" s="201"/>
      <c r="B207" s="202"/>
      <c r="C207" s="203"/>
      <c r="D207" s="203"/>
      <c r="E207" s="204"/>
      <c r="F207" s="203"/>
      <c r="G207" s="205"/>
      <c r="H207" s="205"/>
      <c r="I207" s="206"/>
      <c r="J207" s="207"/>
      <c r="K207" s="192"/>
      <c r="M207" s="18" t="str">
        <f t="shared" si="44"/>
        <v/>
      </c>
      <c r="N207" s="18" t="str">
        <f t="shared" si="45"/>
        <v/>
      </c>
      <c r="O207" s="18" t="str">
        <f t="shared" si="46"/>
        <v/>
      </c>
      <c r="P207" s="18" t="str">
        <f t="shared" si="47"/>
        <v/>
      </c>
      <c r="Q207" s="18" t="str">
        <f t="shared" si="48"/>
        <v/>
      </c>
      <c r="R207" s="18" t="str">
        <f t="shared" si="49"/>
        <v/>
      </c>
      <c r="S207" s="18" t="str">
        <f t="shared" si="50"/>
        <v/>
      </c>
    </row>
    <row r="208" spans="1:19" ht="22.5" customHeight="1" x14ac:dyDescent="0.25">
      <c r="A208" s="216"/>
      <c r="B208" s="217"/>
      <c r="C208" s="218"/>
      <c r="D208" s="218"/>
      <c r="E208" s="221"/>
      <c r="F208" s="218"/>
      <c r="G208" s="220"/>
      <c r="H208" s="220"/>
      <c r="I208" s="221"/>
      <c r="J208" s="222"/>
      <c r="K208" s="215"/>
      <c r="M208" s="18" t="str">
        <f t="shared" si="44"/>
        <v/>
      </c>
      <c r="N208" s="18" t="str">
        <f t="shared" si="45"/>
        <v/>
      </c>
      <c r="O208" s="18" t="str">
        <f t="shared" si="46"/>
        <v/>
      </c>
      <c r="P208" s="18" t="str">
        <f t="shared" si="47"/>
        <v/>
      </c>
      <c r="Q208" s="18" t="str">
        <f t="shared" si="48"/>
        <v/>
      </c>
      <c r="R208" s="18" t="str">
        <f t="shared" si="49"/>
        <v/>
      </c>
      <c r="S208" s="18" t="str">
        <f t="shared" si="50"/>
        <v/>
      </c>
    </row>
    <row r="209" spans="1:19" ht="22.5" customHeight="1" x14ac:dyDescent="0.25">
      <c r="A209" s="201"/>
      <c r="B209" s="202"/>
      <c r="C209" s="203"/>
      <c r="D209" s="203"/>
      <c r="E209" s="204"/>
      <c r="F209" s="203"/>
      <c r="G209" s="205"/>
      <c r="H209" s="205"/>
      <c r="I209" s="206"/>
      <c r="J209" s="207"/>
      <c r="K209" s="192"/>
      <c r="M209" s="18" t="str">
        <f t="shared" si="44"/>
        <v/>
      </c>
      <c r="N209" s="18" t="str">
        <f t="shared" si="45"/>
        <v/>
      </c>
      <c r="O209" s="18" t="str">
        <f t="shared" si="46"/>
        <v/>
      </c>
      <c r="P209" s="18" t="str">
        <f t="shared" si="47"/>
        <v/>
      </c>
      <c r="Q209" s="18" t="str">
        <f t="shared" si="48"/>
        <v/>
      </c>
      <c r="R209" s="18" t="str">
        <f t="shared" si="49"/>
        <v/>
      </c>
      <c r="S209" s="18" t="str">
        <f t="shared" si="50"/>
        <v/>
      </c>
    </row>
    <row r="210" spans="1:19" ht="22.5" customHeight="1" x14ac:dyDescent="0.25">
      <c r="A210" s="216"/>
      <c r="B210" s="217"/>
      <c r="C210" s="218"/>
      <c r="D210" s="218"/>
      <c r="E210" s="221"/>
      <c r="F210" s="218"/>
      <c r="G210" s="220"/>
      <c r="H210" s="220"/>
      <c r="I210" s="221"/>
      <c r="J210" s="222"/>
      <c r="K210" s="215"/>
      <c r="M210" s="18" t="str">
        <f t="shared" si="44"/>
        <v/>
      </c>
      <c r="N210" s="18" t="str">
        <f t="shared" si="45"/>
        <v/>
      </c>
      <c r="O210" s="18" t="str">
        <f t="shared" si="46"/>
        <v/>
      </c>
      <c r="P210" s="18" t="str">
        <f t="shared" si="47"/>
        <v/>
      </c>
      <c r="Q210" s="18" t="str">
        <f t="shared" si="48"/>
        <v/>
      </c>
      <c r="R210" s="18" t="str">
        <f t="shared" si="49"/>
        <v/>
      </c>
      <c r="S210" s="18" t="str">
        <f t="shared" si="50"/>
        <v/>
      </c>
    </row>
    <row r="211" spans="1:19" ht="22.5" customHeight="1" x14ac:dyDescent="0.25">
      <c r="A211" s="201"/>
      <c r="B211" s="202"/>
      <c r="C211" s="203"/>
      <c r="D211" s="203"/>
      <c r="E211" s="204"/>
      <c r="F211" s="203"/>
      <c r="G211" s="205"/>
      <c r="H211" s="205"/>
      <c r="I211" s="206"/>
      <c r="J211" s="207"/>
      <c r="K211" s="192"/>
      <c r="M211" s="18" t="str">
        <f t="shared" si="44"/>
        <v/>
      </c>
      <c r="N211" s="18" t="str">
        <f t="shared" si="45"/>
        <v/>
      </c>
      <c r="O211" s="18" t="str">
        <f t="shared" si="46"/>
        <v/>
      </c>
      <c r="P211" s="18" t="str">
        <f t="shared" si="47"/>
        <v/>
      </c>
      <c r="Q211" s="18" t="str">
        <f t="shared" si="48"/>
        <v/>
      </c>
      <c r="R211" s="18" t="str">
        <f t="shared" si="49"/>
        <v/>
      </c>
      <c r="S211" s="18" t="str">
        <f t="shared" si="50"/>
        <v/>
      </c>
    </row>
    <row r="212" spans="1:19" ht="22.5" customHeight="1" x14ac:dyDescent="0.25">
      <c r="A212" s="216"/>
      <c r="B212" s="217"/>
      <c r="C212" s="218"/>
      <c r="D212" s="218"/>
      <c r="E212" s="221"/>
      <c r="F212" s="218"/>
      <c r="G212" s="220"/>
      <c r="H212" s="220"/>
      <c r="I212" s="221"/>
      <c r="J212" s="222"/>
      <c r="K212" s="215"/>
      <c r="M212" s="18" t="str">
        <f t="shared" si="44"/>
        <v/>
      </c>
      <c r="N212" s="18" t="str">
        <f t="shared" si="45"/>
        <v/>
      </c>
      <c r="O212" s="18" t="str">
        <f t="shared" si="46"/>
        <v/>
      </c>
      <c r="P212" s="18" t="str">
        <f t="shared" si="47"/>
        <v/>
      </c>
      <c r="Q212" s="18" t="str">
        <f t="shared" si="48"/>
        <v/>
      </c>
      <c r="R212" s="18" t="str">
        <f t="shared" si="49"/>
        <v/>
      </c>
      <c r="S212" s="18" t="str">
        <f t="shared" si="50"/>
        <v/>
      </c>
    </row>
    <row r="213" spans="1:19" ht="22.5" customHeight="1" x14ac:dyDescent="0.25">
      <c r="A213" s="201"/>
      <c r="B213" s="202"/>
      <c r="C213" s="203"/>
      <c r="D213" s="203"/>
      <c r="E213" s="204"/>
      <c r="F213" s="203"/>
      <c r="G213" s="205"/>
      <c r="H213" s="205"/>
      <c r="I213" s="206"/>
      <c r="J213" s="207"/>
      <c r="K213" s="192"/>
      <c r="M213" s="18" t="str">
        <f t="shared" si="44"/>
        <v/>
      </c>
      <c r="N213" s="18" t="str">
        <f t="shared" si="45"/>
        <v/>
      </c>
      <c r="O213" s="18" t="str">
        <f t="shared" si="46"/>
        <v/>
      </c>
      <c r="P213" s="18" t="str">
        <f t="shared" si="47"/>
        <v/>
      </c>
      <c r="Q213" s="18" t="str">
        <f t="shared" si="48"/>
        <v/>
      </c>
      <c r="R213" s="18" t="str">
        <f t="shared" si="49"/>
        <v/>
      </c>
      <c r="S213" s="18" t="str">
        <f t="shared" si="50"/>
        <v/>
      </c>
    </row>
    <row r="214" spans="1:19" ht="22.5" customHeight="1" x14ac:dyDescent="0.25">
      <c r="A214" s="216"/>
      <c r="B214" s="217"/>
      <c r="C214" s="218"/>
      <c r="D214" s="218"/>
      <c r="E214" s="221"/>
      <c r="F214" s="218"/>
      <c r="G214" s="220"/>
      <c r="H214" s="220"/>
      <c r="I214" s="221"/>
      <c r="J214" s="222"/>
      <c r="K214" s="215"/>
      <c r="M214" s="18" t="str">
        <f t="shared" si="44"/>
        <v/>
      </c>
      <c r="N214" s="18" t="str">
        <f t="shared" si="45"/>
        <v/>
      </c>
      <c r="O214" s="18" t="str">
        <f t="shared" si="46"/>
        <v/>
      </c>
      <c r="P214" s="18" t="str">
        <f t="shared" si="47"/>
        <v/>
      </c>
      <c r="Q214" s="18" t="str">
        <f t="shared" si="48"/>
        <v/>
      </c>
      <c r="R214" s="18" t="str">
        <f t="shared" si="49"/>
        <v/>
      </c>
      <c r="S214" s="18" t="str">
        <f t="shared" si="50"/>
        <v/>
      </c>
    </row>
    <row r="215" spans="1:19" ht="22.5" customHeight="1" x14ac:dyDescent="0.25">
      <c r="A215" s="201"/>
      <c r="B215" s="202"/>
      <c r="C215" s="203"/>
      <c r="D215" s="203"/>
      <c r="E215" s="204"/>
      <c r="F215" s="203"/>
      <c r="G215" s="205"/>
      <c r="H215" s="205"/>
      <c r="I215" s="206"/>
      <c r="J215" s="207"/>
      <c r="K215" s="192"/>
      <c r="M215" s="18" t="str">
        <f t="shared" si="44"/>
        <v/>
      </c>
      <c r="N215" s="18" t="str">
        <f t="shared" si="45"/>
        <v/>
      </c>
      <c r="O215" s="18" t="str">
        <f t="shared" si="46"/>
        <v/>
      </c>
      <c r="P215" s="18" t="str">
        <f t="shared" si="47"/>
        <v/>
      </c>
      <c r="Q215" s="18" t="str">
        <f t="shared" si="48"/>
        <v/>
      </c>
      <c r="R215" s="18" t="str">
        <f t="shared" si="49"/>
        <v/>
      </c>
      <c r="S215" s="18" t="str">
        <f t="shared" si="50"/>
        <v/>
      </c>
    </row>
    <row r="216" spans="1:19" ht="22.5" customHeight="1" x14ac:dyDescent="0.25">
      <c r="A216" s="216"/>
      <c r="B216" s="217"/>
      <c r="C216" s="218"/>
      <c r="D216" s="218"/>
      <c r="E216" s="221"/>
      <c r="F216" s="218"/>
      <c r="G216" s="220"/>
      <c r="H216" s="220"/>
      <c r="I216" s="221"/>
      <c r="J216" s="222"/>
      <c r="K216" s="215"/>
      <c r="M216" s="18" t="str">
        <f t="shared" si="44"/>
        <v/>
      </c>
      <c r="N216" s="18" t="str">
        <f t="shared" si="45"/>
        <v/>
      </c>
      <c r="O216" s="18" t="str">
        <f t="shared" si="46"/>
        <v/>
      </c>
      <c r="P216" s="18" t="str">
        <f t="shared" si="47"/>
        <v/>
      </c>
      <c r="Q216" s="18" t="str">
        <f t="shared" si="48"/>
        <v/>
      </c>
      <c r="R216" s="18" t="str">
        <f t="shared" si="49"/>
        <v/>
      </c>
      <c r="S216" s="18" t="str">
        <f t="shared" si="50"/>
        <v/>
      </c>
    </row>
    <row r="217" spans="1:19" ht="22.5" customHeight="1" x14ac:dyDescent="0.25">
      <c r="A217" s="201"/>
      <c r="B217" s="202"/>
      <c r="C217" s="203"/>
      <c r="D217" s="203"/>
      <c r="E217" s="204"/>
      <c r="F217" s="203"/>
      <c r="G217" s="205"/>
      <c r="H217" s="205"/>
      <c r="I217" s="206"/>
      <c r="J217" s="207"/>
      <c r="K217" s="192"/>
      <c r="M217" s="18" t="str">
        <f t="shared" si="44"/>
        <v/>
      </c>
      <c r="N217" s="18" t="str">
        <f t="shared" si="45"/>
        <v/>
      </c>
      <c r="O217" s="18" t="str">
        <f t="shared" si="46"/>
        <v/>
      </c>
      <c r="P217" s="18" t="str">
        <f t="shared" si="47"/>
        <v/>
      </c>
      <c r="Q217" s="18" t="str">
        <f t="shared" si="48"/>
        <v/>
      </c>
      <c r="R217" s="18" t="str">
        <f t="shared" si="49"/>
        <v/>
      </c>
      <c r="S217" s="18" t="str">
        <f t="shared" si="50"/>
        <v/>
      </c>
    </row>
    <row r="218" spans="1:19" ht="22.5" customHeight="1" x14ac:dyDescent="0.25">
      <c r="A218" s="216"/>
      <c r="B218" s="217"/>
      <c r="C218" s="218"/>
      <c r="D218" s="218"/>
      <c r="E218" s="221"/>
      <c r="F218" s="218"/>
      <c r="G218" s="220"/>
      <c r="H218" s="220"/>
      <c r="I218" s="221"/>
      <c r="J218" s="222"/>
      <c r="K218" s="215"/>
      <c r="M218" s="18" t="str">
        <f t="shared" si="44"/>
        <v/>
      </c>
      <c r="N218" s="18" t="str">
        <f t="shared" si="45"/>
        <v/>
      </c>
      <c r="O218" s="18" t="str">
        <f t="shared" si="46"/>
        <v/>
      </c>
      <c r="P218" s="18" t="str">
        <f t="shared" si="47"/>
        <v/>
      </c>
      <c r="Q218" s="18" t="str">
        <f t="shared" si="48"/>
        <v/>
      </c>
      <c r="R218" s="18" t="str">
        <f t="shared" si="49"/>
        <v/>
      </c>
      <c r="S218" s="18" t="str">
        <f t="shared" si="50"/>
        <v/>
      </c>
    </row>
    <row r="219" spans="1:19" ht="22.5" customHeight="1" x14ac:dyDescent="0.25">
      <c r="A219" s="201"/>
      <c r="B219" s="202"/>
      <c r="C219" s="203"/>
      <c r="D219" s="203"/>
      <c r="E219" s="204"/>
      <c r="F219" s="203"/>
      <c r="G219" s="205"/>
      <c r="H219" s="205"/>
      <c r="I219" s="206"/>
      <c r="J219" s="207"/>
      <c r="K219" s="192"/>
      <c r="M219" s="18" t="str">
        <f t="shared" si="44"/>
        <v/>
      </c>
      <c r="N219" s="18" t="str">
        <f t="shared" si="45"/>
        <v/>
      </c>
      <c r="O219" s="18" t="str">
        <f t="shared" si="46"/>
        <v/>
      </c>
      <c r="P219" s="18" t="str">
        <f t="shared" si="47"/>
        <v/>
      </c>
      <c r="Q219" s="18" t="str">
        <f t="shared" si="48"/>
        <v/>
      </c>
      <c r="R219" s="18" t="str">
        <f t="shared" si="49"/>
        <v/>
      </c>
      <c r="S219" s="18" t="str">
        <f t="shared" si="50"/>
        <v/>
      </c>
    </row>
    <row r="220" spans="1:19" ht="22.5" customHeight="1" x14ac:dyDescent="0.25">
      <c r="A220" s="216"/>
      <c r="B220" s="217"/>
      <c r="C220" s="218"/>
      <c r="D220" s="218"/>
      <c r="E220" s="221"/>
      <c r="F220" s="218"/>
      <c r="G220" s="220"/>
      <c r="H220" s="220"/>
      <c r="I220" s="221"/>
      <c r="J220" s="222"/>
      <c r="K220" s="215"/>
      <c r="M220" s="18" t="str">
        <f t="shared" si="44"/>
        <v/>
      </c>
      <c r="N220" s="18" t="str">
        <f t="shared" si="45"/>
        <v/>
      </c>
      <c r="O220" s="18" t="str">
        <f t="shared" si="46"/>
        <v/>
      </c>
      <c r="P220" s="18" t="str">
        <f t="shared" si="47"/>
        <v/>
      </c>
      <c r="Q220" s="18" t="str">
        <f t="shared" si="48"/>
        <v/>
      </c>
      <c r="R220" s="18" t="str">
        <f t="shared" si="49"/>
        <v/>
      </c>
      <c r="S220" s="18" t="str">
        <f t="shared" si="50"/>
        <v/>
      </c>
    </row>
    <row r="221" spans="1:19" ht="22.5" customHeight="1" x14ac:dyDescent="0.25">
      <c r="A221" s="201"/>
      <c r="B221" s="202"/>
      <c r="C221" s="203"/>
      <c r="D221" s="203"/>
      <c r="E221" s="204"/>
      <c r="F221" s="203"/>
      <c r="G221" s="205"/>
      <c r="H221" s="205"/>
      <c r="I221" s="206"/>
      <c r="J221" s="207"/>
      <c r="K221" s="192"/>
      <c r="M221" s="18" t="str">
        <f t="shared" si="44"/>
        <v/>
      </c>
      <c r="N221" s="18" t="str">
        <f t="shared" si="45"/>
        <v/>
      </c>
      <c r="O221" s="18" t="str">
        <f t="shared" si="46"/>
        <v/>
      </c>
      <c r="P221" s="18" t="str">
        <f t="shared" si="47"/>
        <v/>
      </c>
      <c r="Q221" s="18" t="str">
        <f t="shared" si="48"/>
        <v/>
      </c>
      <c r="R221" s="18" t="str">
        <f t="shared" si="49"/>
        <v/>
      </c>
      <c r="S221" s="18" t="str">
        <f t="shared" si="50"/>
        <v/>
      </c>
    </row>
    <row r="222" spans="1:19" ht="22.5" customHeight="1" x14ac:dyDescent="0.25">
      <c r="A222" s="216"/>
      <c r="B222" s="217"/>
      <c r="C222" s="218"/>
      <c r="D222" s="218"/>
      <c r="E222" s="221"/>
      <c r="F222" s="218"/>
      <c r="G222" s="220"/>
      <c r="H222" s="220"/>
      <c r="I222" s="221"/>
      <c r="J222" s="222"/>
      <c r="K222" s="215"/>
      <c r="M222" s="18" t="str">
        <f t="shared" si="44"/>
        <v/>
      </c>
      <c r="N222" s="18" t="str">
        <f t="shared" si="45"/>
        <v/>
      </c>
      <c r="O222" s="18" t="str">
        <f t="shared" si="46"/>
        <v/>
      </c>
      <c r="P222" s="18" t="str">
        <f t="shared" si="47"/>
        <v/>
      </c>
      <c r="Q222" s="18" t="str">
        <f t="shared" si="48"/>
        <v/>
      </c>
      <c r="R222" s="18" t="str">
        <f t="shared" si="49"/>
        <v/>
      </c>
      <c r="S222" s="18" t="str">
        <f t="shared" si="50"/>
        <v/>
      </c>
    </row>
    <row r="223" spans="1:19" ht="22.5" customHeight="1" x14ac:dyDescent="0.25">
      <c r="A223" s="201"/>
      <c r="B223" s="202"/>
      <c r="C223" s="203"/>
      <c r="D223" s="203"/>
      <c r="E223" s="204"/>
      <c r="F223" s="203"/>
      <c r="G223" s="205"/>
      <c r="H223" s="205"/>
      <c r="I223" s="206"/>
      <c r="J223" s="207"/>
      <c r="K223" s="192"/>
      <c r="M223" s="18" t="str">
        <f t="shared" si="44"/>
        <v/>
      </c>
      <c r="N223" s="18" t="str">
        <f t="shared" si="45"/>
        <v/>
      </c>
      <c r="O223" s="18" t="str">
        <f t="shared" si="46"/>
        <v/>
      </c>
      <c r="P223" s="18" t="str">
        <f t="shared" si="47"/>
        <v/>
      </c>
      <c r="Q223" s="18" t="str">
        <f t="shared" si="48"/>
        <v/>
      </c>
      <c r="R223" s="18" t="str">
        <f t="shared" si="49"/>
        <v/>
      </c>
      <c r="S223" s="18" t="str">
        <f t="shared" si="50"/>
        <v/>
      </c>
    </row>
    <row r="224" spans="1:19" ht="22.5" customHeight="1" x14ac:dyDescent="0.25">
      <c r="A224" s="216"/>
      <c r="B224" s="217"/>
      <c r="C224" s="218"/>
      <c r="D224" s="218"/>
      <c r="E224" s="221"/>
      <c r="F224" s="218"/>
      <c r="G224" s="220"/>
      <c r="H224" s="220"/>
      <c r="I224" s="221"/>
      <c r="J224" s="222"/>
      <c r="K224" s="215"/>
      <c r="M224" s="18" t="str">
        <f t="shared" si="44"/>
        <v/>
      </c>
      <c r="N224" s="18" t="str">
        <f t="shared" si="45"/>
        <v/>
      </c>
      <c r="O224" s="18" t="str">
        <f t="shared" si="46"/>
        <v/>
      </c>
      <c r="P224" s="18" t="str">
        <f t="shared" si="47"/>
        <v/>
      </c>
      <c r="Q224" s="18" t="str">
        <f t="shared" si="48"/>
        <v/>
      </c>
      <c r="R224" s="18" t="str">
        <f t="shared" si="49"/>
        <v/>
      </c>
      <c r="S224" s="18" t="str">
        <f t="shared" si="50"/>
        <v/>
      </c>
    </row>
    <row r="225" spans="1:19" ht="22.5" customHeight="1" x14ac:dyDescent="0.25">
      <c r="A225" s="201"/>
      <c r="B225" s="202"/>
      <c r="C225" s="203"/>
      <c r="D225" s="203"/>
      <c r="E225" s="204"/>
      <c r="F225" s="203"/>
      <c r="G225" s="205"/>
      <c r="H225" s="205"/>
      <c r="I225" s="206"/>
      <c r="J225" s="207"/>
      <c r="K225" s="192"/>
      <c r="M225" s="18" t="str">
        <f t="shared" si="44"/>
        <v/>
      </c>
      <c r="N225" s="18" t="str">
        <f t="shared" si="45"/>
        <v/>
      </c>
      <c r="O225" s="18" t="str">
        <f t="shared" si="46"/>
        <v/>
      </c>
      <c r="P225" s="18" t="str">
        <f t="shared" si="47"/>
        <v/>
      </c>
      <c r="Q225" s="18" t="str">
        <f t="shared" si="48"/>
        <v/>
      </c>
      <c r="R225" s="18" t="str">
        <f t="shared" si="49"/>
        <v/>
      </c>
      <c r="S225" s="18" t="str">
        <f t="shared" si="50"/>
        <v/>
      </c>
    </row>
    <row r="226" spans="1:19" ht="22.5" customHeight="1" x14ac:dyDescent="0.25">
      <c r="A226" s="216"/>
      <c r="B226" s="217"/>
      <c r="C226" s="218"/>
      <c r="D226" s="218"/>
      <c r="E226" s="221"/>
      <c r="F226" s="218"/>
      <c r="G226" s="220"/>
      <c r="H226" s="220"/>
      <c r="I226" s="221"/>
      <c r="J226" s="222"/>
      <c r="K226" s="215"/>
      <c r="M226" s="18" t="str">
        <f t="shared" si="44"/>
        <v/>
      </c>
      <c r="N226" s="18" t="str">
        <f t="shared" si="45"/>
        <v/>
      </c>
      <c r="O226" s="18" t="str">
        <f t="shared" si="46"/>
        <v/>
      </c>
      <c r="P226" s="18" t="str">
        <f t="shared" si="47"/>
        <v/>
      </c>
      <c r="Q226" s="18" t="str">
        <f t="shared" si="48"/>
        <v/>
      </c>
      <c r="R226" s="18" t="str">
        <f t="shared" si="49"/>
        <v/>
      </c>
      <c r="S226" s="18" t="str">
        <f t="shared" si="50"/>
        <v/>
      </c>
    </row>
    <row r="227" spans="1:19" ht="22.5" customHeight="1" x14ac:dyDescent="0.25">
      <c r="A227" s="201"/>
      <c r="B227" s="202"/>
      <c r="C227" s="203"/>
      <c r="D227" s="203"/>
      <c r="E227" s="204"/>
      <c r="F227" s="203"/>
      <c r="G227" s="205"/>
      <c r="H227" s="205"/>
      <c r="I227" s="206"/>
      <c r="J227" s="207"/>
      <c r="K227" s="192"/>
      <c r="M227" s="18" t="str">
        <f t="shared" si="44"/>
        <v/>
      </c>
      <c r="N227" s="18" t="str">
        <f t="shared" si="45"/>
        <v/>
      </c>
      <c r="O227" s="18" t="str">
        <f t="shared" si="46"/>
        <v/>
      </c>
      <c r="P227" s="18" t="str">
        <f t="shared" si="47"/>
        <v/>
      </c>
      <c r="Q227" s="18" t="str">
        <f t="shared" si="48"/>
        <v/>
      </c>
      <c r="R227" s="18" t="str">
        <f t="shared" si="49"/>
        <v/>
      </c>
      <c r="S227" s="18" t="str">
        <f t="shared" si="50"/>
        <v/>
      </c>
    </row>
    <row r="228" spans="1:19" ht="22.5" customHeight="1" x14ac:dyDescent="0.25">
      <c r="A228" s="216"/>
      <c r="B228" s="217"/>
      <c r="C228" s="218"/>
      <c r="D228" s="218"/>
      <c r="E228" s="221"/>
      <c r="F228" s="218"/>
      <c r="G228" s="220"/>
      <c r="H228" s="220"/>
      <c r="I228" s="221"/>
      <c r="J228" s="222"/>
      <c r="K228" s="215"/>
      <c r="M228" s="18" t="str">
        <f t="shared" si="44"/>
        <v/>
      </c>
      <c r="N228" s="18" t="str">
        <f t="shared" si="45"/>
        <v/>
      </c>
      <c r="O228" s="18" t="str">
        <f t="shared" si="46"/>
        <v/>
      </c>
      <c r="P228" s="18" t="str">
        <f t="shared" si="47"/>
        <v/>
      </c>
      <c r="Q228" s="18" t="str">
        <f t="shared" si="48"/>
        <v/>
      </c>
      <c r="R228" s="18" t="str">
        <f t="shared" si="49"/>
        <v/>
      </c>
      <c r="S228" s="18" t="str">
        <f t="shared" si="50"/>
        <v/>
      </c>
    </row>
    <row r="229" spans="1:19" ht="22.5" customHeight="1" x14ac:dyDescent="0.25">
      <c r="A229" s="201"/>
      <c r="B229" s="202"/>
      <c r="C229" s="203"/>
      <c r="D229" s="203"/>
      <c r="E229" s="204"/>
      <c r="F229" s="203"/>
      <c r="G229" s="205"/>
      <c r="H229" s="205"/>
      <c r="I229" s="206"/>
      <c r="J229" s="207"/>
      <c r="K229" s="192"/>
      <c r="M229" s="18" t="str">
        <f t="shared" si="44"/>
        <v/>
      </c>
      <c r="N229" s="18" t="str">
        <f t="shared" si="45"/>
        <v/>
      </c>
      <c r="O229" s="18" t="str">
        <f t="shared" si="46"/>
        <v/>
      </c>
      <c r="P229" s="18" t="str">
        <f t="shared" si="47"/>
        <v/>
      </c>
      <c r="Q229" s="18" t="str">
        <f t="shared" si="48"/>
        <v/>
      </c>
      <c r="R229" s="18" t="str">
        <f t="shared" si="49"/>
        <v/>
      </c>
      <c r="S229" s="18" t="str">
        <f t="shared" si="50"/>
        <v/>
      </c>
    </row>
    <row r="230" spans="1:19" ht="22.5" customHeight="1" x14ac:dyDescent="0.25">
      <c r="A230" s="216"/>
      <c r="B230" s="217"/>
      <c r="C230" s="218"/>
      <c r="D230" s="218"/>
      <c r="E230" s="221"/>
      <c r="F230" s="218"/>
      <c r="G230" s="220"/>
      <c r="H230" s="220"/>
      <c r="I230" s="221"/>
      <c r="J230" s="222"/>
      <c r="K230" s="215"/>
      <c r="M230" s="18" t="str">
        <f t="shared" si="44"/>
        <v/>
      </c>
      <c r="N230" s="18" t="str">
        <f t="shared" si="45"/>
        <v/>
      </c>
      <c r="O230" s="18" t="str">
        <f t="shared" si="46"/>
        <v/>
      </c>
      <c r="P230" s="18" t="str">
        <f t="shared" si="47"/>
        <v/>
      </c>
      <c r="Q230" s="18" t="str">
        <f t="shared" si="48"/>
        <v/>
      </c>
      <c r="R230" s="18" t="str">
        <f t="shared" si="49"/>
        <v/>
      </c>
      <c r="S230" s="18" t="str">
        <f t="shared" si="50"/>
        <v/>
      </c>
    </row>
    <row r="231" spans="1:19" ht="22.5" customHeight="1" x14ac:dyDescent="0.25">
      <c r="A231" s="201"/>
      <c r="B231" s="202"/>
      <c r="C231" s="203"/>
      <c r="D231" s="203"/>
      <c r="E231" s="204"/>
      <c r="F231" s="203"/>
      <c r="G231" s="205"/>
      <c r="H231" s="205"/>
      <c r="I231" s="206"/>
      <c r="J231" s="207"/>
      <c r="K231" s="192"/>
      <c r="M231" s="18" t="str">
        <f t="shared" si="44"/>
        <v/>
      </c>
      <c r="N231" s="18" t="str">
        <f t="shared" si="45"/>
        <v/>
      </c>
      <c r="O231" s="18" t="str">
        <f t="shared" si="46"/>
        <v/>
      </c>
      <c r="P231" s="18" t="str">
        <f t="shared" si="47"/>
        <v/>
      </c>
      <c r="Q231" s="18" t="str">
        <f t="shared" si="48"/>
        <v/>
      </c>
      <c r="R231" s="18" t="str">
        <f t="shared" si="49"/>
        <v/>
      </c>
      <c r="S231" s="18" t="str">
        <f t="shared" si="50"/>
        <v/>
      </c>
    </row>
    <row r="232" spans="1:19" ht="22.5" customHeight="1" x14ac:dyDescent="0.25">
      <c r="A232" s="216"/>
      <c r="B232" s="217"/>
      <c r="C232" s="218"/>
      <c r="D232" s="218"/>
      <c r="E232" s="221"/>
      <c r="F232" s="218"/>
      <c r="G232" s="220"/>
      <c r="H232" s="220"/>
      <c r="I232" s="221"/>
      <c r="J232" s="222"/>
      <c r="K232" s="215"/>
      <c r="M232" s="18" t="str">
        <f t="shared" si="44"/>
        <v/>
      </c>
      <c r="N232" s="18" t="str">
        <f t="shared" si="45"/>
        <v/>
      </c>
      <c r="O232" s="18" t="str">
        <f t="shared" si="46"/>
        <v/>
      </c>
      <c r="P232" s="18" t="str">
        <f t="shared" si="47"/>
        <v/>
      </c>
      <c r="Q232" s="18" t="str">
        <f t="shared" si="48"/>
        <v/>
      </c>
      <c r="R232" s="18" t="str">
        <f t="shared" si="49"/>
        <v/>
      </c>
      <c r="S232" s="18" t="str">
        <f t="shared" si="50"/>
        <v/>
      </c>
    </row>
    <row r="233" spans="1:19" ht="22.5" customHeight="1" x14ac:dyDescent="0.25">
      <c r="A233" s="201"/>
      <c r="B233" s="202"/>
      <c r="C233" s="203"/>
      <c r="D233" s="203"/>
      <c r="E233" s="204"/>
      <c r="F233" s="203"/>
      <c r="G233" s="205"/>
      <c r="H233" s="205"/>
      <c r="I233" s="206"/>
      <c r="J233" s="207"/>
      <c r="K233" s="192"/>
      <c r="M233" s="18" t="str">
        <f t="shared" si="44"/>
        <v/>
      </c>
      <c r="N233" s="18" t="str">
        <f t="shared" si="45"/>
        <v/>
      </c>
      <c r="O233" s="18" t="str">
        <f t="shared" si="46"/>
        <v/>
      </c>
      <c r="P233" s="18" t="str">
        <f t="shared" si="47"/>
        <v/>
      </c>
      <c r="Q233" s="18" t="str">
        <f t="shared" si="48"/>
        <v/>
      </c>
      <c r="R233" s="18" t="str">
        <f t="shared" si="49"/>
        <v/>
      </c>
      <c r="S233" s="18" t="str">
        <f t="shared" si="50"/>
        <v/>
      </c>
    </row>
    <row r="234" spans="1:19" ht="22.5" customHeight="1" x14ac:dyDescent="0.25">
      <c r="A234" s="216"/>
      <c r="B234" s="217"/>
      <c r="C234" s="218"/>
      <c r="D234" s="218"/>
      <c r="E234" s="221"/>
      <c r="F234" s="218"/>
      <c r="G234" s="220"/>
      <c r="H234" s="220"/>
      <c r="I234" s="221"/>
      <c r="J234" s="222"/>
      <c r="K234" s="215"/>
      <c r="M234" s="18" t="str">
        <f t="shared" si="44"/>
        <v/>
      </c>
      <c r="N234" s="18" t="str">
        <f t="shared" si="45"/>
        <v/>
      </c>
      <c r="O234" s="18" t="str">
        <f t="shared" si="46"/>
        <v/>
      </c>
      <c r="P234" s="18" t="str">
        <f t="shared" si="47"/>
        <v/>
      </c>
      <c r="Q234" s="18" t="str">
        <f t="shared" si="48"/>
        <v/>
      </c>
      <c r="R234" s="18" t="str">
        <f t="shared" si="49"/>
        <v/>
      </c>
      <c r="S234" s="18" t="str">
        <f t="shared" si="50"/>
        <v/>
      </c>
    </row>
    <row r="235" spans="1:19" ht="22.5" customHeight="1" x14ac:dyDescent="0.25">
      <c r="A235" s="201"/>
      <c r="B235" s="202"/>
      <c r="C235" s="203"/>
      <c r="D235" s="203"/>
      <c r="E235" s="204"/>
      <c r="F235" s="203"/>
      <c r="G235" s="205"/>
      <c r="H235" s="205"/>
      <c r="I235" s="206"/>
      <c r="J235" s="207"/>
      <c r="K235" s="192"/>
      <c r="M235" s="18" t="str">
        <f t="shared" si="44"/>
        <v/>
      </c>
      <c r="N235" s="18" t="str">
        <f t="shared" si="45"/>
        <v/>
      </c>
      <c r="O235" s="18" t="str">
        <f t="shared" si="46"/>
        <v/>
      </c>
      <c r="P235" s="18" t="str">
        <f t="shared" si="47"/>
        <v/>
      </c>
      <c r="Q235" s="18" t="str">
        <f t="shared" si="48"/>
        <v/>
      </c>
      <c r="R235" s="18" t="str">
        <f t="shared" si="49"/>
        <v/>
      </c>
      <c r="S235" s="18" t="str">
        <f t="shared" si="50"/>
        <v/>
      </c>
    </row>
    <row r="236" spans="1:19" ht="22.5" customHeight="1" x14ac:dyDescent="0.25">
      <c r="A236" s="216"/>
      <c r="B236" s="217"/>
      <c r="C236" s="218"/>
      <c r="D236" s="218"/>
      <c r="E236" s="221"/>
      <c r="F236" s="218"/>
      <c r="G236" s="220"/>
      <c r="H236" s="220"/>
      <c r="I236" s="221"/>
      <c r="J236" s="222"/>
      <c r="K236" s="215"/>
      <c r="M236" s="18" t="str">
        <f t="shared" si="44"/>
        <v/>
      </c>
      <c r="N236" s="18" t="str">
        <f t="shared" si="45"/>
        <v/>
      </c>
      <c r="O236" s="18" t="str">
        <f t="shared" si="46"/>
        <v/>
      </c>
      <c r="P236" s="18" t="str">
        <f t="shared" si="47"/>
        <v/>
      </c>
      <c r="Q236" s="18" t="str">
        <f t="shared" si="48"/>
        <v/>
      </c>
      <c r="R236" s="18" t="str">
        <f t="shared" si="49"/>
        <v/>
      </c>
      <c r="S236" s="18" t="str">
        <f t="shared" si="50"/>
        <v/>
      </c>
    </row>
    <row r="237" spans="1:19" ht="22.5" customHeight="1" x14ac:dyDescent="0.25">
      <c r="A237" s="201"/>
      <c r="B237" s="202"/>
      <c r="C237" s="203"/>
      <c r="D237" s="203"/>
      <c r="E237" s="204"/>
      <c r="F237" s="203"/>
      <c r="G237" s="205"/>
      <c r="H237" s="205"/>
      <c r="I237" s="206"/>
      <c r="J237" s="207"/>
      <c r="K237" s="192"/>
      <c r="M237" s="18" t="str">
        <f t="shared" si="44"/>
        <v/>
      </c>
      <c r="N237" s="18" t="str">
        <f t="shared" si="45"/>
        <v/>
      </c>
      <c r="O237" s="18" t="str">
        <f t="shared" si="46"/>
        <v/>
      </c>
      <c r="P237" s="18" t="str">
        <f t="shared" si="47"/>
        <v/>
      </c>
      <c r="Q237" s="18" t="str">
        <f t="shared" si="48"/>
        <v/>
      </c>
      <c r="R237" s="18" t="str">
        <f t="shared" si="49"/>
        <v/>
      </c>
      <c r="S237" s="18" t="str">
        <f t="shared" si="50"/>
        <v/>
      </c>
    </row>
    <row r="238" spans="1:19" ht="22.5" customHeight="1" x14ac:dyDescent="0.25">
      <c r="A238" s="216"/>
      <c r="B238" s="217"/>
      <c r="C238" s="218"/>
      <c r="D238" s="218"/>
      <c r="E238" s="221"/>
      <c r="F238" s="218"/>
      <c r="G238" s="220"/>
      <c r="H238" s="220"/>
      <c r="I238" s="221"/>
      <c r="J238" s="222"/>
      <c r="K238" s="215"/>
      <c r="M238" s="18" t="str">
        <f t="shared" si="44"/>
        <v/>
      </c>
      <c r="N238" s="18" t="str">
        <f t="shared" si="45"/>
        <v/>
      </c>
      <c r="O238" s="18" t="str">
        <f t="shared" si="46"/>
        <v/>
      </c>
      <c r="P238" s="18" t="str">
        <f t="shared" si="47"/>
        <v/>
      </c>
      <c r="Q238" s="18" t="str">
        <f t="shared" si="48"/>
        <v/>
      </c>
      <c r="R238" s="18" t="str">
        <f t="shared" si="49"/>
        <v/>
      </c>
      <c r="S238" s="18" t="str">
        <f t="shared" si="50"/>
        <v/>
      </c>
    </row>
    <row r="239" spans="1:19" ht="22.5" customHeight="1" x14ac:dyDescent="0.25">
      <c r="A239" s="201"/>
      <c r="B239" s="202"/>
      <c r="C239" s="203"/>
      <c r="D239" s="203"/>
      <c r="E239" s="204"/>
      <c r="F239" s="203"/>
      <c r="G239" s="205"/>
      <c r="H239" s="205"/>
      <c r="I239" s="206"/>
      <c r="J239" s="207"/>
      <c r="K239" s="192"/>
      <c r="M239" s="18" t="str">
        <f t="shared" si="44"/>
        <v/>
      </c>
      <c r="N239" s="18" t="str">
        <f t="shared" si="45"/>
        <v/>
      </c>
      <c r="O239" s="18" t="str">
        <f t="shared" si="46"/>
        <v/>
      </c>
      <c r="P239" s="18" t="str">
        <f t="shared" si="47"/>
        <v/>
      </c>
      <c r="Q239" s="18" t="str">
        <f t="shared" si="48"/>
        <v/>
      </c>
      <c r="R239" s="18" t="str">
        <f t="shared" si="49"/>
        <v/>
      </c>
      <c r="S239" s="18" t="str">
        <f t="shared" si="50"/>
        <v/>
      </c>
    </row>
    <row r="240" spans="1:19" ht="22.5" customHeight="1" x14ac:dyDescent="0.25">
      <c r="A240" s="216"/>
      <c r="B240" s="217"/>
      <c r="C240" s="218"/>
      <c r="D240" s="218"/>
      <c r="E240" s="221"/>
      <c r="F240" s="218"/>
      <c r="G240" s="220"/>
      <c r="H240" s="220"/>
      <c r="I240" s="221"/>
      <c r="J240" s="222"/>
      <c r="K240" s="215"/>
      <c r="M240" s="18" t="str">
        <f t="shared" si="44"/>
        <v/>
      </c>
      <c r="N240" s="18" t="str">
        <f t="shared" si="45"/>
        <v/>
      </c>
      <c r="O240" s="18" t="str">
        <f t="shared" si="46"/>
        <v/>
      </c>
      <c r="P240" s="18" t="str">
        <f t="shared" si="47"/>
        <v/>
      </c>
      <c r="Q240" s="18" t="str">
        <f t="shared" si="48"/>
        <v/>
      </c>
      <c r="R240" s="18" t="str">
        <f t="shared" si="49"/>
        <v/>
      </c>
      <c r="S240" s="18" t="str">
        <f t="shared" si="50"/>
        <v/>
      </c>
    </row>
    <row r="241" spans="1:19" ht="22.5" customHeight="1" x14ac:dyDescent="0.25">
      <c r="A241" s="201"/>
      <c r="B241" s="202"/>
      <c r="C241" s="203"/>
      <c r="D241" s="203"/>
      <c r="E241" s="204"/>
      <c r="F241" s="203"/>
      <c r="G241" s="205"/>
      <c r="H241" s="205"/>
      <c r="I241" s="206"/>
      <c r="J241" s="207"/>
      <c r="K241" s="192"/>
      <c r="M241" s="18" t="str">
        <f t="shared" si="44"/>
        <v/>
      </c>
      <c r="N241" s="18" t="str">
        <f t="shared" si="45"/>
        <v/>
      </c>
      <c r="O241" s="18" t="str">
        <f t="shared" si="46"/>
        <v/>
      </c>
      <c r="P241" s="18" t="str">
        <f t="shared" si="47"/>
        <v/>
      </c>
      <c r="Q241" s="18" t="str">
        <f t="shared" si="48"/>
        <v/>
      </c>
      <c r="R241" s="18" t="str">
        <f t="shared" si="49"/>
        <v/>
      </c>
      <c r="S241" s="18" t="str">
        <f t="shared" si="50"/>
        <v/>
      </c>
    </row>
    <row r="242" spans="1:19" ht="22.5" customHeight="1" x14ac:dyDescent="0.25">
      <c r="A242" s="216"/>
      <c r="B242" s="217"/>
      <c r="C242" s="218"/>
      <c r="D242" s="218"/>
      <c r="E242" s="221"/>
      <c r="F242" s="218"/>
      <c r="G242" s="220"/>
      <c r="H242" s="220"/>
      <c r="I242" s="221"/>
      <c r="J242" s="222"/>
      <c r="K242" s="215"/>
      <c r="M242" s="18" t="str">
        <f t="shared" si="44"/>
        <v/>
      </c>
      <c r="N242" s="18" t="str">
        <f t="shared" si="45"/>
        <v/>
      </c>
      <c r="O242" s="18" t="str">
        <f t="shared" si="46"/>
        <v/>
      </c>
      <c r="P242" s="18" t="str">
        <f t="shared" si="47"/>
        <v/>
      </c>
      <c r="Q242" s="18" t="str">
        <f t="shared" si="48"/>
        <v/>
      </c>
      <c r="R242" s="18" t="str">
        <f t="shared" si="49"/>
        <v/>
      </c>
      <c r="S242" s="18" t="str">
        <f t="shared" si="50"/>
        <v/>
      </c>
    </row>
    <row r="243" spans="1:19" ht="22.5" customHeight="1" x14ac:dyDescent="0.25">
      <c r="A243" s="201"/>
      <c r="B243" s="202"/>
      <c r="C243" s="203"/>
      <c r="D243" s="203"/>
      <c r="E243" s="204"/>
      <c r="F243" s="203"/>
      <c r="G243" s="205"/>
      <c r="H243" s="205"/>
      <c r="I243" s="206"/>
      <c r="J243" s="207"/>
      <c r="K243" s="192"/>
      <c r="M243" s="18" t="str">
        <f t="shared" si="44"/>
        <v/>
      </c>
      <c r="N243" s="18" t="str">
        <f t="shared" si="45"/>
        <v/>
      </c>
      <c r="O243" s="18" t="str">
        <f t="shared" si="46"/>
        <v/>
      </c>
      <c r="P243" s="18" t="str">
        <f t="shared" si="47"/>
        <v/>
      </c>
      <c r="Q243" s="18" t="str">
        <f t="shared" si="48"/>
        <v/>
      </c>
      <c r="R243" s="18" t="str">
        <f t="shared" si="49"/>
        <v/>
      </c>
      <c r="S243" s="18" t="str">
        <f t="shared" si="50"/>
        <v/>
      </c>
    </row>
    <row r="244" spans="1:19" ht="22.5" customHeight="1" x14ac:dyDescent="0.25">
      <c r="A244" s="216"/>
      <c r="B244" s="217"/>
      <c r="C244" s="218"/>
      <c r="D244" s="218"/>
      <c r="E244" s="221"/>
      <c r="F244" s="218"/>
      <c r="G244" s="220"/>
      <c r="H244" s="220"/>
      <c r="I244" s="221"/>
      <c r="J244" s="222"/>
      <c r="K244" s="215"/>
      <c r="M244" s="18" t="str">
        <f t="shared" si="44"/>
        <v/>
      </c>
      <c r="N244" s="18" t="str">
        <f t="shared" si="45"/>
        <v/>
      </c>
      <c r="O244" s="18" t="str">
        <f t="shared" si="46"/>
        <v/>
      </c>
      <c r="P244" s="18" t="str">
        <f t="shared" si="47"/>
        <v/>
      </c>
      <c r="Q244" s="18" t="str">
        <f t="shared" si="48"/>
        <v/>
      </c>
      <c r="R244" s="18" t="str">
        <f t="shared" si="49"/>
        <v/>
      </c>
      <c r="S244" s="18" t="str">
        <f t="shared" si="50"/>
        <v/>
      </c>
    </row>
    <row r="245" spans="1:19" ht="22.5" customHeight="1" x14ac:dyDescent="0.25">
      <c r="A245" s="201"/>
      <c r="B245" s="202"/>
      <c r="C245" s="203"/>
      <c r="D245" s="203"/>
      <c r="E245" s="204"/>
      <c r="F245" s="203"/>
      <c r="G245" s="205"/>
      <c r="H245" s="205"/>
      <c r="I245" s="206"/>
      <c r="J245" s="207"/>
      <c r="K245" s="192"/>
      <c r="M245" s="18" t="str">
        <f t="shared" si="44"/>
        <v/>
      </c>
      <c r="N245" s="18" t="str">
        <f t="shared" si="45"/>
        <v/>
      </c>
      <c r="O245" s="18" t="str">
        <f t="shared" si="46"/>
        <v/>
      </c>
      <c r="P245" s="18" t="str">
        <f t="shared" si="47"/>
        <v/>
      </c>
      <c r="Q245" s="18" t="str">
        <f t="shared" si="48"/>
        <v/>
      </c>
      <c r="R245" s="18" t="str">
        <f t="shared" si="49"/>
        <v/>
      </c>
      <c r="S245" s="18" t="str">
        <f t="shared" si="50"/>
        <v/>
      </c>
    </row>
    <row r="246" spans="1:19" ht="22.5" customHeight="1" x14ac:dyDescent="0.25">
      <c r="A246" s="216"/>
      <c r="B246" s="217"/>
      <c r="C246" s="218"/>
      <c r="D246" s="218"/>
      <c r="E246" s="221"/>
      <c r="F246" s="218"/>
      <c r="G246" s="220"/>
      <c r="H246" s="220"/>
      <c r="I246" s="221"/>
      <c r="J246" s="222"/>
      <c r="K246" s="215"/>
      <c r="M246" s="18" t="str">
        <f t="shared" si="44"/>
        <v/>
      </c>
      <c r="N246" s="18" t="str">
        <f t="shared" si="45"/>
        <v/>
      </c>
      <c r="O246" s="18" t="str">
        <f t="shared" si="46"/>
        <v/>
      </c>
      <c r="P246" s="18" t="str">
        <f t="shared" si="47"/>
        <v/>
      </c>
      <c r="Q246" s="18" t="str">
        <f t="shared" si="48"/>
        <v/>
      </c>
      <c r="R246" s="18" t="str">
        <f t="shared" si="49"/>
        <v/>
      </c>
      <c r="S246" s="18" t="str">
        <f t="shared" si="50"/>
        <v/>
      </c>
    </row>
    <row r="247" spans="1:19" ht="22.5" customHeight="1" x14ac:dyDescent="0.25">
      <c r="A247" s="201"/>
      <c r="B247" s="202"/>
      <c r="C247" s="203"/>
      <c r="D247" s="203"/>
      <c r="E247" s="204"/>
      <c r="F247" s="203"/>
      <c r="G247" s="205"/>
      <c r="H247" s="205"/>
      <c r="I247" s="206"/>
      <c r="J247" s="207"/>
      <c r="K247" s="192"/>
      <c r="M247" s="18" t="str">
        <f t="shared" si="44"/>
        <v/>
      </c>
      <c r="N247" s="18" t="str">
        <f t="shared" si="45"/>
        <v/>
      </c>
      <c r="O247" s="18" t="str">
        <f t="shared" si="46"/>
        <v/>
      </c>
      <c r="P247" s="18" t="str">
        <f t="shared" si="47"/>
        <v/>
      </c>
      <c r="Q247" s="18" t="str">
        <f t="shared" si="48"/>
        <v/>
      </c>
      <c r="R247" s="18" t="str">
        <f t="shared" si="49"/>
        <v/>
      </c>
      <c r="S247" s="18" t="str">
        <f t="shared" si="50"/>
        <v/>
      </c>
    </row>
    <row r="248" spans="1:19" ht="22.5" customHeight="1" x14ac:dyDescent="0.25">
      <c r="A248" s="216"/>
      <c r="B248" s="217"/>
      <c r="C248" s="218"/>
      <c r="D248" s="218"/>
      <c r="E248" s="221"/>
      <c r="F248" s="218"/>
      <c r="G248" s="220"/>
      <c r="H248" s="220"/>
      <c r="I248" s="221"/>
      <c r="J248" s="222"/>
      <c r="K248" s="215"/>
      <c r="M248" s="18" t="str">
        <f t="shared" si="44"/>
        <v/>
      </c>
      <c r="N248" s="18" t="str">
        <f t="shared" si="45"/>
        <v/>
      </c>
      <c r="O248" s="18" t="str">
        <f t="shared" si="46"/>
        <v/>
      </c>
      <c r="P248" s="18" t="str">
        <f t="shared" si="47"/>
        <v/>
      </c>
      <c r="Q248" s="18" t="str">
        <f t="shared" si="48"/>
        <v/>
      </c>
      <c r="R248" s="18" t="str">
        <f t="shared" si="49"/>
        <v/>
      </c>
      <c r="S248" s="18" t="str">
        <f t="shared" si="50"/>
        <v/>
      </c>
    </row>
    <row r="249" spans="1:19" ht="22.5" customHeight="1" x14ac:dyDescent="0.25">
      <c r="A249" s="201"/>
      <c r="B249" s="202"/>
      <c r="C249" s="203"/>
      <c r="D249" s="203"/>
      <c r="E249" s="204"/>
      <c r="F249" s="203"/>
      <c r="G249" s="205"/>
      <c r="H249" s="205"/>
      <c r="I249" s="206"/>
      <c r="J249" s="207"/>
      <c r="K249" s="192"/>
      <c r="M249" s="18" t="str">
        <f t="shared" si="44"/>
        <v/>
      </c>
      <c r="N249" s="18" t="str">
        <f t="shared" si="45"/>
        <v/>
      </c>
      <c r="O249" s="18" t="str">
        <f t="shared" si="46"/>
        <v/>
      </c>
      <c r="P249" s="18" t="str">
        <f t="shared" si="47"/>
        <v/>
      </c>
      <c r="Q249" s="18" t="str">
        <f t="shared" si="48"/>
        <v/>
      </c>
      <c r="R249" s="18" t="str">
        <f t="shared" si="49"/>
        <v/>
      </c>
      <c r="S249" s="18" t="str">
        <f t="shared" si="50"/>
        <v/>
      </c>
    </row>
    <row r="250" spans="1:19" ht="22.5" customHeight="1" x14ac:dyDescent="0.25">
      <c r="A250" s="216"/>
      <c r="B250" s="217"/>
      <c r="C250" s="218"/>
      <c r="D250" s="218"/>
      <c r="E250" s="221"/>
      <c r="F250" s="218"/>
      <c r="G250" s="220"/>
      <c r="H250" s="220"/>
      <c r="I250" s="221"/>
      <c r="J250" s="222"/>
      <c r="K250" s="215"/>
      <c r="M250" s="18" t="str">
        <f t="shared" si="44"/>
        <v/>
      </c>
      <c r="N250" s="18" t="str">
        <f t="shared" si="45"/>
        <v/>
      </c>
      <c r="O250" s="18" t="str">
        <f t="shared" si="46"/>
        <v/>
      </c>
      <c r="P250" s="18" t="str">
        <f t="shared" si="47"/>
        <v/>
      </c>
      <c r="Q250" s="18" t="str">
        <f t="shared" si="48"/>
        <v/>
      </c>
      <c r="R250" s="18" t="str">
        <f t="shared" si="49"/>
        <v/>
      </c>
      <c r="S250" s="18" t="str">
        <f t="shared" si="50"/>
        <v/>
      </c>
    </row>
    <row r="251" spans="1:19" ht="22.5" customHeight="1" x14ac:dyDescent="0.25">
      <c r="A251" s="201"/>
      <c r="B251" s="202"/>
      <c r="C251" s="203"/>
      <c r="D251" s="203"/>
      <c r="E251" s="204"/>
      <c r="F251" s="203"/>
      <c r="G251" s="205"/>
      <c r="H251" s="205"/>
      <c r="I251" s="206"/>
      <c r="J251" s="207"/>
      <c r="K251" s="192"/>
      <c r="M251" s="18" t="str">
        <f t="shared" si="44"/>
        <v/>
      </c>
      <c r="N251" s="18" t="str">
        <f t="shared" si="45"/>
        <v/>
      </c>
      <c r="O251" s="18" t="str">
        <f t="shared" si="46"/>
        <v/>
      </c>
      <c r="P251" s="18" t="str">
        <f t="shared" si="47"/>
        <v/>
      </c>
      <c r="Q251" s="18" t="str">
        <f t="shared" si="48"/>
        <v/>
      </c>
      <c r="R251" s="18" t="str">
        <f t="shared" si="49"/>
        <v/>
      </c>
      <c r="S251" s="18" t="str">
        <f t="shared" si="50"/>
        <v/>
      </c>
    </row>
    <row r="252" spans="1:19" ht="22.5" customHeight="1" x14ac:dyDescent="0.25">
      <c r="A252" s="216"/>
      <c r="B252" s="217"/>
      <c r="C252" s="218"/>
      <c r="D252" s="218"/>
      <c r="E252" s="221"/>
      <c r="F252" s="218"/>
      <c r="G252" s="220"/>
      <c r="H252" s="220"/>
      <c r="I252" s="221"/>
      <c r="J252" s="222"/>
      <c r="K252" s="215"/>
      <c r="M252" s="18" t="str">
        <f t="shared" ref="M252:M291" si="51">IF(A252="","",IF(A252="Entrada",D252,""))</f>
        <v/>
      </c>
      <c r="N252" s="18" t="str">
        <f t="shared" ref="N252:N291" si="52">IF(A252="","",IF(A252="Entrada",E252,""))</f>
        <v/>
      </c>
      <c r="O252" s="18" t="str">
        <f t="shared" ref="O252:O291" si="53">IF(A252="","",IF(A252="Entrada",1,""))</f>
        <v/>
      </c>
      <c r="P252" s="18" t="str">
        <f t="shared" ref="P252:P291" si="54">IF(O252=1,G252,"")</f>
        <v/>
      </c>
      <c r="Q252" s="18" t="str">
        <f t="shared" ref="Q252:Q291" si="55">IF(A252="","",IF(A252="Entrada",(M252/10)*P252,""))</f>
        <v/>
      </c>
      <c r="R252" s="18" t="str">
        <f t="shared" ref="R252:R291" si="56">IF(A252="","",IF(A252="Saída",D252,""))</f>
        <v/>
      </c>
      <c r="S252" s="18" t="str">
        <f t="shared" ref="S252:S291" si="57">IF(A252="","",IF(A252="Saída",E252,""))</f>
        <v/>
      </c>
    </row>
    <row r="253" spans="1:19" ht="22.5" customHeight="1" x14ac:dyDescent="0.25">
      <c r="A253" s="201"/>
      <c r="B253" s="202"/>
      <c r="C253" s="203"/>
      <c r="D253" s="203"/>
      <c r="E253" s="204"/>
      <c r="F253" s="203"/>
      <c r="G253" s="205"/>
      <c r="H253" s="205"/>
      <c r="I253" s="206"/>
      <c r="J253" s="207"/>
      <c r="K253" s="192"/>
      <c r="M253" s="18" t="str">
        <f t="shared" si="51"/>
        <v/>
      </c>
      <c r="N253" s="18" t="str">
        <f t="shared" si="52"/>
        <v/>
      </c>
      <c r="O253" s="18" t="str">
        <f t="shared" si="53"/>
        <v/>
      </c>
      <c r="P253" s="18" t="str">
        <f t="shared" si="54"/>
        <v/>
      </c>
      <c r="Q253" s="18" t="str">
        <f t="shared" si="55"/>
        <v/>
      </c>
      <c r="R253" s="18" t="str">
        <f t="shared" si="56"/>
        <v/>
      </c>
      <c r="S253" s="18" t="str">
        <f t="shared" si="57"/>
        <v/>
      </c>
    </row>
    <row r="254" spans="1:19" ht="22.5" customHeight="1" x14ac:dyDescent="0.25">
      <c r="A254" s="216"/>
      <c r="B254" s="217"/>
      <c r="C254" s="218"/>
      <c r="D254" s="218"/>
      <c r="E254" s="221"/>
      <c r="F254" s="218"/>
      <c r="G254" s="220"/>
      <c r="H254" s="220"/>
      <c r="I254" s="221"/>
      <c r="J254" s="222"/>
      <c r="K254" s="215"/>
      <c r="M254" s="18" t="str">
        <f t="shared" si="51"/>
        <v/>
      </c>
      <c r="N254" s="18" t="str">
        <f t="shared" si="52"/>
        <v/>
      </c>
      <c r="O254" s="18" t="str">
        <f t="shared" si="53"/>
        <v/>
      </c>
      <c r="P254" s="18" t="str">
        <f t="shared" si="54"/>
        <v/>
      </c>
      <c r="Q254" s="18" t="str">
        <f t="shared" si="55"/>
        <v/>
      </c>
      <c r="R254" s="18" t="str">
        <f t="shared" si="56"/>
        <v/>
      </c>
      <c r="S254" s="18" t="str">
        <f t="shared" si="57"/>
        <v/>
      </c>
    </row>
    <row r="255" spans="1:19" ht="22.5" customHeight="1" x14ac:dyDescent="0.25">
      <c r="A255" s="201"/>
      <c r="B255" s="202"/>
      <c r="C255" s="203"/>
      <c r="D255" s="203"/>
      <c r="E255" s="204"/>
      <c r="F255" s="203"/>
      <c r="G255" s="205"/>
      <c r="H255" s="205"/>
      <c r="I255" s="206"/>
      <c r="J255" s="207"/>
      <c r="K255" s="192"/>
      <c r="M255" s="18" t="str">
        <f t="shared" si="51"/>
        <v/>
      </c>
      <c r="N255" s="18" t="str">
        <f t="shared" si="52"/>
        <v/>
      </c>
      <c r="O255" s="18" t="str">
        <f t="shared" si="53"/>
        <v/>
      </c>
      <c r="P255" s="18" t="str">
        <f t="shared" si="54"/>
        <v/>
      </c>
      <c r="Q255" s="18" t="str">
        <f t="shared" si="55"/>
        <v/>
      </c>
      <c r="R255" s="18" t="str">
        <f t="shared" si="56"/>
        <v/>
      </c>
      <c r="S255" s="18" t="str">
        <f t="shared" si="57"/>
        <v/>
      </c>
    </row>
    <row r="256" spans="1:19" ht="22.5" customHeight="1" x14ac:dyDescent="0.25">
      <c r="A256" s="216"/>
      <c r="B256" s="217"/>
      <c r="C256" s="218"/>
      <c r="D256" s="218"/>
      <c r="E256" s="221"/>
      <c r="F256" s="218"/>
      <c r="G256" s="220"/>
      <c r="H256" s="220"/>
      <c r="I256" s="221"/>
      <c r="J256" s="222"/>
      <c r="K256" s="215"/>
      <c r="M256" s="18" t="str">
        <f t="shared" si="51"/>
        <v/>
      </c>
      <c r="N256" s="18" t="str">
        <f t="shared" si="52"/>
        <v/>
      </c>
      <c r="O256" s="18" t="str">
        <f t="shared" si="53"/>
        <v/>
      </c>
      <c r="P256" s="18" t="str">
        <f t="shared" si="54"/>
        <v/>
      </c>
      <c r="Q256" s="18" t="str">
        <f t="shared" si="55"/>
        <v/>
      </c>
      <c r="R256" s="18" t="str">
        <f t="shared" si="56"/>
        <v/>
      </c>
      <c r="S256" s="18" t="str">
        <f t="shared" si="57"/>
        <v/>
      </c>
    </row>
    <row r="257" spans="1:19" ht="22.5" customHeight="1" x14ac:dyDescent="0.25">
      <c r="A257" s="201"/>
      <c r="B257" s="202"/>
      <c r="C257" s="203"/>
      <c r="D257" s="203"/>
      <c r="E257" s="204"/>
      <c r="F257" s="203"/>
      <c r="G257" s="205"/>
      <c r="H257" s="205"/>
      <c r="I257" s="206"/>
      <c r="J257" s="207"/>
      <c r="K257" s="192"/>
      <c r="M257" s="18" t="str">
        <f t="shared" si="51"/>
        <v/>
      </c>
      <c r="N257" s="18" t="str">
        <f t="shared" si="52"/>
        <v/>
      </c>
      <c r="O257" s="18" t="str">
        <f t="shared" si="53"/>
        <v/>
      </c>
      <c r="P257" s="18" t="str">
        <f t="shared" si="54"/>
        <v/>
      </c>
      <c r="Q257" s="18" t="str">
        <f t="shared" si="55"/>
        <v/>
      </c>
      <c r="R257" s="18" t="str">
        <f t="shared" si="56"/>
        <v/>
      </c>
      <c r="S257" s="18" t="str">
        <f t="shared" si="57"/>
        <v/>
      </c>
    </row>
    <row r="258" spans="1:19" ht="22.5" customHeight="1" x14ac:dyDescent="0.25">
      <c r="A258" s="216"/>
      <c r="B258" s="217"/>
      <c r="C258" s="218"/>
      <c r="D258" s="218"/>
      <c r="E258" s="221"/>
      <c r="F258" s="218"/>
      <c r="G258" s="220"/>
      <c r="H258" s="220"/>
      <c r="I258" s="221"/>
      <c r="J258" s="222"/>
      <c r="K258" s="215"/>
      <c r="M258" s="18" t="str">
        <f t="shared" si="51"/>
        <v/>
      </c>
      <c r="N258" s="18" t="str">
        <f t="shared" si="52"/>
        <v/>
      </c>
      <c r="O258" s="18" t="str">
        <f t="shared" si="53"/>
        <v/>
      </c>
      <c r="P258" s="18" t="str">
        <f t="shared" si="54"/>
        <v/>
      </c>
      <c r="Q258" s="18" t="str">
        <f t="shared" si="55"/>
        <v/>
      </c>
      <c r="R258" s="18" t="str">
        <f t="shared" si="56"/>
        <v/>
      </c>
      <c r="S258" s="18" t="str">
        <f t="shared" si="57"/>
        <v/>
      </c>
    </row>
    <row r="259" spans="1:19" ht="22.5" customHeight="1" x14ac:dyDescent="0.25">
      <c r="A259" s="201"/>
      <c r="B259" s="202"/>
      <c r="C259" s="203"/>
      <c r="D259" s="203"/>
      <c r="E259" s="204"/>
      <c r="F259" s="203"/>
      <c r="G259" s="205"/>
      <c r="H259" s="205"/>
      <c r="I259" s="206"/>
      <c r="J259" s="207"/>
      <c r="K259" s="192"/>
      <c r="M259" s="18" t="str">
        <f t="shared" si="51"/>
        <v/>
      </c>
      <c r="N259" s="18" t="str">
        <f t="shared" si="52"/>
        <v/>
      </c>
      <c r="O259" s="18" t="str">
        <f t="shared" si="53"/>
        <v/>
      </c>
      <c r="P259" s="18" t="str">
        <f t="shared" si="54"/>
        <v/>
      </c>
      <c r="Q259" s="18" t="str">
        <f t="shared" si="55"/>
        <v/>
      </c>
      <c r="R259" s="18" t="str">
        <f t="shared" si="56"/>
        <v/>
      </c>
      <c r="S259" s="18" t="str">
        <f t="shared" si="57"/>
        <v/>
      </c>
    </row>
    <row r="260" spans="1:19" ht="22.5" customHeight="1" x14ac:dyDescent="0.25">
      <c r="A260" s="216"/>
      <c r="B260" s="217"/>
      <c r="C260" s="218"/>
      <c r="D260" s="218"/>
      <c r="E260" s="221"/>
      <c r="F260" s="218"/>
      <c r="G260" s="220"/>
      <c r="H260" s="220"/>
      <c r="I260" s="221"/>
      <c r="J260" s="222"/>
      <c r="K260" s="215"/>
      <c r="M260" s="18" t="str">
        <f t="shared" si="51"/>
        <v/>
      </c>
      <c r="N260" s="18" t="str">
        <f t="shared" si="52"/>
        <v/>
      </c>
      <c r="O260" s="18" t="str">
        <f t="shared" si="53"/>
        <v/>
      </c>
      <c r="P260" s="18" t="str">
        <f t="shared" si="54"/>
        <v/>
      </c>
      <c r="Q260" s="18" t="str">
        <f t="shared" si="55"/>
        <v/>
      </c>
      <c r="R260" s="18" t="str">
        <f t="shared" si="56"/>
        <v/>
      </c>
      <c r="S260" s="18" t="str">
        <f t="shared" si="57"/>
        <v/>
      </c>
    </row>
    <row r="261" spans="1:19" ht="22.5" customHeight="1" x14ac:dyDescent="0.25">
      <c r="A261" s="201"/>
      <c r="B261" s="202"/>
      <c r="C261" s="203"/>
      <c r="D261" s="203"/>
      <c r="E261" s="204"/>
      <c r="F261" s="203"/>
      <c r="G261" s="205"/>
      <c r="H261" s="205"/>
      <c r="I261" s="206"/>
      <c r="J261" s="207"/>
      <c r="K261" s="192"/>
      <c r="M261" s="18" t="str">
        <f t="shared" si="51"/>
        <v/>
      </c>
      <c r="N261" s="18" t="str">
        <f t="shared" si="52"/>
        <v/>
      </c>
      <c r="O261" s="18" t="str">
        <f t="shared" si="53"/>
        <v/>
      </c>
      <c r="P261" s="18" t="str">
        <f t="shared" si="54"/>
        <v/>
      </c>
      <c r="Q261" s="18" t="str">
        <f t="shared" si="55"/>
        <v/>
      </c>
      <c r="R261" s="18" t="str">
        <f t="shared" si="56"/>
        <v/>
      </c>
      <c r="S261" s="18" t="str">
        <f t="shared" si="57"/>
        <v/>
      </c>
    </row>
    <row r="262" spans="1:19" ht="22.5" customHeight="1" x14ac:dyDescent="0.25">
      <c r="A262" s="216"/>
      <c r="B262" s="217"/>
      <c r="C262" s="218"/>
      <c r="D262" s="218"/>
      <c r="E262" s="221"/>
      <c r="F262" s="218"/>
      <c r="G262" s="220"/>
      <c r="H262" s="220"/>
      <c r="I262" s="221"/>
      <c r="J262" s="222"/>
      <c r="K262" s="215"/>
      <c r="M262" s="18" t="str">
        <f t="shared" si="51"/>
        <v/>
      </c>
      <c r="N262" s="18" t="str">
        <f t="shared" si="52"/>
        <v/>
      </c>
      <c r="O262" s="18" t="str">
        <f t="shared" si="53"/>
        <v/>
      </c>
      <c r="P262" s="18" t="str">
        <f t="shared" si="54"/>
        <v/>
      </c>
      <c r="Q262" s="18" t="str">
        <f t="shared" si="55"/>
        <v/>
      </c>
      <c r="R262" s="18" t="str">
        <f t="shared" si="56"/>
        <v/>
      </c>
      <c r="S262" s="18" t="str">
        <f t="shared" si="57"/>
        <v/>
      </c>
    </row>
    <row r="263" spans="1:19" ht="22.5" customHeight="1" x14ac:dyDescent="0.25">
      <c r="A263" s="201"/>
      <c r="B263" s="202"/>
      <c r="C263" s="203"/>
      <c r="D263" s="203"/>
      <c r="E263" s="204"/>
      <c r="F263" s="203"/>
      <c r="G263" s="205"/>
      <c r="H263" s="205"/>
      <c r="I263" s="206"/>
      <c r="J263" s="207"/>
      <c r="K263" s="192"/>
      <c r="M263" s="18" t="str">
        <f t="shared" si="51"/>
        <v/>
      </c>
      <c r="N263" s="18" t="str">
        <f t="shared" si="52"/>
        <v/>
      </c>
      <c r="O263" s="18" t="str">
        <f t="shared" si="53"/>
        <v/>
      </c>
      <c r="P263" s="18" t="str">
        <f t="shared" si="54"/>
        <v/>
      </c>
      <c r="Q263" s="18" t="str">
        <f t="shared" si="55"/>
        <v/>
      </c>
      <c r="R263" s="18" t="str">
        <f t="shared" si="56"/>
        <v/>
      </c>
      <c r="S263" s="18" t="str">
        <f t="shared" si="57"/>
        <v/>
      </c>
    </row>
    <row r="264" spans="1:19" ht="22.5" customHeight="1" x14ac:dyDescent="0.25">
      <c r="A264" s="216"/>
      <c r="B264" s="217"/>
      <c r="C264" s="218"/>
      <c r="D264" s="218"/>
      <c r="E264" s="221"/>
      <c r="F264" s="218"/>
      <c r="G264" s="220"/>
      <c r="H264" s="220"/>
      <c r="I264" s="221"/>
      <c r="J264" s="222"/>
      <c r="K264" s="215"/>
      <c r="M264" s="18" t="str">
        <f t="shared" si="51"/>
        <v/>
      </c>
      <c r="N264" s="18" t="str">
        <f t="shared" si="52"/>
        <v/>
      </c>
      <c r="O264" s="18" t="str">
        <f t="shared" si="53"/>
        <v/>
      </c>
      <c r="P264" s="18" t="str">
        <f t="shared" si="54"/>
        <v/>
      </c>
      <c r="Q264" s="18" t="str">
        <f t="shared" si="55"/>
        <v/>
      </c>
      <c r="R264" s="18" t="str">
        <f t="shared" si="56"/>
        <v/>
      </c>
      <c r="S264" s="18" t="str">
        <f t="shared" si="57"/>
        <v/>
      </c>
    </row>
    <row r="265" spans="1:19" ht="22.5" customHeight="1" x14ac:dyDescent="0.25">
      <c r="A265" s="201"/>
      <c r="B265" s="202"/>
      <c r="C265" s="203"/>
      <c r="D265" s="203"/>
      <c r="E265" s="204"/>
      <c r="F265" s="203"/>
      <c r="G265" s="205"/>
      <c r="H265" s="205"/>
      <c r="I265" s="206"/>
      <c r="J265" s="207"/>
      <c r="K265" s="192"/>
      <c r="M265" s="18" t="str">
        <f t="shared" si="51"/>
        <v/>
      </c>
      <c r="N265" s="18" t="str">
        <f t="shared" si="52"/>
        <v/>
      </c>
      <c r="O265" s="18" t="str">
        <f t="shared" si="53"/>
        <v/>
      </c>
      <c r="P265" s="18" t="str">
        <f t="shared" si="54"/>
        <v/>
      </c>
      <c r="Q265" s="18" t="str">
        <f t="shared" si="55"/>
        <v/>
      </c>
      <c r="R265" s="18" t="str">
        <f t="shared" si="56"/>
        <v/>
      </c>
      <c r="S265" s="18" t="str">
        <f t="shared" si="57"/>
        <v/>
      </c>
    </row>
    <row r="266" spans="1:19" ht="22.5" customHeight="1" x14ac:dyDescent="0.25">
      <c r="A266" s="216"/>
      <c r="B266" s="217"/>
      <c r="C266" s="218"/>
      <c r="D266" s="218"/>
      <c r="E266" s="221"/>
      <c r="F266" s="218"/>
      <c r="G266" s="220"/>
      <c r="H266" s="220"/>
      <c r="I266" s="221"/>
      <c r="J266" s="222"/>
      <c r="K266" s="215"/>
      <c r="M266" s="18" t="str">
        <f t="shared" si="51"/>
        <v/>
      </c>
      <c r="N266" s="18" t="str">
        <f t="shared" si="52"/>
        <v/>
      </c>
      <c r="O266" s="18" t="str">
        <f t="shared" si="53"/>
        <v/>
      </c>
      <c r="P266" s="18" t="str">
        <f t="shared" si="54"/>
        <v/>
      </c>
      <c r="Q266" s="18" t="str">
        <f t="shared" si="55"/>
        <v/>
      </c>
      <c r="R266" s="18" t="str">
        <f t="shared" si="56"/>
        <v/>
      </c>
      <c r="S266" s="18" t="str">
        <f t="shared" si="57"/>
        <v/>
      </c>
    </row>
    <row r="267" spans="1:19" ht="22.5" customHeight="1" x14ac:dyDescent="0.25">
      <c r="A267" s="201"/>
      <c r="B267" s="202"/>
      <c r="C267" s="203"/>
      <c r="D267" s="203"/>
      <c r="E267" s="204"/>
      <c r="F267" s="203"/>
      <c r="G267" s="205"/>
      <c r="H267" s="205"/>
      <c r="I267" s="206"/>
      <c r="J267" s="207"/>
      <c r="K267" s="192"/>
      <c r="M267" s="18" t="str">
        <f t="shared" si="51"/>
        <v/>
      </c>
      <c r="N267" s="18" t="str">
        <f t="shared" si="52"/>
        <v/>
      </c>
      <c r="O267" s="18" t="str">
        <f t="shared" si="53"/>
        <v/>
      </c>
      <c r="P267" s="18" t="str">
        <f t="shared" si="54"/>
        <v/>
      </c>
      <c r="Q267" s="18" t="str">
        <f t="shared" si="55"/>
        <v/>
      </c>
      <c r="R267" s="18" t="str">
        <f t="shared" si="56"/>
        <v/>
      </c>
      <c r="S267" s="18" t="str">
        <f t="shared" si="57"/>
        <v/>
      </c>
    </row>
    <row r="268" spans="1:19" ht="22.5" customHeight="1" x14ac:dyDescent="0.25">
      <c r="A268" s="216"/>
      <c r="B268" s="217"/>
      <c r="C268" s="218"/>
      <c r="D268" s="218"/>
      <c r="E268" s="221"/>
      <c r="F268" s="218"/>
      <c r="G268" s="220"/>
      <c r="H268" s="220"/>
      <c r="I268" s="221"/>
      <c r="J268" s="222"/>
      <c r="K268" s="215"/>
      <c r="M268" s="18" t="str">
        <f t="shared" si="51"/>
        <v/>
      </c>
      <c r="N268" s="18" t="str">
        <f t="shared" si="52"/>
        <v/>
      </c>
      <c r="O268" s="18" t="str">
        <f t="shared" si="53"/>
        <v/>
      </c>
      <c r="P268" s="18" t="str">
        <f t="shared" si="54"/>
        <v/>
      </c>
      <c r="Q268" s="18" t="str">
        <f t="shared" si="55"/>
        <v/>
      </c>
      <c r="R268" s="18" t="str">
        <f t="shared" si="56"/>
        <v/>
      </c>
      <c r="S268" s="18" t="str">
        <f t="shared" si="57"/>
        <v/>
      </c>
    </row>
    <row r="269" spans="1:19" ht="22.5" customHeight="1" x14ac:dyDescent="0.25">
      <c r="A269" s="201"/>
      <c r="B269" s="202"/>
      <c r="C269" s="203"/>
      <c r="D269" s="203"/>
      <c r="E269" s="204"/>
      <c r="F269" s="203"/>
      <c r="G269" s="205"/>
      <c r="H269" s="205"/>
      <c r="I269" s="206"/>
      <c r="J269" s="207"/>
      <c r="K269" s="192"/>
      <c r="M269" s="18" t="str">
        <f t="shared" si="51"/>
        <v/>
      </c>
      <c r="N269" s="18" t="str">
        <f t="shared" si="52"/>
        <v/>
      </c>
      <c r="O269" s="18" t="str">
        <f t="shared" si="53"/>
        <v/>
      </c>
      <c r="P269" s="18" t="str">
        <f t="shared" si="54"/>
        <v/>
      </c>
      <c r="Q269" s="18" t="str">
        <f t="shared" si="55"/>
        <v/>
      </c>
      <c r="R269" s="18" t="str">
        <f t="shared" si="56"/>
        <v/>
      </c>
      <c r="S269" s="18" t="str">
        <f t="shared" si="57"/>
        <v/>
      </c>
    </row>
    <row r="270" spans="1:19" ht="22.5" customHeight="1" x14ac:dyDescent="0.25">
      <c r="A270" s="216"/>
      <c r="B270" s="217"/>
      <c r="C270" s="218"/>
      <c r="D270" s="218"/>
      <c r="E270" s="221"/>
      <c r="F270" s="218"/>
      <c r="G270" s="220"/>
      <c r="H270" s="220"/>
      <c r="I270" s="221"/>
      <c r="J270" s="222"/>
      <c r="K270" s="215"/>
      <c r="M270" s="18" t="str">
        <f t="shared" si="51"/>
        <v/>
      </c>
      <c r="N270" s="18" t="str">
        <f t="shared" si="52"/>
        <v/>
      </c>
      <c r="O270" s="18" t="str">
        <f t="shared" si="53"/>
        <v/>
      </c>
      <c r="P270" s="18" t="str">
        <f t="shared" si="54"/>
        <v/>
      </c>
      <c r="Q270" s="18" t="str">
        <f t="shared" si="55"/>
        <v/>
      </c>
      <c r="R270" s="18" t="str">
        <f t="shared" si="56"/>
        <v/>
      </c>
      <c r="S270" s="18" t="str">
        <f t="shared" si="57"/>
        <v/>
      </c>
    </row>
    <row r="271" spans="1:19" ht="22.5" customHeight="1" x14ac:dyDescent="0.25">
      <c r="A271" s="201"/>
      <c r="B271" s="202"/>
      <c r="C271" s="203"/>
      <c r="D271" s="203"/>
      <c r="E271" s="204"/>
      <c r="F271" s="203"/>
      <c r="G271" s="205"/>
      <c r="H271" s="205"/>
      <c r="I271" s="206"/>
      <c r="J271" s="207"/>
      <c r="K271" s="192"/>
      <c r="M271" s="18" t="str">
        <f t="shared" si="51"/>
        <v/>
      </c>
      <c r="N271" s="18" t="str">
        <f t="shared" si="52"/>
        <v/>
      </c>
      <c r="O271" s="18" t="str">
        <f t="shared" si="53"/>
        <v/>
      </c>
      <c r="P271" s="18" t="str">
        <f t="shared" si="54"/>
        <v/>
      </c>
      <c r="Q271" s="18" t="str">
        <f t="shared" si="55"/>
        <v/>
      </c>
      <c r="R271" s="18" t="str">
        <f t="shared" si="56"/>
        <v/>
      </c>
      <c r="S271" s="18" t="str">
        <f t="shared" si="57"/>
        <v/>
      </c>
    </row>
    <row r="272" spans="1:19" ht="22.5" customHeight="1" x14ac:dyDescent="0.25">
      <c r="A272" s="216"/>
      <c r="B272" s="217"/>
      <c r="C272" s="218"/>
      <c r="D272" s="218"/>
      <c r="E272" s="221"/>
      <c r="F272" s="218"/>
      <c r="G272" s="220"/>
      <c r="H272" s="220"/>
      <c r="I272" s="221"/>
      <c r="J272" s="222"/>
      <c r="K272" s="215"/>
      <c r="M272" s="18" t="str">
        <f t="shared" si="51"/>
        <v/>
      </c>
      <c r="N272" s="18" t="str">
        <f t="shared" si="52"/>
        <v/>
      </c>
      <c r="O272" s="18" t="str">
        <f t="shared" si="53"/>
        <v/>
      </c>
      <c r="P272" s="18" t="str">
        <f t="shared" si="54"/>
        <v/>
      </c>
      <c r="Q272" s="18" t="str">
        <f t="shared" si="55"/>
        <v/>
      </c>
      <c r="R272" s="18" t="str">
        <f t="shared" si="56"/>
        <v/>
      </c>
      <c r="S272" s="18" t="str">
        <f t="shared" si="57"/>
        <v/>
      </c>
    </row>
    <row r="273" spans="1:19" ht="22.5" customHeight="1" x14ac:dyDescent="0.25">
      <c r="A273" s="201"/>
      <c r="B273" s="202"/>
      <c r="C273" s="203"/>
      <c r="D273" s="203"/>
      <c r="E273" s="204"/>
      <c r="F273" s="203"/>
      <c r="G273" s="205"/>
      <c r="H273" s="205"/>
      <c r="I273" s="206"/>
      <c r="J273" s="207"/>
      <c r="K273" s="192"/>
      <c r="M273" s="18" t="str">
        <f t="shared" si="51"/>
        <v/>
      </c>
      <c r="N273" s="18" t="str">
        <f t="shared" si="52"/>
        <v/>
      </c>
      <c r="O273" s="18" t="str">
        <f t="shared" si="53"/>
        <v/>
      </c>
      <c r="P273" s="18" t="str">
        <f t="shared" si="54"/>
        <v/>
      </c>
      <c r="Q273" s="18" t="str">
        <f t="shared" si="55"/>
        <v/>
      </c>
      <c r="R273" s="18" t="str">
        <f t="shared" si="56"/>
        <v/>
      </c>
      <c r="S273" s="18" t="str">
        <f t="shared" si="57"/>
        <v/>
      </c>
    </row>
    <row r="274" spans="1:19" ht="22.5" customHeight="1" x14ac:dyDescent="0.25">
      <c r="A274" s="216"/>
      <c r="B274" s="217"/>
      <c r="C274" s="218"/>
      <c r="D274" s="218"/>
      <c r="E274" s="221"/>
      <c r="F274" s="218"/>
      <c r="G274" s="220"/>
      <c r="H274" s="220"/>
      <c r="I274" s="221"/>
      <c r="J274" s="222"/>
      <c r="K274" s="215"/>
      <c r="M274" s="18" t="str">
        <f t="shared" si="51"/>
        <v/>
      </c>
      <c r="N274" s="18" t="str">
        <f t="shared" si="52"/>
        <v/>
      </c>
      <c r="O274" s="18" t="str">
        <f t="shared" si="53"/>
        <v/>
      </c>
      <c r="P274" s="18" t="str">
        <f t="shared" si="54"/>
        <v/>
      </c>
      <c r="Q274" s="18" t="str">
        <f t="shared" si="55"/>
        <v/>
      </c>
      <c r="R274" s="18" t="str">
        <f t="shared" si="56"/>
        <v/>
      </c>
      <c r="S274" s="18" t="str">
        <f t="shared" si="57"/>
        <v/>
      </c>
    </row>
    <row r="275" spans="1:19" ht="22.5" customHeight="1" x14ac:dyDescent="0.25">
      <c r="A275" s="201"/>
      <c r="B275" s="202"/>
      <c r="C275" s="203"/>
      <c r="D275" s="203"/>
      <c r="E275" s="204"/>
      <c r="F275" s="203"/>
      <c r="G275" s="205"/>
      <c r="H275" s="205"/>
      <c r="I275" s="206"/>
      <c r="J275" s="207"/>
      <c r="K275" s="192"/>
      <c r="M275" s="18" t="str">
        <f t="shared" si="51"/>
        <v/>
      </c>
      <c r="N275" s="18" t="str">
        <f t="shared" si="52"/>
        <v/>
      </c>
      <c r="O275" s="18" t="str">
        <f t="shared" si="53"/>
        <v/>
      </c>
      <c r="P275" s="18" t="str">
        <f t="shared" si="54"/>
        <v/>
      </c>
      <c r="Q275" s="18" t="str">
        <f t="shared" si="55"/>
        <v/>
      </c>
      <c r="R275" s="18" t="str">
        <f t="shared" si="56"/>
        <v/>
      </c>
      <c r="S275" s="18" t="str">
        <f t="shared" si="57"/>
        <v/>
      </c>
    </row>
    <row r="276" spans="1:19" ht="22.5" customHeight="1" x14ac:dyDescent="0.25">
      <c r="A276" s="216"/>
      <c r="B276" s="217"/>
      <c r="C276" s="218"/>
      <c r="D276" s="218"/>
      <c r="E276" s="221"/>
      <c r="F276" s="218"/>
      <c r="G276" s="220"/>
      <c r="H276" s="220"/>
      <c r="I276" s="221"/>
      <c r="J276" s="222"/>
      <c r="K276" s="215"/>
      <c r="M276" s="18" t="str">
        <f t="shared" si="51"/>
        <v/>
      </c>
      <c r="N276" s="18" t="str">
        <f t="shared" si="52"/>
        <v/>
      </c>
      <c r="O276" s="18" t="str">
        <f t="shared" si="53"/>
        <v/>
      </c>
      <c r="P276" s="18" t="str">
        <f t="shared" si="54"/>
        <v/>
      </c>
      <c r="Q276" s="18" t="str">
        <f t="shared" si="55"/>
        <v/>
      </c>
      <c r="R276" s="18" t="str">
        <f t="shared" si="56"/>
        <v/>
      </c>
      <c r="S276" s="18" t="str">
        <f t="shared" si="57"/>
        <v/>
      </c>
    </row>
    <row r="277" spans="1:19" ht="22.5" customHeight="1" x14ac:dyDescent="0.25">
      <c r="A277" s="201"/>
      <c r="B277" s="202"/>
      <c r="C277" s="203"/>
      <c r="D277" s="203"/>
      <c r="E277" s="204"/>
      <c r="F277" s="203"/>
      <c r="G277" s="205"/>
      <c r="H277" s="205"/>
      <c r="I277" s="206"/>
      <c r="J277" s="207"/>
      <c r="K277" s="192"/>
      <c r="M277" s="18" t="str">
        <f t="shared" si="51"/>
        <v/>
      </c>
      <c r="N277" s="18" t="str">
        <f t="shared" si="52"/>
        <v/>
      </c>
      <c r="O277" s="18" t="str">
        <f t="shared" si="53"/>
        <v/>
      </c>
      <c r="P277" s="18" t="str">
        <f t="shared" si="54"/>
        <v/>
      </c>
      <c r="Q277" s="18" t="str">
        <f t="shared" si="55"/>
        <v/>
      </c>
      <c r="R277" s="18" t="str">
        <f t="shared" si="56"/>
        <v/>
      </c>
      <c r="S277" s="18" t="str">
        <f t="shared" si="57"/>
        <v/>
      </c>
    </row>
    <row r="278" spans="1:19" ht="22.5" customHeight="1" x14ac:dyDescent="0.25">
      <c r="A278" s="216"/>
      <c r="B278" s="217"/>
      <c r="C278" s="218"/>
      <c r="D278" s="218"/>
      <c r="E278" s="221"/>
      <c r="F278" s="218"/>
      <c r="G278" s="220"/>
      <c r="H278" s="220"/>
      <c r="I278" s="221"/>
      <c r="J278" s="222"/>
      <c r="K278" s="215"/>
      <c r="M278" s="18" t="str">
        <f t="shared" si="51"/>
        <v/>
      </c>
      <c r="N278" s="18" t="str">
        <f t="shared" si="52"/>
        <v/>
      </c>
      <c r="O278" s="18" t="str">
        <f t="shared" si="53"/>
        <v/>
      </c>
      <c r="P278" s="18" t="str">
        <f t="shared" si="54"/>
        <v/>
      </c>
      <c r="Q278" s="18" t="str">
        <f t="shared" si="55"/>
        <v/>
      </c>
      <c r="R278" s="18" t="str">
        <f t="shared" si="56"/>
        <v/>
      </c>
      <c r="S278" s="18" t="str">
        <f t="shared" si="57"/>
        <v/>
      </c>
    </row>
    <row r="279" spans="1:19" ht="22.5" customHeight="1" x14ac:dyDescent="0.25">
      <c r="A279" s="201"/>
      <c r="B279" s="202"/>
      <c r="C279" s="203"/>
      <c r="D279" s="203"/>
      <c r="E279" s="204"/>
      <c r="F279" s="203"/>
      <c r="G279" s="205"/>
      <c r="H279" s="205"/>
      <c r="I279" s="206"/>
      <c r="J279" s="207"/>
      <c r="K279" s="192"/>
      <c r="M279" s="18" t="str">
        <f t="shared" si="51"/>
        <v/>
      </c>
      <c r="N279" s="18" t="str">
        <f t="shared" si="52"/>
        <v/>
      </c>
      <c r="O279" s="18" t="str">
        <f t="shared" si="53"/>
        <v/>
      </c>
      <c r="P279" s="18" t="str">
        <f t="shared" si="54"/>
        <v/>
      </c>
      <c r="Q279" s="18" t="str">
        <f t="shared" si="55"/>
        <v/>
      </c>
      <c r="R279" s="18" t="str">
        <f t="shared" si="56"/>
        <v/>
      </c>
      <c r="S279" s="18" t="str">
        <f t="shared" si="57"/>
        <v/>
      </c>
    </row>
    <row r="280" spans="1:19" ht="22.5" customHeight="1" x14ac:dyDescent="0.25">
      <c r="A280" s="216"/>
      <c r="B280" s="217"/>
      <c r="C280" s="218"/>
      <c r="D280" s="218"/>
      <c r="E280" s="221"/>
      <c r="F280" s="218"/>
      <c r="G280" s="220"/>
      <c r="H280" s="220"/>
      <c r="I280" s="221"/>
      <c r="J280" s="222"/>
      <c r="K280" s="215"/>
      <c r="M280" s="18" t="str">
        <f t="shared" si="51"/>
        <v/>
      </c>
      <c r="N280" s="18" t="str">
        <f t="shared" si="52"/>
        <v/>
      </c>
      <c r="O280" s="18" t="str">
        <f t="shared" si="53"/>
        <v/>
      </c>
      <c r="P280" s="18" t="str">
        <f t="shared" si="54"/>
        <v/>
      </c>
      <c r="Q280" s="18" t="str">
        <f t="shared" si="55"/>
        <v/>
      </c>
      <c r="R280" s="18" t="str">
        <f t="shared" si="56"/>
        <v/>
      </c>
      <c r="S280" s="18" t="str">
        <f t="shared" si="57"/>
        <v/>
      </c>
    </row>
    <row r="281" spans="1:19" ht="22.5" customHeight="1" x14ac:dyDescent="0.25">
      <c r="A281" s="201"/>
      <c r="B281" s="202"/>
      <c r="C281" s="203"/>
      <c r="D281" s="203"/>
      <c r="E281" s="204"/>
      <c r="F281" s="203"/>
      <c r="G281" s="205"/>
      <c r="H281" s="205"/>
      <c r="I281" s="206"/>
      <c r="J281" s="207"/>
      <c r="K281" s="192"/>
      <c r="M281" s="18" t="str">
        <f t="shared" si="51"/>
        <v/>
      </c>
      <c r="N281" s="18" t="str">
        <f t="shared" si="52"/>
        <v/>
      </c>
      <c r="O281" s="18" t="str">
        <f t="shared" si="53"/>
        <v/>
      </c>
      <c r="P281" s="18" t="str">
        <f t="shared" si="54"/>
        <v/>
      </c>
      <c r="Q281" s="18" t="str">
        <f t="shared" si="55"/>
        <v/>
      </c>
      <c r="R281" s="18" t="str">
        <f t="shared" si="56"/>
        <v/>
      </c>
      <c r="S281" s="18" t="str">
        <f t="shared" si="57"/>
        <v/>
      </c>
    </row>
    <row r="282" spans="1:19" ht="22.5" customHeight="1" x14ac:dyDescent="0.25">
      <c r="A282" s="216"/>
      <c r="B282" s="217"/>
      <c r="C282" s="218"/>
      <c r="D282" s="218"/>
      <c r="E282" s="221"/>
      <c r="F282" s="218"/>
      <c r="G282" s="220"/>
      <c r="H282" s="220"/>
      <c r="I282" s="221"/>
      <c r="J282" s="222"/>
      <c r="K282" s="215"/>
      <c r="M282" s="18" t="str">
        <f t="shared" si="51"/>
        <v/>
      </c>
      <c r="N282" s="18" t="str">
        <f t="shared" si="52"/>
        <v/>
      </c>
      <c r="O282" s="18" t="str">
        <f t="shared" si="53"/>
        <v/>
      </c>
      <c r="P282" s="18" t="str">
        <f t="shared" si="54"/>
        <v/>
      </c>
      <c r="Q282" s="18" t="str">
        <f t="shared" si="55"/>
        <v/>
      </c>
      <c r="R282" s="18" t="str">
        <f t="shared" si="56"/>
        <v/>
      </c>
      <c r="S282" s="18" t="str">
        <f t="shared" si="57"/>
        <v/>
      </c>
    </row>
    <row r="283" spans="1:19" ht="22.5" customHeight="1" x14ac:dyDescent="0.25">
      <c r="A283" s="201"/>
      <c r="B283" s="202"/>
      <c r="C283" s="203"/>
      <c r="D283" s="203"/>
      <c r="E283" s="204"/>
      <c r="F283" s="203"/>
      <c r="G283" s="205"/>
      <c r="H283" s="205"/>
      <c r="I283" s="206"/>
      <c r="J283" s="207"/>
      <c r="K283" s="192"/>
      <c r="M283" s="18" t="str">
        <f t="shared" si="51"/>
        <v/>
      </c>
      <c r="N283" s="18" t="str">
        <f t="shared" si="52"/>
        <v/>
      </c>
      <c r="O283" s="18" t="str">
        <f t="shared" si="53"/>
        <v/>
      </c>
      <c r="P283" s="18" t="str">
        <f t="shared" si="54"/>
        <v/>
      </c>
      <c r="Q283" s="18" t="str">
        <f t="shared" si="55"/>
        <v/>
      </c>
      <c r="R283" s="18" t="str">
        <f t="shared" si="56"/>
        <v/>
      </c>
      <c r="S283" s="18" t="str">
        <f t="shared" si="57"/>
        <v/>
      </c>
    </row>
    <row r="284" spans="1:19" ht="22.5" customHeight="1" x14ac:dyDescent="0.25">
      <c r="A284" s="216"/>
      <c r="B284" s="217"/>
      <c r="C284" s="218"/>
      <c r="D284" s="218"/>
      <c r="E284" s="221"/>
      <c r="F284" s="218"/>
      <c r="G284" s="220"/>
      <c r="H284" s="220"/>
      <c r="I284" s="221"/>
      <c r="J284" s="222"/>
      <c r="K284" s="215"/>
      <c r="M284" s="18" t="str">
        <f t="shared" si="51"/>
        <v/>
      </c>
      <c r="N284" s="18" t="str">
        <f t="shared" si="52"/>
        <v/>
      </c>
      <c r="O284" s="18" t="str">
        <f t="shared" si="53"/>
        <v/>
      </c>
      <c r="P284" s="18" t="str">
        <f t="shared" si="54"/>
        <v/>
      </c>
      <c r="Q284" s="18" t="str">
        <f t="shared" si="55"/>
        <v/>
      </c>
      <c r="R284" s="18" t="str">
        <f t="shared" si="56"/>
        <v/>
      </c>
      <c r="S284" s="18" t="str">
        <f t="shared" si="57"/>
        <v/>
      </c>
    </row>
    <row r="285" spans="1:19" ht="22.5" customHeight="1" x14ac:dyDescent="0.25">
      <c r="A285" s="201"/>
      <c r="B285" s="202"/>
      <c r="C285" s="203"/>
      <c r="D285" s="203"/>
      <c r="E285" s="204"/>
      <c r="F285" s="203"/>
      <c r="G285" s="205"/>
      <c r="H285" s="205"/>
      <c r="I285" s="206"/>
      <c r="J285" s="207"/>
      <c r="K285" s="192"/>
      <c r="M285" s="18" t="str">
        <f t="shared" si="51"/>
        <v/>
      </c>
      <c r="N285" s="18" t="str">
        <f t="shared" si="52"/>
        <v/>
      </c>
      <c r="O285" s="18" t="str">
        <f t="shared" si="53"/>
        <v/>
      </c>
      <c r="P285" s="18" t="str">
        <f t="shared" si="54"/>
        <v/>
      </c>
      <c r="Q285" s="18" t="str">
        <f t="shared" si="55"/>
        <v/>
      </c>
      <c r="R285" s="18" t="str">
        <f t="shared" si="56"/>
        <v/>
      </c>
      <c r="S285" s="18" t="str">
        <f t="shared" si="57"/>
        <v/>
      </c>
    </row>
    <row r="286" spans="1:19" ht="22.5" customHeight="1" x14ac:dyDescent="0.25">
      <c r="A286" s="216"/>
      <c r="B286" s="217"/>
      <c r="C286" s="218"/>
      <c r="D286" s="218"/>
      <c r="E286" s="221"/>
      <c r="F286" s="218"/>
      <c r="G286" s="220"/>
      <c r="H286" s="220"/>
      <c r="I286" s="221"/>
      <c r="J286" s="222"/>
      <c r="K286" s="215"/>
      <c r="M286" s="18" t="str">
        <f t="shared" si="51"/>
        <v/>
      </c>
      <c r="N286" s="18" t="str">
        <f t="shared" si="52"/>
        <v/>
      </c>
      <c r="O286" s="18" t="str">
        <f t="shared" si="53"/>
        <v/>
      </c>
      <c r="P286" s="18" t="str">
        <f t="shared" si="54"/>
        <v/>
      </c>
      <c r="Q286" s="18" t="str">
        <f t="shared" si="55"/>
        <v/>
      </c>
      <c r="R286" s="18" t="str">
        <f t="shared" si="56"/>
        <v/>
      </c>
      <c r="S286" s="18" t="str">
        <f t="shared" si="57"/>
        <v/>
      </c>
    </row>
    <row r="287" spans="1:19" ht="22.5" customHeight="1" x14ac:dyDescent="0.25">
      <c r="A287" s="201"/>
      <c r="B287" s="202"/>
      <c r="C287" s="203"/>
      <c r="D287" s="203"/>
      <c r="E287" s="204"/>
      <c r="F287" s="203"/>
      <c r="G287" s="205"/>
      <c r="H287" s="205"/>
      <c r="I287" s="206"/>
      <c r="J287" s="207"/>
      <c r="K287" s="192"/>
      <c r="M287" s="18" t="str">
        <f t="shared" si="51"/>
        <v/>
      </c>
      <c r="N287" s="18" t="str">
        <f t="shared" si="52"/>
        <v/>
      </c>
      <c r="O287" s="18" t="str">
        <f t="shared" si="53"/>
        <v/>
      </c>
      <c r="P287" s="18" t="str">
        <f t="shared" si="54"/>
        <v/>
      </c>
      <c r="Q287" s="18" t="str">
        <f t="shared" si="55"/>
        <v/>
      </c>
      <c r="R287" s="18" t="str">
        <f t="shared" si="56"/>
        <v/>
      </c>
      <c r="S287" s="18" t="str">
        <f t="shared" si="57"/>
        <v/>
      </c>
    </row>
    <row r="288" spans="1:19" ht="22.5" customHeight="1" x14ac:dyDescent="0.25">
      <c r="A288" s="216"/>
      <c r="B288" s="217"/>
      <c r="C288" s="218"/>
      <c r="D288" s="218"/>
      <c r="E288" s="221"/>
      <c r="F288" s="218"/>
      <c r="G288" s="220"/>
      <c r="H288" s="220"/>
      <c r="I288" s="221"/>
      <c r="J288" s="222"/>
      <c r="K288" s="215"/>
      <c r="M288" s="18" t="str">
        <f t="shared" si="51"/>
        <v/>
      </c>
      <c r="N288" s="18" t="str">
        <f t="shared" si="52"/>
        <v/>
      </c>
      <c r="O288" s="18" t="str">
        <f t="shared" si="53"/>
        <v/>
      </c>
      <c r="P288" s="18" t="str">
        <f t="shared" si="54"/>
        <v/>
      </c>
      <c r="Q288" s="18" t="str">
        <f t="shared" si="55"/>
        <v/>
      </c>
      <c r="R288" s="18" t="str">
        <f t="shared" si="56"/>
        <v/>
      </c>
      <c r="S288" s="18" t="str">
        <f t="shared" si="57"/>
        <v/>
      </c>
    </row>
    <row r="289" spans="1:16379" ht="22.5" customHeight="1" x14ac:dyDescent="0.25">
      <c r="A289" s="201"/>
      <c r="B289" s="202"/>
      <c r="C289" s="203"/>
      <c r="D289" s="203"/>
      <c r="E289" s="204"/>
      <c r="F289" s="203"/>
      <c r="G289" s="205"/>
      <c r="H289" s="205"/>
      <c r="I289" s="206"/>
      <c r="J289" s="207"/>
      <c r="K289" s="192"/>
      <c r="M289" s="18" t="str">
        <f t="shared" si="51"/>
        <v/>
      </c>
      <c r="N289" s="18" t="str">
        <f t="shared" si="52"/>
        <v/>
      </c>
      <c r="O289" s="18" t="str">
        <f t="shared" si="53"/>
        <v/>
      </c>
      <c r="P289" s="18" t="str">
        <f t="shared" si="54"/>
        <v/>
      </c>
      <c r="Q289" s="18" t="str">
        <f t="shared" si="55"/>
        <v/>
      </c>
      <c r="R289" s="18" t="str">
        <f t="shared" si="56"/>
        <v/>
      </c>
      <c r="S289" s="18" t="str">
        <f t="shared" si="57"/>
        <v/>
      </c>
    </row>
    <row r="290" spans="1:16379" ht="22.5" customHeight="1" x14ac:dyDescent="0.25">
      <c r="A290" s="216"/>
      <c r="B290" s="217"/>
      <c r="C290" s="218"/>
      <c r="D290" s="218"/>
      <c r="E290" s="221"/>
      <c r="F290" s="218"/>
      <c r="G290" s="220"/>
      <c r="H290" s="220"/>
      <c r="I290" s="221"/>
      <c r="J290" s="222"/>
      <c r="K290" s="215"/>
      <c r="M290" s="18" t="str">
        <f t="shared" si="51"/>
        <v/>
      </c>
      <c r="N290" s="18" t="str">
        <f t="shared" si="52"/>
        <v/>
      </c>
      <c r="O290" s="18" t="str">
        <f t="shared" si="53"/>
        <v/>
      </c>
      <c r="P290" s="18" t="str">
        <f t="shared" si="54"/>
        <v/>
      </c>
      <c r="Q290" s="18" t="str">
        <f t="shared" si="55"/>
        <v/>
      </c>
      <c r="R290" s="18" t="str">
        <f t="shared" si="56"/>
        <v/>
      </c>
      <c r="S290" s="18" t="str">
        <f t="shared" si="57"/>
        <v/>
      </c>
    </row>
    <row r="291" spans="1:16379" ht="22.5" customHeight="1" x14ac:dyDescent="0.25">
      <c r="A291" s="201"/>
      <c r="B291" s="202"/>
      <c r="C291" s="203"/>
      <c r="D291" s="203"/>
      <c r="E291" s="204"/>
      <c r="F291" s="203"/>
      <c r="G291" s="205"/>
      <c r="H291" s="205"/>
      <c r="I291" s="206"/>
      <c r="J291" s="207"/>
      <c r="K291" s="192"/>
      <c r="M291" s="18" t="str">
        <f t="shared" si="51"/>
        <v/>
      </c>
      <c r="N291" s="18" t="str">
        <f t="shared" si="52"/>
        <v/>
      </c>
      <c r="O291" s="18" t="str">
        <f t="shared" si="53"/>
        <v/>
      </c>
      <c r="P291" s="18" t="str">
        <f t="shared" si="54"/>
        <v/>
      </c>
      <c r="Q291" s="18" t="str">
        <f t="shared" si="55"/>
        <v/>
      </c>
      <c r="R291" s="18" t="str">
        <f t="shared" si="56"/>
        <v/>
      </c>
      <c r="S291" s="18" t="str">
        <f t="shared" si="57"/>
        <v/>
      </c>
    </row>
    <row r="292" spans="1:16379" ht="22.5" customHeight="1" x14ac:dyDescent="0.25">
      <c r="A292" s="18">
        <v>0</v>
      </c>
      <c r="B292" s="119">
        <v>0</v>
      </c>
      <c r="C292" s="110">
        <v>0</v>
      </c>
      <c r="D292" s="110">
        <v>0</v>
      </c>
      <c r="E292" s="18">
        <v>0</v>
      </c>
      <c r="F292" s="110">
        <v>0</v>
      </c>
      <c r="G292" s="18">
        <v>0</v>
      </c>
      <c r="H292" s="18"/>
      <c r="I292" s="18">
        <v>0</v>
      </c>
      <c r="J292" s="134">
        <v>0</v>
      </c>
      <c r="K292" s="18">
        <v>0</v>
      </c>
      <c r="L292" s="18">
        <v>0</v>
      </c>
      <c r="M292" s="18">
        <v>0</v>
      </c>
      <c r="N292" s="18">
        <v>0</v>
      </c>
      <c r="O292" s="18">
        <v>0</v>
      </c>
      <c r="P292" s="18">
        <v>0</v>
      </c>
      <c r="Q292" s="18">
        <v>0</v>
      </c>
      <c r="R292" s="18">
        <v>0</v>
      </c>
      <c r="S292" s="18">
        <v>0</v>
      </c>
      <c r="T292" s="18">
        <v>0</v>
      </c>
      <c r="U292" s="18">
        <v>0</v>
      </c>
      <c r="V292" s="18">
        <v>0</v>
      </c>
      <c r="W292" s="18">
        <v>0</v>
      </c>
      <c r="X292" s="18">
        <v>0</v>
      </c>
      <c r="Y292" s="18">
        <v>0</v>
      </c>
      <c r="Z292" s="18">
        <v>0</v>
      </c>
      <c r="AA292" s="18">
        <v>0</v>
      </c>
      <c r="AB292" s="18">
        <v>0</v>
      </c>
      <c r="AC292" s="18">
        <v>0</v>
      </c>
      <c r="AD292" s="18">
        <v>0</v>
      </c>
      <c r="AE292" s="18">
        <v>0</v>
      </c>
      <c r="AF292" s="18">
        <v>0</v>
      </c>
      <c r="AG292" s="18">
        <v>0</v>
      </c>
      <c r="AH292" s="18">
        <v>0</v>
      </c>
      <c r="AI292" s="18">
        <v>0</v>
      </c>
      <c r="AJ292" s="18">
        <v>0</v>
      </c>
      <c r="AK292" s="18">
        <v>0</v>
      </c>
      <c r="AL292" s="18">
        <v>0</v>
      </c>
      <c r="AM292" s="18">
        <v>0</v>
      </c>
      <c r="AN292" s="18">
        <v>0</v>
      </c>
      <c r="AO292" s="18">
        <v>0</v>
      </c>
      <c r="AP292" s="18">
        <v>0</v>
      </c>
      <c r="AQ292" s="18">
        <v>0</v>
      </c>
      <c r="AR292" s="18">
        <v>0</v>
      </c>
      <c r="AS292" s="18">
        <v>0</v>
      </c>
      <c r="AT292" s="18">
        <v>0</v>
      </c>
      <c r="AU292" s="18">
        <v>0</v>
      </c>
      <c r="AV292" s="18">
        <v>0</v>
      </c>
      <c r="AW292" s="18">
        <v>0</v>
      </c>
      <c r="AX292" s="18">
        <v>0</v>
      </c>
      <c r="AY292" s="18">
        <v>0</v>
      </c>
      <c r="AZ292" s="18">
        <v>0</v>
      </c>
      <c r="BA292" s="18">
        <v>0</v>
      </c>
      <c r="BB292" s="18">
        <v>0</v>
      </c>
      <c r="BC292" s="18">
        <v>0</v>
      </c>
      <c r="BD292" s="18">
        <v>0</v>
      </c>
      <c r="BE292" s="18">
        <v>0</v>
      </c>
      <c r="BF292" s="18">
        <v>0</v>
      </c>
      <c r="BG292" s="18">
        <v>0</v>
      </c>
      <c r="BH292" s="18">
        <v>0</v>
      </c>
      <c r="BI292" s="18">
        <v>0</v>
      </c>
      <c r="BJ292" s="18">
        <v>0</v>
      </c>
      <c r="BK292" s="18">
        <v>0</v>
      </c>
      <c r="BL292" s="18">
        <v>0</v>
      </c>
      <c r="BM292" s="18">
        <v>0</v>
      </c>
      <c r="BN292" s="18">
        <v>0</v>
      </c>
      <c r="BO292" s="18">
        <v>0</v>
      </c>
      <c r="BP292" s="18">
        <v>0</v>
      </c>
      <c r="BQ292" s="18">
        <v>0</v>
      </c>
      <c r="BR292" s="18">
        <v>0</v>
      </c>
      <c r="BS292" s="18">
        <v>0</v>
      </c>
      <c r="BT292" s="18">
        <v>0</v>
      </c>
      <c r="BU292" s="18">
        <v>0</v>
      </c>
      <c r="BV292" s="18">
        <v>0</v>
      </c>
      <c r="BW292" s="18">
        <v>0</v>
      </c>
      <c r="BX292" s="18">
        <v>0</v>
      </c>
      <c r="BY292" s="18">
        <v>0</v>
      </c>
      <c r="BZ292" s="18">
        <v>0</v>
      </c>
      <c r="CA292" s="18">
        <v>0</v>
      </c>
      <c r="CB292" s="18">
        <v>0</v>
      </c>
      <c r="CC292" s="18">
        <v>0</v>
      </c>
      <c r="CD292" s="18">
        <v>0</v>
      </c>
      <c r="CE292" s="18">
        <v>0</v>
      </c>
      <c r="CF292" s="18">
        <v>0</v>
      </c>
      <c r="CG292" s="18">
        <v>0</v>
      </c>
      <c r="CH292" s="18">
        <v>0</v>
      </c>
      <c r="CI292" s="18">
        <v>0</v>
      </c>
      <c r="CJ292" s="18">
        <v>0</v>
      </c>
      <c r="CK292" s="18">
        <v>0</v>
      </c>
      <c r="CL292" s="18">
        <v>0</v>
      </c>
      <c r="CM292" s="18">
        <v>0</v>
      </c>
      <c r="CN292" s="18">
        <v>0</v>
      </c>
      <c r="CO292" s="18">
        <v>0</v>
      </c>
      <c r="CP292" s="18">
        <v>0</v>
      </c>
      <c r="CQ292" s="18">
        <v>0</v>
      </c>
      <c r="CR292" s="18">
        <v>0</v>
      </c>
      <c r="CS292" s="18">
        <v>0</v>
      </c>
      <c r="CT292" s="18">
        <v>0</v>
      </c>
      <c r="CU292" s="18">
        <v>0</v>
      </c>
      <c r="CV292" s="18">
        <v>0</v>
      </c>
      <c r="CW292" s="18">
        <v>0</v>
      </c>
      <c r="CX292" s="18">
        <v>0</v>
      </c>
      <c r="CY292" s="18">
        <v>0</v>
      </c>
      <c r="CZ292" s="18">
        <v>0</v>
      </c>
      <c r="DA292" s="18">
        <v>0</v>
      </c>
      <c r="DB292" s="18">
        <v>0</v>
      </c>
      <c r="DC292" s="18">
        <v>0</v>
      </c>
      <c r="DD292" s="18">
        <v>0</v>
      </c>
      <c r="DE292" s="18">
        <v>0</v>
      </c>
      <c r="DF292" s="18">
        <v>0</v>
      </c>
      <c r="DG292" s="18">
        <v>0</v>
      </c>
      <c r="DH292" s="18">
        <v>0</v>
      </c>
      <c r="DI292" s="18">
        <v>0</v>
      </c>
      <c r="DJ292" s="18">
        <v>0</v>
      </c>
      <c r="DK292" s="18">
        <v>0</v>
      </c>
      <c r="DL292" s="18">
        <v>0</v>
      </c>
      <c r="DM292" s="18">
        <v>0</v>
      </c>
      <c r="DN292" s="18">
        <v>0</v>
      </c>
      <c r="DO292" s="18">
        <v>0</v>
      </c>
      <c r="DP292" s="18">
        <v>0</v>
      </c>
      <c r="DQ292" s="18">
        <v>0</v>
      </c>
      <c r="DR292" s="18">
        <v>0</v>
      </c>
      <c r="DS292" s="18">
        <v>0</v>
      </c>
      <c r="DT292" s="18">
        <v>0</v>
      </c>
      <c r="DU292" s="18">
        <v>0</v>
      </c>
      <c r="DV292" s="18">
        <v>0</v>
      </c>
      <c r="DW292" s="18">
        <v>0</v>
      </c>
      <c r="DX292" s="18">
        <v>0</v>
      </c>
      <c r="DY292" s="18">
        <v>0</v>
      </c>
      <c r="DZ292" s="18">
        <v>0</v>
      </c>
      <c r="EA292" s="18">
        <v>0</v>
      </c>
      <c r="EB292" s="18">
        <v>0</v>
      </c>
      <c r="EC292" s="18">
        <v>0</v>
      </c>
      <c r="ED292" s="18">
        <v>0</v>
      </c>
      <c r="EE292" s="18">
        <v>0</v>
      </c>
      <c r="EF292" s="18">
        <v>0</v>
      </c>
      <c r="EG292" s="18">
        <v>0</v>
      </c>
      <c r="EH292" s="18">
        <v>0</v>
      </c>
      <c r="EI292" s="18">
        <v>0</v>
      </c>
      <c r="EJ292" s="18">
        <v>0</v>
      </c>
      <c r="EK292" s="18">
        <v>0</v>
      </c>
      <c r="EL292" s="18">
        <v>0</v>
      </c>
      <c r="EM292" s="18">
        <v>0</v>
      </c>
      <c r="EN292" s="18">
        <v>0</v>
      </c>
      <c r="EO292" s="18">
        <v>0</v>
      </c>
      <c r="EP292" s="18">
        <v>0</v>
      </c>
      <c r="EQ292" s="18">
        <v>0</v>
      </c>
      <c r="ER292" s="18">
        <v>0</v>
      </c>
      <c r="ES292" s="18">
        <v>0</v>
      </c>
      <c r="ET292" s="18">
        <v>0</v>
      </c>
      <c r="EU292" s="18">
        <v>0</v>
      </c>
      <c r="EV292" s="18">
        <v>0</v>
      </c>
      <c r="EW292" s="18">
        <v>0</v>
      </c>
      <c r="EX292" s="18">
        <v>0</v>
      </c>
      <c r="EY292" s="18">
        <v>0</v>
      </c>
      <c r="EZ292" s="18">
        <v>0</v>
      </c>
      <c r="FA292" s="18">
        <v>0</v>
      </c>
      <c r="FB292" s="18">
        <v>0</v>
      </c>
      <c r="FC292" s="18">
        <v>0</v>
      </c>
      <c r="FD292" s="18">
        <v>0</v>
      </c>
      <c r="FE292" s="18">
        <v>0</v>
      </c>
      <c r="FF292" s="18">
        <v>0</v>
      </c>
      <c r="FG292" s="18">
        <v>0</v>
      </c>
      <c r="FH292" s="18">
        <v>0</v>
      </c>
      <c r="FI292" s="18">
        <v>0</v>
      </c>
      <c r="FJ292" s="18">
        <v>0</v>
      </c>
      <c r="FK292" s="18">
        <v>0</v>
      </c>
      <c r="FL292" s="18">
        <v>0</v>
      </c>
      <c r="FM292" s="18">
        <v>0</v>
      </c>
      <c r="FN292" s="18">
        <v>0</v>
      </c>
      <c r="FO292" s="18">
        <v>0</v>
      </c>
      <c r="FP292" s="18">
        <v>0</v>
      </c>
      <c r="FQ292" s="18">
        <v>0</v>
      </c>
      <c r="FR292" s="18">
        <v>0</v>
      </c>
      <c r="FS292" s="18">
        <v>0</v>
      </c>
      <c r="FT292" s="18">
        <v>0</v>
      </c>
      <c r="FU292" s="18">
        <v>0</v>
      </c>
      <c r="FV292" s="18">
        <v>0</v>
      </c>
      <c r="FW292" s="18">
        <v>0</v>
      </c>
      <c r="FX292" s="18">
        <v>0</v>
      </c>
      <c r="FY292" s="18">
        <v>0</v>
      </c>
      <c r="FZ292" s="18">
        <v>0</v>
      </c>
      <c r="GA292" s="18">
        <v>0</v>
      </c>
      <c r="GB292" s="18">
        <v>0</v>
      </c>
      <c r="GC292" s="18">
        <v>0</v>
      </c>
      <c r="GD292" s="18">
        <v>0</v>
      </c>
      <c r="GE292" s="18">
        <v>0</v>
      </c>
      <c r="GF292" s="18">
        <v>0</v>
      </c>
      <c r="GG292" s="18">
        <v>0</v>
      </c>
      <c r="GH292" s="18">
        <v>0</v>
      </c>
      <c r="GI292" s="18">
        <v>0</v>
      </c>
      <c r="GJ292" s="18">
        <v>0</v>
      </c>
      <c r="GK292" s="18">
        <v>0</v>
      </c>
      <c r="GL292" s="18">
        <v>0</v>
      </c>
      <c r="GM292" s="18">
        <v>0</v>
      </c>
      <c r="GN292" s="18">
        <v>0</v>
      </c>
      <c r="GO292" s="18">
        <v>0</v>
      </c>
      <c r="GP292" s="18">
        <v>0</v>
      </c>
      <c r="GQ292" s="18">
        <v>0</v>
      </c>
      <c r="GR292" s="18">
        <v>0</v>
      </c>
      <c r="GS292" s="18">
        <v>0</v>
      </c>
      <c r="GT292" s="18">
        <v>0</v>
      </c>
      <c r="GU292" s="18">
        <v>0</v>
      </c>
      <c r="GV292" s="18">
        <v>0</v>
      </c>
      <c r="GW292" s="18">
        <v>0</v>
      </c>
      <c r="GX292" s="18">
        <v>0</v>
      </c>
      <c r="GY292" s="18">
        <v>0</v>
      </c>
      <c r="GZ292" s="18">
        <v>0</v>
      </c>
      <c r="HA292" s="18">
        <v>0</v>
      </c>
      <c r="HB292" s="18">
        <v>0</v>
      </c>
      <c r="HC292" s="18">
        <v>0</v>
      </c>
      <c r="HD292" s="18">
        <v>0</v>
      </c>
      <c r="HE292" s="18">
        <v>0</v>
      </c>
      <c r="HF292" s="18">
        <v>0</v>
      </c>
      <c r="HG292" s="18">
        <v>0</v>
      </c>
      <c r="HH292" s="18">
        <v>0</v>
      </c>
      <c r="HI292" s="18">
        <v>0</v>
      </c>
      <c r="HJ292" s="18">
        <v>0</v>
      </c>
      <c r="HK292" s="18">
        <v>0</v>
      </c>
      <c r="HL292" s="18">
        <v>0</v>
      </c>
      <c r="HM292" s="18">
        <v>0</v>
      </c>
      <c r="HN292" s="18">
        <v>0</v>
      </c>
      <c r="HO292" s="18">
        <v>0</v>
      </c>
      <c r="HP292" s="18">
        <v>0</v>
      </c>
      <c r="HQ292" s="18">
        <v>0</v>
      </c>
      <c r="HR292" s="18">
        <v>0</v>
      </c>
      <c r="HS292" s="18">
        <v>0</v>
      </c>
      <c r="HT292" s="18">
        <v>0</v>
      </c>
      <c r="HU292" s="18">
        <v>0</v>
      </c>
      <c r="HV292" s="18">
        <v>0</v>
      </c>
      <c r="HW292" s="18">
        <v>0</v>
      </c>
      <c r="HX292" s="18">
        <v>0</v>
      </c>
      <c r="HY292" s="18">
        <v>0</v>
      </c>
      <c r="HZ292" s="18">
        <v>0</v>
      </c>
      <c r="IA292" s="18">
        <v>0</v>
      </c>
      <c r="IB292" s="18">
        <v>0</v>
      </c>
      <c r="IC292" s="18">
        <v>0</v>
      </c>
      <c r="ID292" s="18">
        <v>0</v>
      </c>
      <c r="IE292" s="18">
        <v>0</v>
      </c>
      <c r="IF292" s="18">
        <v>0</v>
      </c>
      <c r="IG292" s="18">
        <v>0</v>
      </c>
      <c r="IH292" s="18">
        <v>0</v>
      </c>
      <c r="II292" s="18">
        <v>0</v>
      </c>
      <c r="IJ292" s="18">
        <v>0</v>
      </c>
      <c r="IK292" s="18">
        <v>0</v>
      </c>
      <c r="IL292" s="18">
        <v>0</v>
      </c>
      <c r="IM292" s="18">
        <v>0</v>
      </c>
      <c r="IN292" s="18">
        <v>0</v>
      </c>
      <c r="IO292" s="18">
        <v>0</v>
      </c>
      <c r="IP292" s="18">
        <v>0</v>
      </c>
      <c r="IQ292" s="18">
        <v>0</v>
      </c>
      <c r="IR292" s="18">
        <v>0</v>
      </c>
      <c r="IS292" s="18">
        <v>0</v>
      </c>
      <c r="IT292" s="18">
        <v>0</v>
      </c>
      <c r="IU292" s="18">
        <v>0</v>
      </c>
      <c r="IV292" s="18">
        <v>0</v>
      </c>
      <c r="IW292" s="18">
        <v>0</v>
      </c>
      <c r="IX292" s="18">
        <v>0</v>
      </c>
      <c r="IY292" s="18">
        <v>0</v>
      </c>
      <c r="IZ292" s="18">
        <v>0</v>
      </c>
      <c r="JA292" s="18">
        <v>0</v>
      </c>
      <c r="JB292" s="18">
        <v>0</v>
      </c>
      <c r="JC292" s="18">
        <v>0</v>
      </c>
      <c r="JD292" s="18">
        <v>0</v>
      </c>
      <c r="JE292" s="18">
        <v>0</v>
      </c>
      <c r="JF292" s="18">
        <v>0</v>
      </c>
      <c r="JG292" s="18">
        <v>0</v>
      </c>
      <c r="JH292" s="18">
        <v>0</v>
      </c>
      <c r="JI292" s="18">
        <v>0</v>
      </c>
      <c r="JJ292" s="18">
        <v>0</v>
      </c>
      <c r="JK292" s="18">
        <v>0</v>
      </c>
      <c r="JL292" s="18">
        <v>0</v>
      </c>
      <c r="JM292" s="18">
        <v>0</v>
      </c>
      <c r="JN292" s="18">
        <v>0</v>
      </c>
      <c r="JO292" s="18">
        <v>0</v>
      </c>
      <c r="JP292" s="18">
        <v>0</v>
      </c>
      <c r="JQ292" s="18">
        <v>0</v>
      </c>
      <c r="JR292" s="18">
        <v>0</v>
      </c>
      <c r="JS292" s="18">
        <v>0</v>
      </c>
      <c r="JT292" s="18">
        <v>0</v>
      </c>
      <c r="JU292" s="18">
        <v>0</v>
      </c>
      <c r="JV292" s="18">
        <v>0</v>
      </c>
      <c r="JW292" s="18">
        <v>0</v>
      </c>
      <c r="JX292" s="18">
        <v>0</v>
      </c>
      <c r="JY292" s="18">
        <v>0</v>
      </c>
      <c r="JZ292" s="18">
        <v>0</v>
      </c>
      <c r="KA292" s="18">
        <v>0</v>
      </c>
      <c r="KB292" s="18">
        <v>0</v>
      </c>
      <c r="KC292" s="18">
        <v>0</v>
      </c>
      <c r="KD292" s="18">
        <v>0</v>
      </c>
      <c r="KE292" s="18">
        <v>0</v>
      </c>
      <c r="KF292" s="18">
        <v>0</v>
      </c>
      <c r="KG292" s="18">
        <v>0</v>
      </c>
      <c r="KH292" s="18">
        <v>0</v>
      </c>
      <c r="KI292" s="18">
        <v>0</v>
      </c>
      <c r="KJ292" s="18">
        <v>0</v>
      </c>
      <c r="KK292" s="18">
        <v>0</v>
      </c>
      <c r="KL292" s="18">
        <v>0</v>
      </c>
      <c r="KM292" s="18">
        <v>0</v>
      </c>
      <c r="KN292" s="18">
        <v>0</v>
      </c>
      <c r="KO292" s="18">
        <v>0</v>
      </c>
      <c r="KP292" s="18">
        <v>0</v>
      </c>
      <c r="KQ292" s="18">
        <v>0</v>
      </c>
      <c r="KR292" s="18">
        <v>0</v>
      </c>
      <c r="KS292" s="18">
        <v>0</v>
      </c>
      <c r="KT292" s="18">
        <v>0</v>
      </c>
      <c r="KU292" s="18">
        <v>0</v>
      </c>
      <c r="KV292" s="18">
        <v>0</v>
      </c>
      <c r="KW292" s="18">
        <v>0</v>
      </c>
      <c r="KX292" s="18">
        <v>0</v>
      </c>
      <c r="KY292" s="18">
        <v>0</v>
      </c>
      <c r="KZ292" s="18">
        <v>0</v>
      </c>
      <c r="LA292" s="18">
        <v>0</v>
      </c>
      <c r="LB292" s="18">
        <v>0</v>
      </c>
      <c r="LC292" s="18">
        <v>0</v>
      </c>
      <c r="LD292" s="18">
        <v>0</v>
      </c>
      <c r="LE292" s="18">
        <v>0</v>
      </c>
      <c r="LF292" s="18">
        <v>0</v>
      </c>
      <c r="LG292" s="18">
        <v>0</v>
      </c>
      <c r="LH292" s="18">
        <v>0</v>
      </c>
      <c r="LI292" s="18">
        <v>0</v>
      </c>
      <c r="LJ292" s="18">
        <v>0</v>
      </c>
      <c r="LK292" s="18">
        <v>0</v>
      </c>
      <c r="LL292" s="18">
        <v>0</v>
      </c>
      <c r="LM292" s="18">
        <v>0</v>
      </c>
      <c r="LN292" s="18">
        <v>0</v>
      </c>
      <c r="LO292" s="18">
        <v>0</v>
      </c>
      <c r="LP292" s="18">
        <v>0</v>
      </c>
      <c r="LQ292" s="18">
        <v>0</v>
      </c>
      <c r="LR292" s="18">
        <v>0</v>
      </c>
      <c r="LS292" s="18">
        <v>0</v>
      </c>
      <c r="LT292" s="18">
        <v>0</v>
      </c>
      <c r="LU292" s="18">
        <v>0</v>
      </c>
      <c r="LV292" s="18">
        <v>0</v>
      </c>
      <c r="LW292" s="18">
        <v>0</v>
      </c>
      <c r="LX292" s="18">
        <v>0</v>
      </c>
      <c r="LY292" s="18">
        <v>0</v>
      </c>
      <c r="LZ292" s="18">
        <v>0</v>
      </c>
      <c r="MA292" s="18">
        <v>0</v>
      </c>
      <c r="MB292" s="18">
        <v>0</v>
      </c>
      <c r="MC292" s="18">
        <v>0</v>
      </c>
      <c r="MD292" s="18">
        <v>0</v>
      </c>
      <c r="ME292" s="18">
        <v>0</v>
      </c>
      <c r="MF292" s="18">
        <v>0</v>
      </c>
      <c r="MG292" s="18">
        <v>0</v>
      </c>
      <c r="MH292" s="18">
        <v>0</v>
      </c>
      <c r="MI292" s="18">
        <v>0</v>
      </c>
      <c r="MJ292" s="18">
        <v>0</v>
      </c>
      <c r="MK292" s="18">
        <v>0</v>
      </c>
      <c r="ML292" s="18">
        <v>0</v>
      </c>
      <c r="MM292" s="18">
        <v>0</v>
      </c>
      <c r="MN292" s="18">
        <v>0</v>
      </c>
      <c r="MO292" s="18">
        <v>0</v>
      </c>
      <c r="MP292" s="18">
        <v>0</v>
      </c>
      <c r="MQ292" s="18">
        <v>0</v>
      </c>
      <c r="MR292" s="18">
        <v>0</v>
      </c>
      <c r="MS292" s="18">
        <v>0</v>
      </c>
      <c r="MT292" s="18">
        <v>0</v>
      </c>
      <c r="MU292" s="18">
        <v>0</v>
      </c>
      <c r="MV292" s="18">
        <v>0</v>
      </c>
      <c r="MW292" s="18">
        <v>0</v>
      </c>
      <c r="MX292" s="18">
        <v>0</v>
      </c>
      <c r="MY292" s="18">
        <v>0</v>
      </c>
      <c r="MZ292" s="18">
        <v>0</v>
      </c>
      <c r="NA292" s="18">
        <v>0</v>
      </c>
      <c r="NB292" s="18">
        <v>0</v>
      </c>
      <c r="NC292" s="18">
        <v>0</v>
      </c>
      <c r="ND292" s="18">
        <v>0</v>
      </c>
      <c r="NE292" s="18">
        <v>0</v>
      </c>
      <c r="NF292" s="18">
        <v>0</v>
      </c>
      <c r="NG292" s="18">
        <v>0</v>
      </c>
      <c r="NH292" s="18">
        <v>0</v>
      </c>
      <c r="NI292" s="18">
        <v>0</v>
      </c>
      <c r="NJ292" s="18">
        <v>0</v>
      </c>
      <c r="NK292" s="18">
        <v>0</v>
      </c>
      <c r="NL292" s="18">
        <v>0</v>
      </c>
      <c r="NM292" s="18">
        <v>0</v>
      </c>
      <c r="NN292" s="18">
        <v>0</v>
      </c>
      <c r="NO292" s="18">
        <v>0</v>
      </c>
      <c r="NP292" s="18">
        <v>0</v>
      </c>
      <c r="NQ292" s="18">
        <v>0</v>
      </c>
      <c r="NR292" s="18">
        <v>0</v>
      </c>
      <c r="NS292" s="18">
        <v>0</v>
      </c>
      <c r="NT292" s="18">
        <v>0</v>
      </c>
      <c r="NU292" s="18">
        <v>0</v>
      </c>
      <c r="NV292" s="18">
        <v>0</v>
      </c>
      <c r="NW292" s="18">
        <v>0</v>
      </c>
      <c r="NX292" s="18">
        <v>0</v>
      </c>
      <c r="NY292" s="18">
        <v>0</v>
      </c>
      <c r="NZ292" s="18">
        <v>0</v>
      </c>
      <c r="OA292" s="18">
        <v>0</v>
      </c>
      <c r="OB292" s="18">
        <v>0</v>
      </c>
      <c r="OC292" s="18">
        <v>0</v>
      </c>
      <c r="OD292" s="18">
        <v>0</v>
      </c>
      <c r="OE292" s="18">
        <v>0</v>
      </c>
      <c r="OF292" s="18">
        <v>0</v>
      </c>
      <c r="OG292" s="18">
        <v>0</v>
      </c>
      <c r="OH292" s="18">
        <v>0</v>
      </c>
      <c r="OI292" s="18">
        <v>0</v>
      </c>
      <c r="OJ292" s="18">
        <v>0</v>
      </c>
      <c r="OK292" s="18">
        <v>0</v>
      </c>
      <c r="OL292" s="18">
        <v>0</v>
      </c>
      <c r="OM292" s="18">
        <v>0</v>
      </c>
      <c r="ON292" s="18">
        <v>0</v>
      </c>
      <c r="OO292" s="18">
        <v>0</v>
      </c>
      <c r="OP292" s="18">
        <v>0</v>
      </c>
      <c r="OQ292" s="18">
        <v>0</v>
      </c>
      <c r="OR292" s="18">
        <v>0</v>
      </c>
      <c r="OS292" s="18">
        <v>0</v>
      </c>
      <c r="OT292" s="18">
        <v>0</v>
      </c>
      <c r="OU292" s="18">
        <v>0</v>
      </c>
      <c r="OV292" s="18">
        <v>0</v>
      </c>
      <c r="OW292" s="18">
        <v>0</v>
      </c>
      <c r="OX292" s="18">
        <v>0</v>
      </c>
      <c r="OY292" s="18">
        <v>0</v>
      </c>
      <c r="OZ292" s="18">
        <v>0</v>
      </c>
      <c r="PA292" s="18">
        <v>0</v>
      </c>
      <c r="PB292" s="18">
        <v>0</v>
      </c>
      <c r="PC292" s="18">
        <v>0</v>
      </c>
      <c r="PD292" s="18">
        <v>0</v>
      </c>
      <c r="PE292" s="18">
        <v>0</v>
      </c>
      <c r="PF292" s="18">
        <v>0</v>
      </c>
      <c r="PG292" s="18">
        <v>0</v>
      </c>
      <c r="PH292" s="18">
        <v>0</v>
      </c>
      <c r="PI292" s="18">
        <v>0</v>
      </c>
      <c r="PJ292" s="18">
        <v>0</v>
      </c>
      <c r="PK292" s="18">
        <v>0</v>
      </c>
      <c r="PL292" s="18">
        <v>0</v>
      </c>
      <c r="PM292" s="18">
        <v>0</v>
      </c>
      <c r="PN292" s="18">
        <v>0</v>
      </c>
      <c r="PO292" s="18">
        <v>0</v>
      </c>
      <c r="PP292" s="18">
        <v>0</v>
      </c>
      <c r="PQ292" s="18">
        <v>0</v>
      </c>
      <c r="PR292" s="18">
        <v>0</v>
      </c>
      <c r="PS292" s="18">
        <v>0</v>
      </c>
      <c r="PT292" s="18">
        <v>0</v>
      </c>
      <c r="PU292" s="18">
        <v>0</v>
      </c>
      <c r="PV292" s="18">
        <v>0</v>
      </c>
      <c r="PW292" s="18">
        <v>0</v>
      </c>
      <c r="PX292" s="18">
        <v>0</v>
      </c>
      <c r="PY292" s="18">
        <v>0</v>
      </c>
      <c r="PZ292" s="18">
        <v>0</v>
      </c>
      <c r="QA292" s="18">
        <v>0</v>
      </c>
      <c r="QB292" s="18">
        <v>0</v>
      </c>
      <c r="QC292" s="18">
        <v>0</v>
      </c>
      <c r="QD292" s="18">
        <v>0</v>
      </c>
      <c r="QE292" s="18">
        <v>0</v>
      </c>
      <c r="QF292" s="18">
        <v>0</v>
      </c>
      <c r="QG292" s="18">
        <v>0</v>
      </c>
      <c r="QH292" s="18">
        <v>0</v>
      </c>
      <c r="QI292" s="18">
        <v>0</v>
      </c>
      <c r="QJ292" s="18">
        <v>0</v>
      </c>
      <c r="QK292" s="18">
        <v>0</v>
      </c>
      <c r="QL292" s="18">
        <v>0</v>
      </c>
      <c r="QM292" s="18">
        <v>0</v>
      </c>
      <c r="QN292" s="18">
        <v>0</v>
      </c>
      <c r="QO292" s="18">
        <v>0</v>
      </c>
      <c r="QP292" s="18">
        <v>0</v>
      </c>
      <c r="QQ292" s="18">
        <v>0</v>
      </c>
      <c r="QR292" s="18">
        <v>0</v>
      </c>
      <c r="QS292" s="18">
        <v>0</v>
      </c>
      <c r="QT292" s="18">
        <v>0</v>
      </c>
      <c r="QU292" s="18">
        <v>0</v>
      </c>
      <c r="QV292" s="18">
        <v>0</v>
      </c>
      <c r="QW292" s="18">
        <v>0</v>
      </c>
      <c r="QX292" s="18">
        <v>0</v>
      </c>
      <c r="QY292" s="18">
        <v>0</v>
      </c>
      <c r="QZ292" s="18">
        <v>0</v>
      </c>
      <c r="RA292" s="18">
        <v>0</v>
      </c>
      <c r="RB292" s="18">
        <v>0</v>
      </c>
      <c r="RC292" s="18">
        <v>0</v>
      </c>
      <c r="RD292" s="18">
        <v>0</v>
      </c>
      <c r="RE292" s="18">
        <v>0</v>
      </c>
      <c r="RF292" s="18">
        <v>0</v>
      </c>
      <c r="RG292" s="18">
        <v>0</v>
      </c>
      <c r="RH292" s="18">
        <v>0</v>
      </c>
      <c r="RI292" s="18">
        <v>0</v>
      </c>
      <c r="RJ292" s="18">
        <v>0</v>
      </c>
      <c r="RK292" s="18">
        <v>0</v>
      </c>
      <c r="RL292" s="18">
        <v>0</v>
      </c>
      <c r="RM292" s="18">
        <v>0</v>
      </c>
      <c r="RN292" s="18">
        <v>0</v>
      </c>
      <c r="RO292" s="18">
        <v>0</v>
      </c>
      <c r="RP292" s="18">
        <v>0</v>
      </c>
      <c r="RQ292" s="18">
        <v>0</v>
      </c>
      <c r="RR292" s="18">
        <v>0</v>
      </c>
      <c r="RS292" s="18">
        <v>0</v>
      </c>
      <c r="RT292" s="18">
        <v>0</v>
      </c>
      <c r="RU292" s="18">
        <v>0</v>
      </c>
      <c r="RV292" s="18">
        <v>0</v>
      </c>
      <c r="RW292" s="18">
        <v>0</v>
      </c>
      <c r="RX292" s="18">
        <v>0</v>
      </c>
      <c r="RY292" s="18">
        <v>0</v>
      </c>
      <c r="RZ292" s="18">
        <v>0</v>
      </c>
      <c r="SA292" s="18">
        <v>0</v>
      </c>
      <c r="SB292" s="18">
        <v>0</v>
      </c>
      <c r="SC292" s="18">
        <v>0</v>
      </c>
      <c r="SD292" s="18">
        <v>0</v>
      </c>
      <c r="SE292" s="18">
        <v>0</v>
      </c>
      <c r="SF292" s="18">
        <v>0</v>
      </c>
      <c r="SG292" s="18">
        <v>0</v>
      </c>
      <c r="SH292" s="18">
        <v>0</v>
      </c>
      <c r="SI292" s="18">
        <v>0</v>
      </c>
      <c r="SJ292" s="18">
        <v>0</v>
      </c>
      <c r="SK292" s="18">
        <v>0</v>
      </c>
      <c r="SL292" s="18">
        <v>0</v>
      </c>
      <c r="SM292" s="18">
        <v>0</v>
      </c>
      <c r="SN292" s="18">
        <v>0</v>
      </c>
      <c r="SO292" s="18">
        <v>0</v>
      </c>
      <c r="SP292" s="18">
        <v>0</v>
      </c>
      <c r="SQ292" s="18">
        <v>0</v>
      </c>
      <c r="SR292" s="18">
        <v>0</v>
      </c>
      <c r="SS292" s="18">
        <v>0</v>
      </c>
      <c r="ST292" s="18">
        <v>0</v>
      </c>
      <c r="SU292" s="18">
        <v>0</v>
      </c>
      <c r="SV292" s="18">
        <v>0</v>
      </c>
      <c r="SW292" s="18">
        <v>0</v>
      </c>
      <c r="SX292" s="18">
        <v>0</v>
      </c>
      <c r="SY292" s="18">
        <v>0</v>
      </c>
      <c r="SZ292" s="18">
        <v>0</v>
      </c>
      <c r="TA292" s="18">
        <v>0</v>
      </c>
      <c r="TB292" s="18">
        <v>0</v>
      </c>
      <c r="TC292" s="18">
        <v>0</v>
      </c>
      <c r="TD292" s="18">
        <v>0</v>
      </c>
      <c r="TE292" s="18">
        <v>0</v>
      </c>
      <c r="TF292" s="18">
        <v>0</v>
      </c>
      <c r="TG292" s="18">
        <v>0</v>
      </c>
      <c r="TH292" s="18">
        <v>0</v>
      </c>
      <c r="TI292" s="18">
        <v>0</v>
      </c>
      <c r="TJ292" s="18">
        <v>0</v>
      </c>
      <c r="TK292" s="18">
        <v>0</v>
      </c>
      <c r="TL292" s="18">
        <v>0</v>
      </c>
      <c r="TM292" s="18">
        <v>0</v>
      </c>
      <c r="TN292" s="18">
        <v>0</v>
      </c>
      <c r="TO292" s="18">
        <v>0</v>
      </c>
      <c r="TP292" s="18">
        <v>0</v>
      </c>
      <c r="TQ292" s="18">
        <v>0</v>
      </c>
      <c r="TR292" s="18">
        <v>0</v>
      </c>
      <c r="TS292" s="18">
        <v>0</v>
      </c>
      <c r="TT292" s="18">
        <v>0</v>
      </c>
      <c r="TU292" s="18">
        <v>0</v>
      </c>
      <c r="TV292" s="18">
        <v>0</v>
      </c>
      <c r="TW292" s="18">
        <v>0</v>
      </c>
      <c r="TX292" s="18">
        <v>0</v>
      </c>
      <c r="TY292" s="18">
        <v>0</v>
      </c>
      <c r="TZ292" s="18">
        <v>0</v>
      </c>
      <c r="UA292" s="18">
        <v>0</v>
      </c>
      <c r="UB292" s="18">
        <v>0</v>
      </c>
      <c r="UC292" s="18">
        <v>0</v>
      </c>
      <c r="UD292" s="18">
        <v>0</v>
      </c>
      <c r="UE292" s="18">
        <v>0</v>
      </c>
      <c r="UF292" s="18">
        <v>0</v>
      </c>
      <c r="UG292" s="18">
        <v>0</v>
      </c>
      <c r="UH292" s="18">
        <v>0</v>
      </c>
      <c r="UI292" s="18">
        <v>0</v>
      </c>
      <c r="UJ292" s="18">
        <v>0</v>
      </c>
      <c r="UK292" s="18">
        <v>0</v>
      </c>
      <c r="UL292" s="18">
        <v>0</v>
      </c>
      <c r="UM292" s="18">
        <v>0</v>
      </c>
      <c r="UN292" s="18">
        <v>0</v>
      </c>
      <c r="UO292" s="18">
        <v>0</v>
      </c>
      <c r="UP292" s="18">
        <v>0</v>
      </c>
      <c r="UQ292" s="18">
        <v>0</v>
      </c>
      <c r="UR292" s="18">
        <v>0</v>
      </c>
      <c r="US292" s="18">
        <v>0</v>
      </c>
      <c r="UT292" s="18">
        <v>0</v>
      </c>
      <c r="UU292" s="18">
        <v>0</v>
      </c>
      <c r="UV292" s="18">
        <v>0</v>
      </c>
      <c r="UW292" s="18">
        <v>0</v>
      </c>
      <c r="UX292" s="18">
        <v>0</v>
      </c>
      <c r="UY292" s="18">
        <v>0</v>
      </c>
      <c r="UZ292" s="18">
        <v>0</v>
      </c>
      <c r="VA292" s="18">
        <v>0</v>
      </c>
      <c r="VB292" s="18">
        <v>0</v>
      </c>
      <c r="VC292" s="18">
        <v>0</v>
      </c>
      <c r="VD292" s="18">
        <v>0</v>
      </c>
      <c r="VE292" s="18">
        <v>0</v>
      </c>
      <c r="VF292" s="18">
        <v>0</v>
      </c>
      <c r="VG292" s="18">
        <v>0</v>
      </c>
      <c r="VH292" s="18">
        <v>0</v>
      </c>
      <c r="VI292" s="18">
        <v>0</v>
      </c>
      <c r="VJ292" s="18">
        <v>0</v>
      </c>
      <c r="VK292" s="18">
        <v>0</v>
      </c>
      <c r="VL292" s="18">
        <v>0</v>
      </c>
      <c r="VM292" s="18">
        <v>0</v>
      </c>
      <c r="VN292" s="18">
        <v>0</v>
      </c>
      <c r="VO292" s="18">
        <v>0</v>
      </c>
      <c r="VP292" s="18">
        <v>0</v>
      </c>
      <c r="VQ292" s="18">
        <v>0</v>
      </c>
      <c r="VR292" s="18">
        <v>0</v>
      </c>
      <c r="VS292" s="18">
        <v>0</v>
      </c>
      <c r="VT292" s="18">
        <v>0</v>
      </c>
      <c r="VU292" s="18">
        <v>0</v>
      </c>
      <c r="VV292" s="18">
        <v>0</v>
      </c>
      <c r="VW292" s="18">
        <v>0</v>
      </c>
      <c r="VX292" s="18">
        <v>0</v>
      </c>
      <c r="VY292" s="18">
        <v>0</v>
      </c>
      <c r="VZ292" s="18">
        <v>0</v>
      </c>
      <c r="WA292" s="18">
        <v>0</v>
      </c>
      <c r="WB292" s="18">
        <v>0</v>
      </c>
      <c r="WC292" s="18">
        <v>0</v>
      </c>
      <c r="WD292" s="18">
        <v>0</v>
      </c>
      <c r="WE292" s="18">
        <v>0</v>
      </c>
      <c r="WF292" s="18">
        <v>0</v>
      </c>
      <c r="WG292" s="18">
        <v>0</v>
      </c>
      <c r="WH292" s="18">
        <v>0</v>
      </c>
      <c r="WI292" s="18">
        <v>0</v>
      </c>
      <c r="WJ292" s="18">
        <v>0</v>
      </c>
      <c r="WK292" s="18">
        <v>0</v>
      </c>
      <c r="WL292" s="18">
        <v>0</v>
      </c>
      <c r="WM292" s="18">
        <v>0</v>
      </c>
      <c r="WN292" s="18">
        <v>0</v>
      </c>
      <c r="WO292" s="18">
        <v>0</v>
      </c>
      <c r="WP292" s="18">
        <v>0</v>
      </c>
      <c r="WQ292" s="18">
        <v>0</v>
      </c>
      <c r="WR292" s="18">
        <v>0</v>
      </c>
      <c r="WS292" s="18">
        <v>0</v>
      </c>
      <c r="WT292" s="18">
        <v>0</v>
      </c>
      <c r="WU292" s="18">
        <v>0</v>
      </c>
      <c r="WV292" s="18">
        <v>0</v>
      </c>
      <c r="WW292" s="18">
        <v>0</v>
      </c>
      <c r="WX292" s="18">
        <v>0</v>
      </c>
      <c r="WY292" s="18">
        <v>0</v>
      </c>
      <c r="WZ292" s="18">
        <v>0</v>
      </c>
      <c r="XA292" s="18">
        <v>0</v>
      </c>
      <c r="XB292" s="18">
        <v>0</v>
      </c>
      <c r="XC292" s="18">
        <v>0</v>
      </c>
      <c r="XD292" s="18">
        <v>0</v>
      </c>
      <c r="XE292" s="18">
        <v>0</v>
      </c>
      <c r="XF292" s="18">
        <v>0</v>
      </c>
      <c r="XG292" s="18">
        <v>0</v>
      </c>
      <c r="XH292" s="18">
        <v>0</v>
      </c>
      <c r="XI292" s="18">
        <v>0</v>
      </c>
      <c r="XJ292" s="18">
        <v>0</v>
      </c>
      <c r="XK292" s="18">
        <v>0</v>
      </c>
      <c r="XL292" s="18">
        <v>0</v>
      </c>
      <c r="XM292" s="18">
        <v>0</v>
      </c>
      <c r="XN292" s="18">
        <v>0</v>
      </c>
      <c r="XO292" s="18">
        <v>0</v>
      </c>
      <c r="XP292" s="18">
        <v>0</v>
      </c>
      <c r="XQ292" s="18">
        <v>0</v>
      </c>
      <c r="XR292" s="18">
        <v>0</v>
      </c>
      <c r="XS292" s="18">
        <v>0</v>
      </c>
      <c r="XT292" s="18">
        <v>0</v>
      </c>
      <c r="XU292" s="18">
        <v>0</v>
      </c>
      <c r="XV292" s="18">
        <v>0</v>
      </c>
      <c r="XW292" s="18">
        <v>0</v>
      </c>
      <c r="XX292" s="18">
        <v>0</v>
      </c>
      <c r="XY292" s="18">
        <v>0</v>
      </c>
      <c r="XZ292" s="18">
        <v>0</v>
      </c>
      <c r="YA292" s="18">
        <v>0</v>
      </c>
      <c r="YB292" s="18">
        <v>0</v>
      </c>
      <c r="YC292" s="18">
        <v>0</v>
      </c>
      <c r="YD292" s="18">
        <v>0</v>
      </c>
      <c r="YE292" s="18">
        <v>0</v>
      </c>
      <c r="YF292" s="18">
        <v>0</v>
      </c>
      <c r="YG292" s="18">
        <v>0</v>
      </c>
      <c r="YH292" s="18">
        <v>0</v>
      </c>
      <c r="YI292" s="18">
        <v>0</v>
      </c>
      <c r="YJ292" s="18">
        <v>0</v>
      </c>
      <c r="YK292" s="18">
        <v>0</v>
      </c>
      <c r="YL292" s="18">
        <v>0</v>
      </c>
      <c r="YM292" s="18">
        <v>0</v>
      </c>
      <c r="YN292" s="18">
        <v>0</v>
      </c>
      <c r="YO292" s="18">
        <v>0</v>
      </c>
      <c r="YP292" s="18">
        <v>0</v>
      </c>
      <c r="YQ292" s="18">
        <v>0</v>
      </c>
      <c r="YR292" s="18">
        <v>0</v>
      </c>
      <c r="YS292" s="18">
        <v>0</v>
      </c>
      <c r="YT292" s="18">
        <v>0</v>
      </c>
      <c r="YU292" s="18">
        <v>0</v>
      </c>
      <c r="YV292" s="18">
        <v>0</v>
      </c>
      <c r="YW292" s="18">
        <v>0</v>
      </c>
      <c r="YX292" s="18">
        <v>0</v>
      </c>
      <c r="YY292" s="18">
        <v>0</v>
      </c>
      <c r="YZ292" s="18">
        <v>0</v>
      </c>
      <c r="ZA292" s="18">
        <v>0</v>
      </c>
      <c r="ZB292" s="18">
        <v>0</v>
      </c>
      <c r="ZC292" s="18">
        <v>0</v>
      </c>
      <c r="ZD292" s="18">
        <v>0</v>
      </c>
      <c r="ZE292" s="18">
        <v>0</v>
      </c>
      <c r="ZF292" s="18">
        <v>0</v>
      </c>
      <c r="ZG292" s="18">
        <v>0</v>
      </c>
      <c r="ZH292" s="18">
        <v>0</v>
      </c>
      <c r="ZI292" s="18">
        <v>0</v>
      </c>
      <c r="ZJ292" s="18">
        <v>0</v>
      </c>
      <c r="ZK292" s="18">
        <v>0</v>
      </c>
      <c r="ZL292" s="18">
        <v>0</v>
      </c>
      <c r="ZM292" s="18">
        <v>0</v>
      </c>
      <c r="ZN292" s="18">
        <v>0</v>
      </c>
      <c r="ZO292" s="18">
        <v>0</v>
      </c>
      <c r="ZP292" s="18">
        <v>0</v>
      </c>
      <c r="ZQ292" s="18">
        <v>0</v>
      </c>
      <c r="ZR292" s="18">
        <v>0</v>
      </c>
      <c r="ZS292" s="18">
        <v>0</v>
      </c>
      <c r="ZT292" s="18">
        <v>0</v>
      </c>
      <c r="ZU292" s="18">
        <v>0</v>
      </c>
      <c r="ZV292" s="18">
        <v>0</v>
      </c>
      <c r="ZW292" s="18">
        <v>0</v>
      </c>
      <c r="ZX292" s="18">
        <v>0</v>
      </c>
      <c r="ZY292" s="18">
        <v>0</v>
      </c>
      <c r="ZZ292" s="18">
        <v>0</v>
      </c>
      <c r="AAA292" s="18">
        <v>0</v>
      </c>
      <c r="AAB292" s="18">
        <v>0</v>
      </c>
      <c r="AAC292" s="18">
        <v>0</v>
      </c>
      <c r="AAD292" s="18">
        <v>0</v>
      </c>
      <c r="AAE292" s="18">
        <v>0</v>
      </c>
      <c r="AAF292" s="18">
        <v>0</v>
      </c>
      <c r="AAG292" s="18">
        <v>0</v>
      </c>
      <c r="AAH292" s="18">
        <v>0</v>
      </c>
      <c r="AAI292" s="18">
        <v>0</v>
      </c>
      <c r="AAJ292" s="18">
        <v>0</v>
      </c>
      <c r="AAK292" s="18">
        <v>0</v>
      </c>
      <c r="AAL292" s="18">
        <v>0</v>
      </c>
      <c r="AAM292" s="18">
        <v>0</v>
      </c>
      <c r="AAN292" s="18">
        <v>0</v>
      </c>
      <c r="AAO292" s="18">
        <v>0</v>
      </c>
      <c r="AAP292" s="18">
        <v>0</v>
      </c>
      <c r="AAQ292" s="18">
        <v>0</v>
      </c>
      <c r="AAR292" s="18">
        <v>0</v>
      </c>
      <c r="AAS292" s="18">
        <v>0</v>
      </c>
      <c r="AAT292" s="18">
        <v>0</v>
      </c>
      <c r="AAU292" s="18">
        <v>0</v>
      </c>
      <c r="AAV292" s="18">
        <v>0</v>
      </c>
      <c r="AAW292" s="18">
        <v>0</v>
      </c>
      <c r="AAX292" s="18">
        <v>0</v>
      </c>
      <c r="AAY292" s="18">
        <v>0</v>
      </c>
      <c r="AAZ292" s="18">
        <v>0</v>
      </c>
      <c r="ABA292" s="18">
        <v>0</v>
      </c>
      <c r="ABB292" s="18">
        <v>0</v>
      </c>
      <c r="ABC292" s="18">
        <v>0</v>
      </c>
      <c r="ABD292" s="18">
        <v>0</v>
      </c>
      <c r="ABE292" s="18">
        <v>0</v>
      </c>
      <c r="ABF292" s="18">
        <v>0</v>
      </c>
      <c r="ABG292" s="18">
        <v>0</v>
      </c>
      <c r="ABH292" s="18">
        <v>0</v>
      </c>
      <c r="ABI292" s="18">
        <v>0</v>
      </c>
      <c r="ABJ292" s="18">
        <v>0</v>
      </c>
      <c r="ABK292" s="18">
        <v>0</v>
      </c>
      <c r="ABL292" s="18">
        <v>0</v>
      </c>
      <c r="ABM292" s="18">
        <v>0</v>
      </c>
      <c r="ABN292" s="18">
        <v>0</v>
      </c>
      <c r="ABO292" s="18">
        <v>0</v>
      </c>
      <c r="ABP292" s="18">
        <v>0</v>
      </c>
      <c r="ABQ292" s="18">
        <v>0</v>
      </c>
      <c r="ABR292" s="18">
        <v>0</v>
      </c>
      <c r="ABS292" s="18">
        <v>0</v>
      </c>
      <c r="ABT292" s="18">
        <v>0</v>
      </c>
      <c r="ABU292" s="18">
        <v>0</v>
      </c>
      <c r="ABV292" s="18">
        <v>0</v>
      </c>
      <c r="ABW292" s="18">
        <v>0</v>
      </c>
      <c r="ABX292" s="18">
        <v>0</v>
      </c>
      <c r="ABY292" s="18">
        <v>0</v>
      </c>
      <c r="ABZ292" s="18">
        <v>0</v>
      </c>
      <c r="ACA292" s="18">
        <v>0</v>
      </c>
      <c r="ACB292" s="18">
        <v>0</v>
      </c>
      <c r="ACC292" s="18">
        <v>0</v>
      </c>
      <c r="ACD292" s="18">
        <v>0</v>
      </c>
      <c r="ACE292" s="18">
        <v>0</v>
      </c>
      <c r="ACF292" s="18">
        <v>0</v>
      </c>
      <c r="ACG292" s="18">
        <v>0</v>
      </c>
      <c r="ACH292" s="18">
        <v>0</v>
      </c>
      <c r="ACI292" s="18">
        <v>0</v>
      </c>
      <c r="ACJ292" s="18">
        <v>0</v>
      </c>
      <c r="ACK292" s="18">
        <v>0</v>
      </c>
      <c r="ACL292" s="18">
        <v>0</v>
      </c>
      <c r="ACM292" s="18">
        <v>0</v>
      </c>
      <c r="ACN292" s="18">
        <v>0</v>
      </c>
      <c r="ACO292" s="18">
        <v>0</v>
      </c>
      <c r="ACP292" s="18">
        <v>0</v>
      </c>
      <c r="ACQ292" s="18">
        <v>0</v>
      </c>
      <c r="ACR292" s="18">
        <v>0</v>
      </c>
      <c r="ACS292" s="18">
        <v>0</v>
      </c>
      <c r="ACT292" s="18">
        <v>0</v>
      </c>
      <c r="ACU292" s="18">
        <v>0</v>
      </c>
      <c r="ACV292" s="18">
        <v>0</v>
      </c>
      <c r="ACW292" s="18">
        <v>0</v>
      </c>
      <c r="ACX292" s="18">
        <v>0</v>
      </c>
      <c r="ACY292" s="18">
        <v>0</v>
      </c>
      <c r="ACZ292" s="18">
        <v>0</v>
      </c>
      <c r="ADA292" s="18">
        <v>0</v>
      </c>
      <c r="ADB292" s="18">
        <v>0</v>
      </c>
      <c r="ADC292" s="18">
        <v>0</v>
      </c>
      <c r="ADD292" s="18">
        <v>0</v>
      </c>
      <c r="ADE292" s="18">
        <v>0</v>
      </c>
      <c r="ADF292" s="18">
        <v>0</v>
      </c>
      <c r="ADG292" s="18">
        <v>0</v>
      </c>
      <c r="ADH292" s="18">
        <v>0</v>
      </c>
      <c r="ADI292" s="18">
        <v>0</v>
      </c>
      <c r="ADJ292" s="18">
        <v>0</v>
      </c>
      <c r="ADK292" s="18">
        <v>0</v>
      </c>
      <c r="ADL292" s="18">
        <v>0</v>
      </c>
      <c r="ADM292" s="18">
        <v>0</v>
      </c>
      <c r="ADN292" s="18">
        <v>0</v>
      </c>
      <c r="ADO292" s="18">
        <v>0</v>
      </c>
      <c r="ADP292" s="18">
        <v>0</v>
      </c>
      <c r="ADQ292" s="18">
        <v>0</v>
      </c>
      <c r="ADR292" s="18">
        <v>0</v>
      </c>
      <c r="ADS292" s="18">
        <v>0</v>
      </c>
      <c r="ADT292" s="18">
        <v>0</v>
      </c>
      <c r="ADU292" s="18">
        <v>0</v>
      </c>
      <c r="ADV292" s="18">
        <v>0</v>
      </c>
      <c r="ADW292" s="18">
        <v>0</v>
      </c>
      <c r="ADX292" s="18">
        <v>0</v>
      </c>
      <c r="ADY292" s="18">
        <v>0</v>
      </c>
      <c r="ADZ292" s="18">
        <v>0</v>
      </c>
      <c r="AEA292" s="18">
        <v>0</v>
      </c>
      <c r="AEB292" s="18">
        <v>0</v>
      </c>
      <c r="AEC292" s="18">
        <v>0</v>
      </c>
      <c r="AED292" s="18">
        <v>0</v>
      </c>
      <c r="AEE292" s="18">
        <v>0</v>
      </c>
      <c r="AEF292" s="18">
        <v>0</v>
      </c>
      <c r="AEG292" s="18">
        <v>0</v>
      </c>
      <c r="AEH292" s="18">
        <v>0</v>
      </c>
      <c r="AEI292" s="18">
        <v>0</v>
      </c>
      <c r="AEJ292" s="18">
        <v>0</v>
      </c>
      <c r="AEK292" s="18">
        <v>0</v>
      </c>
      <c r="AEL292" s="18">
        <v>0</v>
      </c>
      <c r="AEM292" s="18">
        <v>0</v>
      </c>
      <c r="AEN292" s="18">
        <v>0</v>
      </c>
      <c r="AEO292" s="18">
        <v>0</v>
      </c>
      <c r="AEP292" s="18">
        <v>0</v>
      </c>
      <c r="AEQ292" s="18">
        <v>0</v>
      </c>
      <c r="AER292" s="18">
        <v>0</v>
      </c>
      <c r="AES292" s="18">
        <v>0</v>
      </c>
      <c r="AET292" s="18">
        <v>0</v>
      </c>
      <c r="AEU292" s="18">
        <v>0</v>
      </c>
      <c r="AEV292" s="18">
        <v>0</v>
      </c>
      <c r="AEW292" s="18">
        <v>0</v>
      </c>
      <c r="AEX292" s="18">
        <v>0</v>
      </c>
      <c r="AEY292" s="18">
        <v>0</v>
      </c>
      <c r="AEZ292" s="18">
        <v>0</v>
      </c>
      <c r="AFA292" s="18">
        <v>0</v>
      </c>
      <c r="AFB292" s="18">
        <v>0</v>
      </c>
      <c r="AFC292" s="18">
        <v>0</v>
      </c>
      <c r="AFD292" s="18">
        <v>0</v>
      </c>
      <c r="AFE292" s="18">
        <v>0</v>
      </c>
      <c r="AFF292" s="18">
        <v>0</v>
      </c>
      <c r="AFG292" s="18">
        <v>0</v>
      </c>
      <c r="AFH292" s="18">
        <v>0</v>
      </c>
      <c r="AFI292" s="18">
        <v>0</v>
      </c>
      <c r="AFJ292" s="18">
        <v>0</v>
      </c>
      <c r="AFK292" s="18">
        <v>0</v>
      </c>
      <c r="AFL292" s="18">
        <v>0</v>
      </c>
      <c r="AFM292" s="18">
        <v>0</v>
      </c>
      <c r="AFN292" s="18">
        <v>0</v>
      </c>
      <c r="AFO292" s="18">
        <v>0</v>
      </c>
      <c r="AFP292" s="18">
        <v>0</v>
      </c>
      <c r="AFQ292" s="18">
        <v>0</v>
      </c>
      <c r="AFR292" s="18">
        <v>0</v>
      </c>
      <c r="AFS292" s="18">
        <v>0</v>
      </c>
      <c r="AFT292" s="18">
        <v>0</v>
      </c>
      <c r="AFU292" s="18">
        <v>0</v>
      </c>
      <c r="AFV292" s="18">
        <v>0</v>
      </c>
      <c r="AFW292" s="18">
        <v>0</v>
      </c>
      <c r="AFX292" s="18">
        <v>0</v>
      </c>
      <c r="AFY292" s="18">
        <v>0</v>
      </c>
      <c r="AFZ292" s="18">
        <v>0</v>
      </c>
      <c r="AGA292" s="18">
        <v>0</v>
      </c>
      <c r="AGB292" s="18">
        <v>0</v>
      </c>
      <c r="AGC292" s="18">
        <v>0</v>
      </c>
      <c r="AGD292" s="18">
        <v>0</v>
      </c>
      <c r="AGE292" s="18">
        <v>0</v>
      </c>
      <c r="AGF292" s="18">
        <v>0</v>
      </c>
      <c r="AGG292" s="18">
        <v>0</v>
      </c>
      <c r="AGH292" s="18">
        <v>0</v>
      </c>
      <c r="AGI292" s="18">
        <v>0</v>
      </c>
      <c r="AGJ292" s="18">
        <v>0</v>
      </c>
      <c r="AGK292" s="18">
        <v>0</v>
      </c>
      <c r="AGL292" s="18">
        <v>0</v>
      </c>
      <c r="AGM292" s="18">
        <v>0</v>
      </c>
      <c r="AGN292" s="18">
        <v>0</v>
      </c>
      <c r="AGO292" s="18">
        <v>0</v>
      </c>
      <c r="AGP292" s="18">
        <v>0</v>
      </c>
      <c r="AGQ292" s="18">
        <v>0</v>
      </c>
      <c r="AGR292" s="18">
        <v>0</v>
      </c>
      <c r="AGS292" s="18">
        <v>0</v>
      </c>
      <c r="AGT292" s="18">
        <v>0</v>
      </c>
      <c r="AGU292" s="18">
        <v>0</v>
      </c>
      <c r="AGV292" s="18">
        <v>0</v>
      </c>
      <c r="AGW292" s="18">
        <v>0</v>
      </c>
      <c r="AGX292" s="18">
        <v>0</v>
      </c>
      <c r="AGY292" s="18">
        <v>0</v>
      </c>
      <c r="AGZ292" s="18">
        <v>0</v>
      </c>
      <c r="AHA292" s="18">
        <v>0</v>
      </c>
      <c r="AHB292" s="18">
        <v>0</v>
      </c>
      <c r="AHC292" s="18">
        <v>0</v>
      </c>
      <c r="AHD292" s="18">
        <v>0</v>
      </c>
      <c r="AHE292" s="18">
        <v>0</v>
      </c>
      <c r="AHF292" s="18">
        <v>0</v>
      </c>
      <c r="AHG292" s="18">
        <v>0</v>
      </c>
      <c r="AHH292" s="18">
        <v>0</v>
      </c>
      <c r="AHI292" s="18">
        <v>0</v>
      </c>
      <c r="AHJ292" s="18">
        <v>0</v>
      </c>
      <c r="AHK292" s="18">
        <v>0</v>
      </c>
      <c r="AHL292" s="18">
        <v>0</v>
      </c>
      <c r="AHM292" s="18">
        <v>0</v>
      </c>
      <c r="AHN292" s="18">
        <v>0</v>
      </c>
      <c r="AHO292" s="18">
        <v>0</v>
      </c>
      <c r="AHP292" s="18">
        <v>0</v>
      </c>
      <c r="AHQ292" s="18">
        <v>0</v>
      </c>
      <c r="AHR292" s="18">
        <v>0</v>
      </c>
      <c r="AHS292" s="18">
        <v>0</v>
      </c>
      <c r="AHT292" s="18">
        <v>0</v>
      </c>
      <c r="AHU292" s="18">
        <v>0</v>
      </c>
      <c r="AHV292" s="18">
        <v>0</v>
      </c>
      <c r="AHW292" s="18">
        <v>0</v>
      </c>
      <c r="AHX292" s="18">
        <v>0</v>
      </c>
      <c r="AHY292" s="18">
        <v>0</v>
      </c>
      <c r="AHZ292" s="18">
        <v>0</v>
      </c>
      <c r="AIA292" s="18">
        <v>0</v>
      </c>
      <c r="AIB292" s="18">
        <v>0</v>
      </c>
      <c r="AIC292" s="18">
        <v>0</v>
      </c>
      <c r="AID292" s="18">
        <v>0</v>
      </c>
      <c r="AIE292" s="18">
        <v>0</v>
      </c>
      <c r="AIF292" s="18">
        <v>0</v>
      </c>
      <c r="AIG292" s="18">
        <v>0</v>
      </c>
      <c r="AIH292" s="18">
        <v>0</v>
      </c>
      <c r="AII292" s="18">
        <v>0</v>
      </c>
      <c r="AIJ292" s="18">
        <v>0</v>
      </c>
      <c r="AIK292" s="18">
        <v>0</v>
      </c>
      <c r="AIL292" s="18">
        <v>0</v>
      </c>
      <c r="AIM292" s="18">
        <v>0</v>
      </c>
      <c r="AIN292" s="18">
        <v>0</v>
      </c>
      <c r="AIO292" s="18">
        <v>0</v>
      </c>
      <c r="AIP292" s="18">
        <v>0</v>
      </c>
      <c r="AIQ292" s="18">
        <v>0</v>
      </c>
      <c r="AIR292" s="18">
        <v>0</v>
      </c>
      <c r="AIS292" s="18">
        <v>0</v>
      </c>
      <c r="AIT292" s="18">
        <v>0</v>
      </c>
      <c r="AIU292" s="18">
        <v>0</v>
      </c>
      <c r="AIV292" s="18">
        <v>0</v>
      </c>
      <c r="AIW292" s="18">
        <v>0</v>
      </c>
      <c r="AIX292" s="18">
        <v>0</v>
      </c>
      <c r="AIY292" s="18">
        <v>0</v>
      </c>
      <c r="AIZ292" s="18">
        <v>0</v>
      </c>
      <c r="AJA292" s="18">
        <v>0</v>
      </c>
      <c r="AJB292" s="18">
        <v>0</v>
      </c>
      <c r="AJC292" s="18">
        <v>0</v>
      </c>
      <c r="AJD292" s="18">
        <v>0</v>
      </c>
      <c r="AJE292" s="18">
        <v>0</v>
      </c>
      <c r="AJF292" s="18">
        <v>0</v>
      </c>
      <c r="AJG292" s="18">
        <v>0</v>
      </c>
      <c r="AJH292" s="18">
        <v>0</v>
      </c>
      <c r="AJI292" s="18">
        <v>0</v>
      </c>
      <c r="AJJ292" s="18">
        <v>0</v>
      </c>
      <c r="AJK292" s="18">
        <v>0</v>
      </c>
      <c r="AJL292" s="18">
        <v>0</v>
      </c>
      <c r="AJM292" s="18">
        <v>0</v>
      </c>
      <c r="AJN292" s="18">
        <v>0</v>
      </c>
      <c r="AJO292" s="18">
        <v>0</v>
      </c>
      <c r="AJP292" s="18">
        <v>0</v>
      </c>
      <c r="AJQ292" s="18">
        <v>0</v>
      </c>
      <c r="AJR292" s="18">
        <v>0</v>
      </c>
      <c r="AJS292" s="18">
        <v>0</v>
      </c>
      <c r="AJT292" s="18">
        <v>0</v>
      </c>
      <c r="AJU292" s="18">
        <v>0</v>
      </c>
      <c r="AJV292" s="18">
        <v>0</v>
      </c>
      <c r="AJW292" s="18">
        <v>0</v>
      </c>
      <c r="AJX292" s="18">
        <v>0</v>
      </c>
      <c r="AJY292" s="18">
        <v>0</v>
      </c>
      <c r="AJZ292" s="18">
        <v>0</v>
      </c>
      <c r="AKA292" s="18">
        <v>0</v>
      </c>
      <c r="AKB292" s="18">
        <v>0</v>
      </c>
      <c r="AKC292" s="18">
        <v>0</v>
      </c>
      <c r="AKD292" s="18">
        <v>0</v>
      </c>
      <c r="AKE292" s="18">
        <v>0</v>
      </c>
      <c r="AKF292" s="18">
        <v>0</v>
      </c>
      <c r="AKG292" s="18">
        <v>0</v>
      </c>
      <c r="AKH292" s="18">
        <v>0</v>
      </c>
      <c r="AKI292" s="18">
        <v>0</v>
      </c>
      <c r="AKJ292" s="18">
        <v>0</v>
      </c>
      <c r="AKK292" s="18">
        <v>0</v>
      </c>
      <c r="AKL292" s="18">
        <v>0</v>
      </c>
      <c r="AKM292" s="18">
        <v>0</v>
      </c>
      <c r="AKN292" s="18">
        <v>0</v>
      </c>
      <c r="AKO292" s="18">
        <v>0</v>
      </c>
      <c r="AKP292" s="18">
        <v>0</v>
      </c>
      <c r="AKQ292" s="18">
        <v>0</v>
      </c>
      <c r="AKR292" s="18">
        <v>0</v>
      </c>
      <c r="AKS292" s="18">
        <v>0</v>
      </c>
      <c r="AKT292" s="18">
        <v>0</v>
      </c>
      <c r="AKU292" s="18">
        <v>0</v>
      </c>
      <c r="AKV292" s="18">
        <v>0</v>
      </c>
      <c r="AKW292" s="18">
        <v>0</v>
      </c>
      <c r="AKX292" s="18">
        <v>0</v>
      </c>
      <c r="AKY292" s="18">
        <v>0</v>
      </c>
      <c r="AKZ292" s="18">
        <v>0</v>
      </c>
      <c r="ALA292" s="18">
        <v>0</v>
      </c>
      <c r="ALB292" s="18">
        <v>0</v>
      </c>
      <c r="ALC292" s="18">
        <v>0</v>
      </c>
      <c r="ALD292" s="18">
        <v>0</v>
      </c>
      <c r="ALE292" s="18">
        <v>0</v>
      </c>
      <c r="ALF292" s="18">
        <v>0</v>
      </c>
      <c r="ALG292" s="18">
        <v>0</v>
      </c>
      <c r="ALH292" s="18">
        <v>0</v>
      </c>
      <c r="ALI292" s="18">
        <v>0</v>
      </c>
      <c r="ALJ292" s="18">
        <v>0</v>
      </c>
      <c r="ALK292" s="18">
        <v>0</v>
      </c>
      <c r="ALL292" s="18">
        <v>0</v>
      </c>
      <c r="ALM292" s="18">
        <v>0</v>
      </c>
      <c r="ALN292" s="18">
        <v>0</v>
      </c>
      <c r="ALO292" s="18">
        <v>0</v>
      </c>
      <c r="ALP292" s="18">
        <v>0</v>
      </c>
      <c r="ALQ292" s="18">
        <v>0</v>
      </c>
      <c r="ALR292" s="18">
        <v>0</v>
      </c>
      <c r="ALS292" s="18">
        <v>0</v>
      </c>
      <c r="ALT292" s="18">
        <v>0</v>
      </c>
      <c r="ALU292" s="18">
        <v>0</v>
      </c>
      <c r="ALV292" s="18">
        <v>0</v>
      </c>
      <c r="ALW292" s="18">
        <v>0</v>
      </c>
      <c r="ALX292" s="18">
        <v>0</v>
      </c>
      <c r="ALY292" s="18">
        <v>0</v>
      </c>
      <c r="ALZ292" s="18">
        <v>0</v>
      </c>
      <c r="AMA292" s="18">
        <v>0</v>
      </c>
      <c r="AMB292" s="18">
        <v>0</v>
      </c>
      <c r="AMC292" s="18">
        <v>0</v>
      </c>
      <c r="AMD292" s="18">
        <v>0</v>
      </c>
      <c r="AME292" s="18">
        <v>0</v>
      </c>
      <c r="AMF292" s="18">
        <v>0</v>
      </c>
      <c r="AMG292" s="18">
        <v>0</v>
      </c>
      <c r="AMH292" s="18">
        <v>0</v>
      </c>
      <c r="AMI292" s="18">
        <v>0</v>
      </c>
      <c r="AMJ292" s="18">
        <v>0</v>
      </c>
      <c r="AMK292" s="18">
        <v>0</v>
      </c>
      <c r="AML292" s="18">
        <v>0</v>
      </c>
      <c r="AMM292" s="18">
        <v>0</v>
      </c>
      <c r="AMN292" s="18">
        <v>0</v>
      </c>
      <c r="AMO292" s="18">
        <v>0</v>
      </c>
      <c r="AMP292" s="18">
        <v>0</v>
      </c>
      <c r="AMQ292" s="18">
        <v>0</v>
      </c>
      <c r="AMR292" s="18">
        <v>0</v>
      </c>
      <c r="AMS292" s="18">
        <v>0</v>
      </c>
      <c r="AMT292" s="18">
        <v>0</v>
      </c>
      <c r="AMU292" s="18">
        <v>0</v>
      </c>
      <c r="AMV292" s="18">
        <v>0</v>
      </c>
      <c r="AMW292" s="18">
        <v>0</v>
      </c>
      <c r="AMX292" s="18">
        <v>0</v>
      </c>
      <c r="AMY292" s="18">
        <v>0</v>
      </c>
      <c r="AMZ292" s="18">
        <v>0</v>
      </c>
      <c r="ANA292" s="18">
        <v>0</v>
      </c>
      <c r="ANB292" s="18">
        <v>0</v>
      </c>
      <c r="ANC292" s="18">
        <v>0</v>
      </c>
      <c r="AND292" s="18">
        <v>0</v>
      </c>
      <c r="ANE292" s="18">
        <v>0</v>
      </c>
      <c r="ANF292" s="18">
        <v>0</v>
      </c>
      <c r="ANG292" s="18">
        <v>0</v>
      </c>
      <c r="ANH292" s="18">
        <v>0</v>
      </c>
      <c r="ANI292" s="18">
        <v>0</v>
      </c>
      <c r="ANJ292" s="18">
        <v>0</v>
      </c>
      <c r="ANK292" s="18">
        <v>0</v>
      </c>
      <c r="ANL292" s="18">
        <v>0</v>
      </c>
      <c r="ANM292" s="18">
        <v>0</v>
      </c>
      <c r="ANN292" s="18">
        <v>0</v>
      </c>
      <c r="ANO292" s="18">
        <v>0</v>
      </c>
      <c r="ANP292" s="18">
        <v>0</v>
      </c>
      <c r="ANQ292" s="18">
        <v>0</v>
      </c>
      <c r="ANR292" s="18">
        <v>0</v>
      </c>
      <c r="ANS292" s="18">
        <v>0</v>
      </c>
      <c r="ANT292" s="18">
        <v>0</v>
      </c>
      <c r="ANU292" s="18">
        <v>0</v>
      </c>
      <c r="ANV292" s="18">
        <v>0</v>
      </c>
      <c r="ANW292" s="18">
        <v>0</v>
      </c>
      <c r="ANX292" s="18">
        <v>0</v>
      </c>
      <c r="ANY292" s="18">
        <v>0</v>
      </c>
      <c r="ANZ292" s="18">
        <v>0</v>
      </c>
      <c r="AOA292" s="18">
        <v>0</v>
      </c>
      <c r="AOB292" s="18">
        <v>0</v>
      </c>
      <c r="AOC292" s="18">
        <v>0</v>
      </c>
      <c r="AOD292" s="18">
        <v>0</v>
      </c>
      <c r="AOE292" s="18">
        <v>0</v>
      </c>
      <c r="AOF292" s="18">
        <v>0</v>
      </c>
      <c r="AOG292" s="18">
        <v>0</v>
      </c>
      <c r="AOH292" s="18">
        <v>0</v>
      </c>
      <c r="AOI292" s="18">
        <v>0</v>
      </c>
      <c r="AOJ292" s="18">
        <v>0</v>
      </c>
      <c r="AOK292" s="18">
        <v>0</v>
      </c>
      <c r="AOL292" s="18">
        <v>0</v>
      </c>
      <c r="AOM292" s="18">
        <v>0</v>
      </c>
      <c r="AON292" s="18">
        <v>0</v>
      </c>
      <c r="AOO292" s="18">
        <v>0</v>
      </c>
      <c r="AOP292" s="18">
        <v>0</v>
      </c>
      <c r="AOQ292" s="18">
        <v>0</v>
      </c>
      <c r="AOR292" s="18">
        <v>0</v>
      </c>
      <c r="AOS292" s="18">
        <v>0</v>
      </c>
      <c r="AOT292" s="18">
        <v>0</v>
      </c>
      <c r="AOU292" s="18">
        <v>0</v>
      </c>
      <c r="AOV292" s="18">
        <v>0</v>
      </c>
      <c r="AOW292" s="18">
        <v>0</v>
      </c>
      <c r="AOX292" s="18">
        <v>0</v>
      </c>
      <c r="AOY292" s="18">
        <v>0</v>
      </c>
      <c r="AOZ292" s="18">
        <v>0</v>
      </c>
      <c r="APA292" s="18">
        <v>0</v>
      </c>
      <c r="APB292" s="18">
        <v>0</v>
      </c>
      <c r="APC292" s="18">
        <v>0</v>
      </c>
      <c r="APD292" s="18">
        <v>0</v>
      </c>
      <c r="APE292" s="18">
        <v>0</v>
      </c>
      <c r="APF292" s="18">
        <v>0</v>
      </c>
      <c r="APG292" s="18">
        <v>0</v>
      </c>
      <c r="APH292" s="18">
        <v>0</v>
      </c>
      <c r="API292" s="18">
        <v>0</v>
      </c>
      <c r="APJ292" s="18">
        <v>0</v>
      </c>
      <c r="APK292" s="18">
        <v>0</v>
      </c>
      <c r="APL292" s="18">
        <v>0</v>
      </c>
      <c r="APM292" s="18">
        <v>0</v>
      </c>
      <c r="APN292" s="18">
        <v>0</v>
      </c>
      <c r="APO292" s="18">
        <v>0</v>
      </c>
      <c r="APP292" s="18">
        <v>0</v>
      </c>
      <c r="APQ292" s="18">
        <v>0</v>
      </c>
      <c r="APR292" s="18">
        <v>0</v>
      </c>
      <c r="APS292" s="18">
        <v>0</v>
      </c>
      <c r="APT292" s="18">
        <v>0</v>
      </c>
      <c r="APU292" s="18">
        <v>0</v>
      </c>
      <c r="APV292" s="18">
        <v>0</v>
      </c>
      <c r="APW292" s="18">
        <v>0</v>
      </c>
      <c r="APX292" s="18">
        <v>0</v>
      </c>
      <c r="APY292" s="18">
        <v>0</v>
      </c>
      <c r="APZ292" s="18">
        <v>0</v>
      </c>
      <c r="AQA292" s="18">
        <v>0</v>
      </c>
      <c r="AQB292" s="18">
        <v>0</v>
      </c>
      <c r="AQC292" s="18">
        <v>0</v>
      </c>
      <c r="AQD292" s="18">
        <v>0</v>
      </c>
      <c r="AQE292" s="18">
        <v>0</v>
      </c>
      <c r="AQF292" s="18">
        <v>0</v>
      </c>
      <c r="AQG292" s="18">
        <v>0</v>
      </c>
      <c r="AQH292" s="18">
        <v>0</v>
      </c>
      <c r="AQI292" s="18">
        <v>0</v>
      </c>
      <c r="AQJ292" s="18">
        <v>0</v>
      </c>
      <c r="AQK292" s="18">
        <v>0</v>
      </c>
      <c r="AQL292" s="18">
        <v>0</v>
      </c>
      <c r="AQM292" s="18">
        <v>0</v>
      </c>
      <c r="AQN292" s="18">
        <v>0</v>
      </c>
      <c r="AQO292" s="18">
        <v>0</v>
      </c>
      <c r="AQP292" s="18">
        <v>0</v>
      </c>
      <c r="AQQ292" s="18">
        <v>0</v>
      </c>
      <c r="AQR292" s="18">
        <v>0</v>
      </c>
      <c r="AQS292" s="18">
        <v>0</v>
      </c>
      <c r="AQT292" s="18">
        <v>0</v>
      </c>
      <c r="AQU292" s="18">
        <v>0</v>
      </c>
      <c r="AQV292" s="18">
        <v>0</v>
      </c>
      <c r="AQW292" s="18">
        <v>0</v>
      </c>
      <c r="AQX292" s="18">
        <v>0</v>
      </c>
      <c r="AQY292" s="18">
        <v>0</v>
      </c>
      <c r="AQZ292" s="18">
        <v>0</v>
      </c>
      <c r="ARA292" s="18">
        <v>0</v>
      </c>
      <c r="ARB292" s="18">
        <v>0</v>
      </c>
      <c r="ARC292" s="18">
        <v>0</v>
      </c>
      <c r="ARD292" s="18">
        <v>0</v>
      </c>
      <c r="ARE292" s="18">
        <v>0</v>
      </c>
      <c r="ARF292" s="18">
        <v>0</v>
      </c>
      <c r="ARG292" s="18">
        <v>0</v>
      </c>
      <c r="ARH292" s="18">
        <v>0</v>
      </c>
      <c r="ARI292" s="18">
        <v>0</v>
      </c>
      <c r="ARJ292" s="18">
        <v>0</v>
      </c>
      <c r="ARK292" s="18">
        <v>0</v>
      </c>
      <c r="ARL292" s="18">
        <v>0</v>
      </c>
      <c r="ARM292" s="18">
        <v>0</v>
      </c>
      <c r="ARN292" s="18">
        <v>0</v>
      </c>
      <c r="ARO292" s="18">
        <v>0</v>
      </c>
      <c r="ARP292" s="18">
        <v>0</v>
      </c>
      <c r="ARQ292" s="18">
        <v>0</v>
      </c>
      <c r="ARR292" s="18">
        <v>0</v>
      </c>
      <c r="ARS292" s="18">
        <v>0</v>
      </c>
      <c r="ART292" s="18">
        <v>0</v>
      </c>
      <c r="ARU292" s="18">
        <v>0</v>
      </c>
      <c r="ARV292" s="18">
        <v>0</v>
      </c>
      <c r="ARW292" s="18">
        <v>0</v>
      </c>
      <c r="ARX292" s="18">
        <v>0</v>
      </c>
      <c r="ARY292" s="18">
        <v>0</v>
      </c>
      <c r="ARZ292" s="18">
        <v>0</v>
      </c>
      <c r="ASA292" s="18">
        <v>0</v>
      </c>
      <c r="ASB292" s="18">
        <v>0</v>
      </c>
      <c r="ASC292" s="18">
        <v>0</v>
      </c>
      <c r="ASD292" s="18">
        <v>0</v>
      </c>
      <c r="ASE292" s="18">
        <v>0</v>
      </c>
      <c r="ASF292" s="18">
        <v>0</v>
      </c>
      <c r="ASG292" s="18">
        <v>0</v>
      </c>
      <c r="ASH292" s="18">
        <v>0</v>
      </c>
      <c r="ASI292" s="18">
        <v>0</v>
      </c>
      <c r="ASJ292" s="18">
        <v>0</v>
      </c>
      <c r="ASK292" s="18">
        <v>0</v>
      </c>
      <c r="ASL292" s="18">
        <v>0</v>
      </c>
      <c r="ASM292" s="18">
        <v>0</v>
      </c>
      <c r="ASN292" s="18">
        <v>0</v>
      </c>
      <c r="ASO292" s="18">
        <v>0</v>
      </c>
      <c r="ASP292" s="18">
        <v>0</v>
      </c>
      <c r="ASQ292" s="18">
        <v>0</v>
      </c>
      <c r="ASR292" s="18">
        <v>0</v>
      </c>
      <c r="ASS292" s="18">
        <v>0</v>
      </c>
      <c r="AST292" s="18">
        <v>0</v>
      </c>
      <c r="ASU292" s="18">
        <v>0</v>
      </c>
      <c r="ASV292" s="18">
        <v>0</v>
      </c>
      <c r="ASW292" s="18">
        <v>0</v>
      </c>
      <c r="ASX292" s="18">
        <v>0</v>
      </c>
      <c r="ASY292" s="18">
        <v>0</v>
      </c>
      <c r="ASZ292" s="18">
        <v>0</v>
      </c>
      <c r="ATA292" s="18">
        <v>0</v>
      </c>
      <c r="ATB292" s="18">
        <v>0</v>
      </c>
      <c r="ATC292" s="18">
        <v>0</v>
      </c>
      <c r="ATD292" s="18">
        <v>0</v>
      </c>
      <c r="ATE292" s="18">
        <v>0</v>
      </c>
      <c r="ATF292" s="18">
        <v>0</v>
      </c>
      <c r="ATG292" s="18">
        <v>0</v>
      </c>
      <c r="ATH292" s="18">
        <v>0</v>
      </c>
      <c r="ATI292" s="18">
        <v>0</v>
      </c>
      <c r="ATJ292" s="18">
        <v>0</v>
      </c>
      <c r="ATK292" s="18">
        <v>0</v>
      </c>
      <c r="ATL292" s="18">
        <v>0</v>
      </c>
      <c r="ATM292" s="18">
        <v>0</v>
      </c>
      <c r="ATN292" s="18">
        <v>0</v>
      </c>
      <c r="ATO292" s="18">
        <v>0</v>
      </c>
      <c r="ATP292" s="18">
        <v>0</v>
      </c>
      <c r="ATQ292" s="18">
        <v>0</v>
      </c>
      <c r="ATR292" s="18">
        <v>0</v>
      </c>
      <c r="ATS292" s="18">
        <v>0</v>
      </c>
      <c r="ATT292" s="18">
        <v>0</v>
      </c>
      <c r="ATU292" s="18">
        <v>0</v>
      </c>
      <c r="ATV292" s="18">
        <v>0</v>
      </c>
      <c r="ATW292" s="18">
        <v>0</v>
      </c>
      <c r="ATX292" s="18">
        <v>0</v>
      </c>
      <c r="ATY292" s="18">
        <v>0</v>
      </c>
      <c r="ATZ292" s="18">
        <v>0</v>
      </c>
      <c r="AUA292" s="18">
        <v>0</v>
      </c>
      <c r="AUB292" s="18">
        <v>0</v>
      </c>
      <c r="AUC292" s="18">
        <v>0</v>
      </c>
      <c r="AUD292" s="18">
        <v>0</v>
      </c>
      <c r="AUE292" s="18">
        <v>0</v>
      </c>
      <c r="AUF292" s="18">
        <v>0</v>
      </c>
      <c r="AUG292" s="18">
        <v>0</v>
      </c>
      <c r="AUH292" s="18">
        <v>0</v>
      </c>
      <c r="AUI292" s="18">
        <v>0</v>
      </c>
      <c r="AUJ292" s="18">
        <v>0</v>
      </c>
      <c r="AUK292" s="18">
        <v>0</v>
      </c>
      <c r="AUL292" s="18">
        <v>0</v>
      </c>
      <c r="AUM292" s="18">
        <v>0</v>
      </c>
      <c r="AUN292" s="18">
        <v>0</v>
      </c>
      <c r="AUO292" s="18">
        <v>0</v>
      </c>
      <c r="AUP292" s="18">
        <v>0</v>
      </c>
      <c r="AUQ292" s="18">
        <v>0</v>
      </c>
      <c r="AUR292" s="18">
        <v>0</v>
      </c>
      <c r="AUS292" s="18">
        <v>0</v>
      </c>
      <c r="AUT292" s="18">
        <v>0</v>
      </c>
      <c r="AUU292" s="18">
        <v>0</v>
      </c>
      <c r="AUV292" s="18">
        <v>0</v>
      </c>
      <c r="AUW292" s="18">
        <v>0</v>
      </c>
      <c r="AUX292" s="18">
        <v>0</v>
      </c>
      <c r="AUY292" s="18">
        <v>0</v>
      </c>
      <c r="AUZ292" s="18">
        <v>0</v>
      </c>
      <c r="AVA292" s="18">
        <v>0</v>
      </c>
      <c r="AVB292" s="18">
        <v>0</v>
      </c>
      <c r="AVC292" s="18">
        <v>0</v>
      </c>
      <c r="AVD292" s="18">
        <v>0</v>
      </c>
      <c r="AVE292" s="18">
        <v>0</v>
      </c>
      <c r="AVF292" s="18">
        <v>0</v>
      </c>
      <c r="AVG292" s="18">
        <v>0</v>
      </c>
      <c r="AVH292" s="18">
        <v>0</v>
      </c>
      <c r="AVI292" s="18">
        <v>0</v>
      </c>
      <c r="AVJ292" s="18">
        <v>0</v>
      </c>
      <c r="AVK292" s="18">
        <v>0</v>
      </c>
      <c r="AVL292" s="18">
        <v>0</v>
      </c>
      <c r="AVM292" s="18">
        <v>0</v>
      </c>
      <c r="AVN292" s="18">
        <v>0</v>
      </c>
      <c r="AVO292" s="18">
        <v>0</v>
      </c>
      <c r="AVP292" s="18">
        <v>0</v>
      </c>
      <c r="AVQ292" s="18">
        <v>0</v>
      </c>
      <c r="AVR292" s="18">
        <v>0</v>
      </c>
      <c r="AVS292" s="18">
        <v>0</v>
      </c>
      <c r="AVT292" s="18">
        <v>0</v>
      </c>
      <c r="AVU292" s="18">
        <v>0</v>
      </c>
      <c r="AVV292" s="18">
        <v>0</v>
      </c>
      <c r="AVW292" s="18">
        <v>0</v>
      </c>
      <c r="AVX292" s="18">
        <v>0</v>
      </c>
      <c r="AVY292" s="18">
        <v>0</v>
      </c>
      <c r="AVZ292" s="18">
        <v>0</v>
      </c>
      <c r="AWA292" s="18">
        <v>0</v>
      </c>
      <c r="AWB292" s="18">
        <v>0</v>
      </c>
      <c r="AWC292" s="18">
        <v>0</v>
      </c>
      <c r="AWD292" s="18">
        <v>0</v>
      </c>
      <c r="AWE292" s="18">
        <v>0</v>
      </c>
      <c r="AWF292" s="18">
        <v>0</v>
      </c>
      <c r="AWG292" s="18">
        <v>0</v>
      </c>
      <c r="AWH292" s="18">
        <v>0</v>
      </c>
      <c r="AWI292" s="18">
        <v>0</v>
      </c>
      <c r="AWJ292" s="18">
        <v>0</v>
      </c>
      <c r="AWK292" s="18">
        <v>0</v>
      </c>
      <c r="AWL292" s="18">
        <v>0</v>
      </c>
      <c r="AWM292" s="18">
        <v>0</v>
      </c>
      <c r="AWN292" s="18">
        <v>0</v>
      </c>
      <c r="AWO292" s="18">
        <v>0</v>
      </c>
      <c r="AWP292" s="18">
        <v>0</v>
      </c>
      <c r="AWQ292" s="18">
        <v>0</v>
      </c>
      <c r="AWR292" s="18">
        <v>0</v>
      </c>
      <c r="AWS292" s="18">
        <v>0</v>
      </c>
      <c r="AWT292" s="18">
        <v>0</v>
      </c>
      <c r="AWU292" s="18">
        <v>0</v>
      </c>
      <c r="AWV292" s="18">
        <v>0</v>
      </c>
      <c r="AWW292" s="18">
        <v>0</v>
      </c>
      <c r="AWX292" s="18">
        <v>0</v>
      </c>
      <c r="AWY292" s="18">
        <v>0</v>
      </c>
      <c r="AWZ292" s="18">
        <v>0</v>
      </c>
      <c r="AXA292" s="18">
        <v>0</v>
      </c>
      <c r="AXB292" s="18">
        <v>0</v>
      </c>
      <c r="AXC292" s="18">
        <v>0</v>
      </c>
      <c r="AXD292" s="18">
        <v>0</v>
      </c>
      <c r="AXE292" s="18">
        <v>0</v>
      </c>
      <c r="AXF292" s="18">
        <v>0</v>
      </c>
      <c r="AXG292" s="18">
        <v>0</v>
      </c>
      <c r="AXH292" s="18">
        <v>0</v>
      </c>
      <c r="AXI292" s="18">
        <v>0</v>
      </c>
      <c r="AXJ292" s="18">
        <v>0</v>
      </c>
      <c r="AXK292" s="18">
        <v>0</v>
      </c>
      <c r="AXL292" s="18">
        <v>0</v>
      </c>
      <c r="AXM292" s="18">
        <v>0</v>
      </c>
      <c r="AXN292" s="18">
        <v>0</v>
      </c>
      <c r="AXO292" s="18">
        <v>0</v>
      </c>
      <c r="AXP292" s="18">
        <v>0</v>
      </c>
      <c r="AXQ292" s="18">
        <v>0</v>
      </c>
      <c r="AXR292" s="18">
        <v>0</v>
      </c>
      <c r="AXS292" s="18">
        <v>0</v>
      </c>
      <c r="AXT292" s="18">
        <v>0</v>
      </c>
      <c r="AXU292" s="18">
        <v>0</v>
      </c>
      <c r="AXV292" s="18">
        <v>0</v>
      </c>
      <c r="AXW292" s="18">
        <v>0</v>
      </c>
      <c r="AXX292" s="18">
        <v>0</v>
      </c>
      <c r="AXY292" s="18">
        <v>0</v>
      </c>
      <c r="AXZ292" s="18">
        <v>0</v>
      </c>
      <c r="AYA292" s="18">
        <v>0</v>
      </c>
      <c r="AYB292" s="18">
        <v>0</v>
      </c>
      <c r="AYC292" s="18">
        <v>0</v>
      </c>
      <c r="AYD292" s="18">
        <v>0</v>
      </c>
      <c r="AYE292" s="18">
        <v>0</v>
      </c>
      <c r="AYF292" s="18">
        <v>0</v>
      </c>
      <c r="AYG292" s="18">
        <v>0</v>
      </c>
      <c r="AYH292" s="18">
        <v>0</v>
      </c>
      <c r="AYI292" s="18">
        <v>0</v>
      </c>
      <c r="AYJ292" s="18">
        <v>0</v>
      </c>
      <c r="AYK292" s="18">
        <v>0</v>
      </c>
      <c r="AYL292" s="18">
        <v>0</v>
      </c>
      <c r="AYM292" s="18">
        <v>0</v>
      </c>
      <c r="AYN292" s="18">
        <v>0</v>
      </c>
      <c r="AYO292" s="18">
        <v>0</v>
      </c>
      <c r="AYP292" s="18">
        <v>0</v>
      </c>
      <c r="AYQ292" s="18">
        <v>0</v>
      </c>
      <c r="AYR292" s="18">
        <v>0</v>
      </c>
      <c r="AYS292" s="18">
        <v>0</v>
      </c>
      <c r="AYT292" s="18">
        <v>0</v>
      </c>
      <c r="AYU292" s="18">
        <v>0</v>
      </c>
      <c r="AYV292" s="18">
        <v>0</v>
      </c>
      <c r="AYW292" s="18">
        <v>0</v>
      </c>
      <c r="AYX292" s="18">
        <v>0</v>
      </c>
      <c r="AYY292" s="18">
        <v>0</v>
      </c>
      <c r="AYZ292" s="18">
        <v>0</v>
      </c>
      <c r="AZA292" s="18">
        <v>0</v>
      </c>
      <c r="AZB292" s="18">
        <v>0</v>
      </c>
      <c r="AZC292" s="18">
        <v>0</v>
      </c>
      <c r="AZD292" s="18">
        <v>0</v>
      </c>
      <c r="AZE292" s="18">
        <v>0</v>
      </c>
      <c r="AZF292" s="18">
        <v>0</v>
      </c>
      <c r="AZG292" s="18">
        <v>0</v>
      </c>
      <c r="AZH292" s="18">
        <v>0</v>
      </c>
      <c r="AZI292" s="18">
        <v>0</v>
      </c>
      <c r="AZJ292" s="18">
        <v>0</v>
      </c>
      <c r="AZK292" s="18">
        <v>0</v>
      </c>
      <c r="AZL292" s="18">
        <v>0</v>
      </c>
      <c r="AZM292" s="18">
        <v>0</v>
      </c>
      <c r="AZN292" s="18">
        <v>0</v>
      </c>
      <c r="AZO292" s="18">
        <v>0</v>
      </c>
      <c r="AZP292" s="18">
        <v>0</v>
      </c>
      <c r="AZQ292" s="18">
        <v>0</v>
      </c>
      <c r="AZR292" s="18">
        <v>0</v>
      </c>
      <c r="AZS292" s="18">
        <v>0</v>
      </c>
      <c r="AZT292" s="18">
        <v>0</v>
      </c>
      <c r="AZU292" s="18">
        <v>0</v>
      </c>
      <c r="AZV292" s="18">
        <v>0</v>
      </c>
      <c r="AZW292" s="18">
        <v>0</v>
      </c>
      <c r="AZX292" s="18">
        <v>0</v>
      </c>
      <c r="AZY292" s="18">
        <v>0</v>
      </c>
      <c r="AZZ292" s="18">
        <v>0</v>
      </c>
      <c r="BAA292" s="18">
        <v>0</v>
      </c>
      <c r="BAB292" s="18">
        <v>0</v>
      </c>
      <c r="BAC292" s="18">
        <v>0</v>
      </c>
      <c r="BAD292" s="18">
        <v>0</v>
      </c>
      <c r="BAE292" s="18">
        <v>0</v>
      </c>
      <c r="BAF292" s="18">
        <v>0</v>
      </c>
      <c r="BAG292" s="18">
        <v>0</v>
      </c>
      <c r="BAH292" s="18">
        <v>0</v>
      </c>
      <c r="BAI292" s="18">
        <v>0</v>
      </c>
      <c r="BAJ292" s="18">
        <v>0</v>
      </c>
      <c r="BAK292" s="18">
        <v>0</v>
      </c>
      <c r="BAL292" s="18">
        <v>0</v>
      </c>
      <c r="BAM292" s="18">
        <v>0</v>
      </c>
      <c r="BAN292" s="18">
        <v>0</v>
      </c>
      <c r="BAO292" s="18">
        <v>0</v>
      </c>
      <c r="BAP292" s="18">
        <v>0</v>
      </c>
      <c r="BAQ292" s="18">
        <v>0</v>
      </c>
      <c r="BAR292" s="18">
        <v>0</v>
      </c>
      <c r="BAS292" s="18">
        <v>0</v>
      </c>
      <c r="BAT292" s="18">
        <v>0</v>
      </c>
      <c r="BAU292" s="18">
        <v>0</v>
      </c>
      <c r="BAV292" s="18">
        <v>0</v>
      </c>
      <c r="BAW292" s="18">
        <v>0</v>
      </c>
      <c r="BAX292" s="18">
        <v>0</v>
      </c>
      <c r="BAY292" s="18">
        <v>0</v>
      </c>
      <c r="BAZ292" s="18">
        <v>0</v>
      </c>
      <c r="BBA292" s="18">
        <v>0</v>
      </c>
      <c r="BBB292" s="18">
        <v>0</v>
      </c>
      <c r="BBC292" s="18">
        <v>0</v>
      </c>
      <c r="BBD292" s="18">
        <v>0</v>
      </c>
      <c r="BBE292" s="18">
        <v>0</v>
      </c>
      <c r="BBF292" s="18">
        <v>0</v>
      </c>
      <c r="BBG292" s="18">
        <v>0</v>
      </c>
      <c r="BBH292" s="18">
        <v>0</v>
      </c>
      <c r="BBI292" s="18">
        <v>0</v>
      </c>
      <c r="BBJ292" s="18">
        <v>0</v>
      </c>
      <c r="BBK292" s="18">
        <v>0</v>
      </c>
      <c r="BBL292" s="18">
        <v>0</v>
      </c>
      <c r="BBM292" s="18">
        <v>0</v>
      </c>
      <c r="BBN292" s="18">
        <v>0</v>
      </c>
      <c r="BBO292" s="18">
        <v>0</v>
      </c>
      <c r="BBP292" s="18">
        <v>0</v>
      </c>
      <c r="BBQ292" s="18">
        <v>0</v>
      </c>
      <c r="BBR292" s="18">
        <v>0</v>
      </c>
      <c r="BBS292" s="18">
        <v>0</v>
      </c>
      <c r="BBT292" s="18">
        <v>0</v>
      </c>
      <c r="BBU292" s="18">
        <v>0</v>
      </c>
      <c r="BBV292" s="18">
        <v>0</v>
      </c>
      <c r="BBW292" s="18">
        <v>0</v>
      </c>
      <c r="BBX292" s="18">
        <v>0</v>
      </c>
      <c r="BBY292" s="18">
        <v>0</v>
      </c>
      <c r="BBZ292" s="18">
        <v>0</v>
      </c>
      <c r="BCA292" s="18">
        <v>0</v>
      </c>
      <c r="BCB292" s="18">
        <v>0</v>
      </c>
      <c r="BCC292" s="18">
        <v>0</v>
      </c>
      <c r="BCD292" s="18">
        <v>0</v>
      </c>
      <c r="BCE292" s="18">
        <v>0</v>
      </c>
      <c r="BCF292" s="18">
        <v>0</v>
      </c>
      <c r="BCG292" s="18">
        <v>0</v>
      </c>
      <c r="BCH292" s="18">
        <v>0</v>
      </c>
      <c r="BCI292" s="18">
        <v>0</v>
      </c>
      <c r="BCJ292" s="18">
        <v>0</v>
      </c>
      <c r="BCK292" s="18">
        <v>0</v>
      </c>
      <c r="BCL292" s="18">
        <v>0</v>
      </c>
      <c r="BCM292" s="18">
        <v>0</v>
      </c>
      <c r="BCN292" s="18">
        <v>0</v>
      </c>
      <c r="BCO292" s="18">
        <v>0</v>
      </c>
      <c r="BCP292" s="18">
        <v>0</v>
      </c>
      <c r="BCQ292" s="18">
        <v>0</v>
      </c>
      <c r="BCR292" s="18">
        <v>0</v>
      </c>
      <c r="BCS292" s="18">
        <v>0</v>
      </c>
      <c r="BCT292" s="18">
        <v>0</v>
      </c>
      <c r="BCU292" s="18">
        <v>0</v>
      </c>
      <c r="BCV292" s="18">
        <v>0</v>
      </c>
      <c r="BCW292" s="18">
        <v>0</v>
      </c>
      <c r="BCX292" s="18">
        <v>0</v>
      </c>
      <c r="BCY292" s="18">
        <v>0</v>
      </c>
      <c r="BCZ292" s="18">
        <v>0</v>
      </c>
      <c r="BDA292" s="18">
        <v>0</v>
      </c>
      <c r="BDB292" s="18">
        <v>0</v>
      </c>
      <c r="BDC292" s="18">
        <v>0</v>
      </c>
      <c r="BDD292" s="18">
        <v>0</v>
      </c>
      <c r="BDE292" s="18">
        <v>0</v>
      </c>
      <c r="BDF292" s="18">
        <v>0</v>
      </c>
      <c r="BDG292" s="18">
        <v>0</v>
      </c>
      <c r="BDH292" s="18">
        <v>0</v>
      </c>
      <c r="BDI292" s="18">
        <v>0</v>
      </c>
      <c r="BDJ292" s="18">
        <v>0</v>
      </c>
      <c r="BDK292" s="18">
        <v>0</v>
      </c>
      <c r="BDL292" s="18">
        <v>0</v>
      </c>
      <c r="BDM292" s="18">
        <v>0</v>
      </c>
      <c r="BDN292" s="18">
        <v>0</v>
      </c>
      <c r="BDO292" s="18">
        <v>0</v>
      </c>
      <c r="BDP292" s="18">
        <v>0</v>
      </c>
      <c r="BDQ292" s="18">
        <v>0</v>
      </c>
      <c r="BDR292" s="18">
        <v>0</v>
      </c>
      <c r="BDS292" s="18">
        <v>0</v>
      </c>
      <c r="BDT292" s="18">
        <v>0</v>
      </c>
      <c r="BDU292" s="18">
        <v>0</v>
      </c>
      <c r="BDV292" s="18">
        <v>0</v>
      </c>
      <c r="BDW292" s="18">
        <v>0</v>
      </c>
      <c r="BDX292" s="18">
        <v>0</v>
      </c>
      <c r="BDY292" s="18">
        <v>0</v>
      </c>
      <c r="BDZ292" s="18">
        <v>0</v>
      </c>
      <c r="BEA292" s="18">
        <v>0</v>
      </c>
      <c r="BEB292" s="18">
        <v>0</v>
      </c>
      <c r="BEC292" s="18">
        <v>0</v>
      </c>
      <c r="BED292" s="18">
        <v>0</v>
      </c>
      <c r="BEE292" s="18">
        <v>0</v>
      </c>
      <c r="BEF292" s="18">
        <v>0</v>
      </c>
      <c r="BEG292" s="18">
        <v>0</v>
      </c>
      <c r="BEH292" s="18">
        <v>0</v>
      </c>
      <c r="BEI292" s="18">
        <v>0</v>
      </c>
      <c r="BEJ292" s="18">
        <v>0</v>
      </c>
      <c r="BEK292" s="18">
        <v>0</v>
      </c>
      <c r="BEL292" s="18">
        <v>0</v>
      </c>
      <c r="BEM292" s="18">
        <v>0</v>
      </c>
      <c r="BEN292" s="18">
        <v>0</v>
      </c>
      <c r="BEO292" s="18">
        <v>0</v>
      </c>
      <c r="BEP292" s="18">
        <v>0</v>
      </c>
      <c r="BEQ292" s="18">
        <v>0</v>
      </c>
      <c r="BER292" s="18">
        <v>0</v>
      </c>
      <c r="BES292" s="18">
        <v>0</v>
      </c>
      <c r="BET292" s="18">
        <v>0</v>
      </c>
      <c r="BEU292" s="18">
        <v>0</v>
      </c>
      <c r="BEV292" s="18">
        <v>0</v>
      </c>
      <c r="BEW292" s="18">
        <v>0</v>
      </c>
      <c r="BEX292" s="18">
        <v>0</v>
      </c>
      <c r="BEY292" s="18">
        <v>0</v>
      </c>
      <c r="BEZ292" s="18">
        <v>0</v>
      </c>
      <c r="BFA292" s="18">
        <v>0</v>
      </c>
      <c r="BFB292" s="18">
        <v>0</v>
      </c>
      <c r="BFC292" s="18">
        <v>0</v>
      </c>
      <c r="BFD292" s="18">
        <v>0</v>
      </c>
      <c r="BFE292" s="18">
        <v>0</v>
      </c>
      <c r="BFF292" s="18">
        <v>0</v>
      </c>
      <c r="BFG292" s="18">
        <v>0</v>
      </c>
      <c r="BFH292" s="18">
        <v>0</v>
      </c>
      <c r="BFI292" s="18">
        <v>0</v>
      </c>
      <c r="BFJ292" s="18">
        <v>0</v>
      </c>
      <c r="BFK292" s="18">
        <v>0</v>
      </c>
      <c r="BFL292" s="18">
        <v>0</v>
      </c>
      <c r="BFM292" s="18">
        <v>0</v>
      </c>
      <c r="BFN292" s="18">
        <v>0</v>
      </c>
      <c r="BFO292" s="18">
        <v>0</v>
      </c>
      <c r="BFP292" s="18">
        <v>0</v>
      </c>
      <c r="BFQ292" s="18">
        <v>0</v>
      </c>
      <c r="BFR292" s="18">
        <v>0</v>
      </c>
      <c r="BFS292" s="18">
        <v>0</v>
      </c>
      <c r="BFT292" s="18">
        <v>0</v>
      </c>
      <c r="BFU292" s="18">
        <v>0</v>
      </c>
      <c r="BFV292" s="18">
        <v>0</v>
      </c>
      <c r="BFW292" s="18">
        <v>0</v>
      </c>
      <c r="BFX292" s="18">
        <v>0</v>
      </c>
      <c r="BFY292" s="18">
        <v>0</v>
      </c>
      <c r="BFZ292" s="18">
        <v>0</v>
      </c>
      <c r="BGA292" s="18">
        <v>0</v>
      </c>
      <c r="BGB292" s="18">
        <v>0</v>
      </c>
      <c r="BGC292" s="18">
        <v>0</v>
      </c>
      <c r="BGD292" s="18">
        <v>0</v>
      </c>
      <c r="BGE292" s="18">
        <v>0</v>
      </c>
      <c r="BGF292" s="18">
        <v>0</v>
      </c>
      <c r="BGG292" s="18">
        <v>0</v>
      </c>
      <c r="BGH292" s="18">
        <v>0</v>
      </c>
      <c r="BGI292" s="18">
        <v>0</v>
      </c>
      <c r="BGJ292" s="18">
        <v>0</v>
      </c>
      <c r="BGK292" s="18">
        <v>0</v>
      </c>
      <c r="BGL292" s="18">
        <v>0</v>
      </c>
      <c r="BGM292" s="18">
        <v>0</v>
      </c>
      <c r="BGN292" s="18">
        <v>0</v>
      </c>
      <c r="BGO292" s="18">
        <v>0</v>
      </c>
      <c r="BGP292" s="18">
        <v>0</v>
      </c>
      <c r="BGQ292" s="18">
        <v>0</v>
      </c>
      <c r="BGR292" s="18">
        <v>0</v>
      </c>
      <c r="BGS292" s="18">
        <v>0</v>
      </c>
      <c r="BGT292" s="18">
        <v>0</v>
      </c>
      <c r="BGU292" s="18">
        <v>0</v>
      </c>
      <c r="BGV292" s="18">
        <v>0</v>
      </c>
      <c r="BGW292" s="18">
        <v>0</v>
      </c>
      <c r="BGX292" s="18">
        <v>0</v>
      </c>
      <c r="BGY292" s="18">
        <v>0</v>
      </c>
      <c r="BGZ292" s="18">
        <v>0</v>
      </c>
      <c r="BHA292" s="18">
        <v>0</v>
      </c>
      <c r="BHB292" s="18">
        <v>0</v>
      </c>
      <c r="BHC292" s="18">
        <v>0</v>
      </c>
      <c r="BHD292" s="18">
        <v>0</v>
      </c>
      <c r="BHE292" s="18">
        <v>0</v>
      </c>
      <c r="BHF292" s="18">
        <v>0</v>
      </c>
      <c r="BHG292" s="18">
        <v>0</v>
      </c>
      <c r="BHH292" s="18">
        <v>0</v>
      </c>
      <c r="BHI292" s="18">
        <v>0</v>
      </c>
      <c r="BHJ292" s="18">
        <v>0</v>
      </c>
      <c r="BHK292" s="18">
        <v>0</v>
      </c>
      <c r="BHL292" s="18">
        <v>0</v>
      </c>
      <c r="BHM292" s="18">
        <v>0</v>
      </c>
      <c r="BHN292" s="18">
        <v>0</v>
      </c>
      <c r="BHO292" s="18">
        <v>0</v>
      </c>
      <c r="BHP292" s="18">
        <v>0</v>
      </c>
      <c r="BHQ292" s="18">
        <v>0</v>
      </c>
      <c r="BHR292" s="18">
        <v>0</v>
      </c>
      <c r="BHS292" s="18">
        <v>0</v>
      </c>
      <c r="BHT292" s="18">
        <v>0</v>
      </c>
      <c r="BHU292" s="18">
        <v>0</v>
      </c>
      <c r="BHV292" s="18">
        <v>0</v>
      </c>
      <c r="BHW292" s="18">
        <v>0</v>
      </c>
      <c r="BHX292" s="18">
        <v>0</v>
      </c>
      <c r="BHY292" s="18">
        <v>0</v>
      </c>
      <c r="BHZ292" s="18">
        <v>0</v>
      </c>
      <c r="BIA292" s="18">
        <v>0</v>
      </c>
      <c r="BIB292" s="18">
        <v>0</v>
      </c>
      <c r="BIC292" s="18">
        <v>0</v>
      </c>
      <c r="BID292" s="18">
        <v>0</v>
      </c>
      <c r="BIE292" s="18">
        <v>0</v>
      </c>
      <c r="BIF292" s="18">
        <v>0</v>
      </c>
      <c r="BIG292" s="18">
        <v>0</v>
      </c>
      <c r="BIH292" s="18">
        <v>0</v>
      </c>
      <c r="BII292" s="18">
        <v>0</v>
      </c>
      <c r="BIJ292" s="18">
        <v>0</v>
      </c>
      <c r="BIK292" s="18">
        <v>0</v>
      </c>
      <c r="BIL292" s="18">
        <v>0</v>
      </c>
      <c r="BIM292" s="18">
        <v>0</v>
      </c>
      <c r="BIN292" s="18">
        <v>0</v>
      </c>
      <c r="BIO292" s="18">
        <v>0</v>
      </c>
      <c r="BIP292" s="18">
        <v>0</v>
      </c>
      <c r="BIQ292" s="18">
        <v>0</v>
      </c>
      <c r="BIR292" s="18">
        <v>0</v>
      </c>
      <c r="BIS292" s="18">
        <v>0</v>
      </c>
      <c r="BIT292" s="18">
        <v>0</v>
      </c>
      <c r="BIU292" s="18">
        <v>0</v>
      </c>
      <c r="BIV292" s="18">
        <v>0</v>
      </c>
      <c r="BIW292" s="18">
        <v>0</v>
      </c>
      <c r="BIX292" s="18">
        <v>0</v>
      </c>
      <c r="BIY292" s="18">
        <v>0</v>
      </c>
      <c r="BIZ292" s="18">
        <v>0</v>
      </c>
      <c r="BJA292" s="18">
        <v>0</v>
      </c>
      <c r="BJB292" s="18">
        <v>0</v>
      </c>
      <c r="BJC292" s="18">
        <v>0</v>
      </c>
      <c r="BJD292" s="18">
        <v>0</v>
      </c>
      <c r="BJE292" s="18">
        <v>0</v>
      </c>
      <c r="BJF292" s="18">
        <v>0</v>
      </c>
      <c r="BJG292" s="18">
        <v>0</v>
      </c>
      <c r="BJH292" s="18">
        <v>0</v>
      </c>
      <c r="BJI292" s="18">
        <v>0</v>
      </c>
      <c r="BJJ292" s="18">
        <v>0</v>
      </c>
      <c r="BJK292" s="18">
        <v>0</v>
      </c>
      <c r="BJL292" s="18">
        <v>0</v>
      </c>
      <c r="BJM292" s="18">
        <v>0</v>
      </c>
      <c r="BJN292" s="18">
        <v>0</v>
      </c>
      <c r="BJO292" s="18">
        <v>0</v>
      </c>
      <c r="BJP292" s="18">
        <v>0</v>
      </c>
      <c r="BJQ292" s="18">
        <v>0</v>
      </c>
      <c r="BJR292" s="18">
        <v>0</v>
      </c>
      <c r="BJS292" s="18">
        <v>0</v>
      </c>
      <c r="BJT292" s="18">
        <v>0</v>
      </c>
      <c r="BJU292" s="18">
        <v>0</v>
      </c>
      <c r="BJV292" s="18">
        <v>0</v>
      </c>
      <c r="BJW292" s="18">
        <v>0</v>
      </c>
      <c r="BJX292" s="18">
        <v>0</v>
      </c>
      <c r="BJY292" s="18">
        <v>0</v>
      </c>
      <c r="BJZ292" s="18">
        <v>0</v>
      </c>
      <c r="BKA292" s="18">
        <v>0</v>
      </c>
      <c r="BKB292" s="18">
        <v>0</v>
      </c>
      <c r="BKC292" s="18">
        <v>0</v>
      </c>
      <c r="BKD292" s="18">
        <v>0</v>
      </c>
      <c r="BKE292" s="18">
        <v>0</v>
      </c>
      <c r="BKF292" s="18">
        <v>0</v>
      </c>
      <c r="BKG292" s="18">
        <v>0</v>
      </c>
      <c r="BKH292" s="18">
        <v>0</v>
      </c>
      <c r="BKI292" s="18">
        <v>0</v>
      </c>
      <c r="BKJ292" s="18">
        <v>0</v>
      </c>
      <c r="BKK292" s="18">
        <v>0</v>
      </c>
      <c r="BKL292" s="18">
        <v>0</v>
      </c>
      <c r="BKM292" s="18">
        <v>0</v>
      </c>
      <c r="BKN292" s="18">
        <v>0</v>
      </c>
      <c r="BKO292" s="18">
        <v>0</v>
      </c>
      <c r="BKP292" s="18">
        <v>0</v>
      </c>
      <c r="BKQ292" s="18">
        <v>0</v>
      </c>
      <c r="BKR292" s="18">
        <v>0</v>
      </c>
      <c r="BKS292" s="18">
        <v>0</v>
      </c>
      <c r="BKT292" s="18">
        <v>0</v>
      </c>
      <c r="BKU292" s="18">
        <v>0</v>
      </c>
      <c r="BKV292" s="18">
        <v>0</v>
      </c>
      <c r="BKW292" s="18">
        <v>0</v>
      </c>
      <c r="BKX292" s="18">
        <v>0</v>
      </c>
      <c r="BKY292" s="18">
        <v>0</v>
      </c>
      <c r="BKZ292" s="18">
        <v>0</v>
      </c>
      <c r="BLA292" s="18">
        <v>0</v>
      </c>
      <c r="BLB292" s="18">
        <v>0</v>
      </c>
      <c r="BLC292" s="18">
        <v>0</v>
      </c>
      <c r="BLD292" s="18">
        <v>0</v>
      </c>
      <c r="BLE292" s="18">
        <v>0</v>
      </c>
      <c r="BLF292" s="18">
        <v>0</v>
      </c>
      <c r="BLG292" s="18">
        <v>0</v>
      </c>
      <c r="BLH292" s="18">
        <v>0</v>
      </c>
      <c r="BLI292" s="18">
        <v>0</v>
      </c>
      <c r="BLJ292" s="18">
        <v>0</v>
      </c>
      <c r="BLK292" s="18">
        <v>0</v>
      </c>
      <c r="BLL292" s="18">
        <v>0</v>
      </c>
      <c r="BLM292" s="18">
        <v>0</v>
      </c>
      <c r="BLN292" s="18">
        <v>0</v>
      </c>
      <c r="BLO292" s="18">
        <v>0</v>
      </c>
      <c r="BLP292" s="18">
        <v>0</v>
      </c>
      <c r="BLQ292" s="18">
        <v>0</v>
      </c>
      <c r="BLR292" s="18">
        <v>0</v>
      </c>
      <c r="BLS292" s="18">
        <v>0</v>
      </c>
      <c r="BLT292" s="18">
        <v>0</v>
      </c>
      <c r="BLU292" s="18">
        <v>0</v>
      </c>
      <c r="BLV292" s="18">
        <v>0</v>
      </c>
      <c r="BLW292" s="18">
        <v>0</v>
      </c>
      <c r="BLX292" s="18">
        <v>0</v>
      </c>
      <c r="BLY292" s="18">
        <v>0</v>
      </c>
      <c r="BLZ292" s="18">
        <v>0</v>
      </c>
      <c r="BMA292" s="18">
        <v>0</v>
      </c>
      <c r="BMB292" s="18">
        <v>0</v>
      </c>
      <c r="BMC292" s="18">
        <v>0</v>
      </c>
      <c r="BMD292" s="18">
        <v>0</v>
      </c>
      <c r="BME292" s="18">
        <v>0</v>
      </c>
      <c r="BMF292" s="18">
        <v>0</v>
      </c>
      <c r="BMG292" s="18">
        <v>0</v>
      </c>
      <c r="BMH292" s="18">
        <v>0</v>
      </c>
      <c r="BMI292" s="18">
        <v>0</v>
      </c>
      <c r="BMJ292" s="18">
        <v>0</v>
      </c>
      <c r="BMK292" s="18">
        <v>0</v>
      </c>
      <c r="BML292" s="18">
        <v>0</v>
      </c>
      <c r="BMM292" s="18">
        <v>0</v>
      </c>
      <c r="BMN292" s="18">
        <v>0</v>
      </c>
      <c r="BMO292" s="18">
        <v>0</v>
      </c>
      <c r="BMP292" s="18">
        <v>0</v>
      </c>
      <c r="BMQ292" s="18">
        <v>0</v>
      </c>
      <c r="BMR292" s="18">
        <v>0</v>
      </c>
      <c r="BMS292" s="18">
        <v>0</v>
      </c>
      <c r="BMT292" s="18">
        <v>0</v>
      </c>
      <c r="BMU292" s="18">
        <v>0</v>
      </c>
      <c r="BMV292" s="18">
        <v>0</v>
      </c>
      <c r="BMW292" s="18">
        <v>0</v>
      </c>
      <c r="BMX292" s="18">
        <v>0</v>
      </c>
      <c r="BMY292" s="18">
        <v>0</v>
      </c>
      <c r="BMZ292" s="18">
        <v>0</v>
      </c>
      <c r="BNA292" s="18">
        <v>0</v>
      </c>
      <c r="BNB292" s="18">
        <v>0</v>
      </c>
      <c r="BNC292" s="18">
        <v>0</v>
      </c>
      <c r="BND292" s="18">
        <v>0</v>
      </c>
      <c r="BNE292" s="18">
        <v>0</v>
      </c>
      <c r="BNF292" s="18">
        <v>0</v>
      </c>
      <c r="BNG292" s="18">
        <v>0</v>
      </c>
      <c r="BNH292" s="18">
        <v>0</v>
      </c>
      <c r="BNI292" s="18">
        <v>0</v>
      </c>
      <c r="BNJ292" s="18">
        <v>0</v>
      </c>
      <c r="BNK292" s="18">
        <v>0</v>
      </c>
      <c r="BNL292" s="18">
        <v>0</v>
      </c>
      <c r="BNM292" s="18">
        <v>0</v>
      </c>
      <c r="BNN292" s="18">
        <v>0</v>
      </c>
      <c r="BNO292" s="18">
        <v>0</v>
      </c>
      <c r="BNP292" s="18">
        <v>0</v>
      </c>
      <c r="BNQ292" s="18">
        <v>0</v>
      </c>
      <c r="BNR292" s="18">
        <v>0</v>
      </c>
      <c r="BNS292" s="18">
        <v>0</v>
      </c>
      <c r="BNT292" s="18">
        <v>0</v>
      </c>
      <c r="BNU292" s="18">
        <v>0</v>
      </c>
      <c r="BNV292" s="18">
        <v>0</v>
      </c>
      <c r="BNW292" s="18">
        <v>0</v>
      </c>
      <c r="BNX292" s="18">
        <v>0</v>
      </c>
      <c r="BNY292" s="18">
        <v>0</v>
      </c>
      <c r="BNZ292" s="18">
        <v>0</v>
      </c>
      <c r="BOA292" s="18">
        <v>0</v>
      </c>
      <c r="BOB292" s="18">
        <v>0</v>
      </c>
      <c r="BOC292" s="18">
        <v>0</v>
      </c>
      <c r="BOD292" s="18">
        <v>0</v>
      </c>
      <c r="BOE292" s="18">
        <v>0</v>
      </c>
      <c r="BOF292" s="18">
        <v>0</v>
      </c>
      <c r="BOG292" s="18">
        <v>0</v>
      </c>
      <c r="BOH292" s="18">
        <v>0</v>
      </c>
      <c r="BOI292" s="18">
        <v>0</v>
      </c>
      <c r="BOJ292" s="18">
        <v>0</v>
      </c>
      <c r="BOK292" s="18">
        <v>0</v>
      </c>
      <c r="BOL292" s="18">
        <v>0</v>
      </c>
      <c r="BOM292" s="18">
        <v>0</v>
      </c>
      <c r="BON292" s="18">
        <v>0</v>
      </c>
      <c r="BOO292" s="18">
        <v>0</v>
      </c>
      <c r="BOP292" s="18">
        <v>0</v>
      </c>
      <c r="BOQ292" s="18">
        <v>0</v>
      </c>
      <c r="BOR292" s="18">
        <v>0</v>
      </c>
      <c r="BOS292" s="18">
        <v>0</v>
      </c>
      <c r="BOT292" s="18">
        <v>0</v>
      </c>
      <c r="BOU292" s="18">
        <v>0</v>
      </c>
      <c r="BOV292" s="18">
        <v>0</v>
      </c>
      <c r="BOW292" s="18">
        <v>0</v>
      </c>
      <c r="BOX292" s="18">
        <v>0</v>
      </c>
      <c r="BOY292" s="18">
        <v>0</v>
      </c>
      <c r="BOZ292" s="18">
        <v>0</v>
      </c>
      <c r="BPA292" s="18">
        <v>0</v>
      </c>
      <c r="BPB292" s="18">
        <v>0</v>
      </c>
      <c r="BPC292" s="18">
        <v>0</v>
      </c>
      <c r="BPD292" s="18">
        <v>0</v>
      </c>
      <c r="BPE292" s="18">
        <v>0</v>
      </c>
      <c r="BPF292" s="18">
        <v>0</v>
      </c>
      <c r="BPG292" s="18">
        <v>0</v>
      </c>
      <c r="BPH292" s="18">
        <v>0</v>
      </c>
      <c r="BPI292" s="18">
        <v>0</v>
      </c>
      <c r="BPJ292" s="18">
        <v>0</v>
      </c>
      <c r="BPK292" s="18">
        <v>0</v>
      </c>
      <c r="BPL292" s="18">
        <v>0</v>
      </c>
      <c r="BPM292" s="18">
        <v>0</v>
      </c>
      <c r="BPN292" s="18">
        <v>0</v>
      </c>
      <c r="BPO292" s="18">
        <v>0</v>
      </c>
      <c r="BPP292" s="18">
        <v>0</v>
      </c>
      <c r="BPQ292" s="18">
        <v>0</v>
      </c>
      <c r="BPR292" s="18">
        <v>0</v>
      </c>
      <c r="BPS292" s="18">
        <v>0</v>
      </c>
      <c r="BPT292" s="18">
        <v>0</v>
      </c>
      <c r="BPU292" s="18">
        <v>0</v>
      </c>
      <c r="BPV292" s="18">
        <v>0</v>
      </c>
      <c r="BPW292" s="18">
        <v>0</v>
      </c>
      <c r="BPX292" s="18">
        <v>0</v>
      </c>
      <c r="BPY292" s="18">
        <v>0</v>
      </c>
      <c r="BPZ292" s="18">
        <v>0</v>
      </c>
      <c r="BQA292" s="18">
        <v>0</v>
      </c>
      <c r="BQB292" s="18">
        <v>0</v>
      </c>
      <c r="BQC292" s="18">
        <v>0</v>
      </c>
      <c r="BQD292" s="18">
        <v>0</v>
      </c>
      <c r="BQE292" s="18">
        <v>0</v>
      </c>
      <c r="BQF292" s="18">
        <v>0</v>
      </c>
      <c r="BQG292" s="18">
        <v>0</v>
      </c>
      <c r="BQH292" s="18">
        <v>0</v>
      </c>
      <c r="BQI292" s="18">
        <v>0</v>
      </c>
      <c r="BQJ292" s="18">
        <v>0</v>
      </c>
      <c r="BQK292" s="18">
        <v>0</v>
      </c>
      <c r="BQL292" s="18">
        <v>0</v>
      </c>
      <c r="BQM292" s="18">
        <v>0</v>
      </c>
      <c r="BQN292" s="18">
        <v>0</v>
      </c>
      <c r="BQO292" s="18">
        <v>0</v>
      </c>
      <c r="BQP292" s="18">
        <v>0</v>
      </c>
      <c r="BQQ292" s="18">
        <v>0</v>
      </c>
      <c r="BQR292" s="18">
        <v>0</v>
      </c>
      <c r="BQS292" s="18">
        <v>0</v>
      </c>
      <c r="BQT292" s="18">
        <v>0</v>
      </c>
      <c r="BQU292" s="18">
        <v>0</v>
      </c>
      <c r="BQV292" s="18">
        <v>0</v>
      </c>
      <c r="BQW292" s="18">
        <v>0</v>
      </c>
      <c r="BQX292" s="18">
        <v>0</v>
      </c>
      <c r="BQY292" s="18">
        <v>0</v>
      </c>
      <c r="BQZ292" s="18">
        <v>0</v>
      </c>
      <c r="BRA292" s="18">
        <v>0</v>
      </c>
      <c r="BRB292" s="18">
        <v>0</v>
      </c>
      <c r="BRC292" s="18">
        <v>0</v>
      </c>
      <c r="BRD292" s="18">
        <v>0</v>
      </c>
      <c r="BRE292" s="18">
        <v>0</v>
      </c>
      <c r="BRF292" s="18">
        <v>0</v>
      </c>
      <c r="BRG292" s="18">
        <v>0</v>
      </c>
      <c r="BRH292" s="18">
        <v>0</v>
      </c>
      <c r="BRI292" s="18">
        <v>0</v>
      </c>
      <c r="BRJ292" s="18">
        <v>0</v>
      </c>
      <c r="BRK292" s="18">
        <v>0</v>
      </c>
      <c r="BRL292" s="18">
        <v>0</v>
      </c>
      <c r="BRM292" s="18">
        <v>0</v>
      </c>
      <c r="BRN292" s="18">
        <v>0</v>
      </c>
      <c r="BRO292" s="18">
        <v>0</v>
      </c>
      <c r="BRP292" s="18">
        <v>0</v>
      </c>
      <c r="BRQ292" s="18">
        <v>0</v>
      </c>
      <c r="BRR292" s="18">
        <v>0</v>
      </c>
      <c r="BRS292" s="18">
        <v>0</v>
      </c>
      <c r="BRT292" s="18">
        <v>0</v>
      </c>
      <c r="BRU292" s="18">
        <v>0</v>
      </c>
      <c r="BRV292" s="18">
        <v>0</v>
      </c>
      <c r="BRW292" s="18">
        <v>0</v>
      </c>
      <c r="BRX292" s="18">
        <v>0</v>
      </c>
      <c r="BRY292" s="18">
        <v>0</v>
      </c>
      <c r="BRZ292" s="18">
        <v>0</v>
      </c>
      <c r="BSA292" s="18">
        <v>0</v>
      </c>
      <c r="BSB292" s="18">
        <v>0</v>
      </c>
      <c r="BSC292" s="18">
        <v>0</v>
      </c>
      <c r="BSD292" s="18">
        <v>0</v>
      </c>
      <c r="BSE292" s="18">
        <v>0</v>
      </c>
      <c r="BSF292" s="18">
        <v>0</v>
      </c>
      <c r="BSG292" s="18">
        <v>0</v>
      </c>
      <c r="BSH292" s="18">
        <v>0</v>
      </c>
      <c r="BSI292" s="18">
        <v>0</v>
      </c>
      <c r="BSJ292" s="18">
        <v>0</v>
      </c>
      <c r="BSK292" s="18">
        <v>0</v>
      </c>
      <c r="BSL292" s="18">
        <v>0</v>
      </c>
      <c r="BSM292" s="18">
        <v>0</v>
      </c>
      <c r="BSN292" s="18">
        <v>0</v>
      </c>
      <c r="BSO292" s="18">
        <v>0</v>
      </c>
      <c r="BSP292" s="18">
        <v>0</v>
      </c>
      <c r="BSQ292" s="18">
        <v>0</v>
      </c>
      <c r="BSR292" s="18">
        <v>0</v>
      </c>
      <c r="BSS292" s="18">
        <v>0</v>
      </c>
      <c r="BST292" s="18">
        <v>0</v>
      </c>
      <c r="BSU292" s="18">
        <v>0</v>
      </c>
      <c r="BSV292" s="18">
        <v>0</v>
      </c>
      <c r="BSW292" s="18">
        <v>0</v>
      </c>
      <c r="BSX292" s="18">
        <v>0</v>
      </c>
      <c r="BSY292" s="18">
        <v>0</v>
      </c>
      <c r="BSZ292" s="18">
        <v>0</v>
      </c>
      <c r="BTA292" s="18">
        <v>0</v>
      </c>
      <c r="BTB292" s="18">
        <v>0</v>
      </c>
      <c r="BTC292" s="18">
        <v>0</v>
      </c>
      <c r="BTD292" s="18">
        <v>0</v>
      </c>
      <c r="BTE292" s="18">
        <v>0</v>
      </c>
      <c r="BTF292" s="18">
        <v>0</v>
      </c>
      <c r="BTG292" s="18">
        <v>0</v>
      </c>
      <c r="BTH292" s="18">
        <v>0</v>
      </c>
      <c r="BTI292" s="18">
        <v>0</v>
      </c>
      <c r="BTJ292" s="18">
        <v>0</v>
      </c>
      <c r="BTK292" s="18">
        <v>0</v>
      </c>
      <c r="BTL292" s="18">
        <v>0</v>
      </c>
      <c r="BTM292" s="18">
        <v>0</v>
      </c>
      <c r="BTN292" s="18">
        <v>0</v>
      </c>
      <c r="BTO292" s="18">
        <v>0</v>
      </c>
      <c r="BTP292" s="18">
        <v>0</v>
      </c>
      <c r="BTQ292" s="18">
        <v>0</v>
      </c>
      <c r="BTR292" s="18">
        <v>0</v>
      </c>
      <c r="BTS292" s="18">
        <v>0</v>
      </c>
      <c r="BTT292" s="18">
        <v>0</v>
      </c>
      <c r="BTU292" s="18">
        <v>0</v>
      </c>
      <c r="BTV292" s="18">
        <v>0</v>
      </c>
      <c r="BTW292" s="18">
        <v>0</v>
      </c>
      <c r="BTX292" s="18">
        <v>0</v>
      </c>
      <c r="BTY292" s="18">
        <v>0</v>
      </c>
      <c r="BTZ292" s="18">
        <v>0</v>
      </c>
      <c r="BUA292" s="18">
        <v>0</v>
      </c>
      <c r="BUB292" s="18">
        <v>0</v>
      </c>
      <c r="BUC292" s="18">
        <v>0</v>
      </c>
      <c r="BUD292" s="18">
        <v>0</v>
      </c>
      <c r="BUE292" s="18">
        <v>0</v>
      </c>
      <c r="BUF292" s="18">
        <v>0</v>
      </c>
      <c r="BUG292" s="18">
        <v>0</v>
      </c>
      <c r="BUH292" s="18">
        <v>0</v>
      </c>
      <c r="BUI292" s="18">
        <v>0</v>
      </c>
      <c r="BUJ292" s="18">
        <v>0</v>
      </c>
      <c r="BUK292" s="18">
        <v>0</v>
      </c>
      <c r="BUL292" s="18">
        <v>0</v>
      </c>
      <c r="BUM292" s="18">
        <v>0</v>
      </c>
      <c r="BUN292" s="18">
        <v>0</v>
      </c>
      <c r="BUO292" s="18">
        <v>0</v>
      </c>
      <c r="BUP292" s="18">
        <v>0</v>
      </c>
      <c r="BUQ292" s="18">
        <v>0</v>
      </c>
      <c r="BUR292" s="18">
        <v>0</v>
      </c>
      <c r="BUS292" s="18">
        <v>0</v>
      </c>
      <c r="BUT292" s="18">
        <v>0</v>
      </c>
      <c r="BUU292" s="18">
        <v>0</v>
      </c>
      <c r="BUV292" s="18">
        <v>0</v>
      </c>
      <c r="BUW292" s="18">
        <v>0</v>
      </c>
      <c r="BUX292" s="18">
        <v>0</v>
      </c>
      <c r="BUY292" s="18">
        <v>0</v>
      </c>
      <c r="BUZ292" s="18">
        <v>0</v>
      </c>
      <c r="BVA292" s="18">
        <v>0</v>
      </c>
      <c r="BVB292" s="18">
        <v>0</v>
      </c>
      <c r="BVC292" s="18">
        <v>0</v>
      </c>
      <c r="BVD292" s="18">
        <v>0</v>
      </c>
      <c r="BVE292" s="18">
        <v>0</v>
      </c>
      <c r="BVF292" s="18">
        <v>0</v>
      </c>
      <c r="BVG292" s="18">
        <v>0</v>
      </c>
      <c r="BVH292" s="18">
        <v>0</v>
      </c>
      <c r="BVI292" s="18">
        <v>0</v>
      </c>
      <c r="BVJ292" s="18">
        <v>0</v>
      </c>
      <c r="BVK292" s="18">
        <v>0</v>
      </c>
      <c r="BVL292" s="18">
        <v>0</v>
      </c>
      <c r="BVM292" s="18">
        <v>0</v>
      </c>
      <c r="BVN292" s="18">
        <v>0</v>
      </c>
      <c r="BVO292" s="18">
        <v>0</v>
      </c>
      <c r="BVP292" s="18">
        <v>0</v>
      </c>
      <c r="BVQ292" s="18">
        <v>0</v>
      </c>
      <c r="BVR292" s="18">
        <v>0</v>
      </c>
      <c r="BVS292" s="18">
        <v>0</v>
      </c>
      <c r="BVT292" s="18">
        <v>0</v>
      </c>
      <c r="BVU292" s="18">
        <v>0</v>
      </c>
      <c r="BVV292" s="18">
        <v>0</v>
      </c>
      <c r="BVW292" s="18">
        <v>0</v>
      </c>
      <c r="BVX292" s="18">
        <v>0</v>
      </c>
      <c r="BVY292" s="18">
        <v>0</v>
      </c>
      <c r="BVZ292" s="18">
        <v>0</v>
      </c>
      <c r="BWA292" s="18">
        <v>0</v>
      </c>
      <c r="BWB292" s="18">
        <v>0</v>
      </c>
      <c r="BWC292" s="18">
        <v>0</v>
      </c>
      <c r="BWD292" s="18">
        <v>0</v>
      </c>
      <c r="BWE292" s="18">
        <v>0</v>
      </c>
      <c r="BWF292" s="18">
        <v>0</v>
      </c>
      <c r="BWG292" s="18">
        <v>0</v>
      </c>
      <c r="BWH292" s="18">
        <v>0</v>
      </c>
      <c r="BWI292" s="18">
        <v>0</v>
      </c>
      <c r="BWJ292" s="18">
        <v>0</v>
      </c>
      <c r="BWK292" s="18">
        <v>0</v>
      </c>
      <c r="BWL292" s="18">
        <v>0</v>
      </c>
      <c r="BWM292" s="18">
        <v>0</v>
      </c>
      <c r="BWN292" s="18">
        <v>0</v>
      </c>
      <c r="BWO292" s="18">
        <v>0</v>
      </c>
      <c r="BWP292" s="18">
        <v>0</v>
      </c>
      <c r="BWQ292" s="18">
        <v>0</v>
      </c>
      <c r="BWR292" s="18">
        <v>0</v>
      </c>
      <c r="BWS292" s="18">
        <v>0</v>
      </c>
      <c r="BWT292" s="18">
        <v>0</v>
      </c>
      <c r="BWU292" s="18">
        <v>0</v>
      </c>
      <c r="BWV292" s="18">
        <v>0</v>
      </c>
      <c r="BWW292" s="18">
        <v>0</v>
      </c>
      <c r="BWX292" s="18">
        <v>0</v>
      </c>
      <c r="BWY292" s="18">
        <v>0</v>
      </c>
      <c r="BWZ292" s="18">
        <v>0</v>
      </c>
      <c r="BXA292" s="18">
        <v>0</v>
      </c>
      <c r="BXB292" s="18">
        <v>0</v>
      </c>
      <c r="BXC292" s="18">
        <v>0</v>
      </c>
      <c r="BXD292" s="18">
        <v>0</v>
      </c>
      <c r="BXE292" s="18">
        <v>0</v>
      </c>
      <c r="BXF292" s="18">
        <v>0</v>
      </c>
      <c r="BXG292" s="18">
        <v>0</v>
      </c>
      <c r="BXH292" s="18">
        <v>0</v>
      </c>
      <c r="BXI292" s="18">
        <v>0</v>
      </c>
      <c r="BXJ292" s="18">
        <v>0</v>
      </c>
      <c r="BXK292" s="18">
        <v>0</v>
      </c>
      <c r="BXL292" s="18">
        <v>0</v>
      </c>
      <c r="BXM292" s="18">
        <v>0</v>
      </c>
      <c r="BXN292" s="18">
        <v>0</v>
      </c>
      <c r="BXO292" s="18">
        <v>0</v>
      </c>
      <c r="BXP292" s="18">
        <v>0</v>
      </c>
      <c r="BXQ292" s="18">
        <v>0</v>
      </c>
      <c r="BXR292" s="18">
        <v>0</v>
      </c>
      <c r="BXS292" s="18">
        <v>0</v>
      </c>
      <c r="BXT292" s="18">
        <v>0</v>
      </c>
      <c r="BXU292" s="18">
        <v>0</v>
      </c>
      <c r="BXV292" s="18">
        <v>0</v>
      </c>
      <c r="BXW292" s="18">
        <v>0</v>
      </c>
      <c r="BXX292" s="18">
        <v>0</v>
      </c>
      <c r="BXY292" s="18">
        <v>0</v>
      </c>
      <c r="BXZ292" s="18">
        <v>0</v>
      </c>
      <c r="BYA292" s="18">
        <v>0</v>
      </c>
      <c r="BYB292" s="18">
        <v>0</v>
      </c>
      <c r="BYC292" s="18">
        <v>0</v>
      </c>
      <c r="BYD292" s="18">
        <v>0</v>
      </c>
      <c r="BYE292" s="18">
        <v>0</v>
      </c>
      <c r="BYF292" s="18">
        <v>0</v>
      </c>
      <c r="BYG292" s="18">
        <v>0</v>
      </c>
      <c r="BYH292" s="18">
        <v>0</v>
      </c>
      <c r="BYI292" s="18">
        <v>0</v>
      </c>
      <c r="BYJ292" s="18">
        <v>0</v>
      </c>
      <c r="BYK292" s="18">
        <v>0</v>
      </c>
      <c r="BYL292" s="18">
        <v>0</v>
      </c>
      <c r="BYM292" s="18">
        <v>0</v>
      </c>
      <c r="BYN292" s="18">
        <v>0</v>
      </c>
      <c r="BYO292" s="18">
        <v>0</v>
      </c>
      <c r="BYP292" s="18">
        <v>0</v>
      </c>
      <c r="BYQ292" s="18">
        <v>0</v>
      </c>
      <c r="BYR292" s="18">
        <v>0</v>
      </c>
      <c r="BYS292" s="18">
        <v>0</v>
      </c>
      <c r="BYT292" s="18">
        <v>0</v>
      </c>
      <c r="BYU292" s="18">
        <v>0</v>
      </c>
      <c r="BYV292" s="18">
        <v>0</v>
      </c>
      <c r="BYW292" s="18">
        <v>0</v>
      </c>
      <c r="BYX292" s="18">
        <v>0</v>
      </c>
      <c r="BYY292" s="18">
        <v>0</v>
      </c>
      <c r="BYZ292" s="18">
        <v>0</v>
      </c>
      <c r="BZA292" s="18">
        <v>0</v>
      </c>
      <c r="BZB292" s="18">
        <v>0</v>
      </c>
      <c r="BZC292" s="18">
        <v>0</v>
      </c>
      <c r="BZD292" s="18">
        <v>0</v>
      </c>
      <c r="BZE292" s="18">
        <v>0</v>
      </c>
      <c r="BZF292" s="18">
        <v>0</v>
      </c>
      <c r="BZG292" s="18">
        <v>0</v>
      </c>
      <c r="BZH292" s="18">
        <v>0</v>
      </c>
      <c r="BZI292" s="18">
        <v>0</v>
      </c>
      <c r="BZJ292" s="18">
        <v>0</v>
      </c>
      <c r="BZK292" s="18">
        <v>0</v>
      </c>
      <c r="BZL292" s="18">
        <v>0</v>
      </c>
      <c r="BZM292" s="18">
        <v>0</v>
      </c>
      <c r="BZN292" s="18">
        <v>0</v>
      </c>
      <c r="BZO292" s="18">
        <v>0</v>
      </c>
      <c r="BZP292" s="18">
        <v>0</v>
      </c>
      <c r="BZQ292" s="18">
        <v>0</v>
      </c>
      <c r="BZR292" s="18">
        <v>0</v>
      </c>
      <c r="BZS292" s="18">
        <v>0</v>
      </c>
      <c r="BZT292" s="18">
        <v>0</v>
      </c>
      <c r="BZU292" s="18">
        <v>0</v>
      </c>
      <c r="BZV292" s="18">
        <v>0</v>
      </c>
      <c r="BZW292" s="18">
        <v>0</v>
      </c>
      <c r="BZX292" s="18">
        <v>0</v>
      </c>
      <c r="BZY292" s="18">
        <v>0</v>
      </c>
      <c r="BZZ292" s="18">
        <v>0</v>
      </c>
      <c r="CAA292" s="18">
        <v>0</v>
      </c>
      <c r="CAB292" s="18">
        <v>0</v>
      </c>
      <c r="CAC292" s="18">
        <v>0</v>
      </c>
      <c r="CAD292" s="18">
        <v>0</v>
      </c>
      <c r="CAE292" s="18">
        <v>0</v>
      </c>
      <c r="CAF292" s="18">
        <v>0</v>
      </c>
      <c r="CAG292" s="18">
        <v>0</v>
      </c>
      <c r="CAH292" s="18">
        <v>0</v>
      </c>
      <c r="CAI292" s="18">
        <v>0</v>
      </c>
      <c r="CAJ292" s="18">
        <v>0</v>
      </c>
      <c r="CAK292" s="18">
        <v>0</v>
      </c>
      <c r="CAL292" s="18">
        <v>0</v>
      </c>
      <c r="CAM292" s="18">
        <v>0</v>
      </c>
      <c r="CAN292" s="18">
        <v>0</v>
      </c>
      <c r="CAO292" s="18">
        <v>0</v>
      </c>
      <c r="CAP292" s="18">
        <v>0</v>
      </c>
      <c r="CAQ292" s="18">
        <v>0</v>
      </c>
      <c r="CAR292" s="18">
        <v>0</v>
      </c>
      <c r="CAS292" s="18">
        <v>0</v>
      </c>
      <c r="CAT292" s="18">
        <v>0</v>
      </c>
      <c r="CAU292" s="18">
        <v>0</v>
      </c>
      <c r="CAV292" s="18">
        <v>0</v>
      </c>
      <c r="CAW292" s="18">
        <v>0</v>
      </c>
      <c r="CAX292" s="18">
        <v>0</v>
      </c>
      <c r="CAY292" s="18">
        <v>0</v>
      </c>
      <c r="CAZ292" s="18">
        <v>0</v>
      </c>
      <c r="CBA292" s="18">
        <v>0</v>
      </c>
      <c r="CBB292" s="18">
        <v>0</v>
      </c>
      <c r="CBC292" s="18">
        <v>0</v>
      </c>
      <c r="CBD292" s="18">
        <v>0</v>
      </c>
      <c r="CBE292" s="18">
        <v>0</v>
      </c>
      <c r="CBF292" s="18">
        <v>0</v>
      </c>
      <c r="CBG292" s="18">
        <v>0</v>
      </c>
      <c r="CBH292" s="18">
        <v>0</v>
      </c>
      <c r="CBI292" s="18">
        <v>0</v>
      </c>
      <c r="CBJ292" s="18">
        <v>0</v>
      </c>
      <c r="CBK292" s="18">
        <v>0</v>
      </c>
      <c r="CBL292" s="18">
        <v>0</v>
      </c>
      <c r="CBM292" s="18">
        <v>0</v>
      </c>
      <c r="CBN292" s="18">
        <v>0</v>
      </c>
      <c r="CBO292" s="18">
        <v>0</v>
      </c>
      <c r="CBP292" s="18">
        <v>0</v>
      </c>
      <c r="CBQ292" s="18">
        <v>0</v>
      </c>
      <c r="CBR292" s="18">
        <v>0</v>
      </c>
      <c r="CBS292" s="18">
        <v>0</v>
      </c>
      <c r="CBT292" s="18">
        <v>0</v>
      </c>
      <c r="CBU292" s="18">
        <v>0</v>
      </c>
      <c r="CBV292" s="18">
        <v>0</v>
      </c>
      <c r="CBW292" s="18">
        <v>0</v>
      </c>
      <c r="CBX292" s="18">
        <v>0</v>
      </c>
      <c r="CBY292" s="18">
        <v>0</v>
      </c>
      <c r="CBZ292" s="18">
        <v>0</v>
      </c>
      <c r="CCA292" s="18">
        <v>0</v>
      </c>
      <c r="CCB292" s="18">
        <v>0</v>
      </c>
      <c r="CCC292" s="18">
        <v>0</v>
      </c>
      <c r="CCD292" s="18">
        <v>0</v>
      </c>
      <c r="CCE292" s="18">
        <v>0</v>
      </c>
      <c r="CCF292" s="18">
        <v>0</v>
      </c>
      <c r="CCG292" s="18">
        <v>0</v>
      </c>
      <c r="CCH292" s="18">
        <v>0</v>
      </c>
      <c r="CCI292" s="18">
        <v>0</v>
      </c>
      <c r="CCJ292" s="18">
        <v>0</v>
      </c>
      <c r="CCK292" s="18">
        <v>0</v>
      </c>
      <c r="CCL292" s="18">
        <v>0</v>
      </c>
      <c r="CCM292" s="18">
        <v>0</v>
      </c>
      <c r="CCN292" s="18">
        <v>0</v>
      </c>
      <c r="CCO292" s="18">
        <v>0</v>
      </c>
      <c r="CCP292" s="18">
        <v>0</v>
      </c>
      <c r="CCQ292" s="18">
        <v>0</v>
      </c>
      <c r="CCR292" s="18">
        <v>0</v>
      </c>
      <c r="CCS292" s="18">
        <v>0</v>
      </c>
      <c r="CCT292" s="18">
        <v>0</v>
      </c>
      <c r="CCU292" s="18">
        <v>0</v>
      </c>
      <c r="CCV292" s="18">
        <v>0</v>
      </c>
      <c r="CCW292" s="18">
        <v>0</v>
      </c>
      <c r="CCX292" s="18">
        <v>0</v>
      </c>
      <c r="CCY292" s="18">
        <v>0</v>
      </c>
      <c r="CCZ292" s="18">
        <v>0</v>
      </c>
      <c r="CDA292" s="18">
        <v>0</v>
      </c>
      <c r="CDB292" s="18">
        <v>0</v>
      </c>
      <c r="CDC292" s="18">
        <v>0</v>
      </c>
      <c r="CDD292" s="18">
        <v>0</v>
      </c>
      <c r="CDE292" s="18">
        <v>0</v>
      </c>
      <c r="CDF292" s="18">
        <v>0</v>
      </c>
      <c r="CDG292" s="18">
        <v>0</v>
      </c>
      <c r="CDH292" s="18">
        <v>0</v>
      </c>
      <c r="CDI292" s="18">
        <v>0</v>
      </c>
      <c r="CDJ292" s="18">
        <v>0</v>
      </c>
      <c r="CDK292" s="18">
        <v>0</v>
      </c>
      <c r="CDL292" s="18">
        <v>0</v>
      </c>
      <c r="CDM292" s="18">
        <v>0</v>
      </c>
      <c r="CDN292" s="18">
        <v>0</v>
      </c>
      <c r="CDO292" s="18">
        <v>0</v>
      </c>
      <c r="CDP292" s="18">
        <v>0</v>
      </c>
      <c r="CDQ292" s="18">
        <v>0</v>
      </c>
      <c r="CDR292" s="18">
        <v>0</v>
      </c>
      <c r="CDS292" s="18">
        <v>0</v>
      </c>
      <c r="CDT292" s="18">
        <v>0</v>
      </c>
      <c r="CDU292" s="18">
        <v>0</v>
      </c>
      <c r="CDV292" s="18">
        <v>0</v>
      </c>
      <c r="CDW292" s="18">
        <v>0</v>
      </c>
      <c r="CDX292" s="18">
        <v>0</v>
      </c>
      <c r="CDY292" s="18">
        <v>0</v>
      </c>
      <c r="CDZ292" s="18">
        <v>0</v>
      </c>
      <c r="CEA292" s="18">
        <v>0</v>
      </c>
      <c r="CEB292" s="18">
        <v>0</v>
      </c>
      <c r="CEC292" s="18">
        <v>0</v>
      </c>
      <c r="CED292" s="18">
        <v>0</v>
      </c>
      <c r="CEE292" s="18">
        <v>0</v>
      </c>
      <c r="CEF292" s="18">
        <v>0</v>
      </c>
      <c r="CEG292" s="18">
        <v>0</v>
      </c>
      <c r="CEH292" s="18">
        <v>0</v>
      </c>
      <c r="CEI292" s="18">
        <v>0</v>
      </c>
      <c r="CEJ292" s="18">
        <v>0</v>
      </c>
      <c r="CEK292" s="18">
        <v>0</v>
      </c>
      <c r="CEL292" s="18">
        <v>0</v>
      </c>
      <c r="CEM292" s="18">
        <v>0</v>
      </c>
      <c r="CEN292" s="18">
        <v>0</v>
      </c>
      <c r="CEO292" s="18">
        <v>0</v>
      </c>
      <c r="CEP292" s="18">
        <v>0</v>
      </c>
      <c r="CEQ292" s="18">
        <v>0</v>
      </c>
      <c r="CER292" s="18">
        <v>0</v>
      </c>
      <c r="CES292" s="18">
        <v>0</v>
      </c>
      <c r="CET292" s="18">
        <v>0</v>
      </c>
      <c r="CEU292" s="18">
        <v>0</v>
      </c>
      <c r="CEV292" s="18">
        <v>0</v>
      </c>
      <c r="CEW292" s="18">
        <v>0</v>
      </c>
      <c r="CEX292" s="18">
        <v>0</v>
      </c>
      <c r="CEY292" s="18">
        <v>0</v>
      </c>
      <c r="CEZ292" s="18">
        <v>0</v>
      </c>
      <c r="CFA292" s="18">
        <v>0</v>
      </c>
      <c r="CFB292" s="18">
        <v>0</v>
      </c>
      <c r="CFC292" s="18">
        <v>0</v>
      </c>
      <c r="CFD292" s="18">
        <v>0</v>
      </c>
      <c r="CFE292" s="18">
        <v>0</v>
      </c>
      <c r="CFF292" s="18">
        <v>0</v>
      </c>
      <c r="CFG292" s="18">
        <v>0</v>
      </c>
      <c r="CFH292" s="18">
        <v>0</v>
      </c>
      <c r="CFI292" s="18">
        <v>0</v>
      </c>
      <c r="CFJ292" s="18">
        <v>0</v>
      </c>
      <c r="CFK292" s="18">
        <v>0</v>
      </c>
      <c r="CFL292" s="18">
        <v>0</v>
      </c>
      <c r="CFM292" s="18">
        <v>0</v>
      </c>
      <c r="CFN292" s="18">
        <v>0</v>
      </c>
      <c r="CFO292" s="18">
        <v>0</v>
      </c>
      <c r="CFP292" s="18">
        <v>0</v>
      </c>
      <c r="CFQ292" s="18">
        <v>0</v>
      </c>
      <c r="CFR292" s="18">
        <v>0</v>
      </c>
      <c r="CFS292" s="18">
        <v>0</v>
      </c>
      <c r="CFT292" s="18">
        <v>0</v>
      </c>
      <c r="CFU292" s="18">
        <v>0</v>
      </c>
      <c r="CFV292" s="18">
        <v>0</v>
      </c>
      <c r="CFW292" s="18">
        <v>0</v>
      </c>
      <c r="CFX292" s="18">
        <v>0</v>
      </c>
      <c r="CFY292" s="18">
        <v>0</v>
      </c>
      <c r="CFZ292" s="18">
        <v>0</v>
      </c>
      <c r="CGA292" s="18">
        <v>0</v>
      </c>
      <c r="CGB292" s="18">
        <v>0</v>
      </c>
      <c r="CGC292" s="18">
        <v>0</v>
      </c>
      <c r="CGD292" s="18">
        <v>0</v>
      </c>
      <c r="CGE292" s="18">
        <v>0</v>
      </c>
      <c r="CGF292" s="18">
        <v>0</v>
      </c>
      <c r="CGG292" s="18">
        <v>0</v>
      </c>
      <c r="CGH292" s="18">
        <v>0</v>
      </c>
      <c r="CGI292" s="18">
        <v>0</v>
      </c>
      <c r="CGJ292" s="18">
        <v>0</v>
      </c>
      <c r="CGK292" s="18">
        <v>0</v>
      </c>
      <c r="CGL292" s="18">
        <v>0</v>
      </c>
      <c r="CGM292" s="18">
        <v>0</v>
      </c>
      <c r="CGN292" s="18">
        <v>0</v>
      </c>
      <c r="CGO292" s="18">
        <v>0</v>
      </c>
      <c r="CGP292" s="18">
        <v>0</v>
      </c>
      <c r="CGQ292" s="18">
        <v>0</v>
      </c>
      <c r="CGR292" s="18">
        <v>0</v>
      </c>
      <c r="CGS292" s="18">
        <v>0</v>
      </c>
      <c r="CGT292" s="18">
        <v>0</v>
      </c>
      <c r="CGU292" s="18">
        <v>0</v>
      </c>
      <c r="CGV292" s="18">
        <v>0</v>
      </c>
      <c r="CGW292" s="18">
        <v>0</v>
      </c>
      <c r="CGX292" s="18">
        <v>0</v>
      </c>
      <c r="CGY292" s="18">
        <v>0</v>
      </c>
      <c r="CGZ292" s="18">
        <v>0</v>
      </c>
      <c r="CHA292" s="18">
        <v>0</v>
      </c>
      <c r="CHB292" s="18">
        <v>0</v>
      </c>
      <c r="CHC292" s="18">
        <v>0</v>
      </c>
      <c r="CHD292" s="18">
        <v>0</v>
      </c>
      <c r="CHE292" s="18">
        <v>0</v>
      </c>
      <c r="CHF292" s="18">
        <v>0</v>
      </c>
      <c r="CHG292" s="18">
        <v>0</v>
      </c>
      <c r="CHH292" s="18">
        <v>0</v>
      </c>
      <c r="CHI292" s="18">
        <v>0</v>
      </c>
      <c r="CHJ292" s="18">
        <v>0</v>
      </c>
      <c r="CHK292" s="18">
        <v>0</v>
      </c>
      <c r="CHL292" s="18">
        <v>0</v>
      </c>
      <c r="CHM292" s="18">
        <v>0</v>
      </c>
      <c r="CHN292" s="18">
        <v>0</v>
      </c>
      <c r="CHO292" s="18">
        <v>0</v>
      </c>
      <c r="CHP292" s="18">
        <v>0</v>
      </c>
      <c r="CHQ292" s="18">
        <v>0</v>
      </c>
      <c r="CHR292" s="18">
        <v>0</v>
      </c>
      <c r="CHS292" s="18">
        <v>0</v>
      </c>
      <c r="CHT292" s="18">
        <v>0</v>
      </c>
      <c r="CHU292" s="18">
        <v>0</v>
      </c>
      <c r="CHV292" s="18">
        <v>0</v>
      </c>
      <c r="CHW292" s="18">
        <v>0</v>
      </c>
      <c r="CHX292" s="18">
        <v>0</v>
      </c>
      <c r="CHY292" s="18">
        <v>0</v>
      </c>
      <c r="CHZ292" s="18">
        <v>0</v>
      </c>
      <c r="CIA292" s="18">
        <v>0</v>
      </c>
      <c r="CIB292" s="18">
        <v>0</v>
      </c>
      <c r="CIC292" s="18">
        <v>0</v>
      </c>
      <c r="CID292" s="18">
        <v>0</v>
      </c>
      <c r="CIE292" s="18">
        <v>0</v>
      </c>
      <c r="CIF292" s="18">
        <v>0</v>
      </c>
      <c r="CIG292" s="18">
        <v>0</v>
      </c>
      <c r="CIH292" s="18">
        <v>0</v>
      </c>
      <c r="CII292" s="18">
        <v>0</v>
      </c>
      <c r="CIJ292" s="18">
        <v>0</v>
      </c>
      <c r="CIK292" s="18">
        <v>0</v>
      </c>
      <c r="CIL292" s="18">
        <v>0</v>
      </c>
      <c r="CIM292" s="18">
        <v>0</v>
      </c>
      <c r="CIN292" s="18">
        <v>0</v>
      </c>
      <c r="CIO292" s="18">
        <v>0</v>
      </c>
      <c r="CIP292" s="18">
        <v>0</v>
      </c>
      <c r="CIQ292" s="18">
        <v>0</v>
      </c>
      <c r="CIR292" s="18">
        <v>0</v>
      </c>
      <c r="CIS292" s="18">
        <v>0</v>
      </c>
      <c r="CIT292" s="18">
        <v>0</v>
      </c>
      <c r="CIU292" s="18">
        <v>0</v>
      </c>
      <c r="CIV292" s="18">
        <v>0</v>
      </c>
      <c r="CIW292" s="18">
        <v>0</v>
      </c>
      <c r="CIX292" s="18">
        <v>0</v>
      </c>
      <c r="CIY292" s="18">
        <v>0</v>
      </c>
      <c r="CIZ292" s="18">
        <v>0</v>
      </c>
      <c r="CJA292" s="18">
        <v>0</v>
      </c>
      <c r="CJB292" s="18">
        <v>0</v>
      </c>
      <c r="CJC292" s="18">
        <v>0</v>
      </c>
      <c r="CJD292" s="18">
        <v>0</v>
      </c>
      <c r="CJE292" s="18">
        <v>0</v>
      </c>
      <c r="CJF292" s="18">
        <v>0</v>
      </c>
      <c r="CJG292" s="18">
        <v>0</v>
      </c>
      <c r="CJH292" s="18">
        <v>0</v>
      </c>
      <c r="CJI292" s="18">
        <v>0</v>
      </c>
      <c r="CJJ292" s="18">
        <v>0</v>
      </c>
      <c r="CJK292" s="18">
        <v>0</v>
      </c>
      <c r="CJL292" s="18">
        <v>0</v>
      </c>
      <c r="CJM292" s="18">
        <v>0</v>
      </c>
      <c r="CJN292" s="18">
        <v>0</v>
      </c>
      <c r="CJO292" s="18">
        <v>0</v>
      </c>
      <c r="CJP292" s="18">
        <v>0</v>
      </c>
      <c r="CJQ292" s="18">
        <v>0</v>
      </c>
      <c r="CJR292" s="18">
        <v>0</v>
      </c>
      <c r="CJS292" s="18">
        <v>0</v>
      </c>
      <c r="CJT292" s="18">
        <v>0</v>
      </c>
      <c r="CJU292" s="18">
        <v>0</v>
      </c>
      <c r="CJV292" s="18">
        <v>0</v>
      </c>
      <c r="CJW292" s="18">
        <v>0</v>
      </c>
      <c r="CJX292" s="18">
        <v>0</v>
      </c>
      <c r="CJY292" s="18">
        <v>0</v>
      </c>
      <c r="CJZ292" s="18">
        <v>0</v>
      </c>
      <c r="CKA292" s="18">
        <v>0</v>
      </c>
      <c r="CKB292" s="18">
        <v>0</v>
      </c>
      <c r="CKC292" s="18">
        <v>0</v>
      </c>
      <c r="CKD292" s="18">
        <v>0</v>
      </c>
      <c r="CKE292" s="18">
        <v>0</v>
      </c>
      <c r="CKF292" s="18">
        <v>0</v>
      </c>
      <c r="CKG292" s="18">
        <v>0</v>
      </c>
      <c r="CKH292" s="18">
        <v>0</v>
      </c>
      <c r="CKI292" s="18">
        <v>0</v>
      </c>
      <c r="CKJ292" s="18">
        <v>0</v>
      </c>
      <c r="CKK292" s="18">
        <v>0</v>
      </c>
      <c r="CKL292" s="18">
        <v>0</v>
      </c>
      <c r="CKM292" s="18">
        <v>0</v>
      </c>
      <c r="CKN292" s="18">
        <v>0</v>
      </c>
      <c r="CKO292" s="18">
        <v>0</v>
      </c>
      <c r="CKP292" s="18">
        <v>0</v>
      </c>
      <c r="CKQ292" s="18">
        <v>0</v>
      </c>
      <c r="CKR292" s="18">
        <v>0</v>
      </c>
      <c r="CKS292" s="18">
        <v>0</v>
      </c>
      <c r="CKT292" s="18">
        <v>0</v>
      </c>
      <c r="CKU292" s="18">
        <v>0</v>
      </c>
      <c r="CKV292" s="18">
        <v>0</v>
      </c>
      <c r="CKW292" s="18">
        <v>0</v>
      </c>
      <c r="CKX292" s="18">
        <v>0</v>
      </c>
      <c r="CKY292" s="18">
        <v>0</v>
      </c>
      <c r="CKZ292" s="18">
        <v>0</v>
      </c>
      <c r="CLA292" s="18">
        <v>0</v>
      </c>
      <c r="CLB292" s="18">
        <v>0</v>
      </c>
      <c r="CLC292" s="18">
        <v>0</v>
      </c>
      <c r="CLD292" s="18">
        <v>0</v>
      </c>
      <c r="CLE292" s="18">
        <v>0</v>
      </c>
      <c r="CLF292" s="18">
        <v>0</v>
      </c>
      <c r="CLG292" s="18">
        <v>0</v>
      </c>
      <c r="CLH292" s="18">
        <v>0</v>
      </c>
      <c r="CLI292" s="18">
        <v>0</v>
      </c>
      <c r="CLJ292" s="18">
        <v>0</v>
      </c>
      <c r="CLK292" s="18">
        <v>0</v>
      </c>
      <c r="CLL292" s="18">
        <v>0</v>
      </c>
      <c r="CLM292" s="18">
        <v>0</v>
      </c>
      <c r="CLN292" s="18">
        <v>0</v>
      </c>
      <c r="CLO292" s="18">
        <v>0</v>
      </c>
      <c r="CLP292" s="18">
        <v>0</v>
      </c>
      <c r="CLQ292" s="18">
        <v>0</v>
      </c>
      <c r="CLR292" s="18">
        <v>0</v>
      </c>
      <c r="CLS292" s="18">
        <v>0</v>
      </c>
      <c r="CLT292" s="18">
        <v>0</v>
      </c>
      <c r="CLU292" s="18">
        <v>0</v>
      </c>
      <c r="CLV292" s="18">
        <v>0</v>
      </c>
      <c r="CLW292" s="18">
        <v>0</v>
      </c>
      <c r="CLX292" s="18">
        <v>0</v>
      </c>
      <c r="CLY292" s="18">
        <v>0</v>
      </c>
      <c r="CLZ292" s="18">
        <v>0</v>
      </c>
      <c r="CMA292" s="18">
        <v>0</v>
      </c>
      <c r="CMB292" s="18">
        <v>0</v>
      </c>
      <c r="CMC292" s="18">
        <v>0</v>
      </c>
      <c r="CMD292" s="18">
        <v>0</v>
      </c>
      <c r="CME292" s="18">
        <v>0</v>
      </c>
      <c r="CMF292" s="18">
        <v>0</v>
      </c>
      <c r="CMG292" s="18">
        <v>0</v>
      </c>
      <c r="CMH292" s="18">
        <v>0</v>
      </c>
      <c r="CMI292" s="18">
        <v>0</v>
      </c>
      <c r="CMJ292" s="18">
        <v>0</v>
      </c>
      <c r="CMK292" s="18">
        <v>0</v>
      </c>
      <c r="CML292" s="18">
        <v>0</v>
      </c>
      <c r="CMM292" s="18">
        <v>0</v>
      </c>
      <c r="CMN292" s="18">
        <v>0</v>
      </c>
      <c r="CMO292" s="18">
        <v>0</v>
      </c>
      <c r="CMP292" s="18">
        <v>0</v>
      </c>
      <c r="CMQ292" s="18">
        <v>0</v>
      </c>
      <c r="CMR292" s="18">
        <v>0</v>
      </c>
      <c r="CMS292" s="18">
        <v>0</v>
      </c>
      <c r="CMT292" s="18">
        <v>0</v>
      </c>
      <c r="CMU292" s="18">
        <v>0</v>
      </c>
      <c r="CMV292" s="18">
        <v>0</v>
      </c>
      <c r="CMW292" s="18">
        <v>0</v>
      </c>
      <c r="CMX292" s="18">
        <v>0</v>
      </c>
      <c r="CMY292" s="18">
        <v>0</v>
      </c>
      <c r="CMZ292" s="18">
        <v>0</v>
      </c>
      <c r="CNA292" s="18">
        <v>0</v>
      </c>
      <c r="CNB292" s="18">
        <v>0</v>
      </c>
      <c r="CNC292" s="18">
        <v>0</v>
      </c>
      <c r="CND292" s="18">
        <v>0</v>
      </c>
      <c r="CNE292" s="18">
        <v>0</v>
      </c>
      <c r="CNF292" s="18">
        <v>0</v>
      </c>
      <c r="CNG292" s="18">
        <v>0</v>
      </c>
      <c r="CNH292" s="18">
        <v>0</v>
      </c>
      <c r="CNI292" s="18">
        <v>0</v>
      </c>
      <c r="CNJ292" s="18">
        <v>0</v>
      </c>
      <c r="CNK292" s="18">
        <v>0</v>
      </c>
      <c r="CNL292" s="18">
        <v>0</v>
      </c>
      <c r="CNM292" s="18">
        <v>0</v>
      </c>
      <c r="CNN292" s="18">
        <v>0</v>
      </c>
      <c r="CNO292" s="18">
        <v>0</v>
      </c>
      <c r="CNP292" s="18">
        <v>0</v>
      </c>
      <c r="CNQ292" s="18">
        <v>0</v>
      </c>
      <c r="CNR292" s="18">
        <v>0</v>
      </c>
      <c r="CNS292" s="18">
        <v>0</v>
      </c>
      <c r="CNT292" s="18">
        <v>0</v>
      </c>
      <c r="CNU292" s="18">
        <v>0</v>
      </c>
      <c r="CNV292" s="18">
        <v>0</v>
      </c>
      <c r="CNW292" s="18">
        <v>0</v>
      </c>
      <c r="CNX292" s="18">
        <v>0</v>
      </c>
      <c r="CNY292" s="18">
        <v>0</v>
      </c>
      <c r="CNZ292" s="18">
        <v>0</v>
      </c>
      <c r="COA292" s="18">
        <v>0</v>
      </c>
      <c r="COB292" s="18">
        <v>0</v>
      </c>
      <c r="COC292" s="18">
        <v>0</v>
      </c>
      <c r="COD292" s="18">
        <v>0</v>
      </c>
      <c r="COE292" s="18">
        <v>0</v>
      </c>
      <c r="COF292" s="18">
        <v>0</v>
      </c>
      <c r="COG292" s="18">
        <v>0</v>
      </c>
      <c r="COH292" s="18">
        <v>0</v>
      </c>
      <c r="COI292" s="18">
        <v>0</v>
      </c>
      <c r="COJ292" s="18">
        <v>0</v>
      </c>
      <c r="COK292" s="18">
        <v>0</v>
      </c>
      <c r="COL292" s="18">
        <v>0</v>
      </c>
      <c r="COM292" s="18">
        <v>0</v>
      </c>
      <c r="CON292" s="18">
        <v>0</v>
      </c>
      <c r="COO292" s="18">
        <v>0</v>
      </c>
      <c r="COP292" s="18">
        <v>0</v>
      </c>
      <c r="COQ292" s="18">
        <v>0</v>
      </c>
      <c r="COR292" s="18">
        <v>0</v>
      </c>
      <c r="COS292" s="18">
        <v>0</v>
      </c>
      <c r="COT292" s="18">
        <v>0</v>
      </c>
      <c r="COU292" s="18">
        <v>0</v>
      </c>
      <c r="COV292" s="18">
        <v>0</v>
      </c>
      <c r="COW292" s="18">
        <v>0</v>
      </c>
      <c r="COX292" s="18">
        <v>0</v>
      </c>
      <c r="COY292" s="18">
        <v>0</v>
      </c>
      <c r="COZ292" s="18">
        <v>0</v>
      </c>
      <c r="CPA292" s="18">
        <v>0</v>
      </c>
      <c r="CPB292" s="18">
        <v>0</v>
      </c>
      <c r="CPC292" s="18">
        <v>0</v>
      </c>
      <c r="CPD292" s="18">
        <v>0</v>
      </c>
      <c r="CPE292" s="18">
        <v>0</v>
      </c>
      <c r="CPF292" s="18">
        <v>0</v>
      </c>
      <c r="CPG292" s="18">
        <v>0</v>
      </c>
      <c r="CPH292" s="18">
        <v>0</v>
      </c>
      <c r="CPI292" s="18">
        <v>0</v>
      </c>
      <c r="CPJ292" s="18">
        <v>0</v>
      </c>
      <c r="CPK292" s="18">
        <v>0</v>
      </c>
      <c r="CPL292" s="18">
        <v>0</v>
      </c>
      <c r="CPM292" s="18">
        <v>0</v>
      </c>
      <c r="CPN292" s="18">
        <v>0</v>
      </c>
      <c r="CPO292" s="18">
        <v>0</v>
      </c>
      <c r="CPP292" s="18">
        <v>0</v>
      </c>
      <c r="CPQ292" s="18">
        <v>0</v>
      </c>
      <c r="CPR292" s="18">
        <v>0</v>
      </c>
      <c r="CPS292" s="18">
        <v>0</v>
      </c>
      <c r="CPT292" s="18">
        <v>0</v>
      </c>
      <c r="CPU292" s="18">
        <v>0</v>
      </c>
      <c r="CPV292" s="18">
        <v>0</v>
      </c>
      <c r="CPW292" s="18">
        <v>0</v>
      </c>
      <c r="CPX292" s="18">
        <v>0</v>
      </c>
      <c r="CPY292" s="18">
        <v>0</v>
      </c>
      <c r="CPZ292" s="18">
        <v>0</v>
      </c>
      <c r="CQA292" s="18">
        <v>0</v>
      </c>
      <c r="CQB292" s="18">
        <v>0</v>
      </c>
      <c r="CQC292" s="18">
        <v>0</v>
      </c>
      <c r="CQD292" s="18">
        <v>0</v>
      </c>
      <c r="CQE292" s="18">
        <v>0</v>
      </c>
      <c r="CQF292" s="18">
        <v>0</v>
      </c>
      <c r="CQG292" s="18">
        <v>0</v>
      </c>
      <c r="CQH292" s="18">
        <v>0</v>
      </c>
      <c r="CQI292" s="18">
        <v>0</v>
      </c>
      <c r="CQJ292" s="18">
        <v>0</v>
      </c>
      <c r="CQK292" s="18">
        <v>0</v>
      </c>
      <c r="CQL292" s="18">
        <v>0</v>
      </c>
      <c r="CQM292" s="18">
        <v>0</v>
      </c>
      <c r="CQN292" s="18">
        <v>0</v>
      </c>
      <c r="CQO292" s="18">
        <v>0</v>
      </c>
      <c r="CQP292" s="18">
        <v>0</v>
      </c>
      <c r="CQQ292" s="18">
        <v>0</v>
      </c>
      <c r="CQR292" s="18">
        <v>0</v>
      </c>
      <c r="CQS292" s="18">
        <v>0</v>
      </c>
      <c r="CQT292" s="18">
        <v>0</v>
      </c>
      <c r="CQU292" s="18">
        <v>0</v>
      </c>
      <c r="CQV292" s="18">
        <v>0</v>
      </c>
      <c r="CQW292" s="18">
        <v>0</v>
      </c>
      <c r="CQX292" s="18">
        <v>0</v>
      </c>
      <c r="CQY292" s="18">
        <v>0</v>
      </c>
      <c r="CQZ292" s="18">
        <v>0</v>
      </c>
      <c r="CRA292" s="18">
        <v>0</v>
      </c>
      <c r="CRB292" s="18">
        <v>0</v>
      </c>
      <c r="CRC292" s="18">
        <v>0</v>
      </c>
      <c r="CRD292" s="18">
        <v>0</v>
      </c>
      <c r="CRE292" s="18">
        <v>0</v>
      </c>
      <c r="CRF292" s="18">
        <v>0</v>
      </c>
      <c r="CRG292" s="18">
        <v>0</v>
      </c>
      <c r="CRH292" s="18">
        <v>0</v>
      </c>
      <c r="CRI292" s="18">
        <v>0</v>
      </c>
      <c r="CRJ292" s="18">
        <v>0</v>
      </c>
      <c r="CRK292" s="18">
        <v>0</v>
      </c>
      <c r="CRL292" s="18">
        <v>0</v>
      </c>
      <c r="CRM292" s="18">
        <v>0</v>
      </c>
      <c r="CRN292" s="18">
        <v>0</v>
      </c>
      <c r="CRO292" s="18">
        <v>0</v>
      </c>
      <c r="CRP292" s="18">
        <v>0</v>
      </c>
      <c r="CRQ292" s="18">
        <v>0</v>
      </c>
      <c r="CRR292" s="18">
        <v>0</v>
      </c>
      <c r="CRS292" s="18">
        <v>0</v>
      </c>
      <c r="CRT292" s="18">
        <v>0</v>
      </c>
      <c r="CRU292" s="18">
        <v>0</v>
      </c>
      <c r="CRV292" s="18">
        <v>0</v>
      </c>
      <c r="CRW292" s="18">
        <v>0</v>
      </c>
      <c r="CRX292" s="18">
        <v>0</v>
      </c>
      <c r="CRY292" s="18">
        <v>0</v>
      </c>
      <c r="CRZ292" s="18">
        <v>0</v>
      </c>
      <c r="CSA292" s="18">
        <v>0</v>
      </c>
      <c r="CSB292" s="18">
        <v>0</v>
      </c>
      <c r="CSC292" s="18">
        <v>0</v>
      </c>
      <c r="CSD292" s="18">
        <v>0</v>
      </c>
      <c r="CSE292" s="18">
        <v>0</v>
      </c>
      <c r="CSF292" s="18">
        <v>0</v>
      </c>
      <c r="CSG292" s="18">
        <v>0</v>
      </c>
      <c r="CSH292" s="18">
        <v>0</v>
      </c>
      <c r="CSI292" s="18">
        <v>0</v>
      </c>
      <c r="CSJ292" s="18">
        <v>0</v>
      </c>
      <c r="CSK292" s="18">
        <v>0</v>
      </c>
      <c r="CSL292" s="18">
        <v>0</v>
      </c>
      <c r="CSM292" s="18">
        <v>0</v>
      </c>
      <c r="CSN292" s="18">
        <v>0</v>
      </c>
      <c r="CSO292" s="18">
        <v>0</v>
      </c>
      <c r="CSP292" s="18">
        <v>0</v>
      </c>
      <c r="CSQ292" s="18">
        <v>0</v>
      </c>
      <c r="CSR292" s="18">
        <v>0</v>
      </c>
      <c r="CSS292" s="18">
        <v>0</v>
      </c>
      <c r="CST292" s="18">
        <v>0</v>
      </c>
      <c r="CSU292" s="18">
        <v>0</v>
      </c>
      <c r="CSV292" s="18">
        <v>0</v>
      </c>
      <c r="CSW292" s="18">
        <v>0</v>
      </c>
      <c r="CSX292" s="18">
        <v>0</v>
      </c>
      <c r="CSY292" s="18">
        <v>0</v>
      </c>
      <c r="CSZ292" s="18">
        <v>0</v>
      </c>
      <c r="CTA292" s="18">
        <v>0</v>
      </c>
      <c r="CTB292" s="18">
        <v>0</v>
      </c>
      <c r="CTC292" s="18">
        <v>0</v>
      </c>
      <c r="CTD292" s="18">
        <v>0</v>
      </c>
      <c r="CTE292" s="18">
        <v>0</v>
      </c>
      <c r="CTF292" s="18">
        <v>0</v>
      </c>
      <c r="CTG292" s="18">
        <v>0</v>
      </c>
      <c r="CTH292" s="18">
        <v>0</v>
      </c>
      <c r="CTI292" s="18">
        <v>0</v>
      </c>
      <c r="CTJ292" s="18">
        <v>0</v>
      </c>
      <c r="CTK292" s="18">
        <v>0</v>
      </c>
      <c r="CTL292" s="18">
        <v>0</v>
      </c>
      <c r="CTM292" s="18">
        <v>0</v>
      </c>
      <c r="CTN292" s="18">
        <v>0</v>
      </c>
      <c r="CTO292" s="18">
        <v>0</v>
      </c>
      <c r="CTP292" s="18">
        <v>0</v>
      </c>
      <c r="CTQ292" s="18">
        <v>0</v>
      </c>
      <c r="CTR292" s="18">
        <v>0</v>
      </c>
      <c r="CTS292" s="18">
        <v>0</v>
      </c>
      <c r="CTT292" s="18">
        <v>0</v>
      </c>
      <c r="CTU292" s="18">
        <v>0</v>
      </c>
      <c r="CTV292" s="18">
        <v>0</v>
      </c>
      <c r="CTW292" s="18">
        <v>0</v>
      </c>
      <c r="CTX292" s="18">
        <v>0</v>
      </c>
      <c r="CTY292" s="18">
        <v>0</v>
      </c>
      <c r="CTZ292" s="18">
        <v>0</v>
      </c>
      <c r="CUA292" s="18">
        <v>0</v>
      </c>
      <c r="CUB292" s="18">
        <v>0</v>
      </c>
      <c r="CUC292" s="18">
        <v>0</v>
      </c>
      <c r="CUD292" s="18">
        <v>0</v>
      </c>
      <c r="CUE292" s="18">
        <v>0</v>
      </c>
      <c r="CUF292" s="18">
        <v>0</v>
      </c>
      <c r="CUG292" s="18">
        <v>0</v>
      </c>
      <c r="CUH292" s="18">
        <v>0</v>
      </c>
      <c r="CUI292" s="18">
        <v>0</v>
      </c>
      <c r="CUJ292" s="18">
        <v>0</v>
      </c>
      <c r="CUK292" s="18">
        <v>0</v>
      </c>
      <c r="CUL292" s="18">
        <v>0</v>
      </c>
      <c r="CUM292" s="18">
        <v>0</v>
      </c>
      <c r="CUN292" s="18">
        <v>0</v>
      </c>
      <c r="CUO292" s="18">
        <v>0</v>
      </c>
      <c r="CUP292" s="18">
        <v>0</v>
      </c>
      <c r="CUQ292" s="18">
        <v>0</v>
      </c>
      <c r="CUR292" s="18">
        <v>0</v>
      </c>
      <c r="CUS292" s="18">
        <v>0</v>
      </c>
      <c r="CUT292" s="18">
        <v>0</v>
      </c>
      <c r="CUU292" s="18">
        <v>0</v>
      </c>
      <c r="CUV292" s="18">
        <v>0</v>
      </c>
      <c r="CUW292" s="18">
        <v>0</v>
      </c>
      <c r="CUX292" s="18">
        <v>0</v>
      </c>
      <c r="CUY292" s="18">
        <v>0</v>
      </c>
      <c r="CUZ292" s="18">
        <v>0</v>
      </c>
      <c r="CVA292" s="18">
        <v>0</v>
      </c>
      <c r="CVB292" s="18">
        <v>0</v>
      </c>
      <c r="CVC292" s="18">
        <v>0</v>
      </c>
      <c r="CVD292" s="18">
        <v>0</v>
      </c>
      <c r="CVE292" s="18">
        <v>0</v>
      </c>
      <c r="CVF292" s="18">
        <v>0</v>
      </c>
      <c r="CVG292" s="18">
        <v>0</v>
      </c>
      <c r="CVH292" s="18">
        <v>0</v>
      </c>
      <c r="CVI292" s="18">
        <v>0</v>
      </c>
      <c r="CVJ292" s="18">
        <v>0</v>
      </c>
      <c r="CVK292" s="18">
        <v>0</v>
      </c>
      <c r="CVL292" s="18">
        <v>0</v>
      </c>
      <c r="CVM292" s="18">
        <v>0</v>
      </c>
      <c r="CVN292" s="18">
        <v>0</v>
      </c>
      <c r="CVO292" s="18">
        <v>0</v>
      </c>
      <c r="CVP292" s="18">
        <v>0</v>
      </c>
      <c r="CVQ292" s="18">
        <v>0</v>
      </c>
      <c r="CVR292" s="18">
        <v>0</v>
      </c>
      <c r="CVS292" s="18">
        <v>0</v>
      </c>
      <c r="CVT292" s="18">
        <v>0</v>
      </c>
      <c r="CVU292" s="18">
        <v>0</v>
      </c>
      <c r="CVV292" s="18">
        <v>0</v>
      </c>
      <c r="CVW292" s="18">
        <v>0</v>
      </c>
      <c r="CVX292" s="18">
        <v>0</v>
      </c>
      <c r="CVY292" s="18">
        <v>0</v>
      </c>
      <c r="CVZ292" s="18">
        <v>0</v>
      </c>
      <c r="CWA292" s="18">
        <v>0</v>
      </c>
      <c r="CWB292" s="18">
        <v>0</v>
      </c>
      <c r="CWC292" s="18">
        <v>0</v>
      </c>
      <c r="CWD292" s="18">
        <v>0</v>
      </c>
      <c r="CWE292" s="18">
        <v>0</v>
      </c>
      <c r="CWF292" s="18">
        <v>0</v>
      </c>
      <c r="CWG292" s="18">
        <v>0</v>
      </c>
      <c r="CWH292" s="18">
        <v>0</v>
      </c>
      <c r="CWI292" s="18">
        <v>0</v>
      </c>
      <c r="CWJ292" s="18">
        <v>0</v>
      </c>
      <c r="CWK292" s="18">
        <v>0</v>
      </c>
      <c r="CWL292" s="18">
        <v>0</v>
      </c>
      <c r="CWM292" s="18">
        <v>0</v>
      </c>
      <c r="CWN292" s="18">
        <v>0</v>
      </c>
      <c r="CWO292" s="18">
        <v>0</v>
      </c>
      <c r="CWP292" s="18">
        <v>0</v>
      </c>
      <c r="CWQ292" s="18">
        <v>0</v>
      </c>
      <c r="CWR292" s="18">
        <v>0</v>
      </c>
      <c r="CWS292" s="18">
        <v>0</v>
      </c>
      <c r="CWT292" s="18">
        <v>0</v>
      </c>
      <c r="CWU292" s="18">
        <v>0</v>
      </c>
      <c r="CWV292" s="18">
        <v>0</v>
      </c>
      <c r="CWW292" s="18">
        <v>0</v>
      </c>
      <c r="CWX292" s="18">
        <v>0</v>
      </c>
      <c r="CWY292" s="18">
        <v>0</v>
      </c>
      <c r="CWZ292" s="18">
        <v>0</v>
      </c>
      <c r="CXA292" s="18">
        <v>0</v>
      </c>
      <c r="CXB292" s="18">
        <v>0</v>
      </c>
      <c r="CXC292" s="18">
        <v>0</v>
      </c>
      <c r="CXD292" s="18">
        <v>0</v>
      </c>
      <c r="CXE292" s="18">
        <v>0</v>
      </c>
      <c r="CXF292" s="18">
        <v>0</v>
      </c>
      <c r="CXG292" s="18">
        <v>0</v>
      </c>
      <c r="CXH292" s="18">
        <v>0</v>
      </c>
      <c r="CXI292" s="18">
        <v>0</v>
      </c>
      <c r="CXJ292" s="18">
        <v>0</v>
      </c>
      <c r="CXK292" s="18">
        <v>0</v>
      </c>
      <c r="CXL292" s="18">
        <v>0</v>
      </c>
      <c r="CXM292" s="18">
        <v>0</v>
      </c>
      <c r="CXN292" s="18">
        <v>0</v>
      </c>
      <c r="CXO292" s="18">
        <v>0</v>
      </c>
      <c r="CXP292" s="18">
        <v>0</v>
      </c>
      <c r="CXQ292" s="18">
        <v>0</v>
      </c>
      <c r="CXR292" s="18">
        <v>0</v>
      </c>
      <c r="CXS292" s="18">
        <v>0</v>
      </c>
      <c r="CXT292" s="18">
        <v>0</v>
      </c>
      <c r="CXU292" s="18">
        <v>0</v>
      </c>
      <c r="CXV292" s="18">
        <v>0</v>
      </c>
      <c r="CXW292" s="18">
        <v>0</v>
      </c>
      <c r="CXX292" s="18">
        <v>0</v>
      </c>
      <c r="CXY292" s="18">
        <v>0</v>
      </c>
      <c r="CXZ292" s="18">
        <v>0</v>
      </c>
      <c r="CYA292" s="18">
        <v>0</v>
      </c>
      <c r="CYB292" s="18">
        <v>0</v>
      </c>
      <c r="CYC292" s="18">
        <v>0</v>
      </c>
      <c r="CYD292" s="18">
        <v>0</v>
      </c>
      <c r="CYE292" s="18">
        <v>0</v>
      </c>
      <c r="CYF292" s="18">
        <v>0</v>
      </c>
      <c r="CYG292" s="18">
        <v>0</v>
      </c>
      <c r="CYH292" s="18">
        <v>0</v>
      </c>
      <c r="CYI292" s="18">
        <v>0</v>
      </c>
      <c r="CYJ292" s="18">
        <v>0</v>
      </c>
      <c r="CYK292" s="18">
        <v>0</v>
      </c>
      <c r="CYL292" s="18">
        <v>0</v>
      </c>
      <c r="CYM292" s="18">
        <v>0</v>
      </c>
      <c r="CYN292" s="18">
        <v>0</v>
      </c>
      <c r="CYO292" s="18">
        <v>0</v>
      </c>
      <c r="CYP292" s="18">
        <v>0</v>
      </c>
      <c r="CYQ292" s="18">
        <v>0</v>
      </c>
      <c r="CYR292" s="18">
        <v>0</v>
      </c>
      <c r="CYS292" s="18">
        <v>0</v>
      </c>
      <c r="CYT292" s="18">
        <v>0</v>
      </c>
      <c r="CYU292" s="18">
        <v>0</v>
      </c>
      <c r="CYV292" s="18">
        <v>0</v>
      </c>
      <c r="CYW292" s="18">
        <v>0</v>
      </c>
      <c r="CYX292" s="18">
        <v>0</v>
      </c>
      <c r="CYY292" s="18">
        <v>0</v>
      </c>
      <c r="CYZ292" s="18">
        <v>0</v>
      </c>
      <c r="CZA292" s="18">
        <v>0</v>
      </c>
      <c r="CZB292" s="18">
        <v>0</v>
      </c>
      <c r="CZC292" s="18">
        <v>0</v>
      </c>
      <c r="CZD292" s="18">
        <v>0</v>
      </c>
      <c r="CZE292" s="18">
        <v>0</v>
      </c>
      <c r="CZF292" s="18">
        <v>0</v>
      </c>
      <c r="CZG292" s="18">
        <v>0</v>
      </c>
      <c r="CZH292" s="18">
        <v>0</v>
      </c>
      <c r="CZI292" s="18">
        <v>0</v>
      </c>
      <c r="CZJ292" s="18">
        <v>0</v>
      </c>
      <c r="CZK292" s="18">
        <v>0</v>
      </c>
      <c r="CZL292" s="18">
        <v>0</v>
      </c>
      <c r="CZM292" s="18">
        <v>0</v>
      </c>
      <c r="CZN292" s="18">
        <v>0</v>
      </c>
      <c r="CZO292" s="18">
        <v>0</v>
      </c>
      <c r="CZP292" s="18">
        <v>0</v>
      </c>
      <c r="CZQ292" s="18">
        <v>0</v>
      </c>
      <c r="CZR292" s="18">
        <v>0</v>
      </c>
      <c r="CZS292" s="18">
        <v>0</v>
      </c>
      <c r="CZT292" s="18">
        <v>0</v>
      </c>
      <c r="CZU292" s="18">
        <v>0</v>
      </c>
      <c r="CZV292" s="18">
        <v>0</v>
      </c>
      <c r="CZW292" s="18">
        <v>0</v>
      </c>
      <c r="CZX292" s="18">
        <v>0</v>
      </c>
      <c r="CZY292" s="18">
        <v>0</v>
      </c>
      <c r="CZZ292" s="18">
        <v>0</v>
      </c>
      <c r="DAA292" s="18">
        <v>0</v>
      </c>
      <c r="DAB292" s="18">
        <v>0</v>
      </c>
      <c r="DAC292" s="18">
        <v>0</v>
      </c>
      <c r="DAD292" s="18">
        <v>0</v>
      </c>
      <c r="DAE292" s="18">
        <v>0</v>
      </c>
      <c r="DAF292" s="18">
        <v>0</v>
      </c>
      <c r="DAG292" s="18">
        <v>0</v>
      </c>
      <c r="DAH292" s="18">
        <v>0</v>
      </c>
      <c r="DAI292" s="18">
        <v>0</v>
      </c>
      <c r="DAJ292" s="18">
        <v>0</v>
      </c>
      <c r="DAK292" s="18">
        <v>0</v>
      </c>
      <c r="DAL292" s="18">
        <v>0</v>
      </c>
      <c r="DAM292" s="18">
        <v>0</v>
      </c>
      <c r="DAN292" s="18">
        <v>0</v>
      </c>
      <c r="DAO292" s="18">
        <v>0</v>
      </c>
      <c r="DAP292" s="18">
        <v>0</v>
      </c>
      <c r="DAQ292" s="18">
        <v>0</v>
      </c>
      <c r="DAR292" s="18">
        <v>0</v>
      </c>
      <c r="DAS292" s="18">
        <v>0</v>
      </c>
      <c r="DAT292" s="18">
        <v>0</v>
      </c>
      <c r="DAU292" s="18">
        <v>0</v>
      </c>
      <c r="DAV292" s="18">
        <v>0</v>
      </c>
      <c r="DAW292" s="18">
        <v>0</v>
      </c>
      <c r="DAX292" s="18">
        <v>0</v>
      </c>
      <c r="DAY292" s="18">
        <v>0</v>
      </c>
      <c r="DAZ292" s="18">
        <v>0</v>
      </c>
      <c r="DBA292" s="18">
        <v>0</v>
      </c>
      <c r="DBB292" s="18">
        <v>0</v>
      </c>
      <c r="DBC292" s="18">
        <v>0</v>
      </c>
      <c r="DBD292" s="18">
        <v>0</v>
      </c>
      <c r="DBE292" s="18">
        <v>0</v>
      </c>
      <c r="DBF292" s="18">
        <v>0</v>
      </c>
      <c r="DBG292" s="18">
        <v>0</v>
      </c>
      <c r="DBH292" s="18">
        <v>0</v>
      </c>
      <c r="DBI292" s="18">
        <v>0</v>
      </c>
      <c r="DBJ292" s="18">
        <v>0</v>
      </c>
      <c r="DBK292" s="18">
        <v>0</v>
      </c>
      <c r="DBL292" s="18">
        <v>0</v>
      </c>
      <c r="DBM292" s="18">
        <v>0</v>
      </c>
      <c r="DBN292" s="18">
        <v>0</v>
      </c>
      <c r="DBO292" s="18">
        <v>0</v>
      </c>
      <c r="DBP292" s="18">
        <v>0</v>
      </c>
      <c r="DBQ292" s="18">
        <v>0</v>
      </c>
      <c r="DBR292" s="18">
        <v>0</v>
      </c>
      <c r="DBS292" s="18">
        <v>0</v>
      </c>
      <c r="DBT292" s="18">
        <v>0</v>
      </c>
      <c r="DBU292" s="18">
        <v>0</v>
      </c>
      <c r="DBV292" s="18">
        <v>0</v>
      </c>
      <c r="DBW292" s="18">
        <v>0</v>
      </c>
      <c r="DBX292" s="18">
        <v>0</v>
      </c>
      <c r="DBY292" s="18">
        <v>0</v>
      </c>
      <c r="DBZ292" s="18">
        <v>0</v>
      </c>
      <c r="DCA292" s="18">
        <v>0</v>
      </c>
      <c r="DCB292" s="18">
        <v>0</v>
      </c>
      <c r="DCC292" s="18">
        <v>0</v>
      </c>
      <c r="DCD292" s="18">
        <v>0</v>
      </c>
      <c r="DCE292" s="18">
        <v>0</v>
      </c>
      <c r="DCF292" s="18">
        <v>0</v>
      </c>
      <c r="DCG292" s="18">
        <v>0</v>
      </c>
      <c r="DCH292" s="18">
        <v>0</v>
      </c>
      <c r="DCI292" s="18">
        <v>0</v>
      </c>
      <c r="DCJ292" s="18">
        <v>0</v>
      </c>
      <c r="DCK292" s="18">
        <v>0</v>
      </c>
      <c r="DCL292" s="18">
        <v>0</v>
      </c>
      <c r="DCM292" s="18">
        <v>0</v>
      </c>
      <c r="DCN292" s="18">
        <v>0</v>
      </c>
      <c r="DCO292" s="18">
        <v>0</v>
      </c>
      <c r="DCP292" s="18">
        <v>0</v>
      </c>
      <c r="DCQ292" s="18">
        <v>0</v>
      </c>
      <c r="DCR292" s="18">
        <v>0</v>
      </c>
      <c r="DCS292" s="18">
        <v>0</v>
      </c>
      <c r="DCT292" s="18">
        <v>0</v>
      </c>
      <c r="DCU292" s="18">
        <v>0</v>
      </c>
      <c r="DCV292" s="18">
        <v>0</v>
      </c>
      <c r="DCW292" s="18">
        <v>0</v>
      </c>
      <c r="DCX292" s="18">
        <v>0</v>
      </c>
      <c r="DCY292" s="18">
        <v>0</v>
      </c>
      <c r="DCZ292" s="18">
        <v>0</v>
      </c>
      <c r="DDA292" s="18">
        <v>0</v>
      </c>
      <c r="DDB292" s="18">
        <v>0</v>
      </c>
      <c r="DDC292" s="18">
        <v>0</v>
      </c>
      <c r="DDD292" s="18">
        <v>0</v>
      </c>
      <c r="DDE292" s="18">
        <v>0</v>
      </c>
      <c r="DDF292" s="18">
        <v>0</v>
      </c>
      <c r="DDG292" s="18">
        <v>0</v>
      </c>
      <c r="DDH292" s="18">
        <v>0</v>
      </c>
      <c r="DDI292" s="18">
        <v>0</v>
      </c>
      <c r="DDJ292" s="18">
        <v>0</v>
      </c>
      <c r="DDK292" s="18">
        <v>0</v>
      </c>
      <c r="DDL292" s="18">
        <v>0</v>
      </c>
      <c r="DDM292" s="18">
        <v>0</v>
      </c>
      <c r="DDN292" s="18">
        <v>0</v>
      </c>
      <c r="DDO292" s="18">
        <v>0</v>
      </c>
      <c r="DDP292" s="18">
        <v>0</v>
      </c>
      <c r="DDQ292" s="18">
        <v>0</v>
      </c>
      <c r="DDR292" s="18">
        <v>0</v>
      </c>
      <c r="DDS292" s="18">
        <v>0</v>
      </c>
      <c r="DDT292" s="18">
        <v>0</v>
      </c>
      <c r="DDU292" s="18">
        <v>0</v>
      </c>
      <c r="DDV292" s="18">
        <v>0</v>
      </c>
      <c r="DDW292" s="18">
        <v>0</v>
      </c>
      <c r="DDX292" s="18">
        <v>0</v>
      </c>
      <c r="DDY292" s="18">
        <v>0</v>
      </c>
      <c r="DDZ292" s="18">
        <v>0</v>
      </c>
      <c r="DEA292" s="18">
        <v>0</v>
      </c>
      <c r="DEB292" s="18">
        <v>0</v>
      </c>
      <c r="DEC292" s="18">
        <v>0</v>
      </c>
      <c r="DED292" s="18">
        <v>0</v>
      </c>
      <c r="DEE292" s="18">
        <v>0</v>
      </c>
      <c r="DEF292" s="18">
        <v>0</v>
      </c>
      <c r="DEG292" s="18">
        <v>0</v>
      </c>
      <c r="DEH292" s="18">
        <v>0</v>
      </c>
      <c r="DEI292" s="18">
        <v>0</v>
      </c>
      <c r="DEJ292" s="18">
        <v>0</v>
      </c>
      <c r="DEK292" s="18">
        <v>0</v>
      </c>
      <c r="DEL292" s="18">
        <v>0</v>
      </c>
      <c r="DEM292" s="18">
        <v>0</v>
      </c>
      <c r="DEN292" s="18">
        <v>0</v>
      </c>
      <c r="DEO292" s="18">
        <v>0</v>
      </c>
      <c r="DEP292" s="18">
        <v>0</v>
      </c>
      <c r="DEQ292" s="18">
        <v>0</v>
      </c>
      <c r="DER292" s="18">
        <v>0</v>
      </c>
      <c r="DES292" s="18">
        <v>0</v>
      </c>
      <c r="DET292" s="18">
        <v>0</v>
      </c>
      <c r="DEU292" s="18">
        <v>0</v>
      </c>
      <c r="DEV292" s="18">
        <v>0</v>
      </c>
      <c r="DEW292" s="18">
        <v>0</v>
      </c>
      <c r="DEX292" s="18">
        <v>0</v>
      </c>
      <c r="DEY292" s="18">
        <v>0</v>
      </c>
      <c r="DEZ292" s="18">
        <v>0</v>
      </c>
      <c r="DFA292" s="18">
        <v>0</v>
      </c>
      <c r="DFB292" s="18">
        <v>0</v>
      </c>
      <c r="DFC292" s="18">
        <v>0</v>
      </c>
      <c r="DFD292" s="18">
        <v>0</v>
      </c>
      <c r="DFE292" s="18">
        <v>0</v>
      </c>
      <c r="DFF292" s="18">
        <v>0</v>
      </c>
      <c r="DFG292" s="18">
        <v>0</v>
      </c>
      <c r="DFH292" s="18">
        <v>0</v>
      </c>
      <c r="DFI292" s="18">
        <v>0</v>
      </c>
      <c r="DFJ292" s="18">
        <v>0</v>
      </c>
      <c r="DFK292" s="18">
        <v>0</v>
      </c>
      <c r="DFL292" s="18">
        <v>0</v>
      </c>
      <c r="DFM292" s="18">
        <v>0</v>
      </c>
      <c r="DFN292" s="18">
        <v>0</v>
      </c>
      <c r="DFO292" s="18">
        <v>0</v>
      </c>
      <c r="DFP292" s="18">
        <v>0</v>
      </c>
      <c r="DFQ292" s="18">
        <v>0</v>
      </c>
      <c r="DFR292" s="18">
        <v>0</v>
      </c>
      <c r="DFS292" s="18">
        <v>0</v>
      </c>
      <c r="DFT292" s="18">
        <v>0</v>
      </c>
      <c r="DFU292" s="18">
        <v>0</v>
      </c>
      <c r="DFV292" s="18">
        <v>0</v>
      </c>
      <c r="DFW292" s="18">
        <v>0</v>
      </c>
      <c r="DFX292" s="18">
        <v>0</v>
      </c>
      <c r="DFY292" s="18">
        <v>0</v>
      </c>
      <c r="DFZ292" s="18">
        <v>0</v>
      </c>
      <c r="DGA292" s="18">
        <v>0</v>
      </c>
      <c r="DGB292" s="18">
        <v>0</v>
      </c>
      <c r="DGC292" s="18">
        <v>0</v>
      </c>
      <c r="DGD292" s="18">
        <v>0</v>
      </c>
      <c r="DGE292" s="18">
        <v>0</v>
      </c>
      <c r="DGF292" s="18">
        <v>0</v>
      </c>
      <c r="DGG292" s="18">
        <v>0</v>
      </c>
      <c r="DGH292" s="18">
        <v>0</v>
      </c>
      <c r="DGI292" s="18">
        <v>0</v>
      </c>
      <c r="DGJ292" s="18">
        <v>0</v>
      </c>
      <c r="DGK292" s="18">
        <v>0</v>
      </c>
      <c r="DGL292" s="18">
        <v>0</v>
      </c>
      <c r="DGM292" s="18">
        <v>0</v>
      </c>
      <c r="DGN292" s="18">
        <v>0</v>
      </c>
      <c r="DGO292" s="18">
        <v>0</v>
      </c>
      <c r="DGP292" s="18">
        <v>0</v>
      </c>
      <c r="DGQ292" s="18">
        <v>0</v>
      </c>
      <c r="DGR292" s="18">
        <v>0</v>
      </c>
      <c r="DGS292" s="18">
        <v>0</v>
      </c>
      <c r="DGT292" s="18">
        <v>0</v>
      </c>
      <c r="DGU292" s="18">
        <v>0</v>
      </c>
      <c r="DGV292" s="18">
        <v>0</v>
      </c>
      <c r="DGW292" s="18">
        <v>0</v>
      </c>
      <c r="DGX292" s="18">
        <v>0</v>
      </c>
      <c r="DGY292" s="18">
        <v>0</v>
      </c>
      <c r="DGZ292" s="18">
        <v>0</v>
      </c>
      <c r="DHA292" s="18">
        <v>0</v>
      </c>
      <c r="DHB292" s="18">
        <v>0</v>
      </c>
      <c r="DHC292" s="18">
        <v>0</v>
      </c>
      <c r="DHD292" s="18">
        <v>0</v>
      </c>
      <c r="DHE292" s="18">
        <v>0</v>
      </c>
      <c r="DHF292" s="18">
        <v>0</v>
      </c>
      <c r="DHG292" s="18">
        <v>0</v>
      </c>
      <c r="DHH292" s="18">
        <v>0</v>
      </c>
      <c r="DHI292" s="18">
        <v>0</v>
      </c>
      <c r="DHJ292" s="18">
        <v>0</v>
      </c>
      <c r="DHK292" s="18">
        <v>0</v>
      </c>
      <c r="DHL292" s="18">
        <v>0</v>
      </c>
      <c r="DHM292" s="18">
        <v>0</v>
      </c>
      <c r="DHN292" s="18">
        <v>0</v>
      </c>
      <c r="DHO292" s="18">
        <v>0</v>
      </c>
      <c r="DHP292" s="18">
        <v>0</v>
      </c>
      <c r="DHQ292" s="18">
        <v>0</v>
      </c>
      <c r="DHR292" s="18">
        <v>0</v>
      </c>
      <c r="DHS292" s="18">
        <v>0</v>
      </c>
      <c r="DHT292" s="18">
        <v>0</v>
      </c>
      <c r="DHU292" s="18">
        <v>0</v>
      </c>
      <c r="DHV292" s="18">
        <v>0</v>
      </c>
      <c r="DHW292" s="18">
        <v>0</v>
      </c>
      <c r="DHX292" s="18">
        <v>0</v>
      </c>
      <c r="DHY292" s="18">
        <v>0</v>
      </c>
      <c r="DHZ292" s="18">
        <v>0</v>
      </c>
      <c r="DIA292" s="18">
        <v>0</v>
      </c>
      <c r="DIB292" s="18">
        <v>0</v>
      </c>
      <c r="DIC292" s="18">
        <v>0</v>
      </c>
      <c r="DID292" s="18">
        <v>0</v>
      </c>
      <c r="DIE292" s="18">
        <v>0</v>
      </c>
      <c r="DIF292" s="18">
        <v>0</v>
      </c>
      <c r="DIG292" s="18">
        <v>0</v>
      </c>
      <c r="DIH292" s="18">
        <v>0</v>
      </c>
      <c r="DII292" s="18">
        <v>0</v>
      </c>
      <c r="DIJ292" s="18">
        <v>0</v>
      </c>
      <c r="DIK292" s="18">
        <v>0</v>
      </c>
      <c r="DIL292" s="18">
        <v>0</v>
      </c>
      <c r="DIM292" s="18">
        <v>0</v>
      </c>
      <c r="DIN292" s="18">
        <v>0</v>
      </c>
      <c r="DIO292" s="18">
        <v>0</v>
      </c>
      <c r="DIP292" s="18">
        <v>0</v>
      </c>
      <c r="DIQ292" s="18">
        <v>0</v>
      </c>
      <c r="DIR292" s="18">
        <v>0</v>
      </c>
      <c r="DIS292" s="18">
        <v>0</v>
      </c>
      <c r="DIT292" s="18">
        <v>0</v>
      </c>
      <c r="DIU292" s="18">
        <v>0</v>
      </c>
      <c r="DIV292" s="18">
        <v>0</v>
      </c>
      <c r="DIW292" s="18">
        <v>0</v>
      </c>
      <c r="DIX292" s="18">
        <v>0</v>
      </c>
      <c r="DIY292" s="18">
        <v>0</v>
      </c>
      <c r="DIZ292" s="18">
        <v>0</v>
      </c>
      <c r="DJA292" s="18">
        <v>0</v>
      </c>
      <c r="DJB292" s="18">
        <v>0</v>
      </c>
      <c r="DJC292" s="18">
        <v>0</v>
      </c>
      <c r="DJD292" s="18">
        <v>0</v>
      </c>
      <c r="DJE292" s="18">
        <v>0</v>
      </c>
      <c r="DJF292" s="18">
        <v>0</v>
      </c>
      <c r="DJG292" s="18">
        <v>0</v>
      </c>
      <c r="DJH292" s="18">
        <v>0</v>
      </c>
      <c r="DJI292" s="18">
        <v>0</v>
      </c>
      <c r="DJJ292" s="18">
        <v>0</v>
      </c>
      <c r="DJK292" s="18">
        <v>0</v>
      </c>
      <c r="DJL292" s="18">
        <v>0</v>
      </c>
      <c r="DJM292" s="18">
        <v>0</v>
      </c>
      <c r="DJN292" s="18">
        <v>0</v>
      </c>
      <c r="DJO292" s="18">
        <v>0</v>
      </c>
      <c r="DJP292" s="18">
        <v>0</v>
      </c>
      <c r="DJQ292" s="18">
        <v>0</v>
      </c>
      <c r="DJR292" s="18">
        <v>0</v>
      </c>
      <c r="DJS292" s="18">
        <v>0</v>
      </c>
      <c r="DJT292" s="18">
        <v>0</v>
      </c>
      <c r="DJU292" s="18">
        <v>0</v>
      </c>
      <c r="DJV292" s="18">
        <v>0</v>
      </c>
      <c r="DJW292" s="18">
        <v>0</v>
      </c>
      <c r="DJX292" s="18">
        <v>0</v>
      </c>
      <c r="DJY292" s="18">
        <v>0</v>
      </c>
      <c r="DJZ292" s="18">
        <v>0</v>
      </c>
      <c r="DKA292" s="18">
        <v>0</v>
      </c>
      <c r="DKB292" s="18">
        <v>0</v>
      </c>
      <c r="DKC292" s="18">
        <v>0</v>
      </c>
      <c r="DKD292" s="18">
        <v>0</v>
      </c>
      <c r="DKE292" s="18">
        <v>0</v>
      </c>
      <c r="DKF292" s="18">
        <v>0</v>
      </c>
      <c r="DKG292" s="18">
        <v>0</v>
      </c>
      <c r="DKH292" s="18">
        <v>0</v>
      </c>
      <c r="DKI292" s="18">
        <v>0</v>
      </c>
      <c r="DKJ292" s="18">
        <v>0</v>
      </c>
      <c r="DKK292" s="18">
        <v>0</v>
      </c>
      <c r="DKL292" s="18">
        <v>0</v>
      </c>
      <c r="DKM292" s="18">
        <v>0</v>
      </c>
      <c r="DKN292" s="18">
        <v>0</v>
      </c>
      <c r="DKO292" s="18">
        <v>0</v>
      </c>
      <c r="DKP292" s="18">
        <v>0</v>
      </c>
      <c r="DKQ292" s="18">
        <v>0</v>
      </c>
      <c r="DKR292" s="18">
        <v>0</v>
      </c>
      <c r="DKS292" s="18">
        <v>0</v>
      </c>
      <c r="DKT292" s="18">
        <v>0</v>
      </c>
      <c r="DKU292" s="18">
        <v>0</v>
      </c>
      <c r="DKV292" s="18">
        <v>0</v>
      </c>
      <c r="DKW292" s="18">
        <v>0</v>
      </c>
      <c r="DKX292" s="18">
        <v>0</v>
      </c>
      <c r="DKY292" s="18">
        <v>0</v>
      </c>
      <c r="DKZ292" s="18">
        <v>0</v>
      </c>
      <c r="DLA292" s="18">
        <v>0</v>
      </c>
      <c r="DLB292" s="18">
        <v>0</v>
      </c>
      <c r="DLC292" s="18">
        <v>0</v>
      </c>
      <c r="DLD292" s="18">
        <v>0</v>
      </c>
      <c r="DLE292" s="18">
        <v>0</v>
      </c>
      <c r="DLF292" s="18">
        <v>0</v>
      </c>
      <c r="DLG292" s="18">
        <v>0</v>
      </c>
      <c r="DLH292" s="18">
        <v>0</v>
      </c>
      <c r="DLI292" s="18">
        <v>0</v>
      </c>
      <c r="DLJ292" s="18">
        <v>0</v>
      </c>
      <c r="DLK292" s="18">
        <v>0</v>
      </c>
      <c r="DLL292" s="18">
        <v>0</v>
      </c>
      <c r="DLM292" s="18">
        <v>0</v>
      </c>
      <c r="DLN292" s="18">
        <v>0</v>
      </c>
      <c r="DLO292" s="18">
        <v>0</v>
      </c>
      <c r="DLP292" s="18">
        <v>0</v>
      </c>
      <c r="DLQ292" s="18">
        <v>0</v>
      </c>
      <c r="DLR292" s="18">
        <v>0</v>
      </c>
      <c r="DLS292" s="18">
        <v>0</v>
      </c>
      <c r="DLT292" s="18">
        <v>0</v>
      </c>
      <c r="DLU292" s="18">
        <v>0</v>
      </c>
      <c r="DLV292" s="18">
        <v>0</v>
      </c>
      <c r="DLW292" s="18">
        <v>0</v>
      </c>
      <c r="DLX292" s="18">
        <v>0</v>
      </c>
      <c r="DLY292" s="18">
        <v>0</v>
      </c>
      <c r="DLZ292" s="18">
        <v>0</v>
      </c>
      <c r="DMA292" s="18">
        <v>0</v>
      </c>
      <c r="DMB292" s="18">
        <v>0</v>
      </c>
      <c r="DMC292" s="18">
        <v>0</v>
      </c>
      <c r="DMD292" s="18">
        <v>0</v>
      </c>
      <c r="DME292" s="18">
        <v>0</v>
      </c>
      <c r="DMF292" s="18">
        <v>0</v>
      </c>
      <c r="DMG292" s="18">
        <v>0</v>
      </c>
      <c r="DMH292" s="18">
        <v>0</v>
      </c>
      <c r="DMI292" s="18">
        <v>0</v>
      </c>
      <c r="DMJ292" s="18">
        <v>0</v>
      </c>
      <c r="DMK292" s="18">
        <v>0</v>
      </c>
      <c r="DML292" s="18">
        <v>0</v>
      </c>
      <c r="DMM292" s="18">
        <v>0</v>
      </c>
      <c r="DMN292" s="18">
        <v>0</v>
      </c>
      <c r="DMO292" s="18">
        <v>0</v>
      </c>
      <c r="DMP292" s="18">
        <v>0</v>
      </c>
      <c r="DMQ292" s="18">
        <v>0</v>
      </c>
      <c r="DMR292" s="18">
        <v>0</v>
      </c>
      <c r="DMS292" s="18">
        <v>0</v>
      </c>
      <c r="DMT292" s="18">
        <v>0</v>
      </c>
      <c r="DMU292" s="18">
        <v>0</v>
      </c>
      <c r="DMV292" s="18">
        <v>0</v>
      </c>
      <c r="DMW292" s="18">
        <v>0</v>
      </c>
      <c r="DMX292" s="18">
        <v>0</v>
      </c>
      <c r="DMY292" s="18">
        <v>0</v>
      </c>
      <c r="DMZ292" s="18">
        <v>0</v>
      </c>
      <c r="DNA292" s="18">
        <v>0</v>
      </c>
      <c r="DNB292" s="18">
        <v>0</v>
      </c>
      <c r="DNC292" s="18">
        <v>0</v>
      </c>
      <c r="DND292" s="18">
        <v>0</v>
      </c>
      <c r="DNE292" s="18">
        <v>0</v>
      </c>
      <c r="DNF292" s="18">
        <v>0</v>
      </c>
      <c r="DNG292" s="18">
        <v>0</v>
      </c>
      <c r="DNH292" s="18">
        <v>0</v>
      </c>
      <c r="DNI292" s="18">
        <v>0</v>
      </c>
      <c r="DNJ292" s="18">
        <v>0</v>
      </c>
      <c r="DNK292" s="18">
        <v>0</v>
      </c>
      <c r="DNL292" s="18">
        <v>0</v>
      </c>
      <c r="DNM292" s="18">
        <v>0</v>
      </c>
      <c r="DNN292" s="18">
        <v>0</v>
      </c>
      <c r="DNO292" s="18">
        <v>0</v>
      </c>
      <c r="DNP292" s="18">
        <v>0</v>
      </c>
      <c r="DNQ292" s="18">
        <v>0</v>
      </c>
      <c r="DNR292" s="18">
        <v>0</v>
      </c>
      <c r="DNS292" s="18">
        <v>0</v>
      </c>
      <c r="DNT292" s="18">
        <v>0</v>
      </c>
      <c r="DNU292" s="18">
        <v>0</v>
      </c>
      <c r="DNV292" s="18">
        <v>0</v>
      </c>
      <c r="DNW292" s="18">
        <v>0</v>
      </c>
      <c r="DNX292" s="18">
        <v>0</v>
      </c>
      <c r="DNY292" s="18">
        <v>0</v>
      </c>
      <c r="DNZ292" s="18">
        <v>0</v>
      </c>
      <c r="DOA292" s="18">
        <v>0</v>
      </c>
      <c r="DOB292" s="18">
        <v>0</v>
      </c>
      <c r="DOC292" s="18">
        <v>0</v>
      </c>
      <c r="DOD292" s="18">
        <v>0</v>
      </c>
      <c r="DOE292" s="18">
        <v>0</v>
      </c>
      <c r="DOF292" s="18">
        <v>0</v>
      </c>
      <c r="DOG292" s="18">
        <v>0</v>
      </c>
      <c r="DOH292" s="18">
        <v>0</v>
      </c>
      <c r="DOI292" s="18">
        <v>0</v>
      </c>
      <c r="DOJ292" s="18">
        <v>0</v>
      </c>
      <c r="DOK292" s="18">
        <v>0</v>
      </c>
      <c r="DOL292" s="18">
        <v>0</v>
      </c>
      <c r="DOM292" s="18">
        <v>0</v>
      </c>
      <c r="DON292" s="18">
        <v>0</v>
      </c>
      <c r="DOO292" s="18">
        <v>0</v>
      </c>
      <c r="DOP292" s="18">
        <v>0</v>
      </c>
      <c r="DOQ292" s="18">
        <v>0</v>
      </c>
      <c r="DOR292" s="18">
        <v>0</v>
      </c>
      <c r="DOS292" s="18">
        <v>0</v>
      </c>
      <c r="DOT292" s="18">
        <v>0</v>
      </c>
      <c r="DOU292" s="18">
        <v>0</v>
      </c>
      <c r="DOV292" s="18">
        <v>0</v>
      </c>
      <c r="DOW292" s="18">
        <v>0</v>
      </c>
      <c r="DOX292" s="18">
        <v>0</v>
      </c>
      <c r="DOY292" s="18">
        <v>0</v>
      </c>
      <c r="DOZ292" s="18">
        <v>0</v>
      </c>
      <c r="DPA292" s="18">
        <v>0</v>
      </c>
      <c r="DPB292" s="18">
        <v>0</v>
      </c>
      <c r="DPC292" s="18">
        <v>0</v>
      </c>
      <c r="DPD292" s="18">
        <v>0</v>
      </c>
      <c r="DPE292" s="18">
        <v>0</v>
      </c>
      <c r="DPF292" s="18">
        <v>0</v>
      </c>
      <c r="DPG292" s="18">
        <v>0</v>
      </c>
      <c r="DPH292" s="18">
        <v>0</v>
      </c>
      <c r="DPI292" s="18">
        <v>0</v>
      </c>
      <c r="DPJ292" s="18">
        <v>0</v>
      </c>
      <c r="DPK292" s="18">
        <v>0</v>
      </c>
      <c r="DPL292" s="18">
        <v>0</v>
      </c>
      <c r="DPM292" s="18">
        <v>0</v>
      </c>
      <c r="DPN292" s="18">
        <v>0</v>
      </c>
      <c r="DPO292" s="18">
        <v>0</v>
      </c>
      <c r="DPP292" s="18">
        <v>0</v>
      </c>
      <c r="DPQ292" s="18">
        <v>0</v>
      </c>
      <c r="DPR292" s="18">
        <v>0</v>
      </c>
      <c r="DPS292" s="18">
        <v>0</v>
      </c>
      <c r="DPT292" s="18">
        <v>0</v>
      </c>
      <c r="DPU292" s="18">
        <v>0</v>
      </c>
      <c r="DPV292" s="18">
        <v>0</v>
      </c>
      <c r="DPW292" s="18">
        <v>0</v>
      </c>
      <c r="DPX292" s="18">
        <v>0</v>
      </c>
      <c r="DPY292" s="18">
        <v>0</v>
      </c>
      <c r="DPZ292" s="18">
        <v>0</v>
      </c>
      <c r="DQA292" s="18">
        <v>0</v>
      </c>
      <c r="DQB292" s="18">
        <v>0</v>
      </c>
      <c r="DQC292" s="18">
        <v>0</v>
      </c>
      <c r="DQD292" s="18">
        <v>0</v>
      </c>
      <c r="DQE292" s="18">
        <v>0</v>
      </c>
      <c r="DQF292" s="18">
        <v>0</v>
      </c>
      <c r="DQG292" s="18">
        <v>0</v>
      </c>
      <c r="DQH292" s="18">
        <v>0</v>
      </c>
      <c r="DQI292" s="18">
        <v>0</v>
      </c>
      <c r="DQJ292" s="18">
        <v>0</v>
      </c>
      <c r="DQK292" s="18">
        <v>0</v>
      </c>
      <c r="DQL292" s="18">
        <v>0</v>
      </c>
      <c r="DQM292" s="18">
        <v>0</v>
      </c>
      <c r="DQN292" s="18">
        <v>0</v>
      </c>
      <c r="DQO292" s="18">
        <v>0</v>
      </c>
      <c r="DQP292" s="18">
        <v>0</v>
      </c>
      <c r="DQQ292" s="18">
        <v>0</v>
      </c>
      <c r="DQR292" s="18">
        <v>0</v>
      </c>
      <c r="DQS292" s="18">
        <v>0</v>
      </c>
      <c r="DQT292" s="18">
        <v>0</v>
      </c>
      <c r="DQU292" s="18">
        <v>0</v>
      </c>
      <c r="DQV292" s="18">
        <v>0</v>
      </c>
      <c r="DQW292" s="18">
        <v>0</v>
      </c>
      <c r="DQX292" s="18">
        <v>0</v>
      </c>
      <c r="DQY292" s="18">
        <v>0</v>
      </c>
      <c r="DQZ292" s="18">
        <v>0</v>
      </c>
      <c r="DRA292" s="18">
        <v>0</v>
      </c>
      <c r="DRB292" s="18">
        <v>0</v>
      </c>
      <c r="DRC292" s="18">
        <v>0</v>
      </c>
      <c r="DRD292" s="18">
        <v>0</v>
      </c>
      <c r="DRE292" s="18">
        <v>0</v>
      </c>
      <c r="DRF292" s="18">
        <v>0</v>
      </c>
      <c r="DRG292" s="18">
        <v>0</v>
      </c>
      <c r="DRH292" s="18">
        <v>0</v>
      </c>
      <c r="DRI292" s="18">
        <v>0</v>
      </c>
      <c r="DRJ292" s="18">
        <v>0</v>
      </c>
      <c r="DRK292" s="18">
        <v>0</v>
      </c>
      <c r="DRL292" s="18">
        <v>0</v>
      </c>
      <c r="DRM292" s="18">
        <v>0</v>
      </c>
      <c r="DRN292" s="18">
        <v>0</v>
      </c>
      <c r="DRO292" s="18">
        <v>0</v>
      </c>
      <c r="DRP292" s="18">
        <v>0</v>
      </c>
      <c r="DRQ292" s="18">
        <v>0</v>
      </c>
      <c r="DRR292" s="18">
        <v>0</v>
      </c>
      <c r="DRS292" s="18">
        <v>0</v>
      </c>
      <c r="DRT292" s="18">
        <v>0</v>
      </c>
      <c r="DRU292" s="18">
        <v>0</v>
      </c>
      <c r="DRV292" s="18">
        <v>0</v>
      </c>
      <c r="DRW292" s="18">
        <v>0</v>
      </c>
      <c r="DRX292" s="18">
        <v>0</v>
      </c>
      <c r="DRY292" s="18">
        <v>0</v>
      </c>
      <c r="DRZ292" s="18">
        <v>0</v>
      </c>
      <c r="DSA292" s="18">
        <v>0</v>
      </c>
      <c r="DSB292" s="18">
        <v>0</v>
      </c>
      <c r="DSC292" s="18">
        <v>0</v>
      </c>
      <c r="DSD292" s="18">
        <v>0</v>
      </c>
      <c r="DSE292" s="18">
        <v>0</v>
      </c>
      <c r="DSF292" s="18">
        <v>0</v>
      </c>
      <c r="DSG292" s="18">
        <v>0</v>
      </c>
      <c r="DSH292" s="18">
        <v>0</v>
      </c>
      <c r="DSI292" s="18">
        <v>0</v>
      </c>
      <c r="DSJ292" s="18">
        <v>0</v>
      </c>
      <c r="DSK292" s="18">
        <v>0</v>
      </c>
      <c r="DSL292" s="18">
        <v>0</v>
      </c>
      <c r="DSM292" s="18">
        <v>0</v>
      </c>
      <c r="DSN292" s="18">
        <v>0</v>
      </c>
      <c r="DSO292" s="18">
        <v>0</v>
      </c>
      <c r="DSP292" s="18">
        <v>0</v>
      </c>
      <c r="DSQ292" s="18">
        <v>0</v>
      </c>
      <c r="DSR292" s="18">
        <v>0</v>
      </c>
      <c r="DSS292" s="18">
        <v>0</v>
      </c>
      <c r="DST292" s="18">
        <v>0</v>
      </c>
      <c r="DSU292" s="18">
        <v>0</v>
      </c>
      <c r="DSV292" s="18">
        <v>0</v>
      </c>
      <c r="DSW292" s="18">
        <v>0</v>
      </c>
      <c r="DSX292" s="18">
        <v>0</v>
      </c>
      <c r="DSY292" s="18">
        <v>0</v>
      </c>
      <c r="DSZ292" s="18">
        <v>0</v>
      </c>
      <c r="DTA292" s="18">
        <v>0</v>
      </c>
      <c r="DTB292" s="18">
        <v>0</v>
      </c>
      <c r="DTC292" s="18">
        <v>0</v>
      </c>
      <c r="DTD292" s="18">
        <v>0</v>
      </c>
      <c r="DTE292" s="18">
        <v>0</v>
      </c>
      <c r="DTF292" s="18">
        <v>0</v>
      </c>
      <c r="DTG292" s="18">
        <v>0</v>
      </c>
      <c r="DTH292" s="18">
        <v>0</v>
      </c>
      <c r="DTI292" s="18">
        <v>0</v>
      </c>
      <c r="DTJ292" s="18">
        <v>0</v>
      </c>
      <c r="DTK292" s="18">
        <v>0</v>
      </c>
      <c r="DTL292" s="18">
        <v>0</v>
      </c>
      <c r="DTM292" s="18">
        <v>0</v>
      </c>
      <c r="DTN292" s="18">
        <v>0</v>
      </c>
      <c r="DTO292" s="18">
        <v>0</v>
      </c>
      <c r="DTP292" s="18">
        <v>0</v>
      </c>
      <c r="DTQ292" s="18">
        <v>0</v>
      </c>
      <c r="DTR292" s="18">
        <v>0</v>
      </c>
      <c r="DTS292" s="18">
        <v>0</v>
      </c>
      <c r="DTT292" s="18">
        <v>0</v>
      </c>
      <c r="DTU292" s="18">
        <v>0</v>
      </c>
      <c r="DTV292" s="18">
        <v>0</v>
      </c>
      <c r="DTW292" s="18">
        <v>0</v>
      </c>
      <c r="DTX292" s="18">
        <v>0</v>
      </c>
      <c r="DTY292" s="18">
        <v>0</v>
      </c>
      <c r="DTZ292" s="18">
        <v>0</v>
      </c>
      <c r="DUA292" s="18">
        <v>0</v>
      </c>
      <c r="DUB292" s="18">
        <v>0</v>
      </c>
      <c r="DUC292" s="18">
        <v>0</v>
      </c>
      <c r="DUD292" s="18">
        <v>0</v>
      </c>
      <c r="DUE292" s="18">
        <v>0</v>
      </c>
      <c r="DUF292" s="18">
        <v>0</v>
      </c>
      <c r="DUG292" s="18">
        <v>0</v>
      </c>
      <c r="DUH292" s="18">
        <v>0</v>
      </c>
      <c r="DUI292" s="18">
        <v>0</v>
      </c>
      <c r="DUJ292" s="18">
        <v>0</v>
      </c>
      <c r="DUK292" s="18">
        <v>0</v>
      </c>
      <c r="DUL292" s="18">
        <v>0</v>
      </c>
      <c r="DUM292" s="18">
        <v>0</v>
      </c>
      <c r="DUN292" s="18">
        <v>0</v>
      </c>
      <c r="DUO292" s="18">
        <v>0</v>
      </c>
      <c r="DUP292" s="18">
        <v>0</v>
      </c>
      <c r="DUQ292" s="18">
        <v>0</v>
      </c>
      <c r="DUR292" s="18">
        <v>0</v>
      </c>
      <c r="DUS292" s="18">
        <v>0</v>
      </c>
      <c r="DUT292" s="18">
        <v>0</v>
      </c>
      <c r="DUU292" s="18">
        <v>0</v>
      </c>
      <c r="DUV292" s="18">
        <v>0</v>
      </c>
      <c r="DUW292" s="18">
        <v>0</v>
      </c>
      <c r="DUX292" s="18">
        <v>0</v>
      </c>
      <c r="DUY292" s="18">
        <v>0</v>
      </c>
      <c r="DUZ292" s="18">
        <v>0</v>
      </c>
      <c r="DVA292" s="18">
        <v>0</v>
      </c>
      <c r="DVB292" s="18">
        <v>0</v>
      </c>
      <c r="DVC292" s="18">
        <v>0</v>
      </c>
      <c r="DVD292" s="18">
        <v>0</v>
      </c>
      <c r="DVE292" s="18">
        <v>0</v>
      </c>
      <c r="DVF292" s="18">
        <v>0</v>
      </c>
      <c r="DVG292" s="18">
        <v>0</v>
      </c>
      <c r="DVH292" s="18">
        <v>0</v>
      </c>
      <c r="DVI292" s="18">
        <v>0</v>
      </c>
      <c r="DVJ292" s="18">
        <v>0</v>
      </c>
      <c r="DVK292" s="18">
        <v>0</v>
      </c>
      <c r="DVL292" s="18">
        <v>0</v>
      </c>
      <c r="DVM292" s="18">
        <v>0</v>
      </c>
      <c r="DVN292" s="18">
        <v>0</v>
      </c>
      <c r="DVO292" s="18">
        <v>0</v>
      </c>
      <c r="DVP292" s="18">
        <v>0</v>
      </c>
      <c r="DVQ292" s="18">
        <v>0</v>
      </c>
      <c r="DVR292" s="18">
        <v>0</v>
      </c>
      <c r="DVS292" s="18">
        <v>0</v>
      </c>
      <c r="DVT292" s="18">
        <v>0</v>
      </c>
      <c r="DVU292" s="18">
        <v>0</v>
      </c>
      <c r="DVV292" s="18">
        <v>0</v>
      </c>
      <c r="DVW292" s="18">
        <v>0</v>
      </c>
      <c r="DVX292" s="18">
        <v>0</v>
      </c>
      <c r="DVY292" s="18">
        <v>0</v>
      </c>
      <c r="DVZ292" s="18">
        <v>0</v>
      </c>
      <c r="DWA292" s="18">
        <v>0</v>
      </c>
      <c r="DWB292" s="18">
        <v>0</v>
      </c>
      <c r="DWC292" s="18">
        <v>0</v>
      </c>
      <c r="DWD292" s="18">
        <v>0</v>
      </c>
      <c r="DWE292" s="18">
        <v>0</v>
      </c>
      <c r="DWF292" s="18">
        <v>0</v>
      </c>
      <c r="DWG292" s="18">
        <v>0</v>
      </c>
      <c r="DWH292" s="18">
        <v>0</v>
      </c>
      <c r="DWI292" s="18">
        <v>0</v>
      </c>
      <c r="DWJ292" s="18">
        <v>0</v>
      </c>
      <c r="DWK292" s="18">
        <v>0</v>
      </c>
      <c r="DWL292" s="18">
        <v>0</v>
      </c>
      <c r="DWM292" s="18">
        <v>0</v>
      </c>
      <c r="DWN292" s="18">
        <v>0</v>
      </c>
      <c r="DWO292" s="18">
        <v>0</v>
      </c>
      <c r="DWP292" s="18">
        <v>0</v>
      </c>
      <c r="DWQ292" s="18">
        <v>0</v>
      </c>
      <c r="DWR292" s="18">
        <v>0</v>
      </c>
      <c r="DWS292" s="18">
        <v>0</v>
      </c>
      <c r="DWT292" s="18">
        <v>0</v>
      </c>
      <c r="DWU292" s="18">
        <v>0</v>
      </c>
      <c r="DWV292" s="18">
        <v>0</v>
      </c>
      <c r="DWW292" s="18">
        <v>0</v>
      </c>
      <c r="DWX292" s="18">
        <v>0</v>
      </c>
      <c r="DWY292" s="18">
        <v>0</v>
      </c>
      <c r="DWZ292" s="18">
        <v>0</v>
      </c>
      <c r="DXA292" s="18">
        <v>0</v>
      </c>
      <c r="DXB292" s="18">
        <v>0</v>
      </c>
      <c r="DXC292" s="18">
        <v>0</v>
      </c>
      <c r="DXD292" s="18">
        <v>0</v>
      </c>
      <c r="DXE292" s="18">
        <v>0</v>
      </c>
      <c r="DXF292" s="18">
        <v>0</v>
      </c>
      <c r="DXG292" s="18">
        <v>0</v>
      </c>
      <c r="DXH292" s="18">
        <v>0</v>
      </c>
      <c r="DXI292" s="18">
        <v>0</v>
      </c>
      <c r="DXJ292" s="18">
        <v>0</v>
      </c>
      <c r="DXK292" s="18">
        <v>0</v>
      </c>
      <c r="DXL292" s="18">
        <v>0</v>
      </c>
      <c r="DXM292" s="18">
        <v>0</v>
      </c>
      <c r="DXN292" s="18">
        <v>0</v>
      </c>
      <c r="DXO292" s="18">
        <v>0</v>
      </c>
      <c r="DXP292" s="18">
        <v>0</v>
      </c>
      <c r="DXQ292" s="18">
        <v>0</v>
      </c>
      <c r="DXR292" s="18">
        <v>0</v>
      </c>
      <c r="DXS292" s="18">
        <v>0</v>
      </c>
      <c r="DXT292" s="18">
        <v>0</v>
      </c>
      <c r="DXU292" s="18">
        <v>0</v>
      </c>
      <c r="DXV292" s="18">
        <v>0</v>
      </c>
      <c r="DXW292" s="18">
        <v>0</v>
      </c>
      <c r="DXX292" s="18">
        <v>0</v>
      </c>
      <c r="DXY292" s="18">
        <v>0</v>
      </c>
      <c r="DXZ292" s="18">
        <v>0</v>
      </c>
      <c r="DYA292" s="18">
        <v>0</v>
      </c>
      <c r="DYB292" s="18">
        <v>0</v>
      </c>
      <c r="DYC292" s="18">
        <v>0</v>
      </c>
      <c r="DYD292" s="18">
        <v>0</v>
      </c>
      <c r="DYE292" s="18">
        <v>0</v>
      </c>
      <c r="DYF292" s="18">
        <v>0</v>
      </c>
      <c r="DYG292" s="18">
        <v>0</v>
      </c>
      <c r="DYH292" s="18">
        <v>0</v>
      </c>
      <c r="DYI292" s="18">
        <v>0</v>
      </c>
      <c r="DYJ292" s="18">
        <v>0</v>
      </c>
      <c r="DYK292" s="18">
        <v>0</v>
      </c>
      <c r="DYL292" s="18">
        <v>0</v>
      </c>
      <c r="DYM292" s="18">
        <v>0</v>
      </c>
      <c r="DYN292" s="18">
        <v>0</v>
      </c>
      <c r="DYO292" s="18">
        <v>0</v>
      </c>
      <c r="DYP292" s="18">
        <v>0</v>
      </c>
      <c r="DYQ292" s="18">
        <v>0</v>
      </c>
      <c r="DYR292" s="18">
        <v>0</v>
      </c>
      <c r="DYS292" s="18">
        <v>0</v>
      </c>
      <c r="DYT292" s="18">
        <v>0</v>
      </c>
      <c r="DYU292" s="18">
        <v>0</v>
      </c>
      <c r="DYV292" s="18">
        <v>0</v>
      </c>
      <c r="DYW292" s="18">
        <v>0</v>
      </c>
      <c r="DYX292" s="18">
        <v>0</v>
      </c>
      <c r="DYY292" s="18">
        <v>0</v>
      </c>
      <c r="DYZ292" s="18">
        <v>0</v>
      </c>
      <c r="DZA292" s="18">
        <v>0</v>
      </c>
      <c r="DZB292" s="18">
        <v>0</v>
      </c>
      <c r="DZC292" s="18">
        <v>0</v>
      </c>
      <c r="DZD292" s="18">
        <v>0</v>
      </c>
      <c r="DZE292" s="18">
        <v>0</v>
      </c>
      <c r="DZF292" s="18">
        <v>0</v>
      </c>
      <c r="DZG292" s="18">
        <v>0</v>
      </c>
      <c r="DZH292" s="18">
        <v>0</v>
      </c>
      <c r="DZI292" s="18">
        <v>0</v>
      </c>
      <c r="DZJ292" s="18">
        <v>0</v>
      </c>
      <c r="DZK292" s="18">
        <v>0</v>
      </c>
      <c r="DZL292" s="18">
        <v>0</v>
      </c>
      <c r="DZM292" s="18">
        <v>0</v>
      </c>
      <c r="DZN292" s="18">
        <v>0</v>
      </c>
      <c r="DZO292" s="18">
        <v>0</v>
      </c>
      <c r="DZP292" s="18">
        <v>0</v>
      </c>
      <c r="DZQ292" s="18">
        <v>0</v>
      </c>
      <c r="DZR292" s="18">
        <v>0</v>
      </c>
      <c r="DZS292" s="18">
        <v>0</v>
      </c>
      <c r="DZT292" s="18">
        <v>0</v>
      </c>
      <c r="DZU292" s="18">
        <v>0</v>
      </c>
      <c r="DZV292" s="18">
        <v>0</v>
      </c>
      <c r="DZW292" s="18">
        <v>0</v>
      </c>
      <c r="DZX292" s="18">
        <v>0</v>
      </c>
      <c r="DZY292" s="18">
        <v>0</v>
      </c>
      <c r="DZZ292" s="18">
        <v>0</v>
      </c>
      <c r="EAA292" s="18">
        <v>0</v>
      </c>
      <c r="EAB292" s="18">
        <v>0</v>
      </c>
      <c r="EAC292" s="18">
        <v>0</v>
      </c>
      <c r="EAD292" s="18">
        <v>0</v>
      </c>
      <c r="EAE292" s="18">
        <v>0</v>
      </c>
      <c r="EAF292" s="18">
        <v>0</v>
      </c>
      <c r="EAG292" s="18">
        <v>0</v>
      </c>
      <c r="EAH292" s="18">
        <v>0</v>
      </c>
      <c r="EAI292" s="18">
        <v>0</v>
      </c>
      <c r="EAJ292" s="18">
        <v>0</v>
      </c>
      <c r="EAK292" s="18">
        <v>0</v>
      </c>
      <c r="EAL292" s="18">
        <v>0</v>
      </c>
      <c r="EAM292" s="18">
        <v>0</v>
      </c>
      <c r="EAN292" s="18">
        <v>0</v>
      </c>
      <c r="EAO292" s="18">
        <v>0</v>
      </c>
      <c r="EAP292" s="18">
        <v>0</v>
      </c>
      <c r="EAQ292" s="18">
        <v>0</v>
      </c>
      <c r="EAR292" s="18">
        <v>0</v>
      </c>
      <c r="EAS292" s="18">
        <v>0</v>
      </c>
      <c r="EAT292" s="18">
        <v>0</v>
      </c>
      <c r="EAU292" s="18">
        <v>0</v>
      </c>
      <c r="EAV292" s="18">
        <v>0</v>
      </c>
      <c r="EAW292" s="18">
        <v>0</v>
      </c>
      <c r="EAX292" s="18">
        <v>0</v>
      </c>
      <c r="EAY292" s="18">
        <v>0</v>
      </c>
      <c r="EAZ292" s="18">
        <v>0</v>
      </c>
      <c r="EBA292" s="18">
        <v>0</v>
      </c>
      <c r="EBB292" s="18">
        <v>0</v>
      </c>
      <c r="EBC292" s="18">
        <v>0</v>
      </c>
      <c r="EBD292" s="18">
        <v>0</v>
      </c>
      <c r="EBE292" s="18">
        <v>0</v>
      </c>
      <c r="EBF292" s="18">
        <v>0</v>
      </c>
      <c r="EBG292" s="18">
        <v>0</v>
      </c>
      <c r="EBH292" s="18">
        <v>0</v>
      </c>
      <c r="EBI292" s="18">
        <v>0</v>
      </c>
      <c r="EBJ292" s="18">
        <v>0</v>
      </c>
      <c r="EBK292" s="18">
        <v>0</v>
      </c>
      <c r="EBL292" s="18">
        <v>0</v>
      </c>
      <c r="EBM292" s="18">
        <v>0</v>
      </c>
      <c r="EBN292" s="18">
        <v>0</v>
      </c>
      <c r="EBO292" s="18">
        <v>0</v>
      </c>
      <c r="EBP292" s="18">
        <v>0</v>
      </c>
      <c r="EBQ292" s="18">
        <v>0</v>
      </c>
      <c r="EBR292" s="18">
        <v>0</v>
      </c>
      <c r="EBS292" s="18">
        <v>0</v>
      </c>
      <c r="EBT292" s="18">
        <v>0</v>
      </c>
      <c r="EBU292" s="18">
        <v>0</v>
      </c>
      <c r="EBV292" s="18">
        <v>0</v>
      </c>
      <c r="EBW292" s="18">
        <v>0</v>
      </c>
      <c r="EBX292" s="18">
        <v>0</v>
      </c>
      <c r="EBY292" s="18">
        <v>0</v>
      </c>
      <c r="EBZ292" s="18">
        <v>0</v>
      </c>
      <c r="ECA292" s="18">
        <v>0</v>
      </c>
      <c r="ECB292" s="18">
        <v>0</v>
      </c>
      <c r="ECC292" s="18">
        <v>0</v>
      </c>
      <c r="ECD292" s="18">
        <v>0</v>
      </c>
      <c r="ECE292" s="18">
        <v>0</v>
      </c>
      <c r="ECF292" s="18">
        <v>0</v>
      </c>
      <c r="ECG292" s="18">
        <v>0</v>
      </c>
      <c r="ECH292" s="18">
        <v>0</v>
      </c>
      <c r="ECI292" s="18">
        <v>0</v>
      </c>
      <c r="ECJ292" s="18">
        <v>0</v>
      </c>
      <c r="ECK292" s="18">
        <v>0</v>
      </c>
      <c r="ECL292" s="18">
        <v>0</v>
      </c>
      <c r="ECM292" s="18">
        <v>0</v>
      </c>
      <c r="ECN292" s="18">
        <v>0</v>
      </c>
      <c r="ECO292" s="18">
        <v>0</v>
      </c>
      <c r="ECP292" s="18">
        <v>0</v>
      </c>
      <c r="ECQ292" s="18">
        <v>0</v>
      </c>
      <c r="ECR292" s="18">
        <v>0</v>
      </c>
      <c r="ECS292" s="18">
        <v>0</v>
      </c>
      <c r="ECT292" s="18">
        <v>0</v>
      </c>
      <c r="ECU292" s="18">
        <v>0</v>
      </c>
      <c r="ECV292" s="18">
        <v>0</v>
      </c>
      <c r="ECW292" s="18">
        <v>0</v>
      </c>
      <c r="ECX292" s="18">
        <v>0</v>
      </c>
      <c r="ECY292" s="18">
        <v>0</v>
      </c>
      <c r="ECZ292" s="18">
        <v>0</v>
      </c>
      <c r="EDA292" s="18">
        <v>0</v>
      </c>
      <c r="EDB292" s="18">
        <v>0</v>
      </c>
      <c r="EDC292" s="18">
        <v>0</v>
      </c>
      <c r="EDD292" s="18">
        <v>0</v>
      </c>
      <c r="EDE292" s="18">
        <v>0</v>
      </c>
      <c r="EDF292" s="18">
        <v>0</v>
      </c>
      <c r="EDG292" s="18">
        <v>0</v>
      </c>
      <c r="EDH292" s="18">
        <v>0</v>
      </c>
      <c r="EDI292" s="18">
        <v>0</v>
      </c>
      <c r="EDJ292" s="18">
        <v>0</v>
      </c>
      <c r="EDK292" s="18">
        <v>0</v>
      </c>
      <c r="EDL292" s="18">
        <v>0</v>
      </c>
      <c r="EDM292" s="18">
        <v>0</v>
      </c>
      <c r="EDN292" s="18">
        <v>0</v>
      </c>
      <c r="EDO292" s="18">
        <v>0</v>
      </c>
      <c r="EDP292" s="18">
        <v>0</v>
      </c>
      <c r="EDQ292" s="18">
        <v>0</v>
      </c>
      <c r="EDR292" s="18">
        <v>0</v>
      </c>
      <c r="EDS292" s="18">
        <v>0</v>
      </c>
      <c r="EDT292" s="18">
        <v>0</v>
      </c>
      <c r="EDU292" s="18">
        <v>0</v>
      </c>
      <c r="EDV292" s="18">
        <v>0</v>
      </c>
      <c r="EDW292" s="18">
        <v>0</v>
      </c>
      <c r="EDX292" s="18">
        <v>0</v>
      </c>
      <c r="EDY292" s="18">
        <v>0</v>
      </c>
      <c r="EDZ292" s="18">
        <v>0</v>
      </c>
      <c r="EEA292" s="18">
        <v>0</v>
      </c>
      <c r="EEB292" s="18">
        <v>0</v>
      </c>
      <c r="EEC292" s="18">
        <v>0</v>
      </c>
      <c r="EED292" s="18">
        <v>0</v>
      </c>
      <c r="EEE292" s="18">
        <v>0</v>
      </c>
      <c r="EEF292" s="18">
        <v>0</v>
      </c>
      <c r="EEG292" s="18">
        <v>0</v>
      </c>
      <c r="EEH292" s="18">
        <v>0</v>
      </c>
      <c r="EEI292" s="18">
        <v>0</v>
      </c>
      <c r="EEJ292" s="18">
        <v>0</v>
      </c>
      <c r="EEK292" s="18">
        <v>0</v>
      </c>
      <c r="EEL292" s="18">
        <v>0</v>
      </c>
      <c r="EEM292" s="18">
        <v>0</v>
      </c>
      <c r="EEN292" s="18">
        <v>0</v>
      </c>
      <c r="EEO292" s="18">
        <v>0</v>
      </c>
      <c r="EEP292" s="18">
        <v>0</v>
      </c>
      <c r="EEQ292" s="18">
        <v>0</v>
      </c>
      <c r="EER292" s="18">
        <v>0</v>
      </c>
      <c r="EES292" s="18">
        <v>0</v>
      </c>
      <c r="EET292" s="18">
        <v>0</v>
      </c>
      <c r="EEU292" s="18">
        <v>0</v>
      </c>
      <c r="EEV292" s="18">
        <v>0</v>
      </c>
      <c r="EEW292" s="18">
        <v>0</v>
      </c>
      <c r="EEX292" s="18">
        <v>0</v>
      </c>
      <c r="EEY292" s="18">
        <v>0</v>
      </c>
      <c r="EEZ292" s="18">
        <v>0</v>
      </c>
      <c r="EFA292" s="18">
        <v>0</v>
      </c>
      <c r="EFB292" s="18">
        <v>0</v>
      </c>
      <c r="EFC292" s="18">
        <v>0</v>
      </c>
      <c r="EFD292" s="18">
        <v>0</v>
      </c>
      <c r="EFE292" s="18">
        <v>0</v>
      </c>
      <c r="EFF292" s="18">
        <v>0</v>
      </c>
      <c r="EFG292" s="18">
        <v>0</v>
      </c>
      <c r="EFH292" s="18">
        <v>0</v>
      </c>
      <c r="EFI292" s="18">
        <v>0</v>
      </c>
      <c r="EFJ292" s="18">
        <v>0</v>
      </c>
      <c r="EFK292" s="18">
        <v>0</v>
      </c>
      <c r="EFL292" s="18">
        <v>0</v>
      </c>
      <c r="EFM292" s="18">
        <v>0</v>
      </c>
      <c r="EFN292" s="18">
        <v>0</v>
      </c>
      <c r="EFO292" s="18">
        <v>0</v>
      </c>
      <c r="EFP292" s="18">
        <v>0</v>
      </c>
      <c r="EFQ292" s="18">
        <v>0</v>
      </c>
      <c r="EFR292" s="18">
        <v>0</v>
      </c>
      <c r="EFS292" s="18">
        <v>0</v>
      </c>
      <c r="EFT292" s="18">
        <v>0</v>
      </c>
      <c r="EFU292" s="18">
        <v>0</v>
      </c>
      <c r="EFV292" s="18">
        <v>0</v>
      </c>
      <c r="EFW292" s="18">
        <v>0</v>
      </c>
      <c r="EFX292" s="18">
        <v>0</v>
      </c>
      <c r="EFY292" s="18">
        <v>0</v>
      </c>
      <c r="EFZ292" s="18">
        <v>0</v>
      </c>
      <c r="EGA292" s="18">
        <v>0</v>
      </c>
      <c r="EGB292" s="18">
        <v>0</v>
      </c>
      <c r="EGC292" s="18">
        <v>0</v>
      </c>
      <c r="EGD292" s="18">
        <v>0</v>
      </c>
      <c r="EGE292" s="18">
        <v>0</v>
      </c>
      <c r="EGF292" s="18">
        <v>0</v>
      </c>
      <c r="EGG292" s="18">
        <v>0</v>
      </c>
      <c r="EGH292" s="18">
        <v>0</v>
      </c>
      <c r="EGI292" s="18">
        <v>0</v>
      </c>
      <c r="EGJ292" s="18">
        <v>0</v>
      </c>
      <c r="EGK292" s="18">
        <v>0</v>
      </c>
      <c r="EGL292" s="18">
        <v>0</v>
      </c>
      <c r="EGM292" s="18">
        <v>0</v>
      </c>
      <c r="EGN292" s="18">
        <v>0</v>
      </c>
      <c r="EGO292" s="18">
        <v>0</v>
      </c>
      <c r="EGP292" s="18">
        <v>0</v>
      </c>
      <c r="EGQ292" s="18">
        <v>0</v>
      </c>
      <c r="EGR292" s="18">
        <v>0</v>
      </c>
      <c r="EGS292" s="18">
        <v>0</v>
      </c>
      <c r="EGT292" s="18">
        <v>0</v>
      </c>
      <c r="EGU292" s="18">
        <v>0</v>
      </c>
      <c r="EGV292" s="18">
        <v>0</v>
      </c>
      <c r="EGW292" s="18">
        <v>0</v>
      </c>
      <c r="EGX292" s="18">
        <v>0</v>
      </c>
      <c r="EGY292" s="18">
        <v>0</v>
      </c>
      <c r="EGZ292" s="18">
        <v>0</v>
      </c>
      <c r="EHA292" s="18">
        <v>0</v>
      </c>
      <c r="EHB292" s="18">
        <v>0</v>
      </c>
      <c r="EHC292" s="18">
        <v>0</v>
      </c>
      <c r="EHD292" s="18">
        <v>0</v>
      </c>
      <c r="EHE292" s="18">
        <v>0</v>
      </c>
      <c r="EHF292" s="18">
        <v>0</v>
      </c>
      <c r="EHG292" s="18">
        <v>0</v>
      </c>
      <c r="EHH292" s="18">
        <v>0</v>
      </c>
      <c r="EHI292" s="18">
        <v>0</v>
      </c>
      <c r="EHJ292" s="18">
        <v>0</v>
      </c>
      <c r="EHK292" s="18">
        <v>0</v>
      </c>
      <c r="EHL292" s="18">
        <v>0</v>
      </c>
      <c r="EHM292" s="18">
        <v>0</v>
      </c>
      <c r="EHN292" s="18">
        <v>0</v>
      </c>
      <c r="EHO292" s="18">
        <v>0</v>
      </c>
      <c r="EHP292" s="18">
        <v>0</v>
      </c>
      <c r="EHQ292" s="18">
        <v>0</v>
      </c>
      <c r="EHR292" s="18">
        <v>0</v>
      </c>
      <c r="EHS292" s="18">
        <v>0</v>
      </c>
      <c r="EHT292" s="18">
        <v>0</v>
      </c>
      <c r="EHU292" s="18">
        <v>0</v>
      </c>
      <c r="EHV292" s="18">
        <v>0</v>
      </c>
      <c r="EHW292" s="18">
        <v>0</v>
      </c>
      <c r="EHX292" s="18">
        <v>0</v>
      </c>
      <c r="EHY292" s="18">
        <v>0</v>
      </c>
      <c r="EHZ292" s="18">
        <v>0</v>
      </c>
      <c r="EIA292" s="18">
        <v>0</v>
      </c>
      <c r="EIB292" s="18">
        <v>0</v>
      </c>
      <c r="EIC292" s="18">
        <v>0</v>
      </c>
      <c r="EID292" s="18">
        <v>0</v>
      </c>
      <c r="EIE292" s="18">
        <v>0</v>
      </c>
      <c r="EIF292" s="18">
        <v>0</v>
      </c>
      <c r="EIG292" s="18">
        <v>0</v>
      </c>
      <c r="EIH292" s="18">
        <v>0</v>
      </c>
      <c r="EII292" s="18">
        <v>0</v>
      </c>
      <c r="EIJ292" s="18">
        <v>0</v>
      </c>
      <c r="EIK292" s="18">
        <v>0</v>
      </c>
      <c r="EIL292" s="18">
        <v>0</v>
      </c>
      <c r="EIM292" s="18">
        <v>0</v>
      </c>
      <c r="EIN292" s="18">
        <v>0</v>
      </c>
      <c r="EIO292" s="18">
        <v>0</v>
      </c>
      <c r="EIP292" s="18">
        <v>0</v>
      </c>
      <c r="EIQ292" s="18">
        <v>0</v>
      </c>
      <c r="EIR292" s="18">
        <v>0</v>
      </c>
      <c r="EIS292" s="18">
        <v>0</v>
      </c>
      <c r="EIT292" s="18">
        <v>0</v>
      </c>
      <c r="EIU292" s="18">
        <v>0</v>
      </c>
      <c r="EIV292" s="18">
        <v>0</v>
      </c>
      <c r="EIW292" s="18">
        <v>0</v>
      </c>
      <c r="EIX292" s="18">
        <v>0</v>
      </c>
      <c r="EIY292" s="18">
        <v>0</v>
      </c>
      <c r="EIZ292" s="18">
        <v>0</v>
      </c>
      <c r="EJA292" s="18">
        <v>0</v>
      </c>
      <c r="EJB292" s="18">
        <v>0</v>
      </c>
      <c r="EJC292" s="18">
        <v>0</v>
      </c>
      <c r="EJD292" s="18">
        <v>0</v>
      </c>
      <c r="EJE292" s="18">
        <v>0</v>
      </c>
      <c r="EJF292" s="18">
        <v>0</v>
      </c>
      <c r="EJG292" s="18">
        <v>0</v>
      </c>
      <c r="EJH292" s="18">
        <v>0</v>
      </c>
      <c r="EJI292" s="18">
        <v>0</v>
      </c>
      <c r="EJJ292" s="18">
        <v>0</v>
      </c>
      <c r="EJK292" s="18">
        <v>0</v>
      </c>
      <c r="EJL292" s="18">
        <v>0</v>
      </c>
      <c r="EJM292" s="18">
        <v>0</v>
      </c>
      <c r="EJN292" s="18">
        <v>0</v>
      </c>
      <c r="EJO292" s="18">
        <v>0</v>
      </c>
      <c r="EJP292" s="18">
        <v>0</v>
      </c>
      <c r="EJQ292" s="18">
        <v>0</v>
      </c>
      <c r="EJR292" s="18">
        <v>0</v>
      </c>
      <c r="EJS292" s="18">
        <v>0</v>
      </c>
      <c r="EJT292" s="18">
        <v>0</v>
      </c>
      <c r="EJU292" s="18">
        <v>0</v>
      </c>
      <c r="EJV292" s="18">
        <v>0</v>
      </c>
      <c r="EJW292" s="18">
        <v>0</v>
      </c>
      <c r="EJX292" s="18">
        <v>0</v>
      </c>
      <c r="EJY292" s="18">
        <v>0</v>
      </c>
      <c r="EJZ292" s="18">
        <v>0</v>
      </c>
      <c r="EKA292" s="18">
        <v>0</v>
      </c>
      <c r="EKB292" s="18">
        <v>0</v>
      </c>
      <c r="EKC292" s="18">
        <v>0</v>
      </c>
      <c r="EKD292" s="18">
        <v>0</v>
      </c>
      <c r="EKE292" s="18">
        <v>0</v>
      </c>
      <c r="EKF292" s="18">
        <v>0</v>
      </c>
      <c r="EKG292" s="18">
        <v>0</v>
      </c>
      <c r="EKH292" s="18">
        <v>0</v>
      </c>
      <c r="EKI292" s="18">
        <v>0</v>
      </c>
      <c r="EKJ292" s="18">
        <v>0</v>
      </c>
      <c r="EKK292" s="18">
        <v>0</v>
      </c>
      <c r="EKL292" s="18">
        <v>0</v>
      </c>
      <c r="EKM292" s="18">
        <v>0</v>
      </c>
      <c r="EKN292" s="18">
        <v>0</v>
      </c>
      <c r="EKO292" s="18">
        <v>0</v>
      </c>
      <c r="EKP292" s="18">
        <v>0</v>
      </c>
      <c r="EKQ292" s="18">
        <v>0</v>
      </c>
      <c r="EKR292" s="18">
        <v>0</v>
      </c>
      <c r="EKS292" s="18">
        <v>0</v>
      </c>
      <c r="EKT292" s="18">
        <v>0</v>
      </c>
      <c r="EKU292" s="18">
        <v>0</v>
      </c>
      <c r="EKV292" s="18">
        <v>0</v>
      </c>
      <c r="EKW292" s="18">
        <v>0</v>
      </c>
      <c r="EKX292" s="18">
        <v>0</v>
      </c>
      <c r="EKY292" s="18">
        <v>0</v>
      </c>
      <c r="EKZ292" s="18">
        <v>0</v>
      </c>
      <c r="ELA292" s="18">
        <v>0</v>
      </c>
      <c r="ELB292" s="18">
        <v>0</v>
      </c>
      <c r="ELC292" s="18">
        <v>0</v>
      </c>
      <c r="ELD292" s="18">
        <v>0</v>
      </c>
      <c r="ELE292" s="18">
        <v>0</v>
      </c>
      <c r="ELF292" s="18">
        <v>0</v>
      </c>
      <c r="ELG292" s="18">
        <v>0</v>
      </c>
      <c r="ELH292" s="18">
        <v>0</v>
      </c>
      <c r="ELI292" s="18">
        <v>0</v>
      </c>
      <c r="ELJ292" s="18">
        <v>0</v>
      </c>
      <c r="ELK292" s="18">
        <v>0</v>
      </c>
      <c r="ELL292" s="18">
        <v>0</v>
      </c>
      <c r="ELM292" s="18">
        <v>0</v>
      </c>
      <c r="ELN292" s="18">
        <v>0</v>
      </c>
      <c r="ELO292" s="18">
        <v>0</v>
      </c>
      <c r="ELP292" s="18">
        <v>0</v>
      </c>
      <c r="ELQ292" s="18">
        <v>0</v>
      </c>
      <c r="ELR292" s="18">
        <v>0</v>
      </c>
      <c r="ELS292" s="18">
        <v>0</v>
      </c>
      <c r="ELT292" s="18">
        <v>0</v>
      </c>
      <c r="ELU292" s="18">
        <v>0</v>
      </c>
      <c r="ELV292" s="18">
        <v>0</v>
      </c>
      <c r="ELW292" s="18">
        <v>0</v>
      </c>
      <c r="ELX292" s="18">
        <v>0</v>
      </c>
      <c r="ELY292" s="18">
        <v>0</v>
      </c>
      <c r="ELZ292" s="18">
        <v>0</v>
      </c>
      <c r="EMA292" s="18">
        <v>0</v>
      </c>
      <c r="EMB292" s="18">
        <v>0</v>
      </c>
      <c r="EMC292" s="18">
        <v>0</v>
      </c>
      <c r="EMD292" s="18">
        <v>0</v>
      </c>
      <c r="EME292" s="18">
        <v>0</v>
      </c>
      <c r="EMF292" s="18">
        <v>0</v>
      </c>
      <c r="EMG292" s="18">
        <v>0</v>
      </c>
      <c r="EMH292" s="18">
        <v>0</v>
      </c>
      <c r="EMI292" s="18">
        <v>0</v>
      </c>
      <c r="EMJ292" s="18">
        <v>0</v>
      </c>
      <c r="EMK292" s="18">
        <v>0</v>
      </c>
      <c r="EML292" s="18">
        <v>0</v>
      </c>
      <c r="EMM292" s="18">
        <v>0</v>
      </c>
      <c r="EMN292" s="18">
        <v>0</v>
      </c>
      <c r="EMO292" s="18">
        <v>0</v>
      </c>
      <c r="EMP292" s="18">
        <v>0</v>
      </c>
      <c r="EMQ292" s="18">
        <v>0</v>
      </c>
      <c r="EMR292" s="18">
        <v>0</v>
      </c>
      <c r="EMS292" s="18">
        <v>0</v>
      </c>
      <c r="EMT292" s="18">
        <v>0</v>
      </c>
      <c r="EMU292" s="18">
        <v>0</v>
      </c>
      <c r="EMV292" s="18">
        <v>0</v>
      </c>
      <c r="EMW292" s="18">
        <v>0</v>
      </c>
      <c r="EMX292" s="18">
        <v>0</v>
      </c>
      <c r="EMY292" s="18">
        <v>0</v>
      </c>
      <c r="EMZ292" s="18">
        <v>0</v>
      </c>
      <c r="ENA292" s="18">
        <v>0</v>
      </c>
      <c r="ENB292" s="18">
        <v>0</v>
      </c>
      <c r="ENC292" s="18">
        <v>0</v>
      </c>
      <c r="END292" s="18">
        <v>0</v>
      </c>
      <c r="ENE292" s="18">
        <v>0</v>
      </c>
      <c r="ENF292" s="18">
        <v>0</v>
      </c>
      <c r="ENG292" s="18">
        <v>0</v>
      </c>
      <c r="ENH292" s="18">
        <v>0</v>
      </c>
      <c r="ENI292" s="18">
        <v>0</v>
      </c>
      <c r="ENJ292" s="18">
        <v>0</v>
      </c>
      <c r="ENK292" s="18">
        <v>0</v>
      </c>
      <c r="ENL292" s="18">
        <v>0</v>
      </c>
      <c r="ENM292" s="18">
        <v>0</v>
      </c>
      <c r="ENN292" s="18">
        <v>0</v>
      </c>
      <c r="ENO292" s="18">
        <v>0</v>
      </c>
      <c r="ENP292" s="18">
        <v>0</v>
      </c>
      <c r="ENQ292" s="18">
        <v>0</v>
      </c>
      <c r="ENR292" s="18">
        <v>0</v>
      </c>
      <c r="ENS292" s="18">
        <v>0</v>
      </c>
      <c r="ENT292" s="18">
        <v>0</v>
      </c>
      <c r="ENU292" s="18">
        <v>0</v>
      </c>
      <c r="ENV292" s="18">
        <v>0</v>
      </c>
      <c r="ENW292" s="18">
        <v>0</v>
      </c>
      <c r="ENX292" s="18">
        <v>0</v>
      </c>
      <c r="ENY292" s="18">
        <v>0</v>
      </c>
      <c r="ENZ292" s="18">
        <v>0</v>
      </c>
      <c r="EOA292" s="18">
        <v>0</v>
      </c>
      <c r="EOB292" s="18">
        <v>0</v>
      </c>
      <c r="EOC292" s="18">
        <v>0</v>
      </c>
      <c r="EOD292" s="18">
        <v>0</v>
      </c>
      <c r="EOE292" s="18">
        <v>0</v>
      </c>
      <c r="EOF292" s="18">
        <v>0</v>
      </c>
      <c r="EOG292" s="18">
        <v>0</v>
      </c>
      <c r="EOH292" s="18">
        <v>0</v>
      </c>
      <c r="EOI292" s="18">
        <v>0</v>
      </c>
      <c r="EOJ292" s="18">
        <v>0</v>
      </c>
      <c r="EOK292" s="18">
        <v>0</v>
      </c>
      <c r="EOL292" s="18">
        <v>0</v>
      </c>
      <c r="EOM292" s="18">
        <v>0</v>
      </c>
      <c r="EON292" s="18">
        <v>0</v>
      </c>
      <c r="EOO292" s="18">
        <v>0</v>
      </c>
      <c r="EOP292" s="18">
        <v>0</v>
      </c>
      <c r="EOQ292" s="18">
        <v>0</v>
      </c>
      <c r="EOR292" s="18">
        <v>0</v>
      </c>
      <c r="EOS292" s="18">
        <v>0</v>
      </c>
      <c r="EOT292" s="18">
        <v>0</v>
      </c>
      <c r="EOU292" s="18">
        <v>0</v>
      </c>
      <c r="EOV292" s="18">
        <v>0</v>
      </c>
      <c r="EOW292" s="18">
        <v>0</v>
      </c>
      <c r="EOX292" s="18">
        <v>0</v>
      </c>
      <c r="EOY292" s="18">
        <v>0</v>
      </c>
      <c r="EOZ292" s="18">
        <v>0</v>
      </c>
      <c r="EPA292" s="18">
        <v>0</v>
      </c>
      <c r="EPB292" s="18">
        <v>0</v>
      </c>
      <c r="EPC292" s="18">
        <v>0</v>
      </c>
      <c r="EPD292" s="18">
        <v>0</v>
      </c>
      <c r="EPE292" s="18">
        <v>0</v>
      </c>
      <c r="EPF292" s="18">
        <v>0</v>
      </c>
      <c r="EPG292" s="18">
        <v>0</v>
      </c>
      <c r="EPH292" s="18">
        <v>0</v>
      </c>
      <c r="EPI292" s="18">
        <v>0</v>
      </c>
      <c r="EPJ292" s="18">
        <v>0</v>
      </c>
      <c r="EPK292" s="18">
        <v>0</v>
      </c>
      <c r="EPL292" s="18">
        <v>0</v>
      </c>
      <c r="EPM292" s="18">
        <v>0</v>
      </c>
      <c r="EPN292" s="18">
        <v>0</v>
      </c>
      <c r="EPO292" s="18">
        <v>0</v>
      </c>
      <c r="EPP292" s="18">
        <v>0</v>
      </c>
      <c r="EPQ292" s="18">
        <v>0</v>
      </c>
      <c r="EPR292" s="18">
        <v>0</v>
      </c>
      <c r="EPS292" s="18">
        <v>0</v>
      </c>
      <c r="EPT292" s="18">
        <v>0</v>
      </c>
      <c r="EPU292" s="18">
        <v>0</v>
      </c>
      <c r="EPV292" s="18">
        <v>0</v>
      </c>
      <c r="EPW292" s="18">
        <v>0</v>
      </c>
      <c r="EPX292" s="18">
        <v>0</v>
      </c>
      <c r="EPY292" s="18">
        <v>0</v>
      </c>
      <c r="EPZ292" s="18">
        <v>0</v>
      </c>
      <c r="EQA292" s="18">
        <v>0</v>
      </c>
      <c r="EQB292" s="18">
        <v>0</v>
      </c>
      <c r="EQC292" s="18">
        <v>0</v>
      </c>
      <c r="EQD292" s="18">
        <v>0</v>
      </c>
      <c r="EQE292" s="18">
        <v>0</v>
      </c>
      <c r="EQF292" s="18">
        <v>0</v>
      </c>
      <c r="EQG292" s="18">
        <v>0</v>
      </c>
      <c r="EQH292" s="18">
        <v>0</v>
      </c>
      <c r="EQI292" s="18">
        <v>0</v>
      </c>
      <c r="EQJ292" s="18">
        <v>0</v>
      </c>
      <c r="EQK292" s="18">
        <v>0</v>
      </c>
      <c r="EQL292" s="18">
        <v>0</v>
      </c>
      <c r="EQM292" s="18">
        <v>0</v>
      </c>
      <c r="EQN292" s="18">
        <v>0</v>
      </c>
      <c r="EQO292" s="18">
        <v>0</v>
      </c>
      <c r="EQP292" s="18">
        <v>0</v>
      </c>
      <c r="EQQ292" s="18">
        <v>0</v>
      </c>
      <c r="EQR292" s="18">
        <v>0</v>
      </c>
      <c r="EQS292" s="18">
        <v>0</v>
      </c>
      <c r="EQT292" s="18">
        <v>0</v>
      </c>
      <c r="EQU292" s="18">
        <v>0</v>
      </c>
      <c r="EQV292" s="18">
        <v>0</v>
      </c>
      <c r="EQW292" s="18">
        <v>0</v>
      </c>
      <c r="EQX292" s="18">
        <v>0</v>
      </c>
      <c r="EQY292" s="18">
        <v>0</v>
      </c>
      <c r="EQZ292" s="18">
        <v>0</v>
      </c>
      <c r="ERA292" s="18">
        <v>0</v>
      </c>
      <c r="ERB292" s="18">
        <v>0</v>
      </c>
      <c r="ERC292" s="18">
        <v>0</v>
      </c>
      <c r="ERD292" s="18">
        <v>0</v>
      </c>
      <c r="ERE292" s="18">
        <v>0</v>
      </c>
      <c r="ERF292" s="18">
        <v>0</v>
      </c>
      <c r="ERG292" s="18">
        <v>0</v>
      </c>
      <c r="ERH292" s="18">
        <v>0</v>
      </c>
      <c r="ERI292" s="18">
        <v>0</v>
      </c>
      <c r="ERJ292" s="18">
        <v>0</v>
      </c>
      <c r="ERK292" s="18">
        <v>0</v>
      </c>
      <c r="ERL292" s="18">
        <v>0</v>
      </c>
      <c r="ERM292" s="18">
        <v>0</v>
      </c>
      <c r="ERN292" s="18">
        <v>0</v>
      </c>
      <c r="ERO292" s="18">
        <v>0</v>
      </c>
      <c r="ERP292" s="18">
        <v>0</v>
      </c>
      <c r="ERQ292" s="18">
        <v>0</v>
      </c>
      <c r="ERR292" s="18">
        <v>0</v>
      </c>
      <c r="ERS292" s="18">
        <v>0</v>
      </c>
      <c r="ERT292" s="18">
        <v>0</v>
      </c>
      <c r="ERU292" s="18">
        <v>0</v>
      </c>
      <c r="ERV292" s="18">
        <v>0</v>
      </c>
      <c r="ERW292" s="18">
        <v>0</v>
      </c>
      <c r="ERX292" s="18">
        <v>0</v>
      </c>
      <c r="ERY292" s="18">
        <v>0</v>
      </c>
      <c r="ERZ292" s="18">
        <v>0</v>
      </c>
      <c r="ESA292" s="18">
        <v>0</v>
      </c>
      <c r="ESB292" s="18">
        <v>0</v>
      </c>
      <c r="ESC292" s="18">
        <v>0</v>
      </c>
      <c r="ESD292" s="18">
        <v>0</v>
      </c>
      <c r="ESE292" s="18">
        <v>0</v>
      </c>
      <c r="ESF292" s="18">
        <v>0</v>
      </c>
      <c r="ESG292" s="18">
        <v>0</v>
      </c>
      <c r="ESH292" s="18">
        <v>0</v>
      </c>
      <c r="ESI292" s="18">
        <v>0</v>
      </c>
      <c r="ESJ292" s="18">
        <v>0</v>
      </c>
      <c r="ESK292" s="18">
        <v>0</v>
      </c>
      <c r="ESL292" s="18">
        <v>0</v>
      </c>
      <c r="ESM292" s="18">
        <v>0</v>
      </c>
      <c r="ESN292" s="18">
        <v>0</v>
      </c>
      <c r="ESO292" s="18">
        <v>0</v>
      </c>
      <c r="ESP292" s="18">
        <v>0</v>
      </c>
      <c r="ESQ292" s="18">
        <v>0</v>
      </c>
      <c r="ESR292" s="18">
        <v>0</v>
      </c>
      <c r="ESS292" s="18">
        <v>0</v>
      </c>
      <c r="EST292" s="18">
        <v>0</v>
      </c>
      <c r="ESU292" s="18">
        <v>0</v>
      </c>
      <c r="ESV292" s="18">
        <v>0</v>
      </c>
      <c r="ESW292" s="18">
        <v>0</v>
      </c>
      <c r="ESX292" s="18">
        <v>0</v>
      </c>
      <c r="ESY292" s="18">
        <v>0</v>
      </c>
      <c r="ESZ292" s="18">
        <v>0</v>
      </c>
      <c r="ETA292" s="18">
        <v>0</v>
      </c>
      <c r="ETB292" s="18">
        <v>0</v>
      </c>
      <c r="ETC292" s="18">
        <v>0</v>
      </c>
      <c r="ETD292" s="18">
        <v>0</v>
      </c>
      <c r="ETE292" s="18">
        <v>0</v>
      </c>
      <c r="ETF292" s="18">
        <v>0</v>
      </c>
      <c r="ETG292" s="18">
        <v>0</v>
      </c>
      <c r="ETH292" s="18">
        <v>0</v>
      </c>
      <c r="ETI292" s="18">
        <v>0</v>
      </c>
      <c r="ETJ292" s="18">
        <v>0</v>
      </c>
      <c r="ETK292" s="18">
        <v>0</v>
      </c>
      <c r="ETL292" s="18">
        <v>0</v>
      </c>
      <c r="ETM292" s="18">
        <v>0</v>
      </c>
      <c r="ETN292" s="18">
        <v>0</v>
      </c>
      <c r="ETO292" s="18">
        <v>0</v>
      </c>
      <c r="ETP292" s="18">
        <v>0</v>
      </c>
      <c r="ETQ292" s="18">
        <v>0</v>
      </c>
      <c r="ETR292" s="18">
        <v>0</v>
      </c>
      <c r="ETS292" s="18">
        <v>0</v>
      </c>
      <c r="ETT292" s="18">
        <v>0</v>
      </c>
      <c r="ETU292" s="18">
        <v>0</v>
      </c>
      <c r="ETV292" s="18">
        <v>0</v>
      </c>
      <c r="ETW292" s="18">
        <v>0</v>
      </c>
      <c r="ETX292" s="18">
        <v>0</v>
      </c>
      <c r="ETY292" s="18">
        <v>0</v>
      </c>
      <c r="ETZ292" s="18">
        <v>0</v>
      </c>
      <c r="EUA292" s="18">
        <v>0</v>
      </c>
      <c r="EUB292" s="18">
        <v>0</v>
      </c>
      <c r="EUC292" s="18">
        <v>0</v>
      </c>
      <c r="EUD292" s="18">
        <v>0</v>
      </c>
      <c r="EUE292" s="18">
        <v>0</v>
      </c>
      <c r="EUF292" s="18">
        <v>0</v>
      </c>
      <c r="EUG292" s="18">
        <v>0</v>
      </c>
      <c r="EUH292" s="18">
        <v>0</v>
      </c>
      <c r="EUI292" s="18">
        <v>0</v>
      </c>
      <c r="EUJ292" s="18">
        <v>0</v>
      </c>
      <c r="EUK292" s="18">
        <v>0</v>
      </c>
      <c r="EUL292" s="18">
        <v>0</v>
      </c>
      <c r="EUM292" s="18">
        <v>0</v>
      </c>
      <c r="EUN292" s="18">
        <v>0</v>
      </c>
      <c r="EUO292" s="18">
        <v>0</v>
      </c>
      <c r="EUP292" s="18">
        <v>0</v>
      </c>
      <c r="EUQ292" s="18">
        <v>0</v>
      </c>
      <c r="EUR292" s="18">
        <v>0</v>
      </c>
      <c r="EUS292" s="18">
        <v>0</v>
      </c>
      <c r="EUT292" s="18">
        <v>0</v>
      </c>
      <c r="EUU292" s="18">
        <v>0</v>
      </c>
      <c r="EUV292" s="18">
        <v>0</v>
      </c>
      <c r="EUW292" s="18">
        <v>0</v>
      </c>
      <c r="EUX292" s="18">
        <v>0</v>
      </c>
      <c r="EUY292" s="18">
        <v>0</v>
      </c>
      <c r="EUZ292" s="18">
        <v>0</v>
      </c>
      <c r="EVA292" s="18">
        <v>0</v>
      </c>
      <c r="EVB292" s="18">
        <v>0</v>
      </c>
      <c r="EVC292" s="18">
        <v>0</v>
      </c>
      <c r="EVD292" s="18">
        <v>0</v>
      </c>
      <c r="EVE292" s="18">
        <v>0</v>
      </c>
      <c r="EVF292" s="18">
        <v>0</v>
      </c>
      <c r="EVG292" s="18">
        <v>0</v>
      </c>
      <c r="EVH292" s="18">
        <v>0</v>
      </c>
      <c r="EVI292" s="18">
        <v>0</v>
      </c>
      <c r="EVJ292" s="18">
        <v>0</v>
      </c>
      <c r="EVK292" s="18">
        <v>0</v>
      </c>
      <c r="EVL292" s="18">
        <v>0</v>
      </c>
      <c r="EVM292" s="18">
        <v>0</v>
      </c>
      <c r="EVN292" s="18">
        <v>0</v>
      </c>
      <c r="EVO292" s="18">
        <v>0</v>
      </c>
      <c r="EVP292" s="18">
        <v>0</v>
      </c>
      <c r="EVQ292" s="18">
        <v>0</v>
      </c>
      <c r="EVR292" s="18">
        <v>0</v>
      </c>
      <c r="EVS292" s="18">
        <v>0</v>
      </c>
      <c r="EVT292" s="18">
        <v>0</v>
      </c>
      <c r="EVU292" s="18">
        <v>0</v>
      </c>
      <c r="EVV292" s="18">
        <v>0</v>
      </c>
      <c r="EVW292" s="18">
        <v>0</v>
      </c>
      <c r="EVX292" s="18">
        <v>0</v>
      </c>
      <c r="EVY292" s="18">
        <v>0</v>
      </c>
      <c r="EVZ292" s="18">
        <v>0</v>
      </c>
      <c r="EWA292" s="18">
        <v>0</v>
      </c>
      <c r="EWB292" s="18">
        <v>0</v>
      </c>
      <c r="EWC292" s="18">
        <v>0</v>
      </c>
      <c r="EWD292" s="18">
        <v>0</v>
      </c>
      <c r="EWE292" s="18">
        <v>0</v>
      </c>
      <c r="EWF292" s="18">
        <v>0</v>
      </c>
      <c r="EWG292" s="18">
        <v>0</v>
      </c>
      <c r="EWH292" s="18">
        <v>0</v>
      </c>
      <c r="EWI292" s="18">
        <v>0</v>
      </c>
      <c r="EWJ292" s="18">
        <v>0</v>
      </c>
      <c r="EWK292" s="18">
        <v>0</v>
      </c>
      <c r="EWL292" s="18">
        <v>0</v>
      </c>
      <c r="EWM292" s="18">
        <v>0</v>
      </c>
      <c r="EWN292" s="18">
        <v>0</v>
      </c>
      <c r="EWO292" s="18">
        <v>0</v>
      </c>
      <c r="EWP292" s="18">
        <v>0</v>
      </c>
      <c r="EWQ292" s="18">
        <v>0</v>
      </c>
      <c r="EWR292" s="18">
        <v>0</v>
      </c>
      <c r="EWS292" s="18">
        <v>0</v>
      </c>
      <c r="EWT292" s="18">
        <v>0</v>
      </c>
      <c r="EWU292" s="18">
        <v>0</v>
      </c>
      <c r="EWV292" s="18">
        <v>0</v>
      </c>
      <c r="EWW292" s="18">
        <v>0</v>
      </c>
      <c r="EWX292" s="18">
        <v>0</v>
      </c>
      <c r="EWY292" s="18">
        <v>0</v>
      </c>
      <c r="EWZ292" s="18">
        <v>0</v>
      </c>
      <c r="EXA292" s="18">
        <v>0</v>
      </c>
      <c r="EXB292" s="18">
        <v>0</v>
      </c>
      <c r="EXC292" s="18">
        <v>0</v>
      </c>
      <c r="EXD292" s="18">
        <v>0</v>
      </c>
      <c r="EXE292" s="18">
        <v>0</v>
      </c>
      <c r="EXF292" s="18">
        <v>0</v>
      </c>
      <c r="EXG292" s="18">
        <v>0</v>
      </c>
      <c r="EXH292" s="18">
        <v>0</v>
      </c>
      <c r="EXI292" s="18">
        <v>0</v>
      </c>
      <c r="EXJ292" s="18">
        <v>0</v>
      </c>
      <c r="EXK292" s="18">
        <v>0</v>
      </c>
      <c r="EXL292" s="18">
        <v>0</v>
      </c>
      <c r="EXM292" s="18">
        <v>0</v>
      </c>
      <c r="EXN292" s="18">
        <v>0</v>
      </c>
      <c r="EXO292" s="18">
        <v>0</v>
      </c>
      <c r="EXP292" s="18">
        <v>0</v>
      </c>
      <c r="EXQ292" s="18">
        <v>0</v>
      </c>
      <c r="EXR292" s="18">
        <v>0</v>
      </c>
      <c r="EXS292" s="18">
        <v>0</v>
      </c>
      <c r="EXT292" s="18">
        <v>0</v>
      </c>
      <c r="EXU292" s="18">
        <v>0</v>
      </c>
      <c r="EXV292" s="18">
        <v>0</v>
      </c>
      <c r="EXW292" s="18">
        <v>0</v>
      </c>
      <c r="EXX292" s="18">
        <v>0</v>
      </c>
      <c r="EXY292" s="18">
        <v>0</v>
      </c>
      <c r="EXZ292" s="18">
        <v>0</v>
      </c>
      <c r="EYA292" s="18">
        <v>0</v>
      </c>
      <c r="EYB292" s="18">
        <v>0</v>
      </c>
      <c r="EYC292" s="18">
        <v>0</v>
      </c>
      <c r="EYD292" s="18">
        <v>0</v>
      </c>
      <c r="EYE292" s="18">
        <v>0</v>
      </c>
      <c r="EYF292" s="18">
        <v>0</v>
      </c>
      <c r="EYG292" s="18">
        <v>0</v>
      </c>
      <c r="EYH292" s="18">
        <v>0</v>
      </c>
      <c r="EYI292" s="18">
        <v>0</v>
      </c>
      <c r="EYJ292" s="18">
        <v>0</v>
      </c>
      <c r="EYK292" s="18">
        <v>0</v>
      </c>
      <c r="EYL292" s="18">
        <v>0</v>
      </c>
      <c r="EYM292" s="18">
        <v>0</v>
      </c>
      <c r="EYN292" s="18">
        <v>0</v>
      </c>
      <c r="EYO292" s="18">
        <v>0</v>
      </c>
      <c r="EYP292" s="18">
        <v>0</v>
      </c>
      <c r="EYQ292" s="18">
        <v>0</v>
      </c>
      <c r="EYR292" s="18">
        <v>0</v>
      </c>
      <c r="EYS292" s="18">
        <v>0</v>
      </c>
      <c r="EYT292" s="18">
        <v>0</v>
      </c>
      <c r="EYU292" s="18">
        <v>0</v>
      </c>
      <c r="EYV292" s="18">
        <v>0</v>
      </c>
      <c r="EYW292" s="18">
        <v>0</v>
      </c>
      <c r="EYX292" s="18">
        <v>0</v>
      </c>
      <c r="EYY292" s="18">
        <v>0</v>
      </c>
      <c r="EYZ292" s="18">
        <v>0</v>
      </c>
      <c r="EZA292" s="18">
        <v>0</v>
      </c>
      <c r="EZB292" s="18">
        <v>0</v>
      </c>
      <c r="EZC292" s="18">
        <v>0</v>
      </c>
      <c r="EZD292" s="18">
        <v>0</v>
      </c>
      <c r="EZE292" s="18">
        <v>0</v>
      </c>
      <c r="EZF292" s="18">
        <v>0</v>
      </c>
      <c r="EZG292" s="18">
        <v>0</v>
      </c>
      <c r="EZH292" s="18">
        <v>0</v>
      </c>
      <c r="EZI292" s="18">
        <v>0</v>
      </c>
      <c r="EZJ292" s="18">
        <v>0</v>
      </c>
      <c r="EZK292" s="18">
        <v>0</v>
      </c>
      <c r="EZL292" s="18">
        <v>0</v>
      </c>
      <c r="EZM292" s="18">
        <v>0</v>
      </c>
      <c r="EZN292" s="18">
        <v>0</v>
      </c>
      <c r="EZO292" s="18">
        <v>0</v>
      </c>
      <c r="EZP292" s="18">
        <v>0</v>
      </c>
      <c r="EZQ292" s="18">
        <v>0</v>
      </c>
      <c r="EZR292" s="18">
        <v>0</v>
      </c>
      <c r="EZS292" s="18">
        <v>0</v>
      </c>
      <c r="EZT292" s="18">
        <v>0</v>
      </c>
      <c r="EZU292" s="18">
        <v>0</v>
      </c>
      <c r="EZV292" s="18">
        <v>0</v>
      </c>
      <c r="EZW292" s="18">
        <v>0</v>
      </c>
      <c r="EZX292" s="18">
        <v>0</v>
      </c>
      <c r="EZY292" s="18">
        <v>0</v>
      </c>
      <c r="EZZ292" s="18">
        <v>0</v>
      </c>
      <c r="FAA292" s="18">
        <v>0</v>
      </c>
      <c r="FAB292" s="18">
        <v>0</v>
      </c>
      <c r="FAC292" s="18">
        <v>0</v>
      </c>
      <c r="FAD292" s="18">
        <v>0</v>
      </c>
      <c r="FAE292" s="18">
        <v>0</v>
      </c>
      <c r="FAF292" s="18">
        <v>0</v>
      </c>
      <c r="FAG292" s="18">
        <v>0</v>
      </c>
      <c r="FAH292" s="18">
        <v>0</v>
      </c>
      <c r="FAI292" s="18">
        <v>0</v>
      </c>
      <c r="FAJ292" s="18">
        <v>0</v>
      </c>
      <c r="FAK292" s="18">
        <v>0</v>
      </c>
      <c r="FAL292" s="18">
        <v>0</v>
      </c>
      <c r="FAM292" s="18">
        <v>0</v>
      </c>
      <c r="FAN292" s="18">
        <v>0</v>
      </c>
      <c r="FAO292" s="18">
        <v>0</v>
      </c>
      <c r="FAP292" s="18">
        <v>0</v>
      </c>
      <c r="FAQ292" s="18">
        <v>0</v>
      </c>
      <c r="FAR292" s="18">
        <v>0</v>
      </c>
      <c r="FAS292" s="18">
        <v>0</v>
      </c>
      <c r="FAT292" s="18">
        <v>0</v>
      </c>
      <c r="FAU292" s="18">
        <v>0</v>
      </c>
      <c r="FAV292" s="18">
        <v>0</v>
      </c>
      <c r="FAW292" s="18">
        <v>0</v>
      </c>
      <c r="FAX292" s="18">
        <v>0</v>
      </c>
      <c r="FAY292" s="18">
        <v>0</v>
      </c>
      <c r="FAZ292" s="18">
        <v>0</v>
      </c>
      <c r="FBA292" s="18">
        <v>0</v>
      </c>
      <c r="FBB292" s="18">
        <v>0</v>
      </c>
      <c r="FBC292" s="18">
        <v>0</v>
      </c>
      <c r="FBD292" s="18">
        <v>0</v>
      </c>
      <c r="FBE292" s="18">
        <v>0</v>
      </c>
      <c r="FBF292" s="18">
        <v>0</v>
      </c>
      <c r="FBG292" s="18">
        <v>0</v>
      </c>
      <c r="FBH292" s="18">
        <v>0</v>
      </c>
      <c r="FBI292" s="18">
        <v>0</v>
      </c>
      <c r="FBJ292" s="18">
        <v>0</v>
      </c>
      <c r="FBK292" s="18">
        <v>0</v>
      </c>
      <c r="FBL292" s="18">
        <v>0</v>
      </c>
      <c r="FBM292" s="18">
        <v>0</v>
      </c>
      <c r="FBN292" s="18">
        <v>0</v>
      </c>
      <c r="FBO292" s="18">
        <v>0</v>
      </c>
      <c r="FBP292" s="18">
        <v>0</v>
      </c>
      <c r="FBQ292" s="18">
        <v>0</v>
      </c>
      <c r="FBR292" s="18">
        <v>0</v>
      </c>
      <c r="FBS292" s="18">
        <v>0</v>
      </c>
      <c r="FBT292" s="18">
        <v>0</v>
      </c>
      <c r="FBU292" s="18">
        <v>0</v>
      </c>
      <c r="FBV292" s="18">
        <v>0</v>
      </c>
      <c r="FBW292" s="18">
        <v>0</v>
      </c>
      <c r="FBX292" s="18">
        <v>0</v>
      </c>
      <c r="FBY292" s="18">
        <v>0</v>
      </c>
      <c r="FBZ292" s="18">
        <v>0</v>
      </c>
      <c r="FCA292" s="18">
        <v>0</v>
      </c>
      <c r="FCB292" s="18">
        <v>0</v>
      </c>
      <c r="FCC292" s="18">
        <v>0</v>
      </c>
      <c r="FCD292" s="18">
        <v>0</v>
      </c>
      <c r="FCE292" s="18">
        <v>0</v>
      </c>
      <c r="FCF292" s="18">
        <v>0</v>
      </c>
      <c r="FCG292" s="18">
        <v>0</v>
      </c>
      <c r="FCH292" s="18">
        <v>0</v>
      </c>
      <c r="FCI292" s="18">
        <v>0</v>
      </c>
      <c r="FCJ292" s="18">
        <v>0</v>
      </c>
      <c r="FCK292" s="18">
        <v>0</v>
      </c>
      <c r="FCL292" s="18">
        <v>0</v>
      </c>
      <c r="FCM292" s="18">
        <v>0</v>
      </c>
      <c r="FCN292" s="18">
        <v>0</v>
      </c>
      <c r="FCO292" s="18">
        <v>0</v>
      </c>
      <c r="FCP292" s="18">
        <v>0</v>
      </c>
      <c r="FCQ292" s="18">
        <v>0</v>
      </c>
      <c r="FCR292" s="18">
        <v>0</v>
      </c>
      <c r="FCS292" s="18">
        <v>0</v>
      </c>
      <c r="FCT292" s="18">
        <v>0</v>
      </c>
      <c r="FCU292" s="18">
        <v>0</v>
      </c>
      <c r="FCV292" s="18">
        <v>0</v>
      </c>
      <c r="FCW292" s="18">
        <v>0</v>
      </c>
      <c r="FCX292" s="18">
        <v>0</v>
      </c>
      <c r="FCY292" s="18">
        <v>0</v>
      </c>
      <c r="FCZ292" s="18">
        <v>0</v>
      </c>
      <c r="FDA292" s="18">
        <v>0</v>
      </c>
      <c r="FDB292" s="18">
        <v>0</v>
      </c>
      <c r="FDC292" s="18">
        <v>0</v>
      </c>
      <c r="FDD292" s="18">
        <v>0</v>
      </c>
      <c r="FDE292" s="18">
        <v>0</v>
      </c>
      <c r="FDF292" s="18">
        <v>0</v>
      </c>
      <c r="FDG292" s="18">
        <v>0</v>
      </c>
      <c r="FDH292" s="18">
        <v>0</v>
      </c>
      <c r="FDI292" s="18">
        <v>0</v>
      </c>
      <c r="FDJ292" s="18">
        <v>0</v>
      </c>
      <c r="FDK292" s="18">
        <v>0</v>
      </c>
      <c r="FDL292" s="18">
        <v>0</v>
      </c>
      <c r="FDM292" s="18">
        <v>0</v>
      </c>
      <c r="FDN292" s="18">
        <v>0</v>
      </c>
      <c r="FDO292" s="18">
        <v>0</v>
      </c>
      <c r="FDP292" s="18">
        <v>0</v>
      </c>
      <c r="FDQ292" s="18">
        <v>0</v>
      </c>
      <c r="FDR292" s="18">
        <v>0</v>
      </c>
      <c r="FDS292" s="18">
        <v>0</v>
      </c>
      <c r="FDT292" s="18">
        <v>0</v>
      </c>
      <c r="FDU292" s="18">
        <v>0</v>
      </c>
      <c r="FDV292" s="18">
        <v>0</v>
      </c>
      <c r="FDW292" s="18">
        <v>0</v>
      </c>
      <c r="FDX292" s="18">
        <v>0</v>
      </c>
      <c r="FDY292" s="18">
        <v>0</v>
      </c>
      <c r="FDZ292" s="18">
        <v>0</v>
      </c>
      <c r="FEA292" s="18">
        <v>0</v>
      </c>
      <c r="FEB292" s="18">
        <v>0</v>
      </c>
      <c r="FEC292" s="18">
        <v>0</v>
      </c>
      <c r="FED292" s="18">
        <v>0</v>
      </c>
      <c r="FEE292" s="18">
        <v>0</v>
      </c>
      <c r="FEF292" s="18">
        <v>0</v>
      </c>
      <c r="FEG292" s="18">
        <v>0</v>
      </c>
      <c r="FEH292" s="18">
        <v>0</v>
      </c>
      <c r="FEI292" s="18">
        <v>0</v>
      </c>
      <c r="FEJ292" s="18">
        <v>0</v>
      </c>
      <c r="FEK292" s="18">
        <v>0</v>
      </c>
      <c r="FEL292" s="18">
        <v>0</v>
      </c>
      <c r="FEM292" s="18">
        <v>0</v>
      </c>
      <c r="FEN292" s="18">
        <v>0</v>
      </c>
      <c r="FEO292" s="18">
        <v>0</v>
      </c>
      <c r="FEP292" s="18">
        <v>0</v>
      </c>
      <c r="FEQ292" s="18">
        <v>0</v>
      </c>
      <c r="FER292" s="18">
        <v>0</v>
      </c>
      <c r="FES292" s="18">
        <v>0</v>
      </c>
      <c r="FET292" s="18">
        <v>0</v>
      </c>
      <c r="FEU292" s="18">
        <v>0</v>
      </c>
      <c r="FEV292" s="18">
        <v>0</v>
      </c>
      <c r="FEW292" s="18">
        <v>0</v>
      </c>
      <c r="FEX292" s="18">
        <v>0</v>
      </c>
      <c r="FEY292" s="18">
        <v>0</v>
      </c>
      <c r="FEZ292" s="18">
        <v>0</v>
      </c>
      <c r="FFA292" s="18">
        <v>0</v>
      </c>
      <c r="FFB292" s="18">
        <v>0</v>
      </c>
      <c r="FFC292" s="18">
        <v>0</v>
      </c>
      <c r="FFD292" s="18">
        <v>0</v>
      </c>
      <c r="FFE292" s="18">
        <v>0</v>
      </c>
      <c r="FFF292" s="18">
        <v>0</v>
      </c>
      <c r="FFG292" s="18">
        <v>0</v>
      </c>
      <c r="FFH292" s="18">
        <v>0</v>
      </c>
      <c r="FFI292" s="18">
        <v>0</v>
      </c>
      <c r="FFJ292" s="18">
        <v>0</v>
      </c>
      <c r="FFK292" s="18">
        <v>0</v>
      </c>
      <c r="FFL292" s="18">
        <v>0</v>
      </c>
      <c r="FFM292" s="18">
        <v>0</v>
      </c>
      <c r="FFN292" s="18">
        <v>0</v>
      </c>
      <c r="FFO292" s="18">
        <v>0</v>
      </c>
      <c r="FFP292" s="18">
        <v>0</v>
      </c>
      <c r="FFQ292" s="18">
        <v>0</v>
      </c>
      <c r="FFR292" s="18">
        <v>0</v>
      </c>
      <c r="FFS292" s="18">
        <v>0</v>
      </c>
      <c r="FFT292" s="18">
        <v>0</v>
      </c>
      <c r="FFU292" s="18">
        <v>0</v>
      </c>
      <c r="FFV292" s="18">
        <v>0</v>
      </c>
      <c r="FFW292" s="18">
        <v>0</v>
      </c>
      <c r="FFX292" s="18">
        <v>0</v>
      </c>
      <c r="FFY292" s="18">
        <v>0</v>
      </c>
      <c r="FFZ292" s="18">
        <v>0</v>
      </c>
      <c r="FGA292" s="18">
        <v>0</v>
      </c>
      <c r="FGB292" s="18">
        <v>0</v>
      </c>
      <c r="FGC292" s="18">
        <v>0</v>
      </c>
      <c r="FGD292" s="18">
        <v>0</v>
      </c>
      <c r="FGE292" s="18">
        <v>0</v>
      </c>
      <c r="FGF292" s="18">
        <v>0</v>
      </c>
      <c r="FGG292" s="18">
        <v>0</v>
      </c>
      <c r="FGH292" s="18">
        <v>0</v>
      </c>
      <c r="FGI292" s="18">
        <v>0</v>
      </c>
      <c r="FGJ292" s="18">
        <v>0</v>
      </c>
      <c r="FGK292" s="18">
        <v>0</v>
      </c>
      <c r="FGL292" s="18">
        <v>0</v>
      </c>
      <c r="FGM292" s="18">
        <v>0</v>
      </c>
      <c r="FGN292" s="18">
        <v>0</v>
      </c>
      <c r="FGO292" s="18">
        <v>0</v>
      </c>
      <c r="FGP292" s="18">
        <v>0</v>
      </c>
      <c r="FGQ292" s="18">
        <v>0</v>
      </c>
      <c r="FGR292" s="18">
        <v>0</v>
      </c>
      <c r="FGS292" s="18">
        <v>0</v>
      </c>
      <c r="FGT292" s="18">
        <v>0</v>
      </c>
      <c r="FGU292" s="18">
        <v>0</v>
      </c>
      <c r="FGV292" s="18">
        <v>0</v>
      </c>
      <c r="FGW292" s="18">
        <v>0</v>
      </c>
      <c r="FGX292" s="18">
        <v>0</v>
      </c>
      <c r="FGY292" s="18">
        <v>0</v>
      </c>
      <c r="FGZ292" s="18">
        <v>0</v>
      </c>
      <c r="FHA292" s="18">
        <v>0</v>
      </c>
      <c r="FHB292" s="18">
        <v>0</v>
      </c>
      <c r="FHC292" s="18">
        <v>0</v>
      </c>
      <c r="FHD292" s="18">
        <v>0</v>
      </c>
      <c r="FHE292" s="18">
        <v>0</v>
      </c>
      <c r="FHF292" s="18">
        <v>0</v>
      </c>
      <c r="FHG292" s="18">
        <v>0</v>
      </c>
      <c r="FHH292" s="18">
        <v>0</v>
      </c>
      <c r="FHI292" s="18">
        <v>0</v>
      </c>
      <c r="FHJ292" s="18">
        <v>0</v>
      </c>
      <c r="FHK292" s="18">
        <v>0</v>
      </c>
      <c r="FHL292" s="18">
        <v>0</v>
      </c>
      <c r="FHM292" s="18">
        <v>0</v>
      </c>
      <c r="FHN292" s="18">
        <v>0</v>
      </c>
      <c r="FHO292" s="18">
        <v>0</v>
      </c>
      <c r="FHP292" s="18">
        <v>0</v>
      </c>
      <c r="FHQ292" s="18">
        <v>0</v>
      </c>
      <c r="FHR292" s="18">
        <v>0</v>
      </c>
      <c r="FHS292" s="18">
        <v>0</v>
      </c>
      <c r="FHT292" s="18">
        <v>0</v>
      </c>
      <c r="FHU292" s="18">
        <v>0</v>
      </c>
      <c r="FHV292" s="18">
        <v>0</v>
      </c>
      <c r="FHW292" s="18">
        <v>0</v>
      </c>
      <c r="FHX292" s="18">
        <v>0</v>
      </c>
      <c r="FHY292" s="18">
        <v>0</v>
      </c>
      <c r="FHZ292" s="18">
        <v>0</v>
      </c>
      <c r="FIA292" s="18">
        <v>0</v>
      </c>
      <c r="FIB292" s="18">
        <v>0</v>
      </c>
      <c r="FIC292" s="18">
        <v>0</v>
      </c>
      <c r="FID292" s="18">
        <v>0</v>
      </c>
      <c r="FIE292" s="18">
        <v>0</v>
      </c>
      <c r="FIF292" s="18">
        <v>0</v>
      </c>
      <c r="FIG292" s="18">
        <v>0</v>
      </c>
      <c r="FIH292" s="18">
        <v>0</v>
      </c>
      <c r="FII292" s="18">
        <v>0</v>
      </c>
      <c r="FIJ292" s="18">
        <v>0</v>
      </c>
      <c r="FIK292" s="18">
        <v>0</v>
      </c>
      <c r="FIL292" s="18">
        <v>0</v>
      </c>
      <c r="FIM292" s="18">
        <v>0</v>
      </c>
      <c r="FIN292" s="18">
        <v>0</v>
      </c>
      <c r="FIO292" s="18">
        <v>0</v>
      </c>
      <c r="FIP292" s="18">
        <v>0</v>
      </c>
      <c r="FIQ292" s="18">
        <v>0</v>
      </c>
      <c r="FIR292" s="18">
        <v>0</v>
      </c>
      <c r="FIS292" s="18">
        <v>0</v>
      </c>
      <c r="FIT292" s="18">
        <v>0</v>
      </c>
      <c r="FIU292" s="18">
        <v>0</v>
      </c>
      <c r="FIV292" s="18">
        <v>0</v>
      </c>
      <c r="FIW292" s="18">
        <v>0</v>
      </c>
      <c r="FIX292" s="18">
        <v>0</v>
      </c>
      <c r="FIY292" s="18">
        <v>0</v>
      </c>
      <c r="FIZ292" s="18">
        <v>0</v>
      </c>
      <c r="FJA292" s="18">
        <v>0</v>
      </c>
      <c r="FJB292" s="18">
        <v>0</v>
      </c>
      <c r="FJC292" s="18">
        <v>0</v>
      </c>
      <c r="FJD292" s="18">
        <v>0</v>
      </c>
      <c r="FJE292" s="18">
        <v>0</v>
      </c>
      <c r="FJF292" s="18">
        <v>0</v>
      </c>
      <c r="FJG292" s="18">
        <v>0</v>
      </c>
      <c r="FJH292" s="18">
        <v>0</v>
      </c>
      <c r="FJI292" s="18">
        <v>0</v>
      </c>
      <c r="FJJ292" s="18">
        <v>0</v>
      </c>
      <c r="FJK292" s="18">
        <v>0</v>
      </c>
      <c r="FJL292" s="18">
        <v>0</v>
      </c>
      <c r="FJM292" s="18">
        <v>0</v>
      </c>
      <c r="FJN292" s="18">
        <v>0</v>
      </c>
      <c r="FJO292" s="18">
        <v>0</v>
      </c>
      <c r="FJP292" s="18">
        <v>0</v>
      </c>
      <c r="FJQ292" s="18">
        <v>0</v>
      </c>
      <c r="FJR292" s="18">
        <v>0</v>
      </c>
      <c r="FJS292" s="18">
        <v>0</v>
      </c>
      <c r="FJT292" s="18">
        <v>0</v>
      </c>
      <c r="FJU292" s="18">
        <v>0</v>
      </c>
      <c r="FJV292" s="18">
        <v>0</v>
      </c>
      <c r="FJW292" s="18">
        <v>0</v>
      </c>
      <c r="FJX292" s="18">
        <v>0</v>
      </c>
      <c r="FJY292" s="18">
        <v>0</v>
      </c>
      <c r="FJZ292" s="18">
        <v>0</v>
      </c>
      <c r="FKA292" s="18">
        <v>0</v>
      </c>
      <c r="FKB292" s="18">
        <v>0</v>
      </c>
      <c r="FKC292" s="18">
        <v>0</v>
      </c>
      <c r="FKD292" s="18">
        <v>0</v>
      </c>
      <c r="FKE292" s="18">
        <v>0</v>
      </c>
      <c r="FKF292" s="18">
        <v>0</v>
      </c>
      <c r="FKG292" s="18">
        <v>0</v>
      </c>
      <c r="FKH292" s="18">
        <v>0</v>
      </c>
      <c r="FKI292" s="18">
        <v>0</v>
      </c>
      <c r="FKJ292" s="18">
        <v>0</v>
      </c>
      <c r="FKK292" s="18">
        <v>0</v>
      </c>
      <c r="FKL292" s="18">
        <v>0</v>
      </c>
      <c r="FKM292" s="18">
        <v>0</v>
      </c>
      <c r="FKN292" s="18">
        <v>0</v>
      </c>
      <c r="FKO292" s="18">
        <v>0</v>
      </c>
      <c r="FKP292" s="18">
        <v>0</v>
      </c>
      <c r="FKQ292" s="18">
        <v>0</v>
      </c>
      <c r="FKR292" s="18">
        <v>0</v>
      </c>
      <c r="FKS292" s="18">
        <v>0</v>
      </c>
      <c r="FKT292" s="18">
        <v>0</v>
      </c>
      <c r="FKU292" s="18">
        <v>0</v>
      </c>
      <c r="FKV292" s="18">
        <v>0</v>
      </c>
      <c r="FKW292" s="18">
        <v>0</v>
      </c>
      <c r="FKX292" s="18">
        <v>0</v>
      </c>
      <c r="FKY292" s="18">
        <v>0</v>
      </c>
      <c r="FKZ292" s="18">
        <v>0</v>
      </c>
      <c r="FLA292" s="18">
        <v>0</v>
      </c>
      <c r="FLB292" s="18">
        <v>0</v>
      </c>
      <c r="FLC292" s="18">
        <v>0</v>
      </c>
      <c r="FLD292" s="18">
        <v>0</v>
      </c>
      <c r="FLE292" s="18">
        <v>0</v>
      </c>
      <c r="FLF292" s="18">
        <v>0</v>
      </c>
      <c r="FLG292" s="18">
        <v>0</v>
      </c>
      <c r="FLH292" s="18">
        <v>0</v>
      </c>
      <c r="FLI292" s="18">
        <v>0</v>
      </c>
      <c r="FLJ292" s="18">
        <v>0</v>
      </c>
      <c r="FLK292" s="18">
        <v>0</v>
      </c>
      <c r="FLL292" s="18">
        <v>0</v>
      </c>
      <c r="FLM292" s="18">
        <v>0</v>
      </c>
      <c r="FLN292" s="18">
        <v>0</v>
      </c>
      <c r="FLO292" s="18">
        <v>0</v>
      </c>
      <c r="FLP292" s="18">
        <v>0</v>
      </c>
      <c r="FLQ292" s="18">
        <v>0</v>
      </c>
      <c r="FLR292" s="18">
        <v>0</v>
      </c>
      <c r="FLS292" s="18">
        <v>0</v>
      </c>
      <c r="FLT292" s="18">
        <v>0</v>
      </c>
      <c r="FLU292" s="18">
        <v>0</v>
      </c>
      <c r="FLV292" s="18">
        <v>0</v>
      </c>
      <c r="FLW292" s="18">
        <v>0</v>
      </c>
      <c r="FLX292" s="18">
        <v>0</v>
      </c>
      <c r="FLY292" s="18">
        <v>0</v>
      </c>
      <c r="FLZ292" s="18">
        <v>0</v>
      </c>
      <c r="FMA292" s="18">
        <v>0</v>
      </c>
      <c r="FMB292" s="18">
        <v>0</v>
      </c>
      <c r="FMC292" s="18">
        <v>0</v>
      </c>
      <c r="FMD292" s="18">
        <v>0</v>
      </c>
      <c r="FME292" s="18">
        <v>0</v>
      </c>
      <c r="FMF292" s="18">
        <v>0</v>
      </c>
      <c r="FMG292" s="18">
        <v>0</v>
      </c>
      <c r="FMH292" s="18">
        <v>0</v>
      </c>
      <c r="FMI292" s="18">
        <v>0</v>
      </c>
      <c r="FMJ292" s="18">
        <v>0</v>
      </c>
      <c r="FMK292" s="18">
        <v>0</v>
      </c>
      <c r="FML292" s="18">
        <v>0</v>
      </c>
      <c r="FMM292" s="18">
        <v>0</v>
      </c>
      <c r="FMN292" s="18">
        <v>0</v>
      </c>
      <c r="FMO292" s="18">
        <v>0</v>
      </c>
      <c r="FMP292" s="18">
        <v>0</v>
      </c>
      <c r="FMQ292" s="18">
        <v>0</v>
      </c>
      <c r="FMR292" s="18">
        <v>0</v>
      </c>
      <c r="FMS292" s="18">
        <v>0</v>
      </c>
      <c r="FMT292" s="18">
        <v>0</v>
      </c>
      <c r="FMU292" s="18">
        <v>0</v>
      </c>
      <c r="FMV292" s="18">
        <v>0</v>
      </c>
      <c r="FMW292" s="18">
        <v>0</v>
      </c>
      <c r="FMX292" s="18">
        <v>0</v>
      </c>
      <c r="FMY292" s="18">
        <v>0</v>
      </c>
      <c r="FMZ292" s="18">
        <v>0</v>
      </c>
      <c r="FNA292" s="18">
        <v>0</v>
      </c>
      <c r="FNB292" s="18">
        <v>0</v>
      </c>
      <c r="FNC292" s="18">
        <v>0</v>
      </c>
      <c r="FND292" s="18">
        <v>0</v>
      </c>
      <c r="FNE292" s="18">
        <v>0</v>
      </c>
      <c r="FNF292" s="18">
        <v>0</v>
      </c>
      <c r="FNG292" s="18">
        <v>0</v>
      </c>
      <c r="FNH292" s="18">
        <v>0</v>
      </c>
      <c r="FNI292" s="18">
        <v>0</v>
      </c>
      <c r="FNJ292" s="18">
        <v>0</v>
      </c>
      <c r="FNK292" s="18">
        <v>0</v>
      </c>
      <c r="FNL292" s="18">
        <v>0</v>
      </c>
      <c r="FNM292" s="18">
        <v>0</v>
      </c>
      <c r="FNN292" s="18">
        <v>0</v>
      </c>
      <c r="FNO292" s="18">
        <v>0</v>
      </c>
      <c r="FNP292" s="18">
        <v>0</v>
      </c>
      <c r="FNQ292" s="18">
        <v>0</v>
      </c>
      <c r="FNR292" s="18">
        <v>0</v>
      </c>
      <c r="FNS292" s="18">
        <v>0</v>
      </c>
      <c r="FNT292" s="18">
        <v>0</v>
      </c>
      <c r="FNU292" s="18">
        <v>0</v>
      </c>
      <c r="FNV292" s="18">
        <v>0</v>
      </c>
      <c r="FNW292" s="18">
        <v>0</v>
      </c>
      <c r="FNX292" s="18">
        <v>0</v>
      </c>
      <c r="FNY292" s="18">
        <v>0</v>
      </c>
      <c r="FNZ292" s="18">
        <v>0</v>
      </c>
      <c r="FOA292" s="18">
        <v>0</v>
      </c>
      <c r="FOB292" s="18">
        <v>0</v>
      </c>
      <c r="FOC292" s="18">
        <v>0</v>
      </c>
      <c r="FOD292" s="18">
        <v>0</v>
      </c>
      <c r="FOE292" s="18">
        <v>0</v>
      </c>
      <c r="FOF292" s="18">
        <v>0</v>
      </c>
      <c r="FOG292" s="18">
        <v>0</v>
      </c>
      <c r="FOH292" s="18">
        <v>0</v>
      </c>
      <c r="FOI292" s="18">
        <v>0</v>
      </c>
      <c r="FOJ292" s="18">
        <v>0</v>
      </c>
      <c r="FOK292" s="18">
        <v>0</v>
      </c>
      <c r="FOL292" s="18">
        <v>0</v>
      </c>
      <c r="FOM292" s="18">
        <v>0</v>
      </c>
      <c r="FON292" s="18">
        <v>0</v>
      </c>
      <c r="FOO292" s="18">
        <v>0</v>
      </c>
      <c r="FOP292" s="18">
        <v>0</v>
      </c>
      <c r="FOQ292" s="18">
        <v>0</v>
      </c>
      <c r="FOR292" s="18">
        <v>0</v>
      </c>
      <c r="FOS292" s="18">
        <v>0</v>
      </c>
      <c r="FOT292" s="18">
        <v>0</v>
      </c>
      <c r="FOU292" s="18">
        <v>0</v>
      </c>
      <c r="FOV292" s="18">
        <v>0</v>
      </c>
      <c r="FOW292" s="18">
        <v>0</v>
      </c>
      <c r="FOX292" s="18">
        <v>0</v>
      </c>
      <c r="FOY292" s="18">
        <v>0</v>
      </c>
      <c r="FOZ292" s="18">
        <v>0</v>
      </c>
      <c r="FPA292" s="18">
        <v>0</v>
      </c>
      <c r="FPB292" s="18">
        <v>0</v>
      </c>
      <c r="FPC292" s="18">
        <v>0</v>
      </c>
      <c r="FPD292" s="18">
        <v>0</v>
      </c>
      <c r="FPE292" s="18">
        <v>0</v>
      </c>
      <c r="FPF292" s="18">
        <v>0</v>
      </c>
      <c r="FPG292" s="18">
        <v>0</v>
      </c>
      <c r="FPH292" s="18">
        <v>0</v>
      </c>
      <c r="FPI292" s="18">
        <v>0</v>
      </c>
      <c r="FPJ292" s="18">
        <v>0</v>
      </c>
      <c r="FPK292" s="18">
        <v>0</v>
      </c>
      <c r="FPL292" s="18">
        <v>0</v>
      </c>
      <c r="FPM292" s="18">
        <v>0</v>
      </c>
      <c r="FPN292" s="18">
        <v>0</v>
      </c>
      <c r="FPO292" s="18">
        <v>0</v>
      </c>
      <c r="FPP292" s="18">
        <v>0</v>
      </c>
      <c r="FPQ292" s="18">
        <v>0</v>
      </c>
      <c r="FPR292" s="18">
        <v>0</v>
      </c>
      <c r="FPS292" s="18">
        <v>0</v>
      </c>
      <c r="FPT292" s="18">
        <v>0</v>
      </c>
      <c r="FPU292" s="18">
        <v>0</v>
      </c>
      <c r="FPV292" s="18">
        <v>0</v>
      </c>
      <c r="FPW292" s="18">
        <v>0</v>
      </c>
      <c r="FPX292" s="18">
        <v>0</v>
      </c>
      <c r="FPY292" s="18">
        <v>0</v>
      </c>
      <c r="FPZ292" s="18">
        <v>0</v>
      </c>
      <c r="FQA292" s="18">
        <v>0</v>
      </c>
      <c r="FQB292" s="18">
        <v>0</v>
      </c>
      <c r="FQC292" s="18">
        <v>0</v>
      </c>
      <c r="FQD292" s="18">
        <v>0</v>
      </c>
      <c r="FQE292" s="18">
        <v>0</v>
      </c>
      <c r="FQF292" s="18">
        <v>0</v>
      </c>
      <c r="FQG292" s="18">
        <v>0</v>
      </c>
      <c r="FQH292" s="18">
        <v>0</v>
      </c>
      <c r="FQI292" s="18">
        <v>0</v>
      </c>
      <c r="FQJ292" s="18">
        <v>0</v>
      </c>
      <c r="FQK292" s="18">
        <v>0</v>
      </c>
      <c r="FQL292" s="18">
        <v>0</v>
      </c>
      <c r="FQM292" s="18">
        <v>0</v>
      </c>
      <c r="FQN292" s="18">
        <v>0</v>
      </c>
      <c r="FQO292" s="18">
        <v>0</v>
      </c>
      <c r="FQP292" s="18">
        <v>0</v>
      </c>
      <c r="FQQ292" s="18">
        <v>0</v>
      </c>
      <c r="FQR292" s="18">
        <v>0</v>
      </c>
      <c r="FQS292" s="18">
        <v>0</v>
      </c>
      <c r="FQT292" s="18">
        <v>0</v>
      </c>
      <c r="FQU292" s="18">
        <v>0</v>
      </c>
      <c r="FQV292" s="18">
        <v>0</v>
      </c>
      <c r="FQW292" s="18">
        <v>0</v>
      </c>
      <c r="FQX292" s="18">
        <v>0</v>
      </c>
      <c r="FQY292" s="18">
        <v>0</v>
      </c>
      <c r="FQZ292" s="18">
        <v>0</v>
      </c>
      <c r="FRA292" s="18">
        <v>0</v>
      </c>
      <c r="FRB292" s="18">
        <v>0</v>
      </c>
      <c r="FRC292" s="18">
        <v>0</v>
      </c>
      <c r="FRD292" s="18">
        <v>0</v>
      </c>
      <c r="FRE292" s="18">
        <v>0</v>
      </c>
      <c r="FRF292" s="18">
        <v>0</v>
      </c>
      <c r="FRG292" s="18">
        <v>0</v>
      </c>
      <c r="FRH292" s="18">
        <v>0</v>
      </c>
      <c r="FRI292" s="18">
        <v>0</v>
      </c>
      <c r="FRJ292" s="18">
        <v>0</v>
      </c>
      <c r="FRK292" s="18">
        <v>0</v>
      </c>
      <c r="FRL292" s="18">
        <v>0</v>
      </c>
      <c r="FRM292" s="18">
        <v>0</v>
      </c>
      <c r="FRN292" s="18">
        <v>0</v>
      </c>
      <c r="FRO292" s="18">
        <v>0</v>
      </c>
      <c r="FRP292" s="18">
        <v>0</v>
      </c>
      <c r="FRQ292" s="18">
        <v>0</v>
      </c>
      <c r="FRR292" s="18">
        <v>0</v>
      </c>
      <c r="FRS292" s="18">
        <v>0</v>
      </c>
      <c r="FRT292" s="18">
        <v>0</v>
      </c>
      <c r="FRU292" s="18">
        <v>0</v>
      </c>
      <c r="FRV292" s="18">
        <v>0</v>
      </c>
      <c r="FRW292" s="18">
        <v>0</v>
      </c>
      <c r="FRX292" s="18">
        <v>0</v>
      </c>
      <c r="FRY292" s="18">
        <v>0</v>
      </c>
      <c r="FRZ292" s="18">
        <v>0</v>
      </c>
      <c r="FSA292" s="18">
        <v>0</v>
      </c>
      <c r="FSB292" s="18">
        <v>0</v>
      </c>
      <c r="FSC292" s="18">
        <v>0</v>
      </c>
      <c r="FSD292" s="18">
        <v>0</v>
      </c>
      <c r="FSE292" s="18">
        <v>0</v>
      </c>
      <c r="FSF292" s="18">
        <v>0</v>
      </c>
      <c r="FSG292" s="18">
        <v>0</v>
      </c>
      <c r="FSH292" s="18">
        <v>0</v>
      </c>
      <c r="FSI292" s="18">
        <v>0</v>
      </c>
      <c r="FSJ292" s="18">
        <v>0</v>
      </c>
      <c r="FSK292" s="18">
        <v>0</v>
      </c>
      <c r="FSL292" s="18">
        <v>0</v>
      </c>
      <c r="FSM292" s="18">
        <v>0</v>
      </c>
      <c r="FSN292" s="18">
        <v>0</v>
      </c>
      <c r="FSO292" s="18">
        <v>0</v>
      </c>
      <c r="FSP292" s="18">
        <v>0</v>
      </c>
      <c r="FSQ292" s="18">
        <v>0</v>
      </c>
      <c r="FSR292" s="18">
        <v>0</v>
      </c>
      <c r="FSS292" s="18">
        <v>0</v>
      </c>
      <c r="FST292" s="18">
        <v>0</v>
      </c>
      <c r="FSU292" s="18">
        <v>0</v>
      </c>
      <c r="FSV292" s="18">
        <v>0</v>
      </c>
      <c r="FSW292" s="18">
        <v>0</v>
      </c>
      <c r="FSX292" s="18">
        <v>0</v>
      </c>
      <c r="FSY292" s="18">
        <v>0</v>
      </c>
      <c r="FSZ292" s="18">
        <v>0</v>
      </c>
      <c r="FTA292" s="18">
        <v>0</v>
      </c>
      <c r="FTB292" s="18">
        <v>0</v>
      </c>
      <c r="FTC292" s="18">
        <v>0</v>
      </c>
      <c r="FTD292" s="18">
        <v>0</v>
      </c>
      <c r="FTE292" s="18">
        <v>0</v>
      </c>
      <c r="FTF292" s="18">
        <v>0</v>
      </c>
      <c r="FTG292" s="18">
        <v>0</v>
      </c>
      <c r="FTH292" s="18">
        <v>0</v>
      </c>
      <c r="FTI292" s="18">
        <v>0</v>
      </c>
      <c r="FTJ292" s="18">
        <v>0</v>
      </c>
      <c r="FTK292" s="18">
        <v>0</v>
      </c>
      <c r="FTL292" s="18">
        <v>0</v>
      </c>
      <c r="FTM292" s="18">
        <v>0</v>
      </c>
      <c r="FTN292" s="18">
        <v>0</v>
      </c>
      <c r="FTO292" s="18">
        <v>0</v>
      </c>
      <c r="FTP292" s="18">
        <v>0</v>
      </c>
      <c r="FTQ292" s="18">
        <v>0</v>
      </c>
      <c r="FTR292" s="18">
        <v>0</v>
      </c>
      <c r="FTS292" s="18">
        <v>0</v>
      </c>
      <c r="FTT292" s="18">
        <v>0</v>
      </c>
      <c r="FTU292" s="18">
        <v>0</v>
      </c>
      <c r="FTV292" s="18">
        <v>0</v>
      </c>
      <c r="FTW292" s="18">
        <v>0</v>
      </c>
      <c r="FTX292" s="18">
        <v>0</v>
      </c>
      <c r="FTY292" s="18">
        <v>0</v>
      </c>
      <c r="FTZ292" s="18">
        <v>0</v>
      </c>
      <c r="FUA292" s="18">
        <v>0</v>
      </c>
      <c r="FUB292" s="18">
        <v>0</v>
      </c>
      <c r="FUC292" s="18">
        <v>0</v>
      </c>
      <c r="FUD292" s="18">
        <v>0</v>
      </c>
      <c r="FUE292" s="18">
        <v>0</v>
      </c>
      <c r="FUF292" s="18">
        <v>0</v>
      </c>
      <c r="FUG292" s="18">
        <v>0</v>
      </c>
      <c r="FUH292" s="18">
        <v>0</v>
      </c>
      <c r="FUI292" s="18">
        <v>0</v>
      </c>
      <c r="FUJ292" s="18">
        <v>0</v>
      </c>
      <c r="FUK292" s="18">
        <v>0</v>
      </c>
      <c r="FUL292" s="18">
        <v>0</v>
      </c>
      <c r="FUM292" s="18">
        <v>0</v>
      </c>
      <c r="FUN292" s="18">
        <v>0</v>
      </c>
      <c r="FUO292" s="18">
        <v>0</v>
      </c>
      <c r="FUP292" s="18">
        <v>0</v>
      </c>
      <c r="FUQ292" s="18">
        <v>0</v>
      </c>
      <c r="FUR292" s="18">
        <v>0</v>
      </c>
      <c r="FUS292" s="18">
        <v>0</v>
      </c>
      <c r="FUT292" s="18">
        <v>0</v>
      </c>
      <c r="FUU292" s="18">
        <v>0</v>
      </c>
      <c r="FUV292" s="18">
        <v>0</v>
      </c>
      <c r="FUW292" s="18">
        <v>0</v>
      </c>
      <c r="FUX292" s="18">
        <v>0</v>
      </c>
      <c r="FUY292" s="18">
        <v>0</v>
      </c>
      <c r="FUZ292" s="18">
        <v>0</v>
      </c>
      <c r="FVA292" s="18">
        <v>0</v>
      </c>
      <c r="FVB292" s="18">
        <v>0</v>
      </c>
      <c r="FVC292" s="18">
        <v>0</v>
      </c>
      <c r="FVD292" s="18">
        <v>0</v>
      </c>
      <c r="FVE292" s="18">
        <v>0</v>
      </c>
      <c r="FVF292" s="18">
        <v>0</v>
      </c>
      <c r="FVG292" s="18">
        <v>0</v>
      </c>
      <c r="FVH292" s="18">
        <v>0</v>
      </c>
      <c r="FVI292" s="18">
        <v>0</v>
      </c>
      <c r="FVJ292" s="18">
        <v>0</v>
      </c>
      <c r="FVK292" s="18">
        <v>0</v>
      </c>
      <c r="FVL292" s="18">
        <v>0</v>
      </c>
      <c r="FVM292" s="18">
        <v>0</v>
      </c>
      <c r="FVN292" s="18">
        <v>0</v>
      </c>
      <c r="FVO292" s="18">
        <v>0</v>
      </c>
      <c r="FVP292" s="18">
        <v>0</v>
      </c>
      <c r="FVQ292" s="18">
        <v>0</v>
      </c>
      <c r="FVR292" s="18">
        <v>0</v>
      </c>
      <c r="FVS292" s="18">
        <v>0</v>
      </c>
      <c r="FVT292" s="18">
        <v>0</v>
      </c>
      <c r="FVU292" s="18">
        <v>0</v>
      </c>
      <c r="FVV292" s="18">
        <v>0</v>
      </c>
      <c r="FVW292" s="18">
        <v>0</v>
      </c>
      <c r="FVX292" s="18">
        <v>0</v>
      </c>
      <c r="FVY292" s="18">
        <v>0</v>
      </c>
      <c r="FVZ292" s="18">
        <v>0</v>
      </c>
      <c r="FWA292" s="18">
        <v>0</v>
      </c>
      <c r="FWB292" s="18">
        <v>0</v>
      </c>
      <c r="FWC292" s="18">
        <v>0</v>
      </c>
      <c r="FWD292" s="18">
        <v>0</v>
      </c>
      <c r="FWE292" s="18">
        <v>0</v>
      </c>
      <c r="FWF292" s="18">
        <v>0</v>
      </c>
      <c r="FWG292" s="18">
        <v>0</v>
      </c>
      <c r="FWH292" s="18">
        <v>0</v>
      </c>
      <c r="FWI292" s="18">
        <v>0</v>
      </c>
      <c r="FWJ292" s="18">
        <v>0</v>
      </c>
      <c r="FWK292" s="18">
        <v>0</v>
      </c>
      <c r="FWL292" s="18">
        <v>0</v>
      </c>
      <c r="FWM292" s="18">
        <v>0</v>
      </c>
      <c r="FWN292" s="18">
        <v>0</v>
      </c>
      <c r="FWO292" s="18">
        <v>0</v>
      </c>
      <c r="FWP292" s="18">
        <v>0</v>
      </c>
      <c r="FWQ292" s="18">
        <v>0</v>
      </c>
      <c r="FWR292" s="18">
        <v>0</v>
      </c>
      <c r="FWS292" s="18">
        <v>0</v>
      </c>
      <c r="FWT292" s="18">
        <v>0</v>
      </c>
      <c r="FWU292" s="18">
        <v>0</v>
      </c>
      <c r="FWV292" s="18">
        <v>0</v>
      </c>
      <c r="FWW292" s="18">
        <v>0</v>
      </c>
      <c r="FWX292" s="18">
        <v>0</v>
      </c>
      <c r="FWY292" s="18">
        <v>0</v>
      </c>
      <c r="FWZ292" s="18">
        <v>0</v>
      </c>
      <c r="FXA292" s="18">
        <v>0</v>
      </c>
      <c r="FXB292" s="18">
        <v>0</v>
      </c>
      <c r="FXC292" s="18">
        <v>0</v>
      </c>
      <c r="FXD292" s="18">
        <v>0</v>
      </c>
      <c r="FXE292" s="18">
        <v>0</v>
      </c>
      <c r="FXF292" s="18">
        <v>0</v>
      </c>
      <c r="FXG292" s="18">
        <v>0</v>
      </c>
      <c r="FXH292" s="18">
        <v>0</v>
      </c>
      <c r="FXI292" s="18">
        <v>0</v>
      </c>
      <c r="FXJ292" s="18">
        <v>0</v>
      </c>
      <c r="FXK292" s="18">
        <v>0</v>
      </c>
      <c r="FXL292" s="18">
        <v>0</v>
      </c>
      <c r="FXM292" s="18">
        <v>0</v>
      </c>
      <c r="FXN292" s="18">
        <v>0</v>
      </c>
      <c r="FXO292" s="18">
        <v>0</v>
      </c>
      <c r="FXP292" s="18">
        <v>0</v>
      </c>
      <c r="FXQ292" s="18">
        <v>0</v>
      </c>
      <c r="FXR292" s="18">
        <v>0</v>
      </c>
      <c r="FXS292" s="18">
        <v>0</v>
      </c>
      <c r="FXT292" s="18">
        <v>0</v>
      </c>
      <c r="FXU292" s="18">
        <v>0</v>
      </c>
      <c r="FXV292" s="18">
        <v>0</v>
      </c>
      <c r="FXW292" s="18">
        <v>0</v>
      </c>
      <c r="FXX292" s="18">
        <v>0</v>
      </c>
      <c r="FXY292" s="18">
        <v>0</v>
      </c>
      <c r="FXZ292" s="18">
        <v>0</v>
      </c>
      <c r="FYA292" s="18">
        <v>0</v>
      </c>
      <c r="FYB292" s="18">
        <v>0</v>
      </c>
      <c r="FYC292" s="18">
        <v>0</v>
      </c>
      <c r="FYD292" s="18">
        <v>0</v>
      </c>
      <c r="FYE292" s="18">
        <v>0</v>
      </c>
      <c r="FYF292" s="18">
        <v>0</v>
      </c>
      <c r="FYG292" s="18">
        <v>0</v>
      </c>
      <c r="FYH292" s="18">
        <v>0</v>
      </c>
      <c r="FYI292" s="18">
        <v>0</v>
      </c>
      <c r="FYJ292" s="18">
        <v>0</v>
      </c>
      <c r="FYK292" s="18">
        <v>0</v>
      </c>
      <c r="FYL292" s="18">
        <v>0</v>
      </c>
      <c r="FYM292" s="18">
        <v>0</v>
      </c>
      <c r="FYN292" s="18">
        <v>0</v>
      </c>
      <c r="FYO292" s="18">
        <v>0</v>
      </c>
      <c r="FYP292" s="18">
        <v>0</v>
      </c>
      <c r="FYQ292" s="18">
        <v>0</v>
      </c>
      <c r="FYR292" s="18">
        <v>0</v>
      </c>
      <c r="FYS292" s="18">
        <v>0</v>
      </c>
      <c r="FYT292" s="18">
        <v>0</v>
      </c>
      <c r="FYU292" s="18">
        <v>0</v>
      </c>
      <c r="FYV292" s="18">
        <v>0</v>
      </c>
      <c r="FYW292" s="18">
        <v>0</v>
      </c>
      <c r="FYX292" s="18">
        <v>0</v>
      </c>
      <c r="FYY292" s="18">
        <v>0</v>
      </c>
      <c r="FYZ292" s="18">
        <v>0</v>
      </c>
      <c r="FZA292" s="18">
        <v>0</v>
      </c>
      <c r="FZB292" s="18">
        <v>0</v>
      </c>
      <c r="FZC292" s="18">
        <v>0</v>
      </c>
      <c r="FZD292" s="18">
        <v>0</v>
      </c>
      <c r="FZE292" s="18">
        <v>0</v>
      </c>
      <c r="FZF292" s="18">
        <v>0</v>
      </c>
      <c r="FZG292" s="18">
        <v>0</v>
      </c>
      <c r="FZH292" s="18">
        <v>0</v>
      </c>
      <c r="FZI292" s="18">
        <v>0</v>
      </c>
      <c r="FZJ292" s="18">
        <v>0</v>
      </c>
      <c r="FZK292" s="18">
        <v>0</v>
      </c>
      <c r="FZL292" s="18">
        <v>0</v>
      </c>
      <c r="FZM292" s="18">
        <v>0</v>
      </c>
      <c r="FZN292" s="18">
        <v>0</v>
      </c>
      <c r="FZO292" s="18">
        <v>0</v>
      </c>
      <c r="FZP292" s="18">
        <v>0</v>
      </c>
      <c r="FZQ292" s="18">
        <v>0</v>
      </c>
      <c r="FZR292" s="18">
        <v>0</v>
      </c>
      <c r="FZS292" s="18">
        <v>0</v>
      </c>
      <c r="FZT292" s="18">
        <v>0</v>
      </c>
      <c r="FZU292" s="18">
        <v>0</v>
      </c>
      <c r="FZV292" s="18">
        <v>0</v>
      </c>
      <c r="FZW292" s="18">
        <v>0</v>
      </c>
      <c r="FZX292" s="18">
        <v>0</v>
      </c>
      <c r="FZY292" s="18">
        <v>0</v>
      </c>
      <c r="FZZ292" s="18">
        <v>0</v>
      </c>
      <c r="GAA292" s="18">
        <v>0</v>
      </c>
      <c r="GAB292" s="18">
        <v>0</v>
      </c>
      <c r="GAC292" s="18">
        <v>0</v>
      </c>
      <c r="GAD292" s="18">
        <v>0</v>
      </c>
      <c r="GAE292" s="18">
        <v>0</v>
      </c>
      <c r="GAF292" s="18">
        <v>0</v>
      </c>
      <c r="GAG292" s="18">
        <v>0</v>
      </c>
      <c r="GAH292" s="18">
        <v>0</v>
      </c>
      <c r="GAI292" s="18">
        <v>0</v>
      </c>
      <c r="GAJ292" s="18">
        <v>0</v>
      </c>
      <c r="GAK292" s="18">
        <v>0</v>
      </c>
      <c r="GAL292" s="18">
        <v>0</v>
      </c>
      <c r="GAM292" s="18">
        <v>0</v>
      </c>
      <c r="GAN292" s="18">
        <v>0</v>
      </c>
      <c r="GAO292" s="18">
        <v>0</v>
      </c>
      <c r="GAP292" s="18">
        <v>0</v>
      </c>
      <c r="GAQ292" s="18">
        <v>0</v>
      </c>
      <c r="GAR292" s="18">
        <v>0</v>
      </c>
      <c r="GAS292" s="18">
        <v>0</v>
      </c>
      <c r="GAT292" s="18">
        <v>0</v>
      </c>
      <c r="GAU292" s="18">
        <v>0</v>
      </c>
      <c r="GAV292" s="18">
        <v>0</v>
      </c>
      <c r="GAW292" s="18">
        <v>0</v>
      </c>
      <c r="GAX292" s="18">
        <v>0</v>
      </c>
      <c r="GAY292" s="18">
        <v>0</v>
      </c>
      <c r="GAZ292" s="18">
        <v>0</v>
      </c>
      <c r="GBA292" s="18">
        <v>0</v>
      </c>
      <c r="GBB292" s="18">
        <v>0</v>
      </c>
      <c r="GBC292" s="18">
        <v>0</v>
      </c>
      <c r="GBD292" s="18">
        <v>0</v>
      </c>
      <c r="GBE292" s="18">
        <v>0</v>
      </c>
      <c r="GBF292" s="18">
        <v>0</v>
      </c>
      <c r="GBG292" s="18">
        <v>0</v>
      </c>
      <c r="GBH292" s="18">
        <v>0</v>
      </c>
      <c r="GBI292" s="18">
        <v>0</v>
      </c>
      <c r="GBJ292" s="18">
        <v>0</v>
      </c>
      <c r="GBK292" s="18">
        <v>0</v>
      </c>
      <c r="GBL292" s="18">
        <v>0</v>
      </c>
      <c r="GBM292" s="18">
        <v>0</v>
      </c>
      <c r="GBN292" s="18">
        <v>0</v>
      </c>
      <c r="GBO292" s="18">
        <v>0</v>
      </c>
      <c r="GBP292" s="18">
        <v>0</v>
      </c>
      <c r="GBQ292" s="18">
        <v>0</v>
      </c>
      <c r="GBR292" s="18">
        <v>0</v>
      </c>
      <c r="GBS292" s="18">
        <v>0</v>
      </c>
      <c r="GBT292" s="18">
        <v>0</v>
      </c>
      <c r="GBU292" s="18">
        <v>0</v>
      </c>
      <c r="GBV292" s="18">
        <v>0</v>
      </c>
      <c r="GBW292" s="18">
        <v>0</v>
      </c>
      <c r="GBX292" s="18">
        <v>0</v>
      </c>
      <c r="GBY292" s="18">
        <v>0</v>
      </c>
      <c r="GBZ292" s="18">
        <v>0</v>
      </c>
      <c r="GCA292" s="18">
        <v>0</v>
      </c>
      <c r="GCB292" s="18">
        <v>0</v>
      </c>
      <c r="GCC292" s="18">
        <v>0</v>
      </c>
      <c r="GCD292" s="18">
        <v>0</v>
      </c>
      <c r="GCE292" s="18">
        <v>0</v>
      </c>
      <c r="GCF292" s="18">
        <v>0</v>
      </c>
      <c r="GCG292" s="18">
        <v>0</v>
      </c>
      <c r="GCH292" s="18">
        <v>0</v>
      </c>
      <c r="GCI292" s="18">
        <v>0</v>
      </c>
      <c r="GCJ292" s="18">
        <v>0</v>
      </c>
      <c r="GCK292" s="18">
        <v>0</v>
      </c>
      <c r="GCL292" s="18">
        <v>0</v>
      </c>
      <c r="GCM292" s="18">
        <v>0</v>
      </c>
      <c r="GCN292" s="18">
        <v>0</v>
      </c>
      <c r="GCO292" s="18">
        <v>0</v>
      </c>
      <c r="GCP292" s="18">
        <v>0</v>
      </c>
      <c r="GCQ292" s="18">
        <v>0</v>
      </c>
      <c r="GCR292" s="18">
        <v>0</v>
      </c>
      <c r="GCS292" s="18">
        <v>0</v>
      </c>
      <c r="GCT292" s="18">
        <v>0</v>
      </c>
      <c r="GCU292" s="18">
        <v>0</v>
      </c>
      <c r="GCV292" s="18">
        <v>0</v>
      </c>
      <c r="GCW292" s="18">
        <v>0</v>
      </c>
      <c r="GCX292" s="18">
        <v>0</v>
      </c>
      <c r="GCY292" s="18">
        <v>0</v>
      </c>
      <c r="GCZ292" s="18">
        <v>0</v>
      </c>
      <c r="GDA292" s="18">
        <v>0</v>
      </c>
      <c r="GDB292" s="18">
        <v>0</v>
      </c>
      <c r="GDC292" s="18">
        <v>0</v>
      </c>
      <c r="GDD292" s="18">
        <v>0</v>
      </c>
      <c r="GDE292" s="18">
        <v>0</v>
      </c>
      <c r="GDF292" s="18">
        <v>0</v>
      </c>
      <c r="GDG292" s="18">
        <v>0</v>
      </c>
      <c r="GDH292" s="18">
        <v>0</v>
      </c>
      <c r="GDI292" s="18">
        <v>0</v>
      </c>
      <c r="GDJ292" s="18">
        <v>0</v>
      </c>
      <c r="GDK292" s="18">
        <v>0</v>
      </c>
      <c r="GDL292" s="18">
        <v>0</v>
      </c>
      <c r="GDM292" s="18">
        <v>0</v>
      </c>
      <c r="GDN292" s="18">
        <v>0</v>
      </c>
      <c r="GDO292" s="18">
        <v>0</v>
      </c>
      <c r="GDP292" s="18">
        <v>0</v>
      </c>
      <c r="GDQ292" s="18">
        <v>0</v>
      </c>
      <c r="GDR292" s="18">
        <v>0</v>
      </c>
      <c r="GDS292" s="18">
        <v>0</v>
      </c>
      <c r="GDT292" s="18">
        <v>0</v>
      </c>
      <c r="GDU292" s="18">
        <v>0</v>
      </c>
      <c r="GDV292" s="18">
        <v>0</v>
      </c>
      <c r="GDW292" s="18">
        <v>0</v>
      </c>
      <c r="GDX292" s="18">
        <v>0</v>
      </c>
      <c r="GDY292" s="18">
        <v>0</v>
      </c>
      <c r="GDZ292" s="18">
        <v>0</v>
      </c>
      <c r="GEA292" s="18">
        <v>0</v>
      </c>
      <c r="GEB292" s="18">
        <v>0</v>
      </c>
      <c r="GEC292" s="18">
        <v>0</v>
      </c>
      <c r="GED292" s="18">
        <v>0</v>
      </c>
      <c r="GEE292" s="18">
        <v>0</v>
      </c>
      <c r="GEF292" s="18">
        <v>0</v>
      </c>
      <c r="GEG292" s="18">
        <v>0</v>
      </c>
      <c r="GEH292" s="18">
        <v>0</v>
      </c>
      <c r="GEI292" s="18">
        <v>0</v>
      </c>
      <c r="GEJ292" s="18">
        <v>0</v>
      </c>
      <c r="GEK292" s="18">
        <v>0</v>
      </c>
      <c r="GEL292" s="18">
        <v>0</v>
      </c>
      <c r="GEM292" s="18">
        <v>0</v>
      </c>
      <c r="GEN292" s="18">
        <v>0</v>
      </c>
      <c r="GEO292" s="18">
        <v>0</v>
      </c>
      <c r="GEP292" s="18">
        <v>0</v>
      </c>
      <c r="GEQ292" s="18">
        <v>0</v>
      </c>
      <c r="GER292" s="18">
        <v>0</v>
      </c>
      <c r="GES292" s="18">
        <v>0</v>
      </c>
      <c r="GET292" s="18">
        <v>0</v>
      </c>
      <c r="GEU292" s="18">
        <v>0</v>
      </c>
      <c r="GEV292" s="18">
        <v>0</v>
      </c>
      <c r="GEW292" s="18">
        <v>0</v>
      </c>
      <c r="GEX292" s="18">
        <v>0</v>
      </c>
      <c r="GEY292" s="18">
        <v>0</v>
      </c>
      <c r="GEZ292" s="18">
        <v>0</v>
      </c>
      <c r="GFA292" s="18">
        <v>0</v>
      </c>
      <c r="GFB292" s="18">
        <v>0</v>
      </c>
      <c r="GFC292" s="18">
        <v>0</v>
      </c>
      <c r="GFD292" s="18">
        <v>0</v>
      </c>
      <c r="GFE292" s="18">
        <v>0</v>
      </c>
      <c r="GFF292" s="18">
        <v>0</v>
      </c>
      <c r="GFG292" s="18">
        <v>0</v>
      </c>
      <c r="GFH292" s="18">
        <v>0</v>
      </c>
      <c r="GFI292" s="18">
        <v>0</v>
      </c>
      <c r="GFJ292" s="18">
        <v>0</v>
      </c>
      <c r="GFK292" s="18">
        <v>0</v>
      </c>
      <c r="GFL292" s="18">
        <v>0</v>
      </c>
      <c r="GFM292" s="18">
        <v>0</v>
      </c>
      <c r="GFN292" s="18">
        <v>0</v>
      </c>
      <c r="GFO292" s="18">
        <v>0</v>
      </c>
      <c r="GFP292" s="18">
        <v>0</v>
      </c>
      <c r="GFQ292" s="18">
        <v>0</v>
      </c>
      <c r="GFR292" s="18">
        <v>0</v>
      </c>
      <c r="GFS292" s="18">
        <v>0</v>
      </c>
      <c r="GFT292" s="18">
        <v>0</v>
      </c>
      <c r="GFU292" s="18">
        <v>0</v>
      </c>
      <c r="GFV292" s="18">
        <v>0</v>
      </c>
      <c r="GFW292" s="18">
        <v>0</v>
      </c>
      <c r="GFX292" s="18">
        <v>0</v>
      </c>
      <c r="GFY292" s="18">
        <v>0</v>
      </c>
      <c r="GFZ292" s="18">
        <v>0</v>
      </c>
      <c r="GGA292" s="18">
        <v>0</v>
      </c>
      <c r="GGB292" s="18">
        <v>0</v>
      </c>
      <c r="GGC292" s="18">
        <v>0</v>
      </c>
      <c r="GGD292" s="18">
        <v>0</v>
      </c>
      <c r="GGE292" s="18">
        <v>0</v>
      </c>
      <c r="GGF292" s="18">
        <v>0</v>
      </c>
      <c r="GGG292" s="18">
        <v>0</v>
      </c>
      <c r="GGH292" s="18">
        <v>0</v>
      </c>
      <c r="GGI292" s="18">
        <v>0</v>
      </c>
      <c r="GGJ292" s="18">
        <v>0</v>
      </c>
      <c r="GGK292" s="18">
        <v>0</v>
      </c>
      <c r="GGL292" s="18">
        <v>0</v>
      </c>
      <c r="GGM292" s="18">
        <v>0</v>
      </c>
      <c r="GGN292" s="18">
        <v>0</v>
      </c>
      <c r="GGO292" s="18">
        <v>0</v>
      </c>
      <c r="GGP292" s="18">
        <v>0</v>
      </c>
      <c r="GGQ292" s="18">
        <v>0</v>
      </c>
      <c r="GGR292" s="18">
        <v>0</v>
      </c>
      <c r="GGS292" s="18">
        <v>0</v>
      </c>
      <c r="GGT292" s="18">
        <v>0</v>
      </c>
      <c r="GGU292" s="18">
        <v>0</v>
      </c>
      <c r="GGV292" s="18">
        <v>0</v>
      </c>
      <c r="GGW292" s="18">
        <v>0</v>
      </c>
      <c r="GGX292" s="18">
        <v>0</v>
      </c>
      <c r="GGY292" s="18">
        <v>0</v>
      </c>
      <c r="GGZ292" s="18">
        <v>0</v>
      </c>
      <c r="GHA292" s="18">
        <v>0</v>
      </c>
      <c r="GHB292" s="18">
        <v>0</v>
      </c>
      <c r="GHC292" s="18">
        <v>0</v>
      </c>
      <c r="GHD292" s="18">
        <v>0</v>
      </c>
      <c r="GHE292" s="18">
        <v>0</v>
      </c>
      <c r="GHF292" s="18">
        <v>0</v>
      </c>
      <c r="GHG292" s="18">
        <v>0</v>
      </c>
      <c r="GHH292" s="18">
        <v>0</v>
      </c>
      <c r="GHI292" s="18">
        <v>0</v>
      </c>
      <c r="GHJ292" s="18">
        <v>0</v>
      </c>
      <c r="GHK292" s="18">
        <v>0</v>
      </c>
      <c r="GHL292" s="18">
        <v>0</v>
      </c>
      <c r="GHM292" s="18">
        <v>0</v>
      </c>
      <c r="GHN292" s="18">
        <v>0</v>
      </c>
      <c r="GHO292" s="18">
        <v>0</v>
      </c>
      <c r="GHP292" s="18">
        <v>0</v>
      </c>
      <c r="GHQ292" s="18">
        <v>0</v>
      </c>
      <c r="GHR292" s="18">
        <v>0</v>
      </c>
      <c r="GHS292" s="18">
        <v>0</v>
      </c>
      <c r="GHT292" s="18">
        <v>0</v>
      </c>
      <c r="GHU292" s="18">
        <v>0</v>
      </c>
      <c r="GHV292" s="18">
        <v>0</v>
      </c>
      <c r="GHW292" s="18">
        <v>0</v>
      </c>
      <c r="GHX292" s="18">
        <v>0</v>
      </c>
      <c r="GHY292" s="18">
        <v>0</v>
      </c>
      <c r="GHZ292" s="18">
        <v>0</v>
      </c>
      <c r="GIA292" s="18">
        <v>0</v>
      </c>
      <c r="GIB292" s="18">
        <v>0</v>
      </c>
      <c r="GIC292" s="18">
        <v>0</v>
      </c>
      <c r="GID292" s="18">
        <v>0</v>
      </c>
      <c r="GIE292" s="18">
        <v>0</v>
      </c>
      <c r="GIF292" s="18">
        <v>0</v>
      </c>
      <c r="GIG292" s="18">
        <v>0</v>
      </c>
      <c r="GIH292" s="18">
        <v>0</v>
      </c>
      <c r="GII292" s="18">
        <v>0</v>
      </c>
      <c r="GIJ292" s="18">
        <v>0</v>
      </c>
      <c r="GIK292" s="18">
        <v>0</v>
      </c>
      <c r="GIL292" s="18">
        <v>0</v>
      </c>
      <c r="GIM292" s="18">
        <v>0</v>
      </c>
      <c r="GIN292" s="18">
        <v>0</v>
      </c>
      <c r="GIO292" s="18">
        <v>0</v>
      </c>
      <c r="GIP292" s="18">
        <v>0</v>
      </c>
      <c r="GIQ292" s="18">
        <v>0</v>
      </c>
      <c r="GIR292" s="18">
        <v>0</v>
      </c>
      <c r="GIS292" s="18">
        <v>0</v>
      </c>
      <c r="GIT292" s="18">
        <v>0</v>
      </c>
      <c r="GIU292" s="18">
        <v>0</v>
      </c>
      <c r="GIV292" s="18">
        <v>0</v>
      </c>
      <c r="GIW292" s="18">
        <v>0</v>
      </c>
      <c r="GIX292" s="18">
        <v>0</v>
      </c>
      <c r="GIY292" s="18">
        <v>0</v>
      </c>
      <c r="GIZ292" s="18">
        <v>0</v>
      </c>
      <c r="GJA292" s="18">
        <v>0</v>
      </c>
      <c r="GJB292" s="18">
        <v>0</v>
      </c>
      <c r="GJC292" s="18">
        <v>0</v>
      </c>
      <c r="GJD292" s="18">
        <v>0</v>
      </c>
      <c r="GJE292" s="18">
        <v>0</v>
      </c>
      <c r="GJF292" s="18">
        <v>0</v>
      </c>
      <c r="GJG292" s="18">
        <v>0</v>
      </c>
      <c r="GJH292" s="18">
        <v>0</v>
      </c>
      <c r="GJI292" s="18">
        <v>0</v>
      </c>
      <c r="GJJ292" s="18">
        <v>0</v>
      </c>
      <c r="GJK292" s="18">
        <v>0</v>
      </c>
      <c r="GJL292" s="18">
        <v>0</v>
      </c>
      <c r="GJM292" s="18">
        <v>0</v>
      </c>
      <c r="GJN292" s="18">
        <v>0</v>
      </c>
      <c r="GJO292" s="18">
        <v>0</v>
      </c>
      <c r="GJP292" s="18">
        <v>0</v>
      </c>
      <c r="GJQ292" s="18">
        <v>0</v>
      </c>
      <c r="GJR292" s="18">
        <v>0</v>
      </c>
      <c r="GJS292" s="18">
        <v>0</v>
      </c>
      <c r="GJT292" s="18">
        <v>0</v>
      </c>
      <c r="GJU292" s="18">
        <v>0</v>
      </c>
      <c r="GJV292" s="18">
        <v>0</v>
      </c>
      <c r="GJW292" s="18">
        <v>0</v>
      </c>
      <c r="GJX292" s="18">
        <v>0</v>
      </c>
      <c r="GJY292" s="18">
        <v>0</v>
      </c>
      <c r="GJZ292" s="18">
        <v>0</v>
      </c>
      <c r="GKA292" s="18">
        <v>0</v>
      </c>
      <c r="GKB292" s="18">
        <v>0</v>
      </c>
      <c r="GKC292" s="18">
        <v>0</v>
      </c>
      <c r="GKD292" s="18">
        <v>0</v>
      </c>
      <c r="GKE292" s="18">
        <v>0</v>
      </c>
      <c r="GKF292" s="18">
        <v>0</v>
      </c>
      <c r="GKG292" s="18">
        <v>0</v>
      </c>
      <c r="GKH292" s="18">
        <v>0</v>
      </c>
      <c r="GKI292" s="18">
        <v>0</v>
      </c>
      <c r="GKJ292" s="18">
        <v>0</v>
      </c>
      <c r="GKK292" s="18">
        <v>0</v>
      </c>
      <c r="GKL292" s="18">
        <v>0</v>
      </c>
      <c r="GKM292" s="18">
        <v>0</v>
      </c>
      <c r="GKN292" s="18">
        <v>0</v>
      </c>
      <c r="GKO292" s="18">
        <v>0</v>
      </c>
      <c r="GKP292" s="18">
        <v>0</v>
      </c>
      <c r="GKQ292" s="18">
        <v>0</v>
      </c>
      <c r="GKR292" s="18">
        <v>0</v>
      </c>
      <c r="GKS292" s="18">
        <v>0</v>
      </c>
      <c r="GKT292" s="18">
        <v>0</v>
      </c>
      <c r="GKU292" s="18">
        <v>0</v>
      </c>
      <c r="GKV292" s="18">
        <v>0</v>
      </c>
      <c r="GKW292" s="18">
        <v>0</v>
      </c>
      <c r="GKX292" s="18">
        <v>0</v>
      </c>
      <c r="GKY292" s="18">
        <v>0</v>
      </c>
      <c r="GKZ292" s="18">
        <v>0</v>
      </c>
      <c r="GLA292" s="18">
        <v>0</v>
      </c>
      <c r="GLB292" s="18">
        <v>0</v>
      </c>
      <c r="GLC292" s="18">
        <v>0</v>
      </c>
      <c r="GLD292" s="18">
        <v>0</v>
      </c>
      <c r="GLE292" s="18">
        <v>0</v>
      </c>
      <c r="GLF292" s="18">
        <v>0</v>
      </c>
      <c r="GLG292" s="18">
        <v>0</v>
      </c>
      <c r="GLH292" s="18">
        <v>0</v>
      </c>
      <c r="GLI292" s="18">
        <v>0</v>
      </c>
      <c r="GLJ292" s="18">
        <v>0</v>
      </c>
      <c r="GLK292" s="18">
        <v>0</v>
      </c>
      <c r="GLL292" s="18">
        <v>0</v>
      </c>
      <c r="GLM292" s="18">
        <v>0</v>
      </c>
      <c r="GLN292" s="18">
        <v>0</v>
      </c>
      <c r="GLO292" s="18">
        <v>0</v>
      </c>
      <c r="GLP292" s="18">
        <v>0</v>
      </c>
      <c r="GLQ292" s="18">
        <v>0</v>
      </c>
      <c r="GLR292" s="18">
        <v>0</v>
      </c>
      <c r="GLS292" s="18">
        <v>0</v>
      </c>
      <c r="GLT292" s="18">
        <v>0</v>
      </c>
      <c r="GLU292" s="18">
        <v>0</v>
      </c>
      <c r="GLV292" s="18">
        <v>0</v>
      </c>
      <c r="GLW292" s="18">
        <v>0</v>
      </c>
      <c r="GLX292" s="18">
        <v>0</v>
      </c>
      <c r="GLY292" s="18">
        <v>0</v>
      </c>
      <c r="GLZ292" s="18">
        <v>0</v>
      </c>
      <c r="GMA292" s="18">
        <v>0</v>
      </c>
      <c r="GMB292" s="18">
        <v>0</v>
      </c>
      <c r="GMC292" s="18">
        <v>0</v>
      </c>
      <c r="GMD292" s="18">
        <v>0</v>
      </c>
      <c r="GME292" s="18">
        <v>0</v>
      </c>
      <c r="GMF292" s="18">
        <v>0</v>
      </c>
      <c r="GMG292" s="18">
        <v>0</v>
      </c>
      <c r="GMH292" s="18">
        <v>0</v>
      </c>
      <c r="GMI292" s="18">
        <v>0</v>
      </c>
      <c r="GMJ292" s="18">
        <v>0</v>
      </c>
      <c r="GMK292" s="18">
        <v>0</v>
      </c>
      <c r="GML292" s="18">
        <v>0</v>
      </c>
      <c r="GMM292" s="18">
        <v>0</v>
      </c>
      <c r="GMN292" s="18">
        <v>0</v>
      </c>
      <c r="GMO292" s="18">
        <v>0</v>
      </c>
      <c r="GMP292" s="18">
        <v>0</v>
      </c>
      <c r="GMQ292" s="18">
        <v>0</v>
      </c>
      <c r="GMR292" s="18">
        <v>0</v>
      </c>
      <c r="GMS292" s="18">
        <v>0</v>
      </c>
      <c r="GMT292" s="18">
        <v>0</v>
      </c>
      <c r="GMU292" s="18">
        <v>0</v>
      </c>
      <c r="GMV292" s="18">
        <v>0</v>
      </c>
      <c r="GMW292" s="18">
        <v>0</v>
      </c>
      <c r="GMX292" s="18">
        <v>0</v>
      </c>
      <c r="GMY292" s="18">
        <v>0</v>
      </c>
      <c r="GMZ292" s="18">
        <v>0</v>
      </c>
      <c r="GNA292" s="18">
        <v>0</v>
      </c>
      <c r="GNB292" s="18">
        <v>0</v>
      </c>
      <c r="GNC292" s="18">
        <v>0</v>
      </c>
      <c r="GND292" s="18">
        <v>0</v>
      </c>
      <c r="GNE292" s="18">
        <v>0</v>
      </c>
      <c r="GNF292" s="18">
        <v>0</v>
      </c>
      <c r="GNG292" s="18">
        <v>0</v>
      </c>
      <c r="GNH292" s="18">
        <v>0</v>
      </c>
      <c r="GNI292" s="18">
        <v>0</v>
      </c>
      <c r="GNJ292" s="18">
        <v>0</v>
      </c>
      <c r="GNK292" s="18">
        <v>0</v>
      </c>
      <c r="GNL292" s="18">
        <v>0</v>
      </c>
      <c r="GNM292" s="18">
        <v>0</v>
      </c>
      <c r="GNN292" s="18">
        <v>0</v>
      </c>
      <c r="GNO292" s="18">
        <v>0</v>
      </c>
      <c r="GNP292" s="18">
        <v>0</v>
      </c>
      <c r="GNQ292" s="18">
        <v>0</v>
      </c>
      <c r="GNR292" s="18">
        <v>0</v>
      </c>
      <c r="GNS292" s="18">
        <v>0</v>
      </c>
      <c r="GNT292" s="18">
        <v>0</v>
      </c>
      <c r="GNU292" s="18">
        <v>0</v>
      </c>
      <c r="GNV292" s="18">
        <v>0</v>
      </c>
      <c r="GNW292" s="18">
        <v>0</v>
      </c>
      <c r="GNX292" s="18">
        <v>0</v>
      </c>
      <c r="GNY292" s="18">
        <v>0</v>
      </c>
      <c r="GNZ292" s="18">
        <v>0</v>
      </c>
      <c r="GOA292" s="18">
        <v>0</v>
      </c>
      <c r="GOB292" s="18">
        <v>0</v>
      </c>
      <c r="GOC292" s="18">
        <v>0</v>
      </c>
      <c r="GOD292" s="18">
        <v>0</v>
      </c>
      <c r="GOE292" s="18">
        <v>0</v>
      </c>
      <c r="GOF292" s="18">
        <v>0</v>
      </c>
      <c r="GOG292" s="18">
        <v>0</v>
      </c>
      <c r="GOH292" s="18">
        <v>0</v>
      </c>
      <c r="GOI292" s="18">
        <v>0</v>
      </c>
      <c r="GOJ292" s="18">
        <v>0</v>
      </c>
      <c r="GOK292" s="18">
        <v>0</v>
      </c>
      <c r="GOL292" s="18">
        <v>0</v>
      </c>
      <c r="GOM292" s="18">
        <v>0</v>
      </c>
      <c r="GON292" s="18">
        <v>0</v>
      </c>
      <c r="GOO292" s="18">
        <v>0</v>
      </c>
      <c r="GOP292" s="18">
        <v>0</v>
      </c>
      <c r="GOQ292" s="18">
        <v>0</v>
      </c>
      <c r="GOR292" s="18">
        <v>0</v>
      </c>
      <c r="GOS292" s="18">
        <v>0</v>
      </c>
      <c r="GOT292" s="18">
        <v>0</v>
      </c>
      <c r="GOU292" s="18">
        <v>0</v>
      </c>
      <c r="GOV292" s="18">
        <v>0</v>
      </c>
      <c r="GOW292" s="18">
        <v>0</v>
      </c>
      <c r="GOX292" s="18">
        <v>0</v>
      </c>
      <c r="GOY292" s="18">
        <v>0</v>
      </c>
      <c r="GOZ292" s="18">
        <v>0</v>
      </c>
      <c r="GPA292" s="18">
        <v>0</v>
      </c>
      <c r="GPB292" s="18">
        <v>0</v>
      </c>
      <c r="GPC292" s="18">
        <v>0</v>
      </c>
      <c r="GPD292" s="18">
        <v>0</v>
      </c>
      <c r="GPE292" s="18">
        <v>0</v>
      </c>
      <c r="GPF292" s="18">
        <v>0</v>
      </c>
      <c r="GPG292" s="18">
        <v>0</v>
      </c>
      <c r="GPH292" s="18">
        <v>0</v>
      </c>
      <c r="GPI292" s="18">
        <v>0</v>
      </c>
      <c r="GPJ292" s="18">
        <v>0</v>
      </c>
      <c r="GPK292" s="18">
        <v>0</v>
      </c>
      <c r="GPL292" s="18">
        <v>0</v>
      </c>
      <c r="GPM292" s="18">
        <v>0</v>
      </c>
      <c r="GPN292" s="18">
        <v>0</v>
      </c>
      <c r="GPO292" s="18">
        <v>0</v>
      </c>
      <c r="GPP292" s="18">
        <v>0</v>
      </c>
      <c r="GPQ292" s="18">
        <v>0</v>
      </c>
      <c r="GPR292" s="18">
        <v>0</v>
      </c>
      <c r="GPS292" s="18">
        <v>0</v>
      </c>
      <c r="GPT292" s="18">
        <v>0</v>
      </c>
      <c r="GPU292" s="18">
        <v>0</v>
      </c>
      <c r="GPV292" s="18">
        <v>0</v>
      </c>
      <c r="GPW292" s="18">
        <v>0</v>
      </c>
      <c r="GPX292" s="18">
        <v>0</v>
      </c>
      <c r="GPY292" s="18">
        <v>0</v>
      </c>
      <c r="GPZ292" s="18">
        <v>0</v>
      </c>
      <c r="GQA292" s="18">
        <v>0</v>
      </c>
      <c r="GQB292" s="18">
        <v>0</v>
      </c>
      <c r="GQC292" s="18">
        <v>0</v>
      </c>
      <c r="GQD292" s="18">
        <v>0</v>
      </c>
      <c r="GQE292" s="18">
        <v>0</v>
      </c>
      <c r="GQF292" s="18">
        <v>0</v>
      </c>
      <c r="GQG292" s="18">
        <v>0</v>
      </c>
      <c r="GQH292" s="18">
        <v>0</v>
      </c>
      <c r="GQI292" s="18">
        <v>0</v>
      </c>
      <c r="GQJ292" s="18">
        <v>0</v>
      </c>
      <c r="GQK292" s="18">
        <v>0</v>
      </c>
      <c r="GQL292" s="18">
        <v>0</v>
      </c>
      <c r="GQM292" s="18">
        <v>0</v>
      </c>
      <c r="GQN292" s="18">
        <v>0</v>
      </c>
      <c r="GQO292" s="18">
        <v>0</v>
      </c>
      <c r="GQP292" s="18">
        <v>0</v>
      </c>
      <c r="GQQ292" s="18">
        <v>0</v>
      </c>
      <c r="GQR292" s="18">
        <v>0</v>
      </c>
      <c r="GQS292" s="18">
        <v>0</v>
      </c>
      <c r="GQT292" s="18">
        <v>0</v>
      </c>
      <c r="GQU292" s="18">
        <v>0</v>
      </c>
      <c r="GQV292" s="18">
        <v>0</v>
      </c>
      <c r="GQW292" s="18">
        <v>0</v>
      </c>
      <c r="GQX292" s="18">
        <v>0</v>
      </c>
      <c r="GQY292" s="18">
        <v>0</v>
      </c>
      <c r="GQZ292" s="18">
        <v>0</v>
      </c>
      <c r="GRA292" s="18">
        <v>0</v>
      </c>
      <c r="GRB292" s="18">
        <v>0</v>
      </c>
      <c r="GRC292" s="18">
        <v>0</v>
      </c>
      <c r="GRD292" s="18">
        <v>0</v>
      </c>
      <c r="GRE292" s="18">
        <v>0</v>
      </c>
      <c r="GRF292" s="18">
        <v>0</v>
      </c>
      <c r="GRG292" s="18">
        <v>0</v>
      </c>
      <c r="GRH292" s="18">
        <v>0</v>
      </c>
      <c r="GRI292" s="18">
        <v>0</v>
      </c>
      <c r="GRJ292" s="18">
        <v>0</v>
      </c>
      <c r="GRK292" s="18">
        <v>0</v>
      </c>
      <c r="GRL292" s="18">
        <v>0</v>
      </c>
      <c r="GRM292" s="18">
        <v>0</v>
      </c>
      <c r="GRN292" s="18">
        <v>0</v>
      </c>
      <c r="GRO292" s="18">
        <v>0</v>
      </c>
      <c r="GRP292" s="18">
        <v>0</v>
      </c>
      <c r="GRQ292" s="18">
        <v>0</v>
      </c>
      <c r="GRR292" s="18">
        <v>0</v>
      </c>
      <c r="GRS292" s="18">
        <v>0</v>
      </c>
      <c r="GRT292" s="18">
        <v>0</v>
      </c>
      <c r="GRU292" s="18">
        <v>0</v>
      </c>
      <c r="GRV292" s="18">
        <v>0</v>
      </c>
      <c r="GRW292" s="18">
        <v>0</v>
      </c>
      <c r="GRX292" s="18">
        <v>0</v>
      </c>
      <c r="GRY292" s="18">
        <v>0</v>
      </c>
      <c r="GRZ292" s="18">
        <v>0</v>
      </c>
      <c r="GSA292" s="18">
        <v>0</v>
      </c>
      <c r="GSB292" s="18">
        <v>0</v>
      </c>
      <c r="GSC292" s="18">
        <v>0</v>
      </c>
      <c r="GSD292" s="18">
        <v>0</v>
      </c>
      <c r="GSE292" s="18">
        <v>0</v>
      </c>
      <c r="GSF292" s="18">
        <v>0</v>
      </c>
      <c r="GSG292" s="18">
        <v>0</v>
      </c>
      <c r="GSH292" s="18">
        <v>0</v>
      </c>
      <c r="GSI292" s="18">
        <v>0</v>
      </c>
      <c r="GSJ292" s="18">
        <v>0</v>
      </c>
      <c r="GSK292" s="18">
        <v>0</v>
      </c>
      <c r="GSL292" s="18">
        <v>0</v>
      </c>
      <c r="GSM292" s="18">
        <v>0</v>
      </c>
      <c r="GSN292" s="18">
        <v>0</v>
      </c>
      <c r="GSO292" s="18">
        <v>0</v>
      </c>
      <c r="GSP292" s="18">
        <v>0</v>
      </c>
      <c r="GSQ292" s="18">
        <v>0</v>
      </c>
      <c r="GSR292" s="18">
        <v>0</v>
      </c>
      <c r="GSS292" s="18">
        <v>0</v>
      </c>
      <c r="GST292" s="18">
        <v>0</v>
      </c>
      <c r="GSU292" s="18">
        <v>0</v>
      </c>
      <c r="GSV292" s="18">
        <v>0</v>
      </c>
      <c r="GSW292" s="18">
        <v>0</v>
      </c>
      <c r="GSX292" s="18">
        <v>0</v>
      </c>
      <c r="GSY292" s="18">
        <v>0</v>
      </c>
      <c r="GSZ292" s="18">
        <v>0</v>
      </c>
      <c r="GTA292" s="18">
        <v>0</v>
      </c>
      <c r="GTB292" s="18">
        <v>0</v>
      </c>
      <c r="GTC292" s="18">
        <v>0</v>
      </c>
      <c r="GTD292" s="18">
        <v>0</v>
      </c>
      <c r="GTE292" s="18">
        <v>0</v>
      </c>
      <c r="GTF292" s="18">
        <v>0</v>
      </c>
      <c r="GTG292" s="18">
        <v>0</v>
      </c>
      <c r="GTH292" s="18">
        <v>0</v>
      </c>
      <c r="GTI292" s="18">
        <v>0</v>
      </c>
      <c r="GTJ292" s="18">
        <v>0</v>
      </c>
      <c r="GTK292" s="18">
        <v>0</v>
      </c>
      <c r="GTL292" s="18">
        <v>0</v>
      </c>
      <c r="GTM292" s="18">
        <v>0</v>
      </c>
      <c r="GTN292" s="18">
        <v>0</v>
      </c>
      <c r="GTO292" s="18">
        <v>0</v>
      </c>
      <c r="GTP292" s="18">
        <v>0</v>
      </c>
      <c r="GTQ292" s="18">
        <v>0</v>
      </c>
      <c r="GTR292" s="18">
        <v>0</v>
      </c>
      <c r="GTS292" s="18">
        <v>0</v>
      </c>
      <c r="GTT292" s="18">
        <v>0</v>
      </c>
      <c r="GTU292" s="18">
        <v>0</v>
      </c>
      <c r="GTV292" s="18">
        <v>0</v>
      </c>
      <c r="GTW292" s="18">
        <v>0</v>
      </c>
      <c r="GTX292" s="18">
        <v>0</v>
      </c>
      <c r="GTY292" s="18">
        <v>0</v>
      </c>
      <c r="GTZ292" s="18">
        <v>0</v>
      </c>
      <c r="GUA292" s="18">
        <v>0</v>
      </c>
      <c r="GUB292" s="18">
        <v>0</v>
      </c>
      <c r="GUC292" s="18">
        <v>0</v>
      </c>
      <c r="GUD292" s="18">
        <v>0</v>
      </c>
      <c r="GUE292" s="18">
        <v>0</v>
      </c>
      <c r="GUF292" s="18">
        <v>0</v>
      </c>
      <c r="GUG292" s="18">
        <v>0</v>
      </c>
      <c r="GUH292" s="18">
        <v>0</v>
      </c>
      <c r="GUI292" s="18">
        <v>0</v>
      </c>
      <c r="GUJ292" s="18">
        <v>0</v>
      </c>
      <c r="GUK292" s="18">
        <v>0</v>
      </c>
      <c r="GUL292" s="18">
        <v>0</v>
      </c>
      <c r="GUM292" s="18">
        <v>0</v>
      </c>
      <c r="GUN292" s="18">
        <v>0</v>
      </c>
      <c r="GUO292" s="18">
        <v>0</v>
      </c>
      <c r="GUP292" s="18">
        <v>0</v>
      </c>
      <c r="GUQ292" s="18">
        <v>0</v>
      </c>
      <c r="GUR292" s="18">
        <v>0</v>
      </c>
      <c r="GUS292" s="18">
        <v>0</v>
      </c>
      <c r="GUT292" s="18">
        <v>0</v>
      </c>
      <c r="GUU292" s="18">
        <v>0</v>
      </c>
      <c r="GUV292" s="18">
        <v>0</v>
      </c>
      <c r="GUW292" s="18">
        <v>0</v>
      </c>
      <c r="GUX292" s="18">
        <v>0</v>
      </c>
      <c r="GUY292" s="18">
        <v>0</v>
      </c>
      <c r="GUZ292" s="18">
        <v>0</v>
      </c>
      <c r="GVA292" s="18">
        <v>0</v>
      </c>
      <c r="GVB292" s="18">
        <v>0</v>
      </c>
      <c r="GVC292" s="18">
        <v>0</v>
      </c>
      <c r="GVD292" s="18">
        <v>0</v>
      </c>
      <c r="GVE292" s="18">
        <v>0</v>
      </c>
      <c r="GVF292" s="18">
        <v>0</v>
      </c>
      <c r="GVG292" s="18">
        <v>0</v>
      </c>
      <c r="GVH292" s="18">
        <v>0</v>
      </c>
      <c r="GVI292" s="18">
        <v>0</v>
      </c>
      <c r="GVJ292" s="18">
        <v>0</v>
      </c>
      <c r="GVK292" s="18">
        <v>0</v>
      </c>
      <c r="GVL292" s="18">
        <v>0</v>
      </c>
      <c r="GVM292" s="18">
        <v>0</v>
      </c>
      <c r="GVN292" s="18">
        <v>0</v>
      </c>
      <c r="GVO292" s="18">
        <v>0</v>
      </c>
      <c r="GVP292" s="18">
        <v>0</v>
      </c>
      <c r="GVQ292" s="18">
        <v>0</v>
      </c>
      <c r="GVR292" s="18">
        <v>0</v>
      </c>
      <c r="GVS292" s="18">
        <v>0</v>
      </c>
      <c r="GVT292" s="18">
        <v>0</v>
      </c>
      <c r="GVU292" s="18">
        <v>0</v>
      </c>
      <c r="GVV292" s="18">
        <v>0</v>
      </c>
      <c r="GVW292" s="18">
        <v>0</v>
      </c>
      <c r="GVX292" s="18">
        <v>0</v>
      </c>
      <c r="GVY292" s="18">
        <v>0</v>
      </c>
      <c r="GVZ292" s="18">
        <v>0</v>
      </c>
      <c r="GWA292" s="18">
        <v>0</v>
      </c>
      <c r="GWB292" s="18">
        <v>0</v>
      </c>
      <c r="GWC292" s="18">
        <v>0</v>
      </c>
      <c r="GWD292" s="18">
        <v>0</v>
      </c>
      <c r="GWE292" s="18">
        <v>0</v>
      </c>
      <c r="GWF292" s="18">
        <v>0</v>
      </c>
      <c r="GWG292" s="18">
        <v>0</v>
      </c>
      <c r="GWH292" s="18">
        <v>0</v>
      </c>
      <c r="GWI292" s="18">
        <v>0</v>
      </c>
      <c r="GWJ292" s="18">
        <v>0</v>
      </c>
      <c r="GWK292" s="18">
        <v>0</v>
      </c>
      <c r="GWL292" s="18">
        <v>0</v>
      </c>
      <c r="GWM292" s="18">
        <v>0</v>
      </c>
      <c r="GWN292" s="18">
        <v>0</v>
      </c>
      <c r="GWO292" s="18">
        <v>0</v>
      </c>
      <c r="GWP292" s="18">
        <v>0</v>
      </c>
      <c r="GWQ292" s="18">
        <v>0</v>
      </c>
      <c r="GWR292" s="18">
        <v>0</v>
      </c>
      <c r="GWS292" s="18">
        <v>0</v>
      </c>
      <c r="GWT292" s="18">
        <v>0</v>
      </c>
      <c r="GWU292" s="18">
        <v>0</v>
      </c>
      <c r="GWV292" s="18">
        <v>0</v>
      </c>
      <c r="GWW292" s="18">
        <v>0</v>
      </c>
      <c r="GWX292" s="18">
        <v>0</v>
      </c>
      <c r="GWY292" s="18">
        <v>0</v>
      </c>
      <c r="GWZ292" s="18">
        <v>0</v>
      </c>
      <c r="GXA292" s="18">
        <v>0</v>
      </c>
      <c r="GXB292" s="18">
        <v>0</v>
      </c>
      <c r="GXC292" s="18">
        <v>0</v>
      </c>
      <c r="GXD292" s="18">
        <v>0</v>
      </c>
      <c r="GXE292" s="18">
        <v>0</v>
      </c>
      <c r="GXF292" s="18">
        <v>0</v>
      </c>
      <c r="GXG292" s="18">
        <v>0</v>
      </c>
      <c r="GXH292" s="18">
        <v>0</v>
      </c>
      <c r="GXI292" s="18">
        <v>0</v>
      </c>
      <c r="GXJ292" s="18">
        <v>0</v>
      </c>
      <c r="GXK292" s="18">
        <v>0</v>
      </c>
      <c r="GXL292" s="18">
        <v>0</v>
      </c>
      <c r="GXM292" s="18">
        <v>0</v>
      </c>
      <c r="GXN292" s="18">
        <v>0</v>
      </c>
      <c r="GXO292" s="18">
        <v>0</v>
      </c>
      <c r="GXP292" s="18">
        <v>0</v>
      </c>
      <c r="GXQ292" s="18">
        <v>0</v>
      </c>
      <c r="GXR292" s="18">
        <v>0</v>
      </c>
      <c r="GXS292" s="18">
        <v>0</v>
      </c>
      <c r="GXT292" s="18">
        <v>0</v>
      </c>
      <c r="GXU292" s="18">
        <v>0</v>
      </c>
      <c r="GXV292" s="18">
        <v>0</v>
      </c>
      <c r="GXW292" s="18">
        <v>0</v>
      </c>
      <c r="GXX292" s="18">
        <v>0</v>
      </c>
      <c r="GXY292" s="18">
        <v>0</v>
      </c>
      <c r="GXZ292" s="18">
        <v>0</v>
      </c>
      <c r="GYA292" s="18">
        <v>0</v>
      </c>
      <c r="GYB292" s="18">
        <v>0</v>
      </c>
      <c r="GYC292" s="18">
        <v>0</v>
      </c>
      <c r="GYD292" s="18">
        <v>0</v>
      </c>
      <c r="GYE292" s="18">
        <v>0</v>
      </c>
      <c r="GYF292" s="18">
        <v>0</v>
      </c>
      <c r="GYG292" s="18">
        <v>0</v>
      </c>
      <c r="GYH292" s="18">
        <v>0</v>
      </c>
      <c r="GYI292" s="18">
        <v>0</v>
      </c>
      <c r="GYJ292" s="18">
        <v>0</v>
      </c>
      <c r="GYK292" s="18">
        <v>0</v>
      </c>
      <c r="GYL292" s="18">
        <v>0</v>
      </c>
      <c r="GYM292" s="18">
        <v>0</v>
      </c>
      <c r="GYN292" s="18">
        <v>0</v>
      </c>
      <c r="GYO292" s="18">
        <v>0</v>
      </c>
      <c r="GYP292" s="18">
        <v>0</v>
      </c>
      <c r="GYQ292" s="18">
        <v>0</v>
      </c>
      <c r="GYR292" s="18">
        <v>0</v>
      </c>
      <c r="GYS292" s="18">
        <v>0</v>
      </c>
      <c r="GYT292" s="18">
        <v>0</v>
      </c>
      <c r="GYU292" s="18">
        <v>0</v>
      </c>
      <c r="GYV292" s="18">
        <v>0</v>
      </c>
      <c r="GYW292" s="18">
        <v>0</v>
      </c>
      <c r="GYX292" s="18">
        <v>0</v>
      </c>
      <c r="GYY292" s="18">
        <v>0</v>
      </c>
      <c r="GYZ292" s="18">
        <v>0</v>
      </c>
      <c r="GZA292" s="18">
        <v>0</v>
      </c>
      <c r="GZB292" s="18">
        <v>0</v>
      </c>
      <c r="GZC292" s="18">
        <v>0</v>
      </c>
      <c r="GZD292" s="18">
        <v>0</v>
      </c>
      <c r="GZE292" s="18">
        <v>0</v>
      </c>
      <c r="GZF292" s="18">
        <v>0</v>
      </c>
      <c r="GZG292" s="18">
        <v>0</v>
      </c>
      <c r="GZH292" s="18">
        <v>0</v>
      </c>
      <c r="GZI292" s="18">
        <v>0</v>
      </c>
      <c r="GZJ292" s="18">
        <v>0</v>
      </c>
      <c r="GZK292" s="18">
        <v>0</v>
      </c>
      <c r="GZL292" s="18">
        <v>0</v>
      </c>
      <c r="GZM292" s="18">
        <v>0</v>
      </c>
      <c r="GZN292" s="18">
        <v>0</v>
      </c>
      <c r="GZO292" s="18">
        <v>0</v>
      </c>
      <c r="GZP292" s="18">
        <v>0</v>
      </c>
      <c r="GZQ292" s="18">
        <v>0</v>
      </c>
      <c r="GZR292" s="18">
        <v>0</v>
      </c>
      <c r="GZS292" s="18">
        <v>0</v>
      </c>
      <c r="GZT292" s="18">
        <v>0</v>
      </c>
      <c r="GZU292" s="18">
        <v>0</v>
      </c>
      <c r="GZV292" s="18">
        <v>0</v>
      </c>
      <c r="GZW292" s="18">
        <v>0</v>
      </c>
      <c r="GZX292" s="18">
        <v>0</v>
      </c>
      <c r="GZY292" s="18">
        <v>0</v>
      </c>
      <c r="GZZ292" s="18">
        <v>0</v>
      </c>
      <c r="HAA292" s="18">
        <v>0</v>
      </c>
      <c r="HAB292" s="18">
        <v>0</v>
      </c>
      <c r="HAC292" s="18">
        <v>0</v>
      </c>
      <c r="HAD292" s="18">
        <v>0</v>
      </c>
      <c r="HAE292" s="18">
        <v>0</v>
      </c>
      <c r="HAF292" s="18">
        <v>0</v>
      </c>
      <c r="HAG292" s="18">
        <v>0</v>
      </c>
      <c r="HAH292" s="18">
        <v>0</v>
      </c>
      <c r="HAI292" s="18">
        <v>0</v>
      </c>
      <c r="HAJ292" s="18">
        <v>0</v>
      </c>
      <c r="HAK292" s="18">
        <v>0</v>
      </c>
      <c r="HAL292" s="18">
        <v>0</v>
      </c>
      <c r="HAM292" s="18">
        <v>0</v>
      </c>
      <c r="HAN292" s="18">
        <v>0</v>
      </c>
      <c r="HAO292" s="18">
        <v>0</v>
      </c>
      <c r="HAP292" s="18">
        <v>0</v>
      </c>
      <c r="HAQ292" s="18">
        <v>0</v>
      </c>
      <c r="HAR292" s="18">
        <v>0</v>
      </c>
      <c r="HAS292" s="18">
        <v>0</v>
      </c>
      <c r="HAT292" s="18">
        <v>0</v>
      </c>
      <c r="HAU292" s="18">
        <v>0</v>
      </c>
      <c r="HAV292" s="18">
        <v>0</v>
      </c>
      <c r="HAW292" s="18">
        <v>0</v>
      </c>
      <c r="HAX292" s="18">
        <v>0</v>
      </c>
      <c r="HAY292" s="18">
        <v>0</v>
      </c>
      <c r="HAZ292" s="18">
        <v>0</v>
      </c>
      <c r="HBA292" s="18">
        <v>0</v>
      </c>
      <c r="HBB292" s="18">
        <v>0</v>
      </c>
      <c r="HBC292" s="18">
        <v>0</v>
      </c>
      <c r="HBD292" s="18">
        <v>0</v>
      </c>
      <c r="HBE292" s="18">
        <v>0</v>
      </c>
      <c r="HBF292" s="18">
        <v>0</v>
      </c>
      <c r="HBG292" s="18">
        <v>0</v>
      </c>
      <c r="HBH292" s="18">
        <v>0</v>
      </c>
      <c r="HBI292" s="18">
        <v>0</v>
      </c>
      <c r="HBJ292" s="18">
        <v>0</v>
      </c>
      <c r="HBK292" s="18">
        <v>0</v>
      </c>
      <c r="HBL292" s="18">
        <v>0</v>
      </c>
      <c r="HBM292" s="18">
        <v>0</v>
      </c>
      <c r="HBN292" s="18">
        <v>0</v>
      </c>
      <c r="HBO292" s="18">
        <v>0</v>
      </c>
      <c r="HBP292" s="18">
        <v>0</v>
      </c>
      <c r="HBQ292" s="18">
        <v>0</v>
      </c>
      <c r="HBR292" s="18">
        <v>0</v>
      </c>
      <c r="HBS292" s="18">
        <v>0</v>
      </c>
      <c r="HBT292" s="18">
        <v>0</v>
      </c>
      <c r="HBU292" s="18">
        <v>0</v>
      </c>
      <c r="HBV292" s="18">
        <v>0</v>
      </c>
      <c r="HBW292" s="18">
        <v>0</v>
      </c>
      <c r="HBX292" s="18">
        <v>0</v>
      </c>
      <c r="HBY292" s="18">
        <v>0</v>
      </c>
      <c r="HBZ292" s="18">
        <v>0</v>
      </c>
      <c r="HCA292" s="18">
        <v>0</v>
      </c>
      <c r="HCB292" s="18">
        <v>0</v>
      </c>
      <c r="HCC292" s="18">
        <v>0</v>
      </c>
      <c r="HCD292" s="18">
        <v>0</v>
      </c>
      <c r="HCE292" s="18">
        <v>0</v>
      </c>
      <c r="HCF292" s="18">
        <v>0</v>
      </c>
      <c r="HCG292" s="18">
        <v>0</v>
      </c>
      <c r="HCH292" s="18">
        <v>0</v>
      </c>
      <c r="HCI292" s="18">
        <v>0</v>
      </c>
      <c r="HCJ292" s="18">
        <v>0</v>
      </c>
      <c r="HCK292" s="18">
        <v>0</v>
      </c>
      <c r="HCL292" s="18">
        <v>0</v>
      </c>
      <c r="HCM292" s="18">
        <v>0</v>
      </c>
      <c r="HCN292" s="18">
        <v>0</v>
      </c>
      <c r="HCO292" s="18">
        <v>0</v>
      </c>
      <c r="HCP292" s="18">
        <v>0</v>
      </c>
      <c r="HCQ292" s="18">
        <v>0</v>
      </c>
      <c r="HCR292" s="18">
        <v>0</v>
      </c>
      <c r="HCS292" s="18">
        <v>0</v>
      </c>
      <c r="HCT292" s="18">
        <v>0</v>
      </c>
      <c r="HCU292" s="18">
        <v>0</v>
      </c>
      <c r="HCV292" s="18">
        <v>0</v>
      </c>
      <c r="HCW292" s="18">
        <v>0</v>
      </c>
      <c r="HCX292" s="18">
        <v>0</v>
      </c>
      <c r="HCY292" s="18">
        <v>0</v>
      </c>
      <c r="HCZ292" s="18">
        <v>0</v>
      </c>
      <c r="HDA292" s="18">
        <v>0</v>
      </c>
      <c r="HDB292" s="18">
        <v>0</v>
      </c>
      <c r="HDC292" s="18">
        <v>0</v>
      </c>
      <c r="HDD292" s="18">
        <v>0</v>
      </c>
      <c r="HDE292" s="18">
        <v>0</v>
      </c>
      <c r="HDF292" s="18">
        <v>0</v>
      </c>
      <c r="HDG292" s="18">
        <v>0</v>
      </c>
      <c r="HDH292" s="18">
        <v>0</v>
      </c>
      <c r="HDI292" s="18">
        <v>0</v>
      </c>
      <c r="HDJ292" s="18">
        <v>0</v>
      </c>
      <c r="HDK292" s="18">
        <v>0</v>
      </c>
      <c r="HDL292" s="18">
        <v>0</v>
      </c>
      <c r="HDM292" s="18">
        <v>0</v>
      </c>
      <c r="HDN292" s="18">
        <v>0</v>
      </c>
      <c r="HDO292" s="18">
        <v>0</v>
      </c>
      <c r="HDP292" s="18">
        <v>0</v>
      </c>
      <c r="HDQ292" s="18">
        <v>0</v>
      </c>
      <c r="HDR292" s="18">
        <v>0</v>
      </c>
      <c r="HDS292" s="18">
        <v>0</v>
      </c>
      <c r="HDT292" s="18">
        <v>0</v>
      </c>
      <c r="HDU292" s="18">
        <v>0</v>
      </c>
      <c r="HDV292" s="18">
        <v>0</v>
      </c>
      <c r="HDW292" s="18">
        <v>0</v>
      </c>
      <c r="HDX292" s="18">
        <v>0</v>
      </c>
      <c r="HDY292" s="18">
        <v>0</v>
      </c>
      <c r="HDZ292" s="18">
        <v>0</v>
      </c>
      <c r="HEA292" s="18">
        <v>0</v>
      </c>
      <c r="HEB292" s="18">
        <v>0</v>
      </c>
      <c r="HEC292" s="18">
        <v>0</v>
      </c>
      <c r="HED292" s="18">
        <v>0</v>
      </c>
      <c r="HEE292" s="18">
        <v>0</v>
      </c>
      <c r="HEF292" s="18">
        <v>0</v>
      </c>
      <c r="HEG292" s="18">
        <v>0</v>
      </c>
      <c r="HEH292" s="18">
        <v>0</v>
      </c>
      <c r="HEI292" s="18">
        <v>0</v>
      </c>
      <c r="HEJ292" s="18">
        <v>0</v>
      </c>
      <c r="HEK292" s="18">
        <v>0</v>
      </c>
      <c r="HEL292" s="18">
        <v>0</v>
      </c>
      <c r="HEM292" s="18">
        <v>0</v>
      </c>
      <c r="HEN292" s="18">
        <v>0</v>
      </c>
      <c r="HEO292" s="18">
        <v>0</v>
      </c>
      <c r="HEP292" s="18">
        <v>0</v>
      </c>
      <c r="HEQ292" s="18">
        <v>0</v>
      </c>
      <c r="HER292" s="18">
        <v>0</v>
      </c>
      <c r="HES292" s="18">
        <v>0</v>
      </c>
      <c r="HET292" s="18">
        <v>0</v>
      </c>
      <c r="HEU292" s="18">
        <v>0</v>
      </c>
      <c r="HEV292" s="18">
        <v>0</v>
      </c>
      <c r="HEW292" s="18">
        <v>0</v>
      </c>
      <c r="HEX292" s="18">
        <v>0</v>
      </c>
      <c r="HEY292" s="18">
        <v>0</v>
      </c>
      <c r="HEZ292" s="18">
        <v>0</v>
      </c>
      <c r="HFA292" s="18">
        <v>0</v>
      </c>
      <c r="HFB292" s="18">
        <v>0</v>
      </c>
      <c r="HFC292" s="18">
        <v>0</v>
      </c>
      <c r="HFD292" s="18">
        <v>0</v>
      </c>
      <c r="HFE292" s="18">
        <v>0</v>
      </c>
      <c r="HFF292" s="18">
        <v>0</v>
      </c>
      <c r="HFG292" s="18">
        <v>0</v>
      </c>
      <c r="HFH292" s="18">
        <v>0</v>
      </c>
      <c r="HFI292" s="18">
        <v>0</v>
      </c>
      <c r="HFJ292" s="18">
        <v>0</v>
      </c>
      <c r="HFK292" s="18">
        <v>0</v>
      </c>
      <c r="HFL292" s="18">
        <v>0</v>
      </c>
      <c r="HFM292" s="18">
        <v>0</v>
      </c>
      <c r="HFN292" s="18">
        <v>0</v>
      </c>
      <c r="HFO292" s="18">
        <v>0</v>
      </c>
      <c r="HFP292" s="18">
        <v>0</v>
      </c>
      <c r="HFQ292" s="18">
        <v>0</v>
      </c>
      <c r="HFR292" s="18">
        <v>0</v>
      </c>
      <c r="HFS292" s="18">
        <v>0</v>
      </c>
      <c r="HFT292" s="18">
        <v>0</v>
      </c>
      <c r="HFU292" s="18">
        <v>0</v>
      </c>
      <c r="HFV292" s="18">
        <v>0</v>
      </c>
      <c r="HFW292" s="18">
        <v>0</v>
      </c>
      <c r="HFX292" s="18">
        <v>0</v>
      </c>
      <c r="HFY292" s="18">
        <v>0</v>
      </c>
      <c r="HFZ292" s="18">
        <v>0</v>
      </c>
      <c r="HGA292" s="18">
        <v>0</v>
      </c>
      <c r="HGB292" s="18">
        <v>0</v>
      </c>
      <c r="HGC292" s="18">
        <v>0</v>
      </c>
      <c r="HGD292" s="18">
        <v>0</v>
      </c>
      <c r="HGE292" s="18">
        <v>0</v>
      </c>
      <c r="HGF292" s="18">
        <v>0</v>
      </c>
      <c r="HGG292" s="18">
        <v>0</v>
      </c>
      <c r="HGH292" s="18">
        <v>0</v>
      </c>
      <c r="HGI292" s="18">
        <v>0</v>
      </c>
      <c r="HGJ292" s="18">
        <v>0</v>
      </c>
      <c r="HGK292" s="18">
        <v>0</v>
      </c>
      <c r="HGL292" s="18">
        <v>0</v>
      </c>
      <c r="HGM292" s="18">
        <v>0</v>
      </c>
      <c r="HGN292" s="18">
        <v>0</v>
      </c>
      <c r="HGO292" s="18">
        <v>0</v>
      </c>
      <c r="HGP292" s="18">
        <v>0</v>
      </c>
      <c r="HGQ292" s="18">
        <v>0</v>
      </c>
      <c r="HGR292" s="18">
        <v>0</v>
      </c>
      <c r="HGS292" s="18">
        <v>0</v>
      </c>
      <c r="HGT292" s="18">
        <v>0</v>
      </c>
      <c r="HGU292" s="18">
        <v>0</v>
      </c>
      <c r="HGV292" s="18">
        <v>0</v>
      </c>
      <c r="HGW292" s="18">
        <v>0</v>
      </c>
      <c r="HGX292" s="18">
        <v>0</v>
      </c>
      <c r="HGY292" s="18">
        <v>0</v>
      </c>
      <c r="HGZ292" s="18">
        <v>0</v>
      </c>
      <c r="HHA292" s="18">
        <v>0</v>
      </c>
      <c r="HHB292" s="18">
        <v>0</v>
      </c>
      <c r="HHC292" s="18">
        <v>0</v>
      </c>
      <c r="HHD292" s="18">
        <v>0</v>
      </c>
      <c r="HHE292" s="18">
        <v>0</v>
      </c>
      <c r="HHF292" s="18">
        <v>0</v>
      </c>
      <c r="HHG292" s="18">
        <v>0</v>
      </c>
      <c r="HHH292" s="18">
        <v>0</v>
      </c>
      <c r="HHI292" s="18">
        <v>0</v>
      </c>
      <c r="HHJ292" s="18">
        <v>0</v>
      </c>
      <c r="HHK292" s="18">
        <v>0</v>
      </c>
      <c r="HHL292" s="18">
        <v>0</v>
      </c>
      <c r="HHM292" s="18">
        <v>0</v>
      </c>
      <c r="HHN292" s="18">
        <v>0</v>
      </c>
      <c r="HHO292" s="18">
        <v>0</v>
      </c>
      <c r="HHP292" s="18">
        <v>0</v>
      </c>
      <c r="HHQ292" s="18">
        <v>0</v>
      </c>
      <c r="HHR292" s="18">
        <v>0</v>
      </c>
      <c r="HHS292" s="18">
        <v>0</v>
      </c>
      <c r="HHT292" s="18">
        <v>0</v>
      </c>
      <c r="HHU292" s="18">
        <v>0</v>
      </c>
      <c r="HHV292" s="18">
        <v>0</v>
      </c>
      <c r="HHW292" s="18">
        <v>0</v>
      </c>
      <c r="HHX292" s="18">
        <v>0</v>
      </c>
      <c r="HHY292" s="18">
        <v>0</v>
      </c>
      <c r="HHZ292" s="18">
        <v>0</v>
      </c>
      <c r="HIA292" s="18">
        <v>0</v>
      </c>
      <c r="HIB292" s="18">
        <v>0</v>
      </c>
      <c r="HIC292" s="18">
        <v>0</v>
      </c>
      <c r="HID292" s="18">
        <v>0</v>
      </c>
      <c r="HIE292" s="18">
        <v>0</v>
      </c>
      <c r="HIF292" s="18">
        <v>0</v>
      </c>
      <c r="HIG292" s="18">
        <v>0</v>
      </c>
      <c r="HIH292" s="18">
        <v>0</v>
      </c>
      <c r="HII292" s="18">
        <v>0</v>
      </c>
      <c r="HIJ292" s="18">
        <v>0</v>
      </c>
      <c r="HIK292" s="18">
        <v>0</v>
      </c>
      <c r="HIL292" s="18">
        <v>0</v>
      </c>
      <c r="HIM292" s="18">
        <v>0</v>
      </c>
      <c r="HIN292" s="18">
        <v>0</v>
      </c>
      <c r="HIO292" s="18">
        <v>0</v>
      </c>
      <c r="HIP292" s="18">
        <v>0</v>
      </c>
      <c r="HIQ292" s="18">
        <v>0</v>
      </c>
      <c r="HIR292" s="18">
        <v>0</v>
      </c>
      <c r="HIS292" s="18">
        <v>0</v>
      </c>
      <c r="HIT292" s="18">
        <v>0</v>
      </c>
      <c r="HIU292" s="18">
        <v>0</v>
      </c>
      <c r="HIV292" s="18">
        <v>0</v>
      </c>
      <c r="HIW292" s="18">
        <v>0</v>
      </c>
      <c r="HIX292" s="18">
        <v>0</v>
      </c>
      <c r="HIY292" s="18">
        <v>0</v>
      </c>
      <c r="HIZ292" s="18">
        <v>0</v>
      </c>
      <c r="HJA292" s="18">
        <v>0</v>
      </c>
      <c r="HJB292" s="18">
        <v>0</v>
      </c>
      <c r="HJC292" s="18">
        <v>0</v>
      </c>
      <c r="HJD292" s="18">
        <v>0</v>
      </c>
      <c r="HJE292" s="18">
        <v>0</v>
      </c>
      <c r="HJF292" s="18">
        <v>0</v>
      </c>
      <c r="HJG292" s="18">
        <v>0</v>
      </c>
      <c r="HJH292" s="18">
        <v>0</v>
      </c>
      <c r="HJI292" s="18">
        <v>0</v>
      </c>
      <c r="HJJ292" s="18">
        <v>0</v>
      </c>
      <c r="HJK292" s="18">
        <v>0</v>
      </c>
      <c r="HJL292" s="18">
        <v>0</v>
      </c>
      <c r="HJM292" s="18">
        <v>0</v>
      </c>
      <c r="HJN292" s="18">
        <v>0</v>
      </c>
      <c r="HJO292" s="18">
        <v>0</v>
      </c>
      <c r="HJP292" s="18">
        <v>0</v>
      </c>
      <c r="HJQ292" s="18">
        <v>0</v>
      </c>
      <c r="HJR292" s="18">
        <v>0</v>
      </c>
      <c r="HJS292" s="18">
        <v>0</v>
      </c>
      <c r="HJT292" s="18">
        <v>0</v>
      </c>
      <c r="HJU292" s="18">
        <v>0</v>
      </c>
      <c r="HJV292" s="18">
        <v>0</v>
      </c>
      <c r="HJW292" s="18">
        <v>0</v>
      </c>
      <c r="HJX292" s="18">
        <v>0</v>
      </c>
      <c r="HJY292" s="18">
        <v>0</v>
      </c>
      <c r="HJZ292" s="18">
        <v>0</v>
      </c>
      <c r="HKA292" s="18">
        <v>0</v>
      </c>
      <c r="HKB292" s="18">
        <v>0</v>
      </c>
      <c r="HKC292" s="18">
        <v>0</v>
      </c>
      <c r="HKD292" s="18">
        <v>0</v>
      </c>
      <c r="HKE292" s="18">
        <v>0</v>
      </c>
      <c r="HKF292" s="18">
        <v>0</v>
      </c>
      <c r="HKG292" s="18">
        <v>0</v>
      </c>
      <c r="HKH292" s="18">
        <v>0</v>
      </c>
      <c r="HKI292" s="18">
        <v>0</v>
      </c>
      <c r="HKJ292" s="18">
        <v>0</v>
      </c>
      <c r="HKK292" s="18">
        <v>0</v>
      </c>
      <c r="HKL292" s="18">
        <v>0</v>
      </c>
      <c r="HKM292" s="18">
        <v>0</v>
      </c>
      <c r="HKN292" s="18">
        <v>0</v>
      </c>
      <c r="HKO292" s="18">
        <v>0</v>
      </c>
      <c r="HKP292" s="18">
        <v>0</v>
      </c>
      <c r="HKQ292" s="18">
        <v>0</v>
      </c>
      <c r="HKR292" s="18">
        <v>0</v>
      </c>
      <c r="HKS292" s="18">
        <v>0</v>
      </c>
      <c r="HKT292" s="18">
        <v>0</v>
      </c>
      <c r="HKU292" s="18">
        <v>0</v>
      </c>
      <c r="HKV292" s="18">
        <v>0</v>
      </c>
      <c r="HKW292" s="18">
        <v>0</v>
      </c>
      <c r="HKX292" s="18">
        <v>0</v>
      </c>
      <c r="HKY292" s="18">
        <v>0</v>
      </c>
      <c r="HKZ292" s="18">
        <v>0</v>
      </c>
      <c r="HLA292" s="18">
        <v>0</v>
      </c>
      <c r="HLB292" s="18">
        <v>0</v>
      </c>
      <c r="HLC292" s="18">
        <v>0</v>
      </c>
      <c r="HLD292" s="18">
        <v>0</v>
      </c>
      <c r="HLE292" s="18">
        <v>0</v>
      </c>
      <c r="HLF292" s="18">
        <v>0</v>
      </c>
      <c r="HLG292" s="18">
        <v>0</v>
      </c>
      <c r="HLH292" s="18">
        <v>0</v>
      </c>
      <c r="HLI292" s="18">
        <v>0</v>
      </c>
      <c r="HLJ292" s="18">
        <v>0</v>
      </c>
      <c r="HLK292" s="18">
        <v>0</v>
      </c>
      <c r="HLL292" s="18">
        <v>0</v>
      </c>
      <c r="HLM292" s="18">
        <v>0</v>
      </c>
      <c r="HLN292" s="18">
        <v>0</v>
      </c>
      <c r="HLO292" s="18">
        <v>0</v>
      </c>
      <c r="HLP292" s="18">
        <v>0</v>
      </c>
      <c r="HLQ292" s="18">
        <v>0</v>
      </c>
      <c r="HLR292" s="18">
        <v>0</v>
      </c>
      <c r="HLS292" s="18">
        <v>0</v>
      </c>
      <c r="HLT292" s="18">
        <v>0</v>
      </c>
      <c r="HLU292" s="18">
        <v>0</v>
      </c>
      <c r="HLV292" s="18">
        <v>0</v>
      </c>
      <c r="HLW292" s="18">
        <v>0</v>
      </c>
      <c r="HLX292" s="18">
        <v>0</v>
      </c>
      <c r="HLY292" s="18">
        <v>0</v>
      </c>
      <c r="HLZ292" s="18">
        <v>0</v>
      </c>
      <c r="HMA292" s="18">
        <v>0</v>
      </c>
      <c r="HMB292" s="18">
        <v>0</v>
      </c>
      <c r="HMC292" s="18">
        <v>0</v>
      </c>
      <c r="HMD292" s="18">
        <v>0</v>
      </c>
      <c r="HME292" s="18">
        <v>0</v>
      </c>
      <c r="HMF292" s="18">
        <v>0</v>
      </c>
      <c r="HMG292" s="18">
        <v>0</v>
      </c>
      <c r="HMH292" s="18">
        <v>0</v>
      </c>
      <c r="HMI292" s="18">
        <v>0</v>
      </c>
      <c r="HMJ292" s="18">
        <v>0</v>
      </c>
      <c r="HMK292" s="18">
        <v>0</v>
      </c>
      <c r="HML292" s="18">
        <v>0</v>
      </c>
      <c r="HMM292" s="18">
        <v>0</v>
      </c>
      <c r="HMN292" s="18">
        <v>0</v>
      </c>
      <c r="HMO292" s="18">
        <v>0</v>
      </c>
      <c r="HMP292" s="18">
        <v>0</v>
      </c>
      <c r="HMQ292" s="18">
        <v>0</v>
      </c>
      <c r="HMR292" s="18">
        <v>0</v>
      </c>
      <c r="HMS292" s="18">
        <v>0</v>
      </c>
      <c r="HMT292" s="18">
        <v>0</v>
      </c>
      <c r="HMU292" s="18">
        <v>0</v>
      </c>
      <c r="HMV292" s="18">
        <v>0</v>
      </c>
      <c r="HMW292" s="18">
        <v>0</v>
      </c>
      <c r="HMX292" s="18">
        <v>0</v>
      </c>
      <c r="HMY292" s="18">
        <v>0</v>
      </c>
      <c r="HMZ292" s="18">
        <v>0</v>
      </c>
      <c r="HNA292" s="18">
        <v>0</v>
      </c>
      <c r="HNB292" s="18">
        <v>0</v>
      </c>
      <c r="HNC292" s="18">
        <v>0</v>
      </c>
      <c r="HND292" s="18">
        <v>0</v>
      </c>
      <c r="HNE292" s="18">
        <v>0</v>
      </c>
      <c r="HNF292" s="18">
        <v>0</v>
      </c>
      <c r="HNG292" s="18">
        <v>0</v>
      </c>
      <c r="HNH292" s="18">
        <v>0</v>
      </c>
      <c r="HNI292" s="18">
        <v>0</v>
      </c>
      <c r="HNJ292" s="18">
        <v>0</v>
      </c>
      <c r="HNK292" s="18">
        <v>0</v>
      </c>
      <c r="HNL292" s="18">
        <v>0</v>
      </c>
      <c r="HNM292" s="18">
        <v>0</v>
      </c>
      <c r="HNN292" s="18">
        <v>0</v>
      </c>
      <c r="HNO292" s="18">
        <v>0</v>
      </c>
      <c r="HNP292" s="18">
        <v>0</v>
      </c>
      <c r="HNQ292" s="18">
        <v>0</v>
      </c>
      <c r="HNR292" s="18">
        <v>0</v>
      </c>
      <c r="HNS292" s="18">
        <v>0</v>
      </c>
      <c r="HNT292" s="18">
        <v>0</v>
      </c>
      <c r="HNU292" s="18">
        <v>0</v>
      </c>
      <c r="HNV292" s="18">
        <v>0</v>
      </c>
      <c r="HNW292" s="18">
        <v>0</v>
      </c>
      <c r="HNX292" s="18">
        <v>0</v>
      </c>
      <c r="HNY292" s="18">
        <v>0</v>
      </c>
      <c r="HNZ292" s="18">
        <v>0</v>
      </c>
      <c r="HOA292" s="18">
        <v>0</v>
      </c>
      <c r="HOB292" s="18">
        <v>0</v>
      </c>
      <c r="HOC292" s="18">
        <v>0</v>
      </c>
      <c r="HOD292" s="18">
        <v>0</v>
      </c>
      <c r="HOE292" s="18">
        <v>0</v>
      </c>
      <c r="HOF292" s="18">
        <v>0</v>
      </c>
      <c r="HOG292" s="18">
        <v>0</v>
      </c>
      <c r="HOH292" s="18">
        <v>0</v>
      </c>
      <c r="HOI292" s="18">
        <v>0</v>
      </c>
      <c r="HOJ292" s="18">
        <v>0</v>
      </c>
      <c r="HOK292" s="18">
        <v>0</v>
      </c>
      <c r="HOL292" s="18">
        <v>0</v>
      </c>
      <c r="HOM292" s="18">
        <v>0</v>
      </c>
      <c r="HON292" s="18">
        <v>0</v>
      </c>
      <c r="HOO292" s="18">
        <v>0</v>
      </c>
      <c r="HOP292" s="18">
        <v>0</v>
      </c>
      <c r="HOQ292" s="18">
        <v>0</v>
      </c>
      <c r="HOR292" s="18">
        <v>0</v>
      </c>
      <c r="HOS292" s="18">
        <v>0</v>
      </c>
      <c r="HOT292" s="18">
        <v>0</v>
      </c>
      <c r="HOU292" s="18">
        <v>0</v>
      </c>
      <c r="HOV292" s="18">
        <v>0</v>
      </c>
      <c r="HOW292" s="18">
        <v>0</v>
      </c>
      <c r="HOX292" s="18">
        <v>0</v>
      </c>
      <c r="HOY292" s="18">
        <v>0</v>
      </c>
      <c r="HOZ292" s="18">
        <v>0</v>
      </c>
      <c r="HPA292" s="18">
        <v>0</v>
      </c>
      <c r="HPB292" s="18">
        <v>0</v>
      </c>
      <c r="HPC292" s="18">
        <v>0</v>
      </c>
      <c r="HPD292" s="18">
        <v>0</v>
      </c>
      <c r="HPE292" s="18">
        <v>0</v>
      </c>
      <c r="HPF292" s="18">
        <v>0</v>
      </c>
      <c r="HPG292" s="18">
        <v>0</v>
      </c>
      <c r="HPH292" s="18">
        <v>0</v>
      </c>
      <c r="HPI292" s="18">
        <v>0</v>
      </c>
      <c r="HPJ292" s="18">
        <v>0</v>
      </c>
      <c r="HPK292" s="18">
        <v>0</v>
      </c>
      <c r="HPL292" s="18">
        <v>0</v>
      </c>
      <c r="HPM292" s="18">
        <v>0</v>
      </c>
      <c r="HPN292" s="18">
        <v>0</v>
      </c>
      <c r="HPO292" s="18">
        <v>0</v>
      </c>
      <c r="HPP292" s="18">
        <v>0</v>
      </c>
      <c r="HPQ292" s="18">
        <v>0</v>
      </c>
      <c r="HPR292" s="18">
        <v>0</v>
      </c>
      <c r="HPS292" s="18">
        <v>0</v>
      </c>
      <c r="HPT292" s="18">
        <v>0</v>
      </c>
      <c r="HPU292" s="18">
        <v>0</v>
      </c>
      <c r="HPV292" s="18">
        <v>0</v>
      </c>
      <c r="HPW292" s="18">
        <v>0</v>
      </c>
      <c r="HPX292" s="18">
        <v>0</v>
      </c>
      <c r="HPY292" s="18">
        <v>0</v>
      </c>
      <c r="HPZ292" s="18">
        <v>0</v>
      </c>
      <c r="HQA292" s="18">
        <v>0</v>
      </c>
      <c r="HQB292" s="18">
        <v>0</v>
      </c>
      <c r="HQC292" s="18">
        <v>0</v>
      </c>
      <c r="HQD292" s="18">
        <v>0</v>
      </c>
      <c r="HQE292" s="18">
        <v>0</v>
      </c>
      <c r="HQF292" s="18">
        <v>0</v>
      </c>
      <c r="HQG292" s="18">
        <v>0</v>
      </c>
      <c r="HQH292" s="18">
        <v>0</v>
      </c>
      <c r="HQI292" s="18">
        <v>0</v>
      </c>
      <c r="HQJ292" s="18">
        <v>0</v>
      </c>
      <c r="HQK292" s="18">
        <v>0</v>
      </c>
      <c r="HQL292" s="18">
        <v>0</v>
      </c>
      <c r="HQM292" s="18">
        <v>0</v>
      </c>
      <c r="HQN292" s="18">
        <v>0</v>
      </c>
      <c r="HQO292" s="18">
        <v>0</v>
      </c>
      <c r="HQP292" s="18">
        <v>0</v>
      </c>
      <c r="HQQ292" s="18">
        <v>0</v>
      </c>
      <c r="HQR292" s="18">
        <v>0</v>
      </c>
      <c r="HQS292" s="18">
        <v>0</v>
      </c>
      <c r="HQT292" s="18">
        <v>0</v>
      </c>
      <c r="HQU292" s="18">
        <v>0</v>
      </c>
      <c r="HQV292" s="18">
        <v>0</v>
      </c>
      <c r="HQW292" s="18">
        <v>0</v>
      </c>
      <c r="HQX292" s="18">
        <v>0</v>
      </c>
      <c r="HQY292" s="18">
        <v>0</v>
      </c>
      <c r="HQZ292" s="18">
        <v>0</v>
      </c>
      <c r="HRA292" s="18">
        <v>0</v>
      </c>
      <c r="HRB292" s="18">
        <v>0</v>
      </c>
      <c r="HRC292" s="18">
        <v>0</v>
      </c>
      <c r="HRD292" s="18">
        <v>0</v>
      </c>
      <c r="HRE292" s="18">
        <v>0</v>
      </c>
      <c r="HRF292" s="18">
        <v>0</v>
      </c>
      <c r="HRG292" s="18">
        <v>0</v>
      </c>
      <c r="HRH292" s="18">
        <v>0</v>
      </c>
      <c r="HRI292" s="18">
        <v>0</v>
      </c>
      <c r="HRJ292" s="18">
        <v>0</v>
      </c>
      <c r="HRK292" s="18">
        <v>0</v>
      </c>
      <c r="HRL292" s="18">
        <v>0</v>
      </c>
      <c r="HRM292" s="18">
        <v>0</v>
      </c>
      <c r="HRN292" s="18">
        <v>0</v>
      </c>
      <c r="HRO292" s="18">
        <v>0</v>
      </c>
      <c r="HRP292" s="18">
        <v>0</v>
      </c>
      <c r="HRQ292" s="18">
        <v>0</v>
      </c>
      <c r="HRR292" s="18">
        <v>0</v>
      </c>
      <c r="HRS292" s="18">
        <v>0</v>
      </c>
      <c r="HRT292" s="18">
        <v>0</v>
      </c>
      <c r="HRU292" s="18">
        <v>0</v>
      </c>
      <c r="HRV292" s="18">
        <v>0</v>
      </c>
      <c r="HRW292" s="18">
        <v>0</v>
      </c>
      <c r="HRX292" s="18">
        <v>0</v>
      </c>
      <c r="HRY292" s="18">
        <v>0</v>
      </c>
      <c r="HRZ292" s="18">
        <v>0</v>
      </c>
      <c r="HSA292" s="18">
        <v>0</v>
      </c>
      <c r="HSB292" s="18">
        <v>0</v>
      </c>
      <c r="HSC292" s="18">
        <v>0</v>
      </c>
      <c r="HSD292" s="18">
        <v>0</v>
      </c>
      <c r="HSE292" s="18">
        <v>0</v>
      </c>
      <c r="HSF292" s="18">
        <v>0</v>
      </c>
      <c r="HSG292" s="18">
        <v>0</v>
      </c>
      <c r="HSH292" s="18">
        <v>0</v>
      </c>
      <c r="HSI292" s="18">
        <v>0</v>
      </c>
      <c r="HSJ292" s="18">
        <v>0</v>
      </c>
      <c r="HSK292" s="18">
        <v>0</v>
      </c>
      <c r="HSL292" s="18">
        <v>0</v>
      </c>
      <c r="HSM292" s="18">
        <v>0</v>
      </c>
      <c r="HSN292" s="18">
        <v>0</v>
      </c>
      <c r="HSO292" s="18">
        <v>0</v>
      </c>
      <c r="HSP292" s="18">
        <v>0</v>
      </c>
      <c r="HSQ292" s="18">
        <v>0</v>
      </c>
      <c r="HSR292" s="18">
        <v>0</v>
      </c>
      <c r="HSS292" s="18">
        <v>0</v>
      </c>
      <c r="HST292" s="18">
        <v>0</v>
      </c>
      <c r="HSU292" s="18">
        <v>0</v>
      </c>
      <c r="HSV292" s="18">
        <v>0</v>
      </c>
      <c r="HSW292" s="18">
        <v>0</v>
      </c>
      <c r="HSX292" s="18">
        <v>0</v>
      </c>
      <c r="HSY292" s="18">
        <v>0</v>
      </c>
      <c r="HSZ292" s="18">
        <v>0</v>
      </c>
      <c r="HTA292" s="18">
        <v>0</v>
      </c>
      <c r="HTB292" s="18">
        <v>0</v>
      </c>
      <c r="HTC292" s="18">
        <v>0</v>
      </c>
      <c r="HTD292" s="18">
        <v>0</v>
      </c>
      <c r="HTE292" s="18">
        <v>0</v>
      </c>
      <c r="HTF292" s="18">
        <v>0</v>
      </c>
      <c r="HTG292" s="18">
        <v>0</v>
      </c>
      <c r="HTH292" s="18">
        <v>0</v>
      </c>
      <c r="HTI292" s="18">
        <v>0</v>
      </c>
      <c r="HTJ292" s="18">
        <v>0</v>
      </c>
      <c r="HTK292" s="18">
        <v>0</v>
      </c>
      <c r="HTL292" s="18">
        <v>0</v>
      </c>
      <c r="HTM292" s="18">
        <v>0</v>
      </c>
      <c r="HTN292" s="18">
        <v>0</v>
      </c>
      <c r="HTO292" s="18">
        <v>0</v>
      </c>
      <c r="HTP292" s="18">
        <v>0</v>
      </c>
      <c r="HTQ292" s="18">
        <v>0</v>
      </c>
      <c r="HTR292" s="18">
        <v>0</v>
      </c>
      <c r="HTS292" s="18">
        <v>0</v>
      </c>
      <c r="HTT292" s="18">
        <v>0</v>
      </c>
      <c r="HTU292" s="18">
        <v>0</v>
      </c>
      <c r="HTV292" s="18">
        <v>0</v>
      </c>
      <c r="HTW292" s="18">
        <v>0</v>
      </c>
      <c r="HTX292" s="18">
        <v>0</v>
      </c>
      <c r="HTY292" s="18">
        <v>0</v>
      </c>
      <c r="HTZ292" s="18">
        <v>0</v>
      </c>
      <c r="HUA292" s="18">
        <v>0</v>
      </c>
      <c r="HUB292" s="18">
        <v>0</v>
      </c>
      <c r="HUC292" s="18">
        <v>0</v>
      </c>
      <c r="HUD292" s="18">
        <v>0</v>
      </c>
      <c r="HUE292" s="18">
        <v>0</v>
      </c>
      <c r="HUF292" s="18">
        <v>0</v>
      </c>
      <c r="HUG292" s="18">
        <v>0</v>
      </c>
      <c r="HUH292" s="18">
        <v>0</v>
      </c>
      <c r="HUI292" s="18">
        <v>0</v>
      </c>
      <c r="HUJ292" s="18">
        <v>0</v>
      </c>
      <c r="HUK292" s="18">
        <v>0</v>
      </c>
      <c r="HUL292" s="18">
        <v>0</v>
      </c>
      <c r="HUM292" s="18">
        <v>0</v>
      </c>
      <c r="HUN292" s="18">
        <v>0</v>
      </c>
      <c r="HUO292" s="18">
        <v>0</v>
      </c>
      <c r="HUP292" s="18">
        <v>0</v>
      </c>
      <c r="HUQ292" s="18">
        <v>0</v>
      </c>
      <c r="HUR292" s="18">
        <v>0</v>
      </c>
      <c r="HUS292" s="18">
        <v>0</v>
      </c>
      <c r="HUT292" s="18">
        <v>0</v>
      </c>
      <c r="HUU292" s="18">
        <v>0</v>
      </c>
      <c r="HUV292" s="18">
        <v>0</v>
      </c>
      <c r="HUW292" s="18">
        <v>0</v>
      </c>
      <c r="HUX292" s="18">
        <v>0</v>
      </c>
      <c r="HUY292" s="18">
        <v>0</v>
      </c>
      <c r="HUZ292" s="18">
        <v>0</v>
      </c>
      <c r="HVA292" s="18">
        <v>0</v>
      </c>
      <c r="HVB292" s="18">
        <v>0</v>
      </c>
      <c r="HVC292" s="18">
        <v>0</v>
      </c>
      <c r="HVD292" s="18">
        <v>0</v>
      </c>
      <c r="HVE292" s="18">
        <v>0</v>
      </c>
      <c r="HVF292" s="18">
        <v>0</v>
      </c>
      <c r="HVG292" s="18">
        <v>0</v>
      </c>
      <c r="HVH292" s="18">
        <v>0</v>
      </c>
      <c r="HVI292" s="18">
        <v>0</v>
      </c>
      <c r="HVJ292" s="18">
        <v>0</v>
      </c>
      <c r="HVK292" s="18">
        <v>0</v>
      </c>
      <c r="HVL292" s="18">
        <v>0</v>
      </c>
      <c r="HVM292" s="18">
        <v>0</v>
      </c>
      <c r="HVN292" s="18">
        <v>0</v>
      </c>
      <c r="HVO292" s="18">
        <v>0</v>
      </c>
      <c r="HVP292" s="18">
        <v>0</v>
      </c>
      <c r="HVQ292" s="18">
        <v>0</v>
      </c>
      <c r="HVR292" s="18">
        <v>0</v>
      </c>
      <c r="HVS292" s="18">
        <v>0</v>
      </c>
      <c r="HVT292" s="18">
        <v>0</v>
      </c>
      <c r="HVU292" s="18">
        <v>0</v>
      </c>
      <c r="HVV292" s="18">
        <v>0</v>
      </c>
      <c r="HVW292" s="18">
        <v>0</v>
      </c>
      <c r="HVX292" s="18">
        <v>0</v>
      </c>
      <c r="HVY292" s="18">
        <v>0</v>
      </c>
      <c r="HVZ292" s="18">
        <v>0</v>
      </c>
      <c r="HWA292" s="18">
        <v>0</v>
      </c>
      <c r="HWB292" s="18">
        <v>0</v>
      </c>
      <c r="HWC292" s="18">
        <v>0</v>
      </c>
      <c r="HWD292" s="18">
        <v>0</v>
      </c>
      <c r="HWE292" s="18">
        <v>0</v>
      </c>
      <c r="HWF292" s="18">
        <v>0</v>
      </c>
      <c r="HWG292" s="18">
        <v>0</v>
      </c>
      <c r="HWH292" s="18">
        <v>0</v>
      </c>
      <c r="HWI292" s="18">
        <v>0</v>
      </c>
      <c r="HWJ292" s="18">
        <v>0</v>
      </c>
      <c r="HWK292" s="18">
        <v>0</v>
      </c>
      <c r="HWL292" s="18">
        <v>0</v>
      </c>
      <c r="HWM292" s="18">
        <v>0</v>
      </c>
      <c r="HWN292" s="18">
        <v>0</v>
      </c>
      <c r="HWO292" s="18">
        <v>0</v>
      </c>
      <c r="HWP292" s="18">
        <v>0</v>
      </c>
      <c r="HWQ292" s="18">
        <v>0</v>
      </c>
      <c r="HWR292" s="18">
        <v>0</v>
      </c>
      <c r="HWS292" s="18">
        <v>0</v>
      </c>
      <c r="HWT292" s="18">
        <v>0</v>
      </c>
      <c r="HWU292" s="18">
        <v>0</v>
      </c>
      <c r="HWV292" s="18">
        <v>0</v>
      </c>
      <c r="HWW292" s="18">
        <v>0</v>
      </c>
      <c r="HWX292" s="18">
        <v>0</v>
      </c>
      <c r="HWY292" s="18">
        <v>0</v>
      </c>
      <c r="HWZ292" s="18">
        <v>0</v>
      </c>
      <c r="HXA292" s="18">
        <v>0</v>
      </c>
      <c r="HXB292" s="18">
        <v>0</v>
      </c>
      <c r="HXC292" s="18">
        <v>0</v>
      </c>
      <c r="HXD292" s="18">
        <v>0</v>
      </c>
      <c r="HXE292" s="18">
        <v>0</v>
      </c>
      <c r="HXF292" s="18">
        <v>0</v>
      </c>
      <c r="HXG292" s="18">
        <v>0</v>
      </c>
      <c r="HXH292" s="18">
        <v>0</v>
      </c>
      <c r="HXI292" s="18">
        <v>0</v>
      </c>
      <c r="HXJ292" s="18">
        <v>0</v>
      </c>
      <c r="HXK292" s="18">
        <v>0</v>
      </c>
      <c r="HXL292" s="18">
        <v>0</v>
      </c>
      <c r="HXM292" s="18">
        <v>0</v>
      </c>
      <c r="HXN292" s="18">
        <v>0</v>
      </c>
      <c r="HXO292" s="18">
        <v>0</v>
      </c>
      <c r="HXP292" s="18">
        <v>0</v>
      </c>
      <c r="HXQ292" s="18">
        <v>0</v>
      </c>
      <c r="HXR292" s="18">
        <v>0</v>
      </c>
      <c r="HXS292" s="18">
        <v>0</v>
      </c>
      <c r="HXT292" s="18">
        <v>0</v>
      </c>
      <c r="HXU292" s="18">
        <v>0</v>
      </c>
      <c r="HXV292" s="18">
        <v>0</v>
      </c>
      <c r="HXW292" s="18">
        <v>0</v>
      </c>
      <c r="HXX292" s="18">
        <v>0</v>
      </c>
      <c r="HXY292" s="18">
        <v>0</v>
      </c>
      <c r="HXZ292" s="18">
        <v>0</v>
      </c>
      <c r="HYA292" s="18">
        <v>0</v>
      </c>
      <c r="HYB292" s="18">
        <v>0</v>
      </c>
      <c r="HYC292" s="18">
        <v>0</v>
      </c>
      <c r="HYD292" s="18">
        <v>0</v>
      </c>
      <c r="HYE292" s="18">
        <v>0</v>
      </c>
      <c r="HYF292" s="18">
        <v>0</v>
      </c>
      <c r="HYG292" s="18">
        <v>0</v>
      </c>
      <c r="HYH292" s="18">
        <v>0</v>
      </c>
      <c r="HYI292" s="18">
        <v>0</v>
      </c>
      <c r="HYJ292" s="18">
        <v>0</v>
      </c>
      <c r="HYK292" s="18">
        <v>0</v>
      </c>
      <c r="HYL292" s="18">
        <v>0</v>
      </c>
      <c r="HYM292" s="18">
        <v>0</v>
      </c>
      <c r="HYN292" s="18">
        <v>0</v>
      </c>
      <c r="HYO292" s="18">
        <v>0</v>
      </c>
      <c r="HYP292" s="18">
        <v>0</v>
      </c>
      <c r="HYQ292" s="18">
        <v>0</v>
      </c>
      <c r="HYR292" s="18">
        <v>0</v>
      </c>
      <c r="HYS292" s="18">
        <v>0</v>
      </c>
      <c r="HYT292" s="18">
        <v>0</v>
      </c>
      <c r="HYU292" s="18">
        <v>0</v>
      </c>
      <c r="HYV292" s="18">
        <v>0</v>
      </c>
      <c r="HYW292" s="18">
        <v>0</v>
      </c>
      <c r="HYX292" s="18">
        <v>0</v>
      </c>
      <c r="HYY292" s="18">
        <v>0</v>
      </c>
      <c r="HYZ292" s="18">
        <v>0</v>
      </c>
      <c r="HZA292" s="18">
        <v>0</v>
      </c>
      <c r="HZB292" s="18">
        <v>0</v>
      </c>
      <c r="HZC292" s="18">
        <v>0</v>
      </c>
      <c r="HZD292" s="18">
        <v>0</v>
      </c>
      <c r="HZE292" s="18">
        <v>0</v>
      </c>
      <c r="HZF292" s="18">
        <v>0</v>
      </c>
      <c r="HZG292" s="18">
        <v>0</v>
      </c>
      <c r="HZH292" s="18">
        <v>0</v>
      </c>
      <c r="HZI292" s="18">
        <v>0</v>
      </c>
      <c r="HZJ292" s="18">
        <v>0</v>
      </c>
      <c r="HZK292" s="18">
        <v>0</v>
      </c>
      <c r="HZL292" s="18">
        <v>0</v>
      </c>
      <c r="HZM292" s="18">
        <v>0</v>
      </c>
      <c r="HZN292" s="18">
        <v>0</v>
      </c>
      <c r="HZO292" s="18">
        <v>0</v>
      </c>
      <c r="HZP292" s="18">
        <v>0</v>
      </c>
      <c r="HZQ292" s="18">
        <v>0</v>
      </c>
      <c r="HZR292" s="18">
        <v>0</v>
      </c>
      <c r="HZS292" s="18">
        <v>0</v>
      </c>
      <c r="HZT292" s="18">
        <v>0</v>
      </c>
      <c r="HZU292" s="18">
        <v>0</v>
      </c>
      <c r="HZV292" s="18">
        <v>0</v>
      </c>
      <c r="HZW292" s="18">
        <v>0</v>
      </c>
      <c r="HZX292" s="18">
        <v>0</v>
      </c>
      <c r="HZY292" s="18">
        <v>0</v>
      </c>
      <c r="HZZ292" s="18">
        <v>0</v>
      </c>
      <c r="IAA292" s="18">
        <v>0</v>
      </c>
      <c r="IAB292" s="18">
        <v>0</v>
      </c>
      <c r="IAC292" s="18">
        <v>0</v>
      </c>
      <c r="IAD292" s="18">
        <v>0</v>
      </c>
      <c r="IAE292" s="18">
        <v>0</v>
      </c>
      <c r="IAF292" s="18">
        <v>0</v>
      </c>
      <c r="IAG292" s="18">
        <v>0</v>
      </c>
      <c r="IAH292" s="18">
        <v>0</v>
      </c>
      <c r="IAI292" s="18">
        <v>0</v>
      </c>
      <c r="IAJ292" s="18">
        <v>0</v>
      </c>
      <c r="IAK292" s="18">
        <v>0</v>
      </c>
      <c r="IAL292" s="18">
        <v>0</v>
      </c>
      <c r="IAM292" s="18">
        <v>0</v>
      </c>
      <c r="IAN292" s="18">
        <v>0</v>
      </c>
      <c r="IAO292" s="18">
        <v>0</v>
      </c>
      <c r="IAP292" s="18">
        <v>0</v>
      </c>
      <c r="IAQ292" s="18">
        <v>0</v>
      </c>
      <c r="IAR292" s="18">
        <v>0</v>
      </c>
      <c r="IAS292" s="18">
        <v>0</v>
      </c>
      <c r="IAT292" s="18">
        <v>0</v>
      </c>
      <c r="IAU292" s="18">
        <v>0</v>
      </c>
      <c r="IAV292" s="18">
        <v>0</v>
      </c>
      <c r="IAW292" s="18">
        <v>0</v>
      </c>
      <c r="IAX292" s="18">
        <v>0</v>
      </c>
      <c r="IAY292" s="18">
        <v>0</v>
      </c>
      <c r="IAZ292" s="18">
        <v>0</v>
      </c>
      <c r="IBA292" s="18">
        <v>0</v>
      </c>
      <c r="IBB292" s="18">
        <v>0</v>
      </c>
      <c r="IBC292" s="18">
        <v>0</v>
      </c>
      <c r="IBD292" s="18">
        <v>0</v>
      </c>
      <c r="IBE292" s="18">
        <v>0</v>
      </c>
      <c r="IBF292" s="18">
        <v>0</v>
      </c>
      <c r="IBG292" s="18">
        <v>0</v>
      </c>
      <c r="IBH292" s="18">
        <v>0</v>
      </c>
      <c r="IBI292" s="18">
        <v>0</v>
      </c>
      <c r="IBJ292" s="18">
        <v>0</v>
      </c>
      <c r="IBK292" s="18">
        <v>0</v>
      </c>
      <c r="IBL292" s="18">
        <v>0</v>
      </c>
      <c r="IBM292" s="18">
        <v>0</v>
      </c>
      <c r="IBN292" s="18">
        <v>0</v>
      </c>
      <c r="IBO292" s="18">
        <v>0</v>
      </c>
      <c r="IBP292" s="18">
        <v>0</v>
      </c>
      <c r="IBQ292" s="18">
        <v>0</v>
      </c>
      <c r="IBR292" s="18">
        <v>0</v>
      </c>
      <c r="IBS292" s="18">
        <v>0</v>
      </c>
      <c r="IBT292" s="18">
        <v>0</v>
      </c>
      <c r="IBU292" s="18">
        <v>0</v>
      </c>
      <c r="IBV292" s="18">
        <v>0</v>
      </c>
      <c r="IBW292" s="18">
        <v>0</v>
      </c>
      <c r="IBX292" s="18">
        <v>0</v>
      </c>
      <c r="IBY292" s="18">
        <v>0</v>
      </c>
      <c r="IBZ292" s="18">
        <v>0</v>
      </c>
      <c r="ICA292" s="18">
        <v>0</v>
      </c>
      <c r="ICB292" s="18">
        <v>0</v>
      </c>
      <c r="ICC292" s="18">
        <v>0</v>
      </c>
      <c r="ICD292" s="18">
        <v>0</v>
      </c>
      <c r="ICE292" s="18">
        <v>0</v>
      </c>
      <c r="ICF292" s="18">
        <v>0</v>
      </c>
      <c r="ICG292" s="18">
        <v>0</v>
      </c>
      <c r="ICH292" s="18">
        <v>0</v>
      </c>
      <c r="ICI292" s="18">
        <v>0</v>
      </c>
      <c r="ICJ292" s="18">
        <v>0</v>
      </c>
      <c r="ICK292" s="18">
        <v>0</v>
      </c>
      <c r="ICL292" s="18">
        <v>0</v>
      </c>
      <c r="ICM292" s="18">
        <v>0</v>
      </c>
      <c r="ICN292" s="18">
        <v>0</v>
      </c>
      <c r="ICO292" s="18">
        <v>0</v>
      </c>
      <c r="ICP292" s="18">
        <v>0</v>
      </c>
      <c r="ICQ292" s="18">
        <v>0</v>
      </c>
      <c r="ICR292" s="18">
        <v>0</v>
      </c>
      <c r="ICS292" s="18">
        <v>0</v>
      </c>
      <c r="ICT292" s="18">
        <v>0</v>
      </c>
      <c r="ICU292" s="18">
        <v>0</v>
      </c>
      <c r="ICV292" s="18">
        <v>0</v>
      </c>
      <c r="ICW292" s="18">
        <v>0</v>
      </c>
      <c r="ICX292" s="18">
        <v>0</v>
      </c>
      <c r="ICY292" s="18">
        <v>0</v>
      </c>
      <c r="ICZ292" s="18">
        <v>0</v>
      </c>
      <c r="IDA292" s="18">
        <v>0</v>
      </c>
      <c r="IDB292" s="18">
        <v>0</v>
      </c>
      <c r="IDC292" s="18">
        <v>0</v>
      </c>
      <c r="IDD292" s="18">
        <v>0</v>
      </c>
      <c r="IDE292" s="18">
        <v>0</v>
      </c>
      <c r="IDF292" s="18">
        <v>0</v>
      </c>
      <c r="IDG292" s="18">
        <v>0</v>
      </c>
      <c r="IDH292" s="18">
        <v>0</v>
      </c>
      <c r="IDI292" s="18">
        <v>0</v>
      </c>
      <c r="IDJ292" s="18">
        <v>0</v>
      </c>
      <c r="IDK292" s="18">
        <v>0</v>
      </c>
      <c r="IDL292" s="18">
        <v>0</v>
      </c>
      <c r="IDM292" s="18">
        <v>0</v>
      </c>
      <c r="IDN292" s="18">
        <v>0</v>
      </c>
      <c r="IDO292" s="18">
        <v>0</v>
      </c>
      <c r="IDP292" s="18">
        <v>0</v>
      </c>
      <c r="IDQ292" s="18">
        <v>0</v>
      </c>
      <c r="IDR292" s="18">
        <v>0</v>
      </c>
      <c r="IDS292" s="18">
        <v>0</v>
      </c>
      <c r="IDT292" s="18">
        <v>0</v>
      </c>
      <c r="IDU292" s="18">
        <v>0</v>
      </c>
      <c r="IDV292" s="18">
        <v>0</v>
      </c>
      <c r="IDW292" s="18">
        <v>0</v>
      </c>
      <c r="IDX292" s="18">
        <v>0</v>
      </c>
      <c r="IDY292" s="18">
        <v>0</v>
      </c>
      <c r="IDZ292" s="18">
        <v>0</v>
      </c>
      <c r="IEA292" s="18">
        <v>0</v>
      </c>
      <c r="IEB292" s="18">
        <v>0</v>
      </c>
      <c r="IEC292" s="18">
        <v>0</v>
      </c>
      <c r="IED292" s="18">
        <v>0</v>
      </c>
      <c r="IEE292" s="18">
        <v>0</v>
      </c>
      <c r="IEF292" s="18">
        <v>0</v>
      </c>
      <c r="IEG292" s="18">
        <v>0</v>
      </c>
      <c r="IEH292" s="18">
        <v>0</v>
      </c>
      <c r="IEI292" s="18">
        <v>0</v>
      </c>
      <c r="IEJ292" s="18">
        <v>0</v>
      </c>
      <c r="IEK292" s="18">
        <v>0</v>
      </c>
      <c r="IEL292" s="18">
        <v>0</v>
      </c>
      <c r="IEM292" s="18">
        <v>0</v>
      </c>
      <c r="IEN292" s="18">
        <v>0</v>
      </c>
      <c r="IEO292" s="18">
        <v>0</v>
      </c>
      <c r="IEP292" s="18">
        <v>0</v>
      </c>
      <c r="IEQ292" s="18">
        <v>0</v>
      </c>
      <c r="IER292" s="18">
        <v>0</v>
      </c>
      <c r="IES292" s="18">
        <v>0</v>
      </c>
      <c r="IET292" s="18">
        <v>0</v>
      </c>
      <c r="IEU292" s="18">
        <v>0</v>
      </c>
      <c r="IEV292" s="18">
        <v>0</v>
      </c>
      <c r="IEW292" s="18">
        <v>0</v>
      </c>
      <c r="IEX292" s="18">
        <v>0</v>
      </c>
      <c r="IEY292" s="18">
        <v>0</v>
      </c>
      <c r="IEZ292" s="18">
        <v>0</v>
      </c>
      <c r="IFA292" s="18">
        <v>0</v>
      </c>
      <c r="IFB292" s="18">
        <v>0</v>
      </c>
      <c r="IFC292" s="18">
        <v>0</v>
      </c>
      <c r="IFD292" s="18">
        <v>0</v>
      </c>
      <c r="IFE292" s="18">
        <v>0</v>
      </c>
      <c r="IFF292" s="18">
        <v>0</v>
      </c>
      <c r="IFG292" s="18">
        <v>0</v>
      </c>
      <c r="IFH292" s="18">
        <v>0</v>
      </c>
      <c r="IFI292" s="18">
        <v>0</v>
      </c>
      <c r="IFJ292" s="18">
        <v>0</v>
      </c>
      <c r="IFK292" s="18">
        <v>0</v>
      </c>
      <c r="IFL292" s="18">
        <v>0</v>
      </c>
      <c r="IFM292" s="18">
        <v>0</v>
      </c>
      <c r="IFN292" s="18">
        <v>0</v>
      </c>
      <c r="IFO292" s="18">
        <v>0</v>
      </c>
      <c r="IFP292" s="18">
        <v>0</v>
      </c>
      <c r="IFQ292" s="18">
        <v>0</v>
      </c>
      <c r="IFR292" s="18">
        <v>0</v>
      </c>
      <c r="IFS292" s="18">
        <v>0</v>
      </c>
      <c r="IFT292" s="18">
        <v>0</v>
      </c>
      <c r="IFU292" s="18">
        <v>0</v>
      </c>
      <c r="IFV292" s="18">
        <v>0</v>
      </c>
      <c r="IFW292" s="18">
        <v>0</v>
      </c>
      <c r="IFX292" s="18">
        <v>0</v>
      </c>
      <c r="IFY292" s="18">
        <v>0</v>
      </c>
      <c r="IFZ292" s="18">
        <v>0</v>
      </c>
      <c r="IGA292" s="18">
        <v>0</v>
      </c>
      <c r="IGB292" s="18">
        <v>0</v>
      </c>
      <c r="IGC292" s="18">
        <v>0</v>
      </c>
      <c r="IGD292" s="18">
        <v>0</v>
      </c>
      <c r="IGE292" s="18">
        <v>0</v>
      </c>
      <c r="IGF292" s="18">
        <v>0</v>
      </c>
      <c r="IGG292" s="18">
        <v>0</v>
      </c>
      <c r="IGH292" s="18">
        <v>0</v>
      </c>
      <c r="IGI292" s="18">
        <v>0</v>
      </c>
      <c r="IGJ292" s="18">
        <v>0</v>
      </c>
      <c r="IGK292" s="18">
        <v>0</v>
      </c>
      <c r="IGL292" s="18">
        <v>0</v>
      </c>
      <c r="IGM292" s="18">
        <v>0</v>
      </c>
      <c r="IGN292" s="18">
        <v>0</v>
      </c>
      <c r="IGO292" s="18">
        <v>0</v>
      </c>
      <c r="IGP292" s="18">
        <v>0</v>
      </c>
      <c r="IGQ292" s="18">
        <v>0</v>
      </c>
      <c r="IGR292" s="18">
        <v>0</v>
      </c>
      <c r="IGS292" s="18">
        <v>0</v>
      </c>
      <c r="IGT292" s="18">
        <v>0</v>
      </c>
      <c r="IGU292" s="18">
        <v>0</v>
      </c>
      <c r="IGV292" s="18">
        <v>0</v>
      </c>
      <c r="IGW292" s="18">
        <v>0</v>
      </c>
      <c r="IGX292" s="18">
        <v>0</v>
      </c>
      <c r="IGY292" s="18">
        <v>0</v>
      </c>
      <c r="IGZ292" s="18">
        <v>0</v>
      </c>
      <c r="IHA292" s="18">
        <v>0</v>
      </c>
      <c r="IHB292" s="18">
        <v>0</v>
      </c>
      <c r="IHC292" s="18">
        <v>0</v>
      </c>
      <c r="IHD292" s="18">
        <v>0</v>
      </c>
      <c r="IHE292" s="18">
        <v>0</v>
      </c>
      <c r="IHF292" s="18">
        <v>0</v>
      </c>
      <c r="IHG292" s="18">
        <v>0</v>
      </c>
      <c r="IHH292" s="18">
        <v>0</v>
      </c>
      <c r="IHI292" s="18">
        <v>0</v>
      </c>
      <c r="IHJ292" s="18">
        <v>0</v>
      </c>
      <c r="IHK292" s="18">
        <v>0</v>
      </c>
      <c r="IHL292" s="18">
        <v>0</v>
      </c>
      <c r="IHM292" s="18">
        <v>0</v>
      </c>
      <c r="IHN292" s="18">
        <v>0</v>
      </c>
      <c r="IHO292" s="18">
        <v>0</v>
      </c>
      <c r="IHP292" s="18">
        <v>0</v>
      </c>
      <c r="IHQ292" s="18">
        <v>0</v>
      </c>
      <c r="IHR292" s="18">
        <v>0</v>
      </c>
      <c r="IHS292" s="18">
        <v>0</v>
      </c>
      <c r="IHT292" s="18">
        <v>0</v>
      </c>
      <c r="IHU292" s="18">
        <v>0</v>
      </c>
      <c r="IHV292" s="18">
        <v>0</v>
      </c>
      <c r="IHW292" s="18">
        <v>0</v>
      </c>
      <c r="IHX292" s="18">
        <v>0</v>
      </c>
      <c r="IHY292" s="18">
        <v>0</v>
      </c>
      <c r="IHZ292" s="18">
        <v>0</v>
      </c>
      <c r="IIA292" s="18">
        <v>0</v>
      </c>
      <c r="IIB292" s="18">
        <v>0</v>
      </c>
      <c r="IIC292" s="18">
        <v>0</v>
      </c>
      <c r="IID292" s="18">
        <v>0</v>
      </c>
      <c r="IIE292" s="18">
        <v>0</v>
      </c>
      <c r="IIF292" s="18">
        <v>0</v>
      </c>
      <c r="IIG292" s="18">
        <v>0</v>
      </c>
      <c r="IIH292" s="18">
        <v>0</v>
      </c>
      <c r="III292" s="18">
        <v>0</v>
      </c>
      <c r="IIJ292" s="18">
        <v>0</v>
      </c>
      <c r="IIK292" s="18">
        <v>0</v>
      </c>
      <c r="IIL292" s="18">
        <v>0</v>
      </c>
      <c r="IIM292" s="18">
        <v>0</v>
      </c>
      <c r="IIN292" s="18">
        <v>0</v>
      </c>
      <c r="IIO292" s="18">
        <v>0</v>
      </c>
      <c r="IIP292" s="18">
        <v>0</v>
      </c>
      <c r="IIQ292" s="18">
        <v>0</v>
      </c>
      <c r="IIR292" s="18">
        <v>0</v>
      </c>
      <c r="IIS292" s="18">
        <v>0</v>
      </c>
      <c r="IIT292" s="18">
        <v>0</v>
      </c>
      <c r="IIU292" s="18">
        <v>0</v>
      </c>
      <c r="IIV292" s="18">
        <v>0</v>
      </c>
      <c r="IIW292" s="18">
        <v>0</v>
      </c>
      <c r="IIX292" s="18">
        <v>0</v>
      </c>
      <c r="IIY292" s="18">
        <v>0</v>
      </c>
      <c r="IIZ292" s="18">
        <v>0</v>
      </c>
      <c r="IJA292" s="18">
        <v>0</v>
      </c>
      <c r="IJB292" s="18">
        <v>0</v>
      </c>
      <c r="IJC292" s="18">
        <v>0</v>
      </c>
      <c r="IJD292" s="18">
        <v>0</v>
      </c>
      <c r="IJE292" s="18">
        <v>0</v>
      </c>
      <c r="IJF292" s="18">
        <v>0</v>
      </c>
      <c r="IJG292" s="18">
        <v>0</v>
      </c>
      <c r="IJH292" s="18">
        <v>0</v>
      </c>
      <c r="IJI292" s="18">
        <v>0</v>
      </c>
      <c r="IJJ292" s="18">
        <v>0</v>
      </c>
      <c r="IJK292" s="18">
        <v>0</v>
      </c>
      <c r="IJL292" s="18">
        <v>0</v>
      </c>
      <c r="IJM292" s="18">
        <v>0</v>
      </c>
      <c r="IJN292" s="18">
        <v>0</v>
      </c>
      <c r="IJO292" s="18">
        <v>0</v>
      </c>
      <c r="IJP292" s="18">
        <v>0</v>
      </c>
      <c r="IJQ292" s="18">
        <v>0</v>
      </c>
      <c r="IJR292" s="18">
        <v>0</v>
      </c>
      <c r="IJS292" s="18">
        <v>0</v>
      </c>
      <c r="IJT292" s="18">
        <v>0</v>
      </c>
      <c r="IJU292" s="18">
        <v>0</v>
      </c>
      <c r="IJV292" s="18">
        <v>0</v>
      </c>
      <c r="IJW292" s="18">
        <v>0</v>
      </c>
      <c r="IJX292" s="18">
        <v>0</v>
      </c>
      <c r="IJY292" s="18">
        <v>0</v>
      </c>
      <c r="IJZ292" s="18">
        <v>0</v>
      </c>
      <c r="IKA292" s="18">
        <v>0</v>
      </c>
      <c r="IKB292" s="18">
        <v>0</v>
      </c>
      <c r="IKC292" s="18">
        <v>0</v>
      </c>
      <c r="IKD292" s="18">
        <v>0</v>
      </c>
      <c r="IKE292" s="18">
        <v>0</v>
      </c>
      <c r="IKF292" s="18">
        <v>0</v>
      </c>
      <c r="IKG292" s="18">
        <v>0</v>
      </c>
      <c r="IKH292" s="18">
        <v>0</v>
      </c>
      <c r="IKI292" s="18">
        <v>0</v>
      </c>
      <c r="IKJ292" s="18">
        <v>0</v>
      </c>
      <c r="IKK292" s="18">
        <v>0</v>
      </c>
      <c r="IKL292" s="18">
        <v>0</v>
      </c>
      <c r="IKM292" s="18">
        <v>0</v>
      </c>
      <c r="IKN292" s="18">
        <v>0</v>
      </c>
      <c r="IKO292" s="18">
        <v>0</v>
      </c>
      <c r="IKP292" s="18">
        <v>0</v>
      </c>
      <c r="IKQ292" s="18">
        <v>0</v>
      </c>
      <c r="IKR292" s="18">
        <v>0</v>
      </c>
      <c r="IKS292" s="18">
        <v>0</v>
      </c>
      <c r="IKT292" s="18">
        <v>0</v>
      </c>
      <c r="IKU292" s="18">
        <v>0</v>
      </c>
      <c r="IKV292" s="18">
        <v>0</v>
      </c>
      <c r="IKW292" s="18">
        <v>0</v>
      </c>
      <c r="IKX292" s="18">
        <v>0</v>
      </c>
      <c r="IKY292" s="18">
        <v>0</v>
      </c>
      <c r="IKZ292" s="18">
        <v>0</v>
      </c>
      <c r="ILA292" s="18">
        <v>0</v>
      </c>
      <c r="ILB292" s="18">
        <v>0</v>
      </c>
      <c r="ILC292" s="18">
        <v>0</v>
      </c>
      <c r="ILD292" s="18">
        <v>0</v>
      </c>
      <c r="ILE292" s="18">
        <v>0</v>
      </c>
      <c r="ILF292" s="18">
        <v>0</v>
      </c>
      <c r="ILG292" s="18">
        <v>0</v>
      </c>
      <c r="ILH292" s="18">
        <v>0</v>
      </c>
      <c r="ILI292" s="18">
        <v>0</v>
      </c>
      <c r="ILJ292" s="18">
        <v>0</v>
      </c>
      <c r="ILK292" s="18">
        <v>0</v>
      </c>
      <c r="ILL292" s="18">
        <v>0</v>
      </c>
      <c r="ILM292" s="18">
        <v>0</v>
      </c>
      <c r="ILN292" s="18">
        <v>0</v>
      </c>
      <c r="ILO292" s="18">
        <v>0</v>
      </c>
      <c r="ILP292" s="18">
        <v>0</v>
      </c>
      <c r="ILQ292" s="18">
        <v>0</v>
      </c>
      <c r="ILR292" s="18">
        <v>0</v>
      </c>
      <c r="ILS292" s="18">
        <v>0</v>
      </c>
      <c r="ILT292" s="18">
        <v>0</v>
      </c>
      <c r="ILU292" s="18">
        <v>0</v>
      </c>
      <c r="ILV292" s="18">
        <v>0</v>
      </c>
      <c r="ILW292" s="18">
        <v>0</v>
      </c>
      <c r="ILX292" s="18">
        <v>0</v>
      </c>
      <c r="ILY292" s="18">
        <v>0</v>
      </c>
      <c r="ILZ292" s="18">
        <v>0</v>
      </c>
      <c r="IMA292" s="18">
        <v>0</v>
      </c>
      <c r="IMB292" s="18">
        <v>0</v>
      </c>
      <c r="IMC292" s="18">
        <v>0</v>
      </c>
      <c r="IMD292" s="18">
        <v>0</v>
      </c>
      <c r="IME292" s="18">
        <v>0</v>
      </c>
      <c r="IMF292" s="18">
        <v>0</v>
      </c>
      <c r="IMG292" s="18">
        <v>0</v>
      </c>
      <c r="IMH292" s="18">
        <v>0</v>
      </c>
      <c r="IMI292" s="18">
        <v>0</v>
      </c>
      <c r="IMJ292" s="18">
        <v>0</v>
      </c>
      <c r="IMK292" s="18">
        <v>0</v>
      </c>
      <c r="IML292" s="18">
        <v>0</v>
      </c>
      <c r="IMM292" s="18">
        <v>0</v>
      </c>
      <c r="IMN292" s="18">
        <v>0</v>
      </c>
      <c r="IMO292" s="18">
        <v>0</v>
      </c>
      <c r="IMP292" s="18">
        <v>0</v>
      </c>
      <c r="IMQ292" s="18">
        <v>0</v>
      </c>
      <c r="IMR292" s="18">
        <v>0</v>
      </c>
      <c r="IMS292" s="18">
        <v>0</v>
      </c>
      <c r="IMT292" s="18">
        <v>0</v>
      </c>
      <c r="IMU292" s="18">
        <v>0</v>
      </c>
      <c r="IMV292" s="18">
        <v>0</v>
      </c>
      <c r="IMW292" s="18">
        <v>0</v>
      </c>
      <c r="IMX292" s="18">
        <v>0</v>
      </c>
      <c r="IMY292" s="18">
        <v>0</v>
      </c>
      <c r="IMZ292" s="18">
        <v>0</v>
      </c>
      <c r="INA292" s="18">
        <v>0</v>
      </c>
      <c r="INB292" s="18">
        <v>0</v>
      </c>
      <c r="INC292" s="18">
        <v>0</v>
      </c>
      <c r="IND292" s="18">
        <v>0</v>
      </c>
      <c r="INE292" s="18">
        <v>0</v>
      </c>
      <c r="INF292" s="18">
        <v>0</v>
      </c>
      <c r="ING292" s="18">
        <v>0</v>
      </c>
      <c r="INH292" s="18">
        <v>0</v>
      </c>
      <c r="INI292" s="18">
        <v>0</v>
      </c>
      <c r="INJ292" s="18">
        <v>0</v>
      </c>
      <c r="INK292" s="18">
        <v>0</v>
      </c>
      <c r="INL292" s="18">
        <v>0</v>
      </c>
      <c r="INM292" s="18">
        <v>0</v>
      </c>
      <c r="INN292" s="18">
        <v>0</v>
      </c>
      <c r="INO292" s="18">
        <v>0</v>
      </c>
      <c r="INP292" s="18">
        <v>0</v>
      </c>
      <c r="INQ292" s="18">
        <v>0</v>
      </c>
      <c r="INR292" s="18">
        <v>0</v>
      </c>
      <c r="INS292" s="18">
        <v>0</v>
      </c>
      <c r="INT292" s="18">
        <v>0</v>
      </c>
      <c r="INU292" s="18">
        <v>0</v>
      </c>
      <c r="INV292" s="18">
        <v>0</v>
      </c>
      <c r="INW292" s="18">
        <v>0</v>
      </c>
      <c r="INX292" s="18">
        <v>0</v>
      </c>
      <c r="INY292" s="18">
        <v>0</v>
      </c>
      <c r="INZ292" s="18">
        <v>0</v>
      </c>
      <c r="IOA292" s="18">
        <v>0</v>
      </c>
      <c r="IOB292" s="18">
        <v>0</v>
      </c>
      <c r="IOC292" s="18">
        <v>0</v>
      </c>
      <c r="IOD292" s="18">
        <v>0</v>
      </c>
      <c r="IOE292" s="18">
        <v>0</v>
      </c>
      <c r="IOF292" s="18">
        <v>0</v>
      </c>
      <c r="IOG292" s="18">
        <v>0</v>
      </c>
      <c r="IOH292" s="18">
        <v>0</v>
      </c>
      <c r="IOI292" s="18">
        <v>0</v>
      </c>
      <c r="IOJ292" s="18">
        <v>0</v>
      </c>
      <c r="IOK292" s="18">
        <v>0</v>
      </c>
      <c r="IOL292" s="18">
        <v>0</v>
      </c>
      <c r="IOM292" s="18">
        <v>0</v>
      </c>
      <c r="ION292" s="18">
        <v>0</v>
      </c>
      <c r="IOO292" s="18">
        <v>0</v>
      </c>
      <c r="IOP292" s="18">
        <v>0</v>
      </c>
      <c r="IOQ292" s="18">
        <v>0</v>
      </c>
      <c r="IOR292" s="18">
        <v>0</v>
      </c>
      <c r="IOS292" s="18">
        <v>0</v>
      </c>
      <c r="IOT292" s="18">
        <v>0</v>
      </c>
      <c r="IOU292" s="18">
        <v>0</v>
      </c>
      <c r="IOV292" s="18">
        <v>0</v>
      </c>
      <c r="IOW292" s="18">
        <v>0</v>
      </c>
      <c r="IOX292" s="18">
        <v>0</v>
      </c>
      <c r="IOY292" s="18">
        <v>0</v>
      </c>
      <c r="IOZ292" s="18">
        <v>0</v>
      </c>
      <c r="IPA292" s="18">
        <v>0</v>
      </c>
      <c r="IPB292" s="18">
        <v>0</v>
      </c>
      <c r="IPC292" s="18">
        <v>0</v>
      </c>
      <c r="IPD292" s="18">
        <v>0</v>
      </c>
      <c r="IPE292" s="18">
        <v>0</v>
      </c>
      <c r="IPF292" s="18">
        <v>0</v>
      </c>
      <c r="IPG292" s="18">
        <v>0</v>
      </c>
      <c r="IPH292" s="18">
        <v>0</v>
      </c>
      <c r="IPI292" s="18">
        <v>0</v>
      </c>
      <c r="IPJ292" s="18">
        <v>0</v>
      </c>
      <c r="IPK292" s="18">
        <v>0</v>
      </c>
      <c r="IPL292" s="18">
        <v>0</v>
      </c>
      <c r="IPM292" s="18">
        <v>0</v>
      </c>
      <c r="IPN292" s="18">
        <v>0</v>
      </c>
      <c r="IPO292" s="18">
        <v>0</v>
      </c>
      <c r="IPP292" s="18">
        <v>0</v>
      </c>
      <c r="IPQ292" s="18">
        <v>0</v>
      </c>
      <c r="IPR292" s="18">
        <v>0</v>
      </c>
      <c r="IPS292" s="18">
        <v>0</v>
      </c>
      <c r="IPT292" s="18">
        <v>0</v>
      </c>
      <c r="IPU292" s="18">
        <v>0</v>
      </c>
      <c r="IPV292" s="18">
        <v>0</v>
      </c>
      <c r="IPW292" s="18">
        <v>0</v>
      </c>
      <c r="IPX292" s="18">
        <v>0</v>
      </c>
      <c r="IPY292" s="18">
        <v>0</v>
      </c>
      <c r="IPZ292" s="18">
        <v>0</v>
      </c>
      <c r="IQA292" s="18">
        <v>0</v>
      </c>
      <c r="IQB292" s="18">
        <v>0</v>
      </c>
      <c r="IQC292" s="18">
        <v>0</v>
      </c>
      <c r="IQD292" s="18">
        <v>0</v>
      </c>
      <c r="IQE292" s="18">
        <v>0</v>
      </c>
      <c r="IQF292" s="18">
        <v>0</v>
      </c>
      <c r="IQG292" s="18">
        <v>0</v>
      </c>
      <c r="IQH292" s="18">
        <v>0</v>
      </c>
      <c r="IQI292" s="18">
        <v>0</v>
      </c>
      <c r="IQJ292" s="18">
        <v>0</v>
      </c>
      <c r="IQK292" s="18">
        <v>0</v>
      </c>
      <c r="IQL292" s="18">
        <v>0</v>
      </c>
      <c r="IQM292" s="18">
        <v>0</v>
      </c>
      <c r="IQN292" s="18">
        <v>0</v>
      </c>
      <c r="IQO292" s="18">
        <v>0</v>
      </c>
      <c r="IQP292" s="18">
        <v>0</v>
      </c>
      <c r="IQQ292" s="18">
        <v>0</v>
      </c>
      <c r="IQR292" s="18">
        <v>0</v>
      </c>
      <c r="IQS292" s="18">
        <v>0</v>
      </c>
      <c r="IQT292" s="18">
        <v>0</v>
      </c>
      <c r="IQU292" s="18">
        <v>0</v>
      </c>
      <c r="IQV292" s="18">
        <v>0</v>
      </c>
      <c r="IQW292" s="18">
        <v>0</v>
      </c>
      <c r="IQX292" s="18">
        <v>0</v>
      </c>
      <c r="IQY292" s="18">
        <v>0</v>
      </c>
      <c r="IQZ292" s="18">
        <v>0</v>
      </c>
      <c r="IRA292" s="18">
        <v>0</v>
      </c>
      <c r="IRB292" s="18">
        <v>0</v>
      </c>
      <c r="IRC292" s="18">
        <v>0</v>
      </c>
      <c r="IRD292" s="18">
        <v>0</v>
      </c>
      <c r="IRE292" s="18">
        <v>0</v>
      </c>
      <c r="IRF292" s="18">
        <v>0</v>
      </c>
      <c r="IRG292" s="18">
        <v>0</v>
      </c>
      <c r="IRH292" s="18">
        <v>0</v>
      </c>
      <c r="IRI292" s="18">
        <v>0</v>
      </c>
      <c r="IRJ292" s="18">
        <v>0</v>
      </c>
      <c r="IRK292" s="18">
        <v>0</v>
      </c>
      <c r="IRL292" s="18">
        <v>0</v>
      </c>
      <c r="IRM292" s="18">
        <v>0</v>
      </c>
      <c r="IRN292" s="18">
        <v>0</v>
      </c>
      <c r="IRO292" s="18">
        <v>0</v>
      </c>
      <c r="IRP292" s="18">
        <v>0</v>
      </c>
      <c r="IRQ292" s="18">
        <v>0</v>
      </c>
      <c r="IRR292" s="18">
        <v>0</v>
      </c>
      <c r="IRS292" s="18">
        <v>0</v>
      </c>
      <c r="IRT292" s="18">
        <v>0</v>
      </c>
      <c r="IRU292" s="18">
        <v>0</v>
      </c>
      <c r="IRV292" s="18">
        <v>0</v>
      </c>
      <c r="IRW292" s="18">
        <v>0</v>
      </c>
      <c r="IRX292" s="18">
        <v>0</v>
      </c>
      <c r="IRY292" s="18">
        <v>0</v>
      </c>
      <c r="IRZ292" s="18">
        <v>0</v>
      </c>
      <c r="ISA292" s="18">
        <v>0</v>
      </c>
      <c r="ISB292" s="18">
        <v>0</v>
      </c>
      <c r="ISC292" s="18">
        <v>0</v>
      </c>
      <c r="ISD292" s="18">
        <v>0</v>
      </c>
      <c r="ISE292" s="18">
        <v>0</v>
      </c>
      <c r="ISF292" s="18">
        <v>0</v>
      </c>
      <c r="ISG292" s="18">
        <v>0</v>
      </c>
      <c r="ISH292" s="18">
        <v>0</v>
      </c>
      <c r="ISI292" s="18">
        <v>0</v>
      </c>
      <c r="ISJ292" s="18">
        <v>0</v>
      </c>
      <c r="ISK292" s="18">
        <v>0</v>
      </c>
      <c r="ISL292" s="18">
        <v>0</v>
      </c>
      <c r="ISM292" s="18">
        <v>0</v>
      </c>
      <c r="ISN292" s="18">
        <v>0</v>
      </c>
      <c r="ISO292" s="18">
        <v>0</v>
      </c>
      <c r="ISP292" s="18">
        <v>0</v>
      </c>
      <c r="ISQ292" s="18">
        <v>0</v>
      </c>
      <c r="ISR292" s="18">
        <v>0</v>
      </c>
      <c r="ISS292" s="18">
        <v>0</v>
      </c>
      <c r="IST292" s="18">
        <v>0</v>
      </c>
      <c r="ISU292" s="18">
        <v>0</v>
      </c>
      <c r="ISV292" s="18">
        <v>0</v>
      </c>
      <c r="ISW292" s="18">
        <v>0</v>
      </c>
      <c r="ISX292" s="18">
        <v>0</v>
      </c>
      <c r="ISY292" s="18">
        <v>0</v>
      </c>
      <c r="ISZ292" s="18">
        <v>0</v>
      </c>
      <c r="ITA292" s="18">
        <v>0</v>
      </c>
      <c r="ITB292" s="18">
        <v>0</v>
      </c>
      <c r="ITC292" s="18">
        <v>0</v>
      </c>
      <c r="ITD292" s="18">
        <v>0</v>
      </c>
      <c r="ITE292" s="18">
        <v>0</v>
      </c>
      <c r="ITF292" s="18">
        <v>0</v>
      </c>
      <c r="ITG292" s="18">
        <v>0</v>
      </c>
      <c r="ITH292" s="18">
        <v>0</v>
      </c>
      <c r="ITI292" s="18">
        <v>0</v>
      </c>
      <c r="ITJ292" s="18">
        <v>0</v>
      </c>
      <c r="ITK292" s="18">
        <v>0</v>
      </c>
      <c r="ITL292" s="18">
        <v>0</v>
      </c>
      <c r="ITM292" s="18">
        <v>0</v>
      </c>
      <c r="ITN292" s="18">
        <v>0</v>
      </c>
      <c r="ITO292" s="18">
        <v>0</v>
      </c>
      <c r="ITP292" s="18">
        <v>0</v>
      </c>
      <c r="ITQ292" s="18">
        <v>0</v>
      </c>
      <c r="ITR292" s="18">
        <v>0</v>
      </c>
      <c r="ITS292" s="18">
        <v>0</v>
      </c>
      <c r="ITT292" s="18">
        <v>0</v>
      </c>
      <c r="ITU292" s="18">
        <v>0</v>
      </c>
      <c r="ITV292" s="18">
        <v>0</v>
      </c>
      <c r="ITW292" s="18">
        <v>0</v>
      </c>
      <c r="ITX292" s="18">
        <v>0</v>
      </c>
      <c r="ITY292" s="18">
        <v>0</v>
      </c>
      <c r="ITZ292" s="18">
        <v>0</v>
      </c>
      <c r="IUA292" s="18">
        <v>0</v>
      </c>
      <c r="IUB292" s="18">
        <v>0</v>
      </c>
      <c r="IUC292" s="18">
        <v>0</v>
      </c>
      <c r="IUD292" s="18">
        <v>0</v>
      </c>
      <c r="IUE292" s="18">
        <v>0</v>
      </c>
      <c r="IUF292" s="18">
        <v>0</v>
      </c>
      <c r="IUG292" s="18">
        <v>0</v>
      </c>
      <c r="IUH292" s="18">
        <v>0</v>
      </c>
      <c r="IUI292" s="18">
        <v>0</v>
      </c>
      <c r="IUJ292" s="18">
        <v>0</v>
      </c>
      <c r="IUK292" s="18">
        <v>0</v>
      </c>
      <c r="IUL292" s="18">
        <v>0</v>
      </c>
      <c r="IUM292" s="18">
        <v>0</v>
      </c>
      <c r="IUN292" s="18">
        <v>0</v>
      </c>
      <c r="IUO292" s="18">
        <v>0</v>
      </c>
      <c r="IUP292" s="18">
        <v>0</v>
      </c>
      <c r="IUQ292" s="18">
        <v>0</v>
      </c>
      <c r="IUR292" s="18">
        <v>0</v>
      </c>
      <c r="IUS292" s="18">
        <v>0</v>
      </c>
      <c r="IUT292" s="18">
        <v>0</v>
      </c>
      <c r="IUU292" s="18">
        <v>0</v>
      </c>
      <c r="IUV292" s="18">
        <v>0</v>
      </c>
      <c r="IUW292" s="18">
        <v>0</v>
      </c>
      <c r="IUX292" s="18">
        <v>0</v>
      </c>
      <c r="IUY292" s="18">
        <v>0</v>
      </c>
      <c r="IUZ292" s="18">
        <v>0</v>
      </c>
      <c r="IVA292" s="18">
        <v>0</v>
      </c>
      <c r="IVB292" s="18">
        <v>0</v>
      </c>
      <c r="IVC292" s="18">
        <v>0</v>
      </c>
      <c r="IVD292" s="18">
        <v>0</v>
      </c>
      <c r="IVE292" s="18">
        <v>0</v>
      </c>
      <c r="IVF292" s="18">
        <v>0</v>
      </c>
      <c r="IVG292" s="18">
        <v>0</v>
      </c>
      <c r="IVH292" s="18">
        <v>0</v>
      </c>
      <c r="IVI292" s="18">
        <v>0</v>
      </c>
      <c r="IVJ292" s="18">
        <v>0</v>
      </c>
      <c r="IVK292" s="18">
        <v>0</v>
      </c>
      <c r="IVL292" s="18">
        <v>0</v>
      </c>
      <c r="IVM292" s="18">
        <v>0</v>
      </c>
      <c r="IVN292" s="18">
        <v>0</v>
      </c>
      <c r="IVO292" s="18">
        <v>0</v>
      </c>
      <c r="IVP292" s="18">
        <v>0</v>
      </c>
      <c r="IVQ292" s="18">
        <v>0</v>
      </c>
      <c r="IVR292" s="18">
        <v>0</v>
      </c>
      <c r="IVS292" s="18">
        <v>0</v>
      </c>
      <c r="IVT292" s="18">
        <v>0</v>
      </c>
      <c r="IVU292" s="18">
        <v>0</v>
      </c>
      <c r="IVV292" s="18">
        <v>0</v>
      </c>
      <c r="IVW292" s="18">
        <v>0</v>
      </c>
      <c r="IVX292" s="18">
        <v>0</v>
      </c>
      <c r="IVY292" s="18">
        <v>0</v>
      </c>
      <c r="IVZ292" s="18">
        <v>0</v>
      </c>
      <c r="IWA292" s="18">
        <v>0</v>
      </c>
      <c r="IWB292" s="18">
        <v>0</v>
      </c>
      <c r="IWC292" s="18">
        <v>0</v>
      </c>
      <c r="IWD292" s="18">
        <v>0</v>
      </c>
      <c r="IWE292" s="18">
        <v>0</v>
      </c>
      <c r="IWF292" s="18">
        <v>0</v>
      </c>
      <c r="IWG292" s="18">
        <v>0</v>
      </c>
      <c r="IWH292" s="18">
        <v>0</v>
      </c>
      <c r="IWI292" s="18">
        <v>0</v>
      </c>
      <c r="IWJ292" s="18">
        <v>0</v>
      </c>
      <c r="IWK292" s="18">
        <v>0</v>
      </c>
      <c r="IWL292" s="18">
        <v>0</v>
      </c>
      <c r="IWM292" s="18">
        <v>0</v>
      </c>
      <c r="IWN292" s="18">
        <v>0</v>
      </c>
      <c r="IWO292" s="18">
        <v>0</v>
      </c>
      <c r="IWP292" s="18">
        <v>0</v>
      </c>
      <c r="IWQ292" s="18">
        <v>0</v>
      </c>
      <c r="IWR292" s="18">
        <v>0</v>
      </c>
      <c r="IWS292" s="18">
        <v>0</v>
      </c>
      <c r="IWT292" s="18">
        <v>0</v>
      </c>
      <c r="IWU292" s="18">
        <v>0</v>
      </c>
      <c r="IWV292" s="18">
        <v>0</v>
      </c>
      <c r="IWW292" s="18">
        <v>0</v>
      </c>
      <c r="IWX292" s="18">
        <v>0</v>
      </c>
      <c r="IWY292" s="18">
        <v>0</v>
      </c>
      <c r="IWZ292" s="18">
        <v>0</v>
      </c>
      <c r="IXA292" s="18">
        <v>0</v>
      </c>
      <c r="IXB292" s="18">
        <v>0</v>
      </c>
      <c r="IXC292" s="18">
        <v>0</v>
      </c>
      <c r="IXD292" s="18">
        <v>0</v>
      </c>
      <c r="IXE292" s="18">
        <v>0</v>
      </c>
      <c r="IXF292" s="18">
        <v>0</v>
      </c>
      <c r="IXG292" s="18">
        <v>0</v>
      </c>
      <c r="IXH292" s="18">
        <v>0</v>
      </c>
      <c r="IXI292" s="18">
        <v>0</v>
      </c>
      <c r="IXJ292" s="18">
        <v>0</v>
      </c>
      <c r="IXK292" s="18">
        <v>0</v>
      </c>
      <c r="IXL292" s="18">
        <v>0</v>
      </c>
      <c r="IXM292" s="18">
        <v>0</v>
      </c>
      <c r="IXN292" s="18">
        <v>0</v>
      </c>
      <c r="IXO292" s="18">
        <v>0</v>
      </c>
      <c r="IXP292" s="18">
        <v>0</v>
      </c>
      <c r="IXQ292" s="18">
        <v>0</v>
      </c>
      <c r="IXR292" s="18">
        <v>0</v>
      </c>
      <c r="IXS292" s="18">
        <v>0</v>
      </c>
      <c r="IXT292" s="18">
        <v>0</v>
      </c>
      <c r="IXU292" s="18">
        <v>0</v>
      </c>
      <c r="IXV292" s="18">
        <v>0</v>
      </c>
      <c r="IXW292" s="18">
        <v>0</v>
      </c>
      <c r="IXX292" s="18">
        <v>0</v>
      </c>
      <c r="IXY292" s="18">
        <v>0</v>
      </c>
      <c r="IXZ292" s="18">
        <v>0</v>
      </c>
      <c r="IYA292" s="18">
        <v>0</v>
      </c>
      <c r="IYB292" s="18">
        <v>0</v>
      </c>
      <c r="IYC292" s="18">
        <v>0</v>
      </c>
      <c r="IYD292" s="18">
        <v>0</v>
      </c>
      <c r="IYE292" s="18">
        <v>0</v>
      </c>
      <c r="IYF292" s="18">
        <v>0</v>
      </c>
      <c r="IYG292" s="18">
        <v>0</v>
      </c>
      <c r="IYH292" s="18">
        <v>0</v>
      </c>
      <c r="IYI292" s="18">
        <v>0</v>
      </c>
      <c r="IYJ292" s="18">
        <v>0</v>
      </c>
      <c r="IYK292" s="18">
        <v>0</v>
      </c>
      <c r="IYL292" s="18">
        <v>0</v>
      </c>
      <c r="IYM292" s="18">
        <v>0</v>
      </c>
      <c r="IYN292" s="18">
        <v>0</v>
      </c>
      <c r="IYO292" s="18">
        <v>0</v>
      </c>
      <c r="IYP292" s="18">
        <v>0</v>
      </c>
      <c r="IYQ292" s="18">
        <v>0</v>
      </c>
      <c r="IYR292" s="18">
        <v>0</v>
      </c>
      <c r="IYS292" s="18">
        <v>0</v>
      </c>
      <c r="IYT292" s="18">
        <v>0</v>
      </c>
      <c r="IYU292" s="18">
        <v>0</v>
      </c>
      <c r="IYV292" s="18">
        <v>0</v>
      </c>
      <c r="IYW292" s="18">
        <v>0</v>
      </c>
      <c r="IYX292" s="18">
        <v>0</v>
      </c>
      <c r="IYY292" s="18">
        <v>0</v>
      </c>
      <c r="IYZ292" s="18">
        <v>0</v>
      </c>
      <c r="IZA292" s="18">
        <v>0</v>
      </c>
      <c r="IZB292" s="18">
        <v>0</v>
      </c>
      <c r="IZC292" s="18">
        <v>0</v>
      </c>
      <c r="IZD292" s="18">
        <v>0</v>
      </c>
      <c r="IZE292" s="18">
        <v>0</v>
      </c>
      <c r="IZF292" s="18">
        <v>0</v>
      </c>
      <c r="IZG292" s="18">
        <v>0</v>
      </c>
      <c r="IZH292" s="18">
        <v>0</v>
      </c>
      <c r="IZI292" s="18">
        <v>0</v>
      </c>
      <c r="IZJ292" s="18">
        <v>0</v>
      </c>
      <c r="IZK292" s="18">
        <v>0</v>
      </c>
      <c r="IZL292" s="18">
        <v>0</v>
      </c>
      <c r="IZM292" s="18">
        <v>0</v>
      </c>
      <c r="IZN292" s="18">
        <v>0</v>
      </c>
      <c r="IZO292" s="18">
        <v>0</v>
      </c>
      <c r="IZP292" s="18">
        <v>0</v>
      </c>
      <c r="IZQ292" s="18">
        <v>0</v>
      </c>
      <c r="IZR292" s="18">
        <v>0</v>
      </c>
      <c r="IZS292" s="18">
        <v>0</v>
      </c>
      <c r="IZT292" s="18">
        <v>0</v>
      </c>
      <c r="IZU292" s="18">
        <v>0</v>
      </c>
      <c r="IZV292" s="18">
        <v>0</v>
      </c>
      <c r="IZW292" s="18">
        <v>0</v>
      </c>
      <c r="IZX292" s="18">
        <v>0</v>
      </c>
      <c r="IZY292" s="18">
        <v>0</v>
      </c>
      <c r="IZZ292" s="18">
        <v>0</v>
      </c>
      <c r="JAA292" s="18">
        <v>0</v>
      </c>
      <c r="JAB292" s="18">
        <v>0</v>
      </c>
      <c r="JAC292" s="18">
        <v>0</v>
      </c>
      <c r="JAD292" s="18">
        <v>0</v>
      </c>
      <c r="JAE292" s="18">
        <v>0</v>
      </c>
      <c r="JAF292" s="18">
        <v>0</v>
      </c>
      <c r="JAG292" s="18">
        <v>0</v>
      </c>
      <c r="JAH292" s="18">
        <v>0</v>
      </c>
      <c r="JAI292" s="18">
        <v>0</v>
      </c>
      <c r="JAJ292" s="18">
        <v>0</v>
      </c>
      <c r="JAK292" s="18">
        <v>0</v>
      </c>
      <c r="JAL292" s="18">
        <v>0</v>
      </c>
      <c r="JAM292" s="18">
        <v>0</v>
      </c>
      <c r="JAN292" s="18">
        <v>0</v>
      </c>
      <c r="JAO292" s="18">
        <v>0</v>
      </c>
      <c r="JAP292" s="18">
        <v>0</v>
      </c>
      <c r="JAQ292" s="18">
        <v>0</v>
      </c>
      <c r="JAR292" s="18">
        <v>0</v>
      </c>
      <c r="JAS292" s="18">
        <v>0</v>
      </c>
      <c r="JAT292" s="18">
        <v>0</v>
      </c>
      <c r="JAU292" s="18">
        <v>0</v>
      </c>
      <c r="JAV292" s="18">
        <v>0</v>
      </c>
      <c r="JAW292" s="18">
        <v>0</v>
      </c>
      <c r="JAX292" s="18">
        <v>0</v>
      </c>
      <c r="JAY292" s="18">
        <v>0</v>
      </c>
      <c r="JAZ292" s="18">
        <v>0</v>
      </c>
      <c r="JBA292" s="18">
        <v>0</v>
      </c>
      <c r="JBB292" s="18">
        <v>0</v>
      </c>
      <c r="JBC292" s="18">
        <v>0</v>
      </c>
      <c r="JBD292" s="18">
        <v>0</v>
      </c>
      <c r="JBE292" s="18">
        <v>0</v>
      </c>
      <c r="JBF292" s="18">
        <v>0</v>
      </c>
      <c r="JBG292" s="18">
        <v>0</v>
      </c>
      <c r="JBH292" s="18">
        <v>0</v>
      </c>
      <c r="JBI292" s="18">
        <v>0</v>
      </c>
      <c r="JBJ292" s="18">
        <v>0</v>
      </c>
      <c r="JBK292" s="18">
        <v>0</v>
      </c>
      <c r="JBL292" s="18">
        <v>0</v>
      </c>
      <c r="JBM292" s="18">
        <v>0</v>
      </c>
      <c r="JBN292" s="18">
        <v>0</v>
      </c>
      <c r="JBO292" s="18">
        <v>0</v>
      </c>
      <c r="JBP292" s="18">
        <v>0</v>
      </c>
      <c r="JBQ292" s="18">
        <v>0</v>
      </c>
      <c r="JBR292" s="18">
        <v>0</v>
      </c>
      <c r="JBS292" s="18">
        <v>0</v>
      </c>
      <c r="JBT292" s="18">
        <v>0</v>
      </c>
      <c r="JBU292" s="18">
        <v>0</v>
      </c>
      <c r="JBV292" s="18">
        <v>0</v>
      </c>
      <c r="JBW292" s="18">
        <v>0</v>
      </c>
      <c r="JBX292" s="18">
        <v>0</v>
      </c>
      <c r="JBY292" s="18">
        <v>0</v>
      </c>
      <c r="JBZ292" s="18">
        <v>0</v>
      </c>
      <c r="JCA292" s="18">
        <v>0</v>
      </c>
      <c r="JCB292" s="18">
        <v>0</v>
      </c>
      <c r="JCC292" s="18">
        <v>0</v>
      </c>
      <c r="JCD292" s="18">
        <v>0</v>
      </c>
      <c r="JCE292" s="18">
        <v>0</v>
      </c>
      <c r="JCF292" s="18">
        <v>0</v>
      </c>
      <c r="JCG292" s="18">
        <v>0</v>
      </c>
      <c r="JCH292" s="18">
        <v>0</v>
      </c>
      <c r="JCI292" s="18">
        <v>0</v>
      </c>
      <c r="JCJ292" s="18">
        <v>0</v>
      </c>
      <c r="JCK292" s="18">
        <v>0</v>
      </c>
      <c r="JCL292" s="18">
        <v>0</v>
      </c>
      <c r="JCM292" s="18">
        <v>0</v>
      </c>
      <c r="JCN292" s="18">
        <v>0</v>
      </c>
      <c r="JCO292" s="18">
        <v>0</v>
      </c>
      <c r="JCP292" s="18">
        <v>0</v>
      </c>
      <c r="JCQ292" s="18">
        <v>0</v>
      </c>
      <c r="JCR292" s="18">
        <v>0</v>
      </c>
      <c r="JCS292" s="18">
        <v>0</v>
      </c>
      <c r="JCT292" s="18">
        <v>0</v>
      </c>
      <c r="JCU292" s="18">
        <v>0</v>
      </c>
      <c r="JCV292" s="18">
        <v>0</v>
      </c>
      <c r="JCW292" s="18">
        <v>0</v>
      </c>
      <c r="JCX292" s="18">
        <v>0</v>
      </c>
      <c r="JCY292" s="18">
        <v>0</v>
      </c>
      <c r="JCZ292" s="18">
        <v>0</v>
      </c>
      <c r="JDA292" s="18">
        <v>0</v>
      </c>
      <c r="JDB292" s="18">
        <v>0</v>
      </c>
      <c r="JDC292" s="18">
        <v>0</v>
      </c>
      <c r="JDD292" s="18">
        <v>0</v>
      </c>
      <c r="JDE292" s="18">
        <v>0</v>
      </c>
      <c r="JDF292" s="18">
        <v>0</v>
      </c>
      <c r="JDG292" s="18">
        <v>0</v>
      </c>
      <c r="JDH292" s="18">
        <v>0</v>
      </c>
      <c r="JDI292" s="18">
        <v>0</v>
      </c>
      <c r="JDJ292" s="18">
        <v>0</v>
      </c>
      <c r="JDK292" s="18">
        <v>0</v>
      </c>
      <c r="JDL292" s="18">
        <v>0</v>
      </c>
      <c r="JDM292" s="18">
        <v>0</v>
      </c>
      <c r="JDN292" s="18">
        <v>0</v>
      </c>
      <c r="JDO292" s="18">
        <v>0</v>
      </c>
      <c r="JDP292" s="18">
        <v>0</v>
      </c>
      <c r="JDQ292" s="18">
        <v>0</v>
      </c>
      <c r="JDR292" s="18">
        <v>0</v>
      </c>
      <c r="JDS292" s="18">
        <v>0</v>
      </c>
      <c r="JDT292" s="18">
        <v>0</v>
      </c>
      <c r="JDU292" s="18">
        <v>0</v>
      </c>
      <c r="JDV292" s="18">
        <v>0</v>
      </c>
      <c r="JDW292" s="18">
        <v>0</v>
      </c>
      <c r="JDX292" s="18">
        <v>0</v>
      </c>
      <c r="JDY292" s="18">
        <v>0</v>
      </c>
      <c r="JDZ292" s="18">
        <v>0</v>
      </c>
      <c r="JEA292" s="18">
        <v>0</v>
      </c>
      <c r="JEB292" s="18">
        <v>0</v>
      </c>
      <c r="JEC292" s="18">
        <v>0</v>
      </c>
      <c r="JED292" s="18">
        <v>0</v>
      </c>
      <c r="JEE292" s="18">
        <v>0</v>
      </c>
      <c r="JEF292" s="18">
        <v>0</v>
      </c>
      <c r="JEG292" s="18">
        <v>0</v>
      </c>
      <c r="JEH292" s="18">
        <v>0</v>
      </c>
      <c r="JEI292" s="18">
        <v>0</v>
      </c>
      <c r="JEJ292" s="18">
        <v>0</v>
      </c>
      <c r="JEK292" s="18">
        <v>0</v>
      </c>
      <c r="JEL292" s="18">
        <v>0</v>
      </c>
      <c r="JEM292" s="18">
        <v>0</v>
      </c>
      <c r="JEN292" s="18">
        <v>0</v>
      </c>
      <c r="JEO292" s="18">
        <v>0</v>
      </c>
      <c r="JEP292" s="18">
        <v>0</v>
      </c>
      <c r="JEQ292" s="18">
        <v>0</v>
      </c>
      <c r="JER292" s="18">
        <v>0</v>
      </c>
      <c r="JES292" s="18">
        <v>0</v>
      </c>
      <c r="JET292" s="18">
        <v>0</v>
      </c>
      <c r="JEU292" s="18">
        <v>0</v>
      </c>
      <c r="JEV292" s="18">
        <v>0</v>
      </c>
      <c r="JEW292" s="18">
        <v>0</v>
      </c>
      <c r="JEX292" s="18">
        <v>0</v>
      </c>
      <c r="JEY292" s="18">
        <v>0</v>
      </c>
      <c r="JEZ292" s="18">
        <v>0</v>
      </c>
      <c r="JFA292" s="18">
        <v>0</v>
      </c>
      <c r="JFB292" s="18">
        <v>0</v>
      </c>
      <c r="JFC292" s="18">
        <v>0</v>
      </c>
      <c r="JFD292" s="18">
        <v>0</v>
      </c>
      <c r="JFE292" s="18">
        <v>0</v>
      </c>
      <c r="JFF292" s="18">
        <v>0</v>
      </c>
      <c r="JFG292" s="18">
        <v>0</v>
      </c>
      <c r="JFH292" s="18">
        <v>0</v>
      </c>
      <c r="JFI292" s="18">
        <v>0</v>
      </c>
      <c r="JFJ292" s="18">
        <v>0</v>
      </c>
      <c r="JFK292" s="18">
        <v>0</v>
      </c>
      <c r="JFL292" s="18">
        <v>0</v>
      </c>
      <c r="JFM292" s="18">
        <v>0</v>
      </c>
      <c r="JFN292" s="18">
        <v>0</v>
      </c>
      <c r="JFO292" s="18">
        <v>0</v>
      </c>
      <c r="JFP292" s="18">
        <v>0</v>
      </c>
      <c r="JFQ292" s="18">
        <v>0</v>
      </c>
      <c r="JFR292" s="18">
        <v>0</v>
      </c>
      <c r="JFS292" s="18">
        <v>0</v>
      </c>
      <c r="JFT292" s="18">
        <v>0</v>
      </c>
      <c r="JFU292" s="18">
        <v>0</v>
      </c>
      <c r="JFV292" s="18">
        <v>0</v>
      </c>
      <c r="JFW292" s="18">
        <v>0</v>
      </c>
      <c r="JFX292" s="18">
        <v>0</v>
      </c>
      <c r="JFY292" s="18">
        <v>0</v>
      </c>
      <c r="JFZ292" s="18">
        <v>0</v>
      </c>
      <c r="JGA292" s="18">
        <v>0</v>
      </c>
      <c r="JGB292" s="18">
        <v>0</v>
      </c>
      <c r="JGC292" s="18">
        <v>0</v>
      </c>
      <c r="JGD292" s="18">
        <v>0</v>
      </c>
      <c r="JGE292" s="18">
        <v>0</v>
      </c>
      <c r="JGF292" s="18">
        <v>0</v>
      </c>
      <c r="JGG292" s="18">
        <v>0</v>
      </c>
      <c r="JGH292" s="18">
        <v>0</v>
      </c>
      <c r="JGI292" s="18">
        <v>0</v>
      </c>
      <c r="JGJ292" s="18">
        <v>0</v>
      </c>
      <c r="JGK292" s="18">
        <v>0</v>
      </c>
      <c r="JGL292" s="18">
        <v>0</v>
      </c>
      <c r="JGM292" s="18">
        <v>0</v>
      </c>
      <c r="JGN292" s="18">
        <v>0</v>
      </c>
      <c r="JGO292" s="18">
        <v>0</v>
      </c>
      <c r="JGP292" s="18">
        <v>0</v>
      </c>
      <c r="JGQ292" s="18">
        <v>0</v>
      </c>
      <c r="JGR292" s="18">
        <v>0</v>
      </c>
      <c r="JGS292" s="18">
        <v>0</v>
      </c>
      <c r="JGT292" s="18">
        <v>0</v>
      </c>
      <c r="JGU292" s="18">
        <v>0</v>
      </c>
      <c r="JGV292" s="18">
        <v>0</v>
      </c>
      <c r="JGW292" s="18">
        <v>0</v>
      </c>
      <c r="JGX292" s="18">
        <v>0</v>
      </c>
      <c r="JGY292" s="18">
        <v>0</v>
      </c>
      <c r="JGZ292" s="18">
        <v>0</v>
      </c>
      <c r="JHA292" s="18">
        <v>0</v>
      </c>
      <c r="JHB292" s="18">
        <v>0</v>
      </c>
      <c r="JHC292" s="18">
        <v>0</v>
      </c>
      <c r="JHD292" s="18">
        <v>0</v>
      </c>
      <c r="JHE292" s="18">
        <v>0</v>
      </c>
      <c r="JHF292" s="18">
        <v>0</v>
      </c>
      <c r="JHG292" s="18">
        <v>0</v>
      </c>
      <c r="JHH292" s="18">
        <v>0</v>
      </c>
      <c r="JHI292" s="18">
        <v>0</v>
      </c>
      <c r="JHJ292" s="18">
        <v>0</v>
      </c>
      <c r="JHK292" s="18">
        <v>0</v>
      </c>
      <c r="JHL292" s="18">
        <v>0</v>
      </c>
      <c r="JHM292" s="18">
        <v>0</v>
      </c>
      <c r="JHN292" s="18">
        <v>0</v>
      </c>
      <c r="JHO292" s="18">
        <v>0</v>
      </c>
      <c r="JHP292" s="18">
        <v>0</v>
      </c>
      <c r="JHQ292" s="18">
        <v>0</v>
      </c>
      <c r="JHR292" s="18">
        <v>0</v>
      </c>
      <c r="JHS292" s="18">
        <v>0</v>
      </c>
      <c r="JHT292" s="18">
        <v>0</v>
      </c>
      <c r="JHU292" s="18">
        <v>0</v>
      </c>
      <c r="JHV292" s="18">
        <v>0</v>
      </c>
      <c r="JHW292" s="18">
        <v>0</v>
      </c>
      <c r="JHX292" s="18">
        <v>0</v>
      </c>
      <c r="JHY292" s="18">
        <v>0</v>
      </c>
      <c r="JHZ292" s="18">
        <v>0</v>
      </c>
      <c r="JIA292" s="18">
        <v>0</v>
      </c>
      <c r="JIB292" s="18">
        <v>0</v>
      </c>
      <c r="JIC292" s="18">
        <v>0</v>
      </c>
      <c r="JID292" s="18">
        <v>0</v>
      </c>
      <c r="JIE292" s="18">
        <v>0</v>
      </c>
      <c r="JIF292" s="18">
        <v>0</v>
      </c>
      <c r="JIG292" s="18">
        <v>0</v>
      </c>
      <c r="JIH292" s="18">
        <v>0</v>
      </c>
      <c r="JII292" s="18">
        <v>0</v>
      </c>
      <c r="JIJ292" s="18">
        <v>0</v>
      </c>
      <c r="JIK292" s="18">
        <v>0</v>
      </c>
      <c r="JIL292" s="18">
        <v>0</v>
      </c>
      <c r="JIM292" s="18">
        <v>0</v>
      </c>
      <c r="JIN292" s="18">
        <v>0</v>
      </c>
      <c r="JIO292" s="18">
        <v>0</v>
      </c>
      <c r="JIP292" s="18">
        <v>0</v>
      </c>
      <c r="JIQ292" s="18">
        <v>0</v>
      </c>
      <c r="JIR292" s="18">
        <v>0</v>
      </c>
      <c r="JIS292" s="18">
        <v>0</v>
      </c>
      <c r="JIT292" s="18">
        <v>0</v>
      </c>
      <c r="JIU292" s="18">
        <v>0</v>
      </c>
      <c r="JIV292" s="18">
        <v>0</v>
      </c>
      <c r="JIW292" s="18">
        <v>0</v>
      </c>
      <c r="JIX292" s="18">
        <v>0</v>
      </c>
      <c r="JIY292" s="18">
        <v>0</v>
      </c>
      <c r="JIZ292" s="18">
        <v>0</v>
      </c>
      <c r="JJA292" s="18">
        <v>0</v>
      </c>
      <c r="JJB292" s="18">
        <v>0</v>
      </c>
      <c r="JJC292" s="18">
        <v>0</v>
      </c>
      <c r="JJD292" s="18">
        <v>0</v>
      </c>
      <c r="JJE292" s="18">
        <v>0</v>
      </c>
      <c r="JJF292" s="18">
        <v>0</v>
      </c>
      <c r="JJG292" s="18">
        <v>0</v>
      </c>
      <c r="JJH292" s="18">
        <v>0</v>
      </c>
      <c r="JJI292" s="18">
        <v>0</v>
      </c>
      <c r="JJJ292" s="18">
        <v>0</v>
      </c>
      <c r="JJK292" s="18">
        <v>0</v>
      </c>
      <c r="JJL292" s="18">
        <v>0</v>
      </c>
      <c r="JJM292" s="18">
        <v>0</v>
      </c>
      <c r="JJN292" s="18">
        <v>0</v>
      </c>
      <c r="JJO292" s="18">
        <v>0</v>
      </c>
      <c r="JJP292" s="18">
        <v>0</v>
      </c>
      <c r="JJQ292" s="18">
        <v>0</v>
      </c>
      <c r="JJR292" s="18">
        <v>0</v>
      </c>
      <c r="JJS292" s="18">
        <v>0</v>
      </c>
      <c r="JJT292" s="18">
        <v>0</v>
      </c>
      <c r="JJU292" s="18">
        <v>0</v>
      </c>
      <c r="JJV292" s="18">
        <v>0</v>
      </c>
      <c r="JJW292" s="18">
        <v>0</v>
      </c>
      <c r="JJX292" s="18">
        <v>0</v>
      </c>
      <c r="JJY292" s="18">
        <v>0</v>
      </c>
      <c r="JJZ292" s="18">
        <v>0</v>
      </c>
      <c r="JKA292" s="18">
        <v>0</v>
      </c>
      <c r="JKB292" s="18">
        <v>0</v>
      </c>
      <c r="JKC292" s="18">
        <v>0</v>
      </c>
      <c r="JKD292" s="18">
        <v>0</v>
      </c>
      <c r="JKE292" s="18">
        <v>0</v>
      </c>
      <c r="JKF292" s="18">
        <v>0</v>
      </c>
      <c r="JKG292" s="18">
        <v>0</v>
      </c>
      <c r="JKH292" s="18">
        <v>0</v>
      </c>
      <c r="JKI292" s="18">
        <v>0</v>
      </c>
      <c r="JKJ292" s="18">
        <v>0</v>
      </c>
      <c r="JKK292" s="18">
        <v>0</v>
      </c>
      <c r="JKL292" s="18">
        <v>0</v>
      </c>
      <c r="JKM292" s="18">
        <v>0</v>
      </c>
      <c r="JKN292" s="18">
        <v>0</v>
      </c>
      <c r="JKO292" s="18">
        <v>0</v>
      </c>
      <c r="JKP292" s="18">
        <v>0</v>
      </c>
      <c r="JKQ292" s="18">
        <v>0</v>
      </c>
      <c r="JKR292" s="18">
        <v>0</v>
      </c>
      <c r="JKS292" s="18">
        <v>0</v>
      </c>
      <c r="JKT292" s="18">
        <v>0</v>
      </c>
      <c r="JKU292" s="18">
        <v>0</v>
      </c>
      <c r="JKV292" s="18">
        <v>0</v>
      </c>
      <c r="JKW292" s="18">
        <v>0</v>
      </c>
      <c r="JKX292" s="18">
        <v>0</v>
      </c>
      <c r="JKY292" s="18">
        <v>0</v>
      </c>
      <c r="JKZ292" s="18">
        <v>0</v>
      </c>
      <c r="JLA292" s="18">
        <v>0</v>
      </c>
      <c r="JLB292" s="18">
        <v>0</v>
      </c>
      <c r="JLC292" s="18">
        <v>0</v>
      </c>
      <c r="JLD292" s="18">
        <v>0</v>
      </c>
      <c r="JLE292" s="18">
        <v>0</v>
      </c>
      <c r="JLF292" s="18">
        <v>0</v>
      </c>
      <c r="JLG292" s="18">
        <v>0</v>
      </c>
      <c r="JLH292" s="18">
        <v>0</v>
      </c>
      <c r="JLI292" s="18">
        <v>0</v>
      </c>
      <c r="JLJ292" s="18">
        <v>0</v>
      </c>
      <c r="JLK292" s="18">
        <v>0</v>
      </c>
      <c r="JLL292" s="18">
        <v>0</v>
      </c>
      <c r="JLM292" s="18">
        <v>0</v>
      </c>
      <c r="JLN292" s="18">
        <v>0</v>
      </c>
      <c r="JLO292" s="18">
        <v>0</v>
      </c>
      <c r="JLP292" s="18">
        <v>0</v>
      </c>
      <c r="JLQ292" s="18">
        <v>0</v>
      </c>
      <c r="JLR292" s="18">
        <v>0</v>
      </c>
      <c r="JLS292" s="18">
        <v>0</v>
      </c>
      <c r="JLT292" s="18">
        <v>0</v>
      </c>
      <c r="JLU292" s="18">
        <v>0</v>
      </c>
      <c r="JLV292" s="18">
        <v>0</v>
      </c>
      <c r="JLW292" s="18">
        <v>0</v>
      </c>
      <c r="JLX292" s="18">
        <v>0</v>
      </c>
      <c r="JLY292" s="18">
        <v>0</v>
      </c>
      <c r="JLZ292" s="18">
        <v>0</v>
      </c>
      <c r="JMA292" s="18">
        <v>0</v>
      </c>
      <c r="JMB292" s="18">
        <v>0</v>
      </c>
      <c r="JMC292" s="18">
        <v>0</v>
      </c>
      <c r="JMD292" s="18">
        <v>0</v>
      </c>
      <c r="JME292" s="18">
        <v>0</v>
      </c>
      <c r="JMF292" s="18">
        <v>0</v>
      </c>
      <c r="JMG292" s="18">
        <v>0</v>
      </c>
      <c r="JMH292" s="18">
        <v>0</v>
      </c>
      <c r="JMI292" s="18">
        <v>0</v>
      </c>
      <c r="JMJ292" s="18">
        <v>0</v>
      </c>
      <c r="JMK292" s="18">
        <v>0</v>
      </c>
      <c r="JML292" s="18">
        <v>0</v>
      </c>
      <c r="JMM292" s="18">
        <v>0</v>
      </c>
      <c r="JMN292" s="18">
        <v>0</v>
      </c>
      <c r="JMO292" s="18">
        <v>0</v>
      </c>
      <c r="JMP292" s="18">
        <v>0</v>
      </c>
      <c r="JMQ292" s="18">
        <v>0</v>
      </c>
      <c r="JMR292" s="18">
        <v>0</v>
      </c>
      <c r="JMS292" s="18">
        <v>0</v>
      </c>
      <c r="JMT292" s="18">
        <v>0</v>
      </c>
      <c r="JMU292" s="18">
        <v>0</v>
      </c>
      <c r="JMV292" s="18">
        <v>0</v>
      </c>
      <c r="JMW292" s="18">
        <v>0</v>
      </c>
      <c r="JMX292" s="18">
        <v>0</v>
      </c>
      <c r="JMY292" s="18">
        <v>0</v>
      </c>
      <c r="JMZ292" s="18">
        <v>0</v>
      </c>
      <c r="JNA292" s="18">
        <v>0</v>
      </c>
      <c r="JNB292" s="18">
        <v>0</v>
      </c>
      <c r="JNC292" s="18">
        <v>0</v>
      </c>
      <c r="JND292" s="18">
        <v>0</v>
      </c>
      <c r="JNE292" s="18">
        <v>0</v>
      </c>
      <c r="JNF292" s="18">
        <v>0</v>
      </c>
      <c r="JNG292" s="18">
        <v>0</v>
      </c>
      <c r="JNH292" s="18">
        <v>0</v>
      </c>
      <c r="JNI292" s="18">
        <v>0</v>
      </c>
      <c r="JNJ292" s="18">
        <v>0</v>
      </c>
      <c r="JNK292" s="18">
        <v>0</v>
      </c>
      <c r="JNL292" s="18">
        <v>0</v>
      </c>
      <c r="JNM292" s="18">
        <v>0</v>
      </c>
      <c r="JNN292" s="18">
        <v>0</v>
      </c>
      <c r="JNO292" s="18">
        <v>0</v>
      </c>
      <c r="JNP292" s="18">
        <v>0</v>
      </c>
      <c r="JNQ292" s="18">
        <v>0</v>
      </c>
      <c r="JNR292" s="18">
        <v>0</v>
      </c>
      <c r="JNS292" s="18">
        <v>0</v>
      </c>
      <c r="JNT292" s="18">
        <v>0</v>
      </c>
      <c r="JNU292" s="18">
        <v>0</v>
      </c>
      <c r="JNV292" s="18">
        <v>0</v>
      </c>
      <c r="JNW292" s="18">
        <v>0</v>
      </c>
      <c r="JNX292" s="18">
        <v>0</v>
      </c>
      <c r="JNY292" s="18">
        <v>0</v>
      </c>
      <c r="JNZ292" s="18">
        <v>0</v>
      </c>
      <c r="JOA292" s="18">
        <v>0</v>
      </c>
      <c r="JOB292" s="18">
        <v>0</v>
      </c>
      <c r="JOC292" s="18">
        <v>0</v>
      </c>
      <c r="JOD292" s="18">
        <v>0</v>
      </c>
      <c r="JOE292" s="18">
        <v>0</v>
      </c>
      <c r="JOF292" s="18">
        <v>0</v>
      </c>
      <c r="JOG292" s="18">
        <v>0</v>
      </c>
      <c r="JOH292" s="18">
        <v>0</v>
      </c>
      <c r="JOI292" s="18">
        <v>0</v>
      </c>
      <c r="JOJ292" s="18">
        <v>0</v>
      </c>
      <c r="JOK292" s="18">
        <v>0</v>
      </c>
      <c r="JOL292" s="18">
        <v>0</v>
      </c>
      <c r="JOM292" s="18">
        <v>0</v>
      </c>
      <c r="JON292" s="18">
        <v>0</v>
      </c>
      <c r="JOO292" s="18">
        <v>0</v>
      </c>
      <c r="JOP292" s="18">
        <v>0</v>
      </c>
      <c r="JOQ292" s="18">
        <v>0</v>
      </c>
      <c r="JOR292" s="18">
        <v>0</v>
      </c>
      <c r="JOS292" s="18">
        <v>0</v>
      </c>
      <c r="JOT292" s="18">
        <v>0</v>
      </c>
      <c r="JOU292" s="18">
        <v>0</v>
      </c>
      <c r="JOV292" s="18">
        <v>0</v>
      </c>
      <c r="JOW292" s="18">
        <v>0</v>
      </c>
      <c r="JOX292" s="18">
        <v>0</v>
      </c>
      <c r="JOY292" s="18">
        <v>0</v>
      </c>
      <c r="JOZ292" s="18">
        <v>0</v>
      </c>
      <c r="JPA292" s="18">
        <v>0</v>
      </c>
      <c r="JPB292" s="18">
        <v>0</v>
      </c>
      <c r="JPC292" s="18">
        <v>0</v>
      </c>
      <c r="JPD292" s="18">
        <v>0</v>
      </c>
      <c r="JPE292" s="18">
        <v>0</v>
      </c>
      <c r="JPF292" s="18">
        <v>0</v>
      </c>
      <c r="JPG292" s="18">
        <v>0</v>
      </c>
      <c r="JPH292" s="18">
        <v>0</v>
      </c>
      <c r="JPI292" s="18">
        <v>0</v>
      </c>
      <c r="JPJ292" s="18">
        <v>0</v>
      </c>
      <c r="JPK292" s="18">
        <v>0</v>
      </c>
      <c r="JPL292" s="18">
        <v>0</v>
      </c>
      <c r="JPM292" s="18">
        <v>0</v>
      </c>
      <c r="JPN292" s="18">
        <v>0</v>
      </c>
      <c r="JPO292" s="18">
        <v>0</v>
      </c>
      <c r="JPP292" s="18">
        <v>0</v>
      </c>
      <c r="JPQ292" s="18">
        <v>0</v>
      </c>
      <c r="JPR292" s="18">
        <v>0</v>
      </c>
      <c r="JPS292" s="18">
        <v>0</v>
      </c>
      <c r="JPT292" s="18">
        <v>0</v>
      </c>
      <c r="JPU292" s="18">
        <v>0</v>
      </c>
      <c r="JPV292" s="18">
        <v>0</v>
      </c>
      <c r="JPW292" s="18">
        <v>0</v>
      </c>
      <c r="JPX292" s="18">
        <v>0</v>
      </c>
      <c r="JPY292" s="18">
        <v>0</v>
      </c>
      <c r="JPZ292" s="18">
        <v>0</v>
      </c>
      <c r="JQA292" s="18">
        <v>0</v>
      </c>
      <c r="JQB292" s="18">
        <v>0</v>
      </c>
      <c r="JQC292" s="18">
        <v>0</v>
      </c>
      <c r="JQD292" s="18">
        <v>0</v>
      </c>
      <c r="JQE292" s="18">
        <v>0</v>
      </c>
      <c r="JQF292" s="18">
        <v>0</v>
      </c>
      <c r="JQG292" s="18">
        <v>0</v>
      </c>
      <c r="JQH292" s="18">
        <v>0</v>
      </c>
      <c r="JQI292" s="18">
        <v>0</v>
      </c>
      <c r="JQJ292" s="18">
        <v>0</v>
      </c>
      <c r="JQK292" s="18">
        <v>0</v>
      </c>
      <c r="JQL292" s="18">
        <v>0</v>
      </c>
      <c r="JQM292" s="18">
        <v>0</v>
      </c>
      <c r="JQN292" s="18">
        <v>0</v>
      </c>
      <c r="JQO292" s="18">
        <v>0</v>
      </c>
      <c r="JQP292" s="18">
        <v>0</v>
      </c>
      <c r="JQQ292" s="18">
        <v>0</v>
      </c>
      <c r="JQR292" s="18">
        <v>0</v>
      </c>
      <c r="JQS292" s="18">
        <v>0</v>
      </c>
      <c r="JQT292" s="18">
        <v>0</v>
      </c>
      <c r="JQU292" s="18">
        <v>0</v>
      </c>
      <c r="JQV292" s="18">
        <v>0</v>
      </c>
      <c r="JQW292" s="18">
        <v>0</v>
      </c>
      <c r="JQX292" s="18">
        <v>0</v>
      </c>
      <c r="JQY292" s="18">
        <v>0</v>
      </c>
      <c r="JQZ292" s="18">
        <v>0</v>
      </c>
      <c r="JRA292" s="18">
        <v>0</v>
      </c>
      <c r="JRB292" s="18">
        <v>0</v>
      </c>
      <c r="JRC292" s="18">
        <v>0</v>
      </c>
      <c r="JRD292" s="18">
        <v>0</v>
      </c>
      <c r="JRE292" s="18">
        <v>0</v>
      </c>
      <c r="JRF292" s="18">
        <v>0</v>
      </c>
      <c r="JRG292" s="18">
        <v>0</v>
      </c>
      <c r="JRH292" s="18">
        <v>0</v>
      </c>
      <c r="JRI292" s="18">
        <v>0</v>
      </c>
      <c r="JRJ292" s="18">
        <v>0</v>
      </c>
      <c r="JRK292" s="18">
        <v>0</v>
      </c>
      <c r="JRL292" s="18">
        <v>0</v>
      </c>
      <c r="JRM292" s="18">
        <v>0</v>
      </c>
      <c r="JRN292" s="18">
        <v>0</v>
      </c>
      <c r="JRO292" s="18">
        <v>0</v>
      </c>
      <c r="JRP292" s="18">
        <v>0</v>
      </c>
      <c r="JRQ292" s="18">
        <v>0</v>
      </c>
      <c r="JRR292" s="18">
        <v>0</v>
      </c>
      <c r="JRS292" s="18">
        <v>0</v>
      </c>
      <c r="JRT292" s="18">
        <v>0</v>
      </c>
      <c r="JRU292" s="18">
        <v>0</v>
      </c>
      <c r="JRV292" s="18">
        <v>0</v>
      </c>
      <c r="JRW292" s="18">
        <v>0</v>
      </c>
      <c r="JRX292" s="18">
        <v>0</v>
      </c>
      <c r="JRY292" s="18">
        <v>0</v>
      </c>
      <c r="JRZ292" s="18">
        <v>0</v>
      </c>
      <c r="JSA292" s="18">
        <v>0</v>
      </c>
      <c r="JSB292" s="18">
        <v>0</v>
      </c>
      <c r="JSC292" s="18">
        <v>0</v>
      </c>
      <c r="JSD292" s="18">
        <v>0</v>
      </c>
      <c r="JSE292" s="18">
        <v>0</v>
      </c>
      <c r="JSF292" s="18">
        <v>0</v>
      </c>
      <c r="JSG292" s="18">
        <v>0</v>
      </c>
      <c r="JSH292" s="18">
        <v>0</v>
      </c>
      <c r="JSI292" s="18">
        <v>0</v>
      </c>
      <c r="JSJ292" s="18">
        <v>0</v>
      </c>
      <c r="JSK292" s="18">
        <v>0</v>
      </c>
      <c r="JSL292" s="18">
        <v>0</v>
      </c>
      <c r="JSM292" s="18">
        <v>0</v>
      </c>
      <c r="JSN292" s="18">
        <v>0</v>
      </c>
      <c r="JSO292" s="18">
        <v>0</v>
      </c>
      <c r="JSP292" s="18">
        <v>0</v>
      </c>
      <c r="JSQ292" s="18">
        <v>0</v>
      </c>
      <c r="JSR292" s="18">
        <v>0</v>
      </c>
      <c r="JSS292" s="18">
        <v>0</v>
      </c>
      <c r="JST292" s="18">
        <v>0</v>
      </c>
      <c r="JSU292" s="18">
        <v>0</v>
      </c>
      <c r="JSV292" s="18">
        <v>0</v>
      </c>
      <c r="JSW292" s="18">
        <v>0</v>
      </c>
      <c r="JSX292" s="18">
        <v>0</v>
      </c>
      <c r="JSY292" s="18">
        <v>0</v>
      </c>
      <c r="JSZ292" s="18">
        <v>0</v>
      </c>
      <c r="JTA292" s="18">
        <v>0</v>
      </c>
      <c r="JTB292" s="18">
        <v>0</v>
      </c>
      <c r="JTC292" s="18">
        <v>0</v>
      </c>
      <c r="JTD292" s="18">
        <v>0</v>
      </c>
      <c r="JTE292" s="18">
        <v>0</v>
      </c>
      <c r="JTF292" s="18">
        <v>0</v>
      </c>
      <c r="JTG292" s="18">
        <v>0</v>
      </c>
      <c r="JTH292" s="18">
        <v>0</v>
      </c>
      <c r="JTI292" s="18">
        <v>0</v>
      </c>
      <c r="JTJ292" s="18">
        <v>0</v>
      </c>
      <c r="JTK292" s="18">
        <v>0</v>
      </c>
      <c r="JTL292" s="18">
        <v>0</v>
      </c>
      <c r="JTM292" s="18">
        <v>0</v>
      </c>
      <c r="JTN292" s="18">
        <v>0</v>
      </c>
      <c r="JTO292" s="18">
        <v>0</v>
      </c>
      <c r="JTP292" s="18">
        <v>0</v>
      </c>
      <c r="JTQ292" s="18">
        <v>0</v>
      </c>
      <c r="JTR292" s="18">
        <v>0</v>
      </c>
      <c r="JTS292" s="18">
        <v>0</v>
      </c>
      <c r="JTT292" s="18">
        <v>0</v>
      </c>
      <c r="JTU292" s="18">
        <v>0</v>
      </c>
      <c r="JTV292" s="18">
        <v>0</v>
      </c>
      <c r="JTW292" s="18">
        <v>0</v>
      </c>
      <c r="JTX292" s="18">
        <v>0</v>
      </c>
      <c r="JTY292" s="18">
        <v>0</v>
      </c>
      <c r="JTZ292" s="18">
        <v>0</v>
      </c>
      <c r="JUA292" s="18">
        <v>0</v>
      </c>
      <c r="JUB292" s="18">
        <v>0</v>
      </c>
      <c r="JUC292" s="18">
        <v>0</v>
      </c>
      <c r="JUD292" s="18">
        <v>0</v>
      </c>
      <c r="JUE292" s="18">
        <v>0</v>
      </c>
      <c r="JUF292" s="18">
        <v>0</v>
      </c>
      <c r="JUG292" s="18">
        <v>0</v>
      </c>
      <c r="JUH292" s="18">
        <v>0</v>
      </c>
      <c r="JUI292" s="18">
        <v>0</v>
      </c>
      <c r="JUJ292" s="18">
        <v>0</v>
      </c>
      <c r="JUK292" s="18">
        <v>0</v>
      </c>
      <c r="JUL292" s="18">
        <v>0</v>
      </c>
      <c r="JUM292" s="18">
        <v>0</v>
      </c>
      <c r="JUN292" s="18">
        <v>0</v>
      </c>
      <c r="JUO292" s="18">
        <v>0</v>
      </c>
      <c r="JUP292" s="18">
        <v>0</v>
      </c>
      <c r="JUQ292" s="18">
        <v>0</v>
      </c>
      <c r="JUR292" s="18">
        <v>0</v>
      </c>
      <c r="JUS292" s="18">
        <v>0</v>
      </c>
      <c r="JUT292" s="18">
        <v>0</v>
      </c>
      <c r="JUU292" s="18">
        <v>0</v>
      </c>
      <c r="JUV292" s="18">
        <v>0</v>
      </c>
      <c r="JUW292" s="18">
        <v>0</v>
      </c>
      <c r="JUX292" s="18">
        <v>0</v>
      </c>
      <c r="JUY292" s="18">
        <v>0</v>
      </c>
      <c r="JUZ292" s="18">
        <v>0</v>
      </c>
      <c r="JVA292" s="18">
        <v>0</v>
      </c>
      <c r="JVB292" s="18">
        <v>0</v>
      </c>
      <c r="JVC292" s="18">
        <v>0</v>
      </c>
      <c r="JVD292" s="18">
        <v>0</v>
      </c>
      <c r="JVE292" s="18">
        <v>0</v>
      </c>
      <c r="JVF292" s="18">
        <v>0</v>
      </c>
      <c r="JVG292" s="18">
        <v>0</v>
      </c>
      <c r="JVH292" s="18">
        <v>0</v>
      </c>
      <c r="JVI292" s="18">
        <v>0</v>
      </c>
      <c r="JVJ292" s="18">
        <v>0</v>
      </c>
      <c r="JVK292" s="18">
        <v>0</v>
      </c>
      <c r="JVL292" s="18">
        <v>0</v>
      </c>
      <c r="JVM292" s="18">
        <v>0</v>
      </c>
      <c r="JVN292" s="18">
        <v>0</v>
      </c>
      <c r="JVO292" s="18">
        <v>0</v>
      </c>
      <c r="JVP292" s="18">
        <v>0</v>
      </c>
      <c r="JVQ292" s="18">
        <v>0</v>
      </c>
      <c r="JVR292" s="18">
        <v>0</v>
      </c>
      <c r="JVS292" s="18">
        <v>0</v>
      </c>
      <c r="JVT292" s="18">
        <v>0</v>
      </c>
      <c r="JVU292" s="18">
        <v>0</v>
      </c>
      <c r="JVV292" s="18">
        <v>0</v>
      </c>
      <c r="JVW292" s="18">
        <v>0</v>
      </c>
      <c r="JVX292" s="18">
        <v>0</v>
      </c>
      <c r="JVY292" s="18">
        <v>0</v>
      </c>
      <c r="JVZ292" s="18">
        <v>0</v>
      </c>
      <c r="JWA292" s="18">
        <v>0</v>
      </c>
      <c r="JWB292" s="18">
        <v>0</v>
      </c>
      <c r="JWC292" s="18">
        <v>0</v>
      </c>
      <c r="JWD292" s="18">
        <v>0</v>
      </c>
      <c r="JWE292" s="18">
        <v>0</v>
      </c>
      <c r="JWF292" s="18">
        <v>0</v>
      </c>
      <c r="JWG292" s="18">
        <v>0</v>
      </c>
      <c r="JWH292" s="18">
        <v>0</v>
      </c>
      <c r="JWI292" s="18">
        <v>0</v>
      </c>
      <c r="JWJ292" s="18">
        <v>0</v>
      </c>
      <c r="JWK292" s="18">
        <v>0</v>
      </c>
      <c r="JWL292" s="18">
        <v>0</v>
      </c>
      <c r="JWM292" s="18">
        <v>0</v>
      </c>
      <c r="JWN292" s="18">
        <v>0</v>
      </c>
      <c r="JWO292" s="18">
        <v>0</v>
      </c>
      <c r="JWP292" s="18">
        <v>0</v>
      </c>
      <c r="JWQ292" s="18">
        <v>0</v>
      </c>
      <c r="JWR292" s="18">
        <v>0</v>
      </c>
      <c r="JWS292" s="18">
        <v>0</v>
      </c>
      <c r="JWT292" s="18">
        <v>0</v>
      </c>
      <c r="JWU292" s="18">
        <v>0</v>
      </c>
      <c r="JWV292" s="18">
        <v>0</v>
      </c>
      <c r="JWW292" s="18">
        <v>0</v>
      </c>
      <c r="JWX292" s="18">
        <v>0</v>
      </c>
      <c r="JWY292" s="18">
        <v>0</v>
      </c>
      <c r="JWZ292" s="18">
        <v>0</v>
      </c>
      <c r="JXA292" s="18">
        <v>0</v>
      </c>
      <c r="JXB292" s="18">
        <v>0</v>
      </c>
      <c r="JXC292" s="18">
        <v>0</v>
      </c>
      <c r="JXD292" s="18">
        <v>0</v>
      </c>
      <c r="JXE292" s="18">
        <v>0</v>
      </c>
      <c r="JXF292" s="18">
        <v>0</v>
      </c>
      <c r="JXG292" s="18">
        <v>0</v>
      </c>
      <c r="JXH292" s="18">
        <v>0</v>
      </c>
      <c r="JXI292" s="18">
        <v>0</v>
      </c>
      <c r="JXJ292" s="18">
        <v>0</v>
      </c>
      <c r="JXK292" s="18">
        <v>0</v>
      </c>
      <c r="JXL292" s="18">
        <v>0</v>
      </c>
      <c r="JXM292" s="18">
        <v>0</v>
      </c>
      <c r="JXN292" s="18">
        <v>0</v>
      </c>
      <c r="JXO292" s="18">
        <v>0</v>
      </c>
      <c r="JXP292" s="18">
        <v>0</v>
      </c>
      <c r="JXQ292" s="18">
        <v>0</v>
      </c>
      <c r="JXR292" s="18">
        <v>0</v>
      </c>
      <c r="JXS292" s="18">
        <v>0</v>
      </c>
      <c r="JXT292" s="18">
        <v>0</v>
      </c>
      <c r="JXU292" s="18">
        <v>0</v>
      </c>
      <c r="JXV292" s="18">
        <v>0</v>
      </c>
      <c r="JXW292" s="18">
        <v>0</v>
      </c>
      <c r="JXX292" s="18">
        <v>0</v>
      </c>
      <c r="JXY292" s="18">
        <v>0</v>
      </c>
      <c r="JXZ292" s="18">
        <v>0</v>
      </c>
      <c r="JYA292" s="18">
        <v>0</v>
      </c>
      <c r="JYB292" s="18">
        <v>0</v>
      </c>
      <c r="JYC292" s="18">
        <v>0</v>
      </c>
      <c r="JYD292" s="18">
        <v>0</v>
      </c>
      <c r="JYE292" s="18">
        <v>0</v>
      </c>
      <c r="JYF292" s="18">
        <v>0</v>
      </c>
      <c r="JYG292" s="18">
        <v>0</v>
      </c>
      <c r="JYH292" s="18">
        <v>0</v>
      </c>
      <c r="JYI292" s="18">
        <v>0</v>
      </c>
      <c r="JYJ292" s="18">
        <v>0</v>
      </c>
      <c r="JYK292" s="18">
        <v>0</v>
      </c>
      <c r="JYL292" s="18">
        <v>0</v>
      </c>
      <c r="JYM292" s="18">
        <v>0</v>
      </c>
      <c r="JYN292" s="18">
        <v>0</v>
      </c>
      <c r="JYO292" s="18">
        <v>0</v>
      </c>
      <c r="JYP292" s="18">
        <v>0</v>
      </c>
      <c r="JYQ292" s="18">
        <v>0</v>
      </c>
      <c r="JYR292" s="18">
        <v>0</v>
      </c>
      <c r="JYS292" s="18">
        <v>0</v>
      </c>
      <c r="JYT292" s="18">
        <v>0</v>
      </c>
      <c r="JYU292" s="18">
        <v>0</v>
      </c>
      <c r="JYV292" s="18">
        <v>0</v>
      </c>
      <c r="JYW292" s="18">
        <v>0</v>
      </c>
      <c r="JYX292" s="18">
        <v>0</v>
      </c>
      <c r="JYY292" s="18">
        <v>0</v>
      </c>
      <c r="JYZ292" s="18">
        <v>0</v>
      </c>
      <c r="JZA292" s="18">
        <v>0</v>
      </c>
      <c r="JZB292" s="18">
        <v>0</v>
      </c>
      <c r="JZC292" s="18">
        <v>0</v>
      </c>
      <c r="JZD292" s="18">
        <v>0</v>
      </c>
      <c r="JZE292" s="18">
        <v>0</v>
      </c>
      <c r="JZF292" s="18">
        <v>0</v>
      </c>
      <c r="JZG292" s="18">
        <v>0</v>
      </c>
      <c r="JZH292" s="18">
        <v>0</v>
      </c>
      <c r="JZI292" s="18">
        <v>0</v>
      </c>
      <c r="JZJ292" s="18">
        <v>0</v>
      </c>
      <c r="JZK292" s="18">
        <v>0</v>
      </c>
      <c r="JZL292" s="18">
        <v>0</v>
      </c>
      <c r="JZM292" s="18">
        <v>0</v>
      </c>
      <c r="JZN292" s="18">
        <v>0</v>
      </c>
      <c r="JZO292" s="18">
        <v>0</v>
      </c>
      <c r="JZP292" s="18">
        <v>0</v>
      </c>
      <c r="JZQ292" s="18">
        <v>0</v>
      </c>
      <c r="JZR292" s="18">
        <v>0</v>
      </c>
      <c r="JZS292" s="18">
        <v>0</v>
      </c>
      <c r="JZT292" s="18">
        <v>0</v>
      </c>
      <c r="JZU292" s="18">
        <v>0</v>
      </c>
      <c r="JZV292" s="18">
        <v>0</v>
      </c>
      <c r="JZW292" s="18">
        <v>0</v>
      </c>
      <c r="JZX292" s="18">
        <v>0</v>
      </c>
      <c r="JZY292" s="18">
        <v>0</v>
      </c>
      <c r="JZZ292" s="18">
        <v>0</v>
      </c>
      <c r="KAA292" s="18">
        <v>0</v>
      </c>
      <c r="KAB292" s="18">
        <v>0</v>
      </c>
      <c r="KAC292" s="18">
        <v>0</v>
      </c>
      <c r="KAD292" s="18">
        <v>0</v>
      </c>
      <c r="KAE292" s="18">
        <v>0</v>
      </c>
      <c r="KAF292" s="18">
        <v>0</v>
      </c>
      <c r="KAG292" s="18">
        <v>0</v>
      </c>
      <c r="KAH292" s="18">
        <v>0</v>
      </c>
      <c r="KAI292" s="18">
        <v>0</v>
      </c>
      <c r="KAJ292" s="18">
        <v>0</v>
      </c>
      <c r="KAK292" s="18">
        <v>0</v>
      </c>
      <c r="KAL292" s="18">
        <v>0</v>
      </c>
      <c r="KAM292" s="18">
        <v>0</v>
      </c>
      <c r="KAN292" s="18">
        <v>0</v>
      </c>
      <c r="KAO292" s="18">
        <v>0</v>
      </c>
      <c r="KAP292" s="18">
        <v>0</v>
      </c>
      <c r="KAQ292" s="18">
        <v>0</v>
      </c>
      <c r="KAR292" s="18">
        <v>0</v>
      </c>
      <c r="KAS292" s="18">
        <v>0</v>
      </c>
      <c r="KAT292" s="18">
        <v>0</v>
      </c>
      <c r="KAU292" s="18">
        <v>0</v>
      </c>
      <c r="KAV292" s="18">
        <v>0</v>
      </c>
      <c r="KAW292" s="18">
        <v>0</v>
      </c>
      <c r="KAX292" s="18">
        <v>0</v>
      </c>
      <c r="KAY292" s="18">
        <v>0</v>
      </c>
      <c r="KAZ292" s="18">
        <v>0</v>
      </c>
      <c r="KBA292" s="18">
        <v>0</v>
      </c>
      <c r="KBB292" s="18">
        <v>0</v>
      </c>
      <c r="KBC292" s="18">
        <v>0</v>
      </c>
      <c r="KBD292" s="18">
        <v>0</v>
      </c>
      <c r="KBE292" s="18">
        <v>0</v>
      </c>
      <c r="KBF292" s="18">
        <v>0</v>
      </c>
      <c r="KBG292" s="18">
        <v>0</v>
      </c>
      <c r="KBH292" s="18">
        <v>0</v>
      </c>
      <c r="KBI292" s="18">
        <v>0</v>
      </c>
      <c r="KBJ292" s="18">
        <v>0</v>
      </c>
      <c r="KBK292" s="18">
        <v>0</v>
      </c>
      <c r="KBL292" s="18">
        <v>0</v>
      </c>
      <c r="KBM292" s="18">
        <v>0</v>
      </c>
      <c r="KBN292" s="18">
        <v>0</v>
      </c>
      <c r="KBO292" s="18">
        <v>0</v>
      </c>
      <c r="KBP292" s="18">
        <v>0</v>
      </c>
      <c r="KBQ292" s="18">
        <v>0</v>
      </c>
      <c r="KBR292" s="18">
        <v>0</v>
      </c>
      <c r="KBS292" s="18">
        <v>0</v>
      </c>
      <c r="KBT292" s="18">
        <v>0</v>
      </c>
      <c r="KBU292" s="18">
        <v>0</v>
      </c>
      <c r="KBV292" s="18">
        <v>0</v>
      </c>
      <c r="KBW292" s="18">
        <v>0</v>
      </c>
      <c r="KBX292" s="18">
        <v>0</v>
      </c>
      <c r="KBY292" s="18">
        <v>0</v>
      </c>
      <c r="KBZ292" s="18">
        <v>0</v>
      </c>
      <c r="KCA292" s="18">
        <v>0</v>
      </c>
      <c r="KCB292" s="18">
        <v>0</v>
      </c>
      <c r="KCC292" s="18">
        <v>0</v>
      </c>
      <c r="KCD292" s="18">
        <v>0</v>
      </c>
      <c r="KCE292" s="18">
        <v>0</v>
      </c>
      <c r="KCF292" s="18">
        <v>0</v>
      </c>
      <c r="KCG292" s="18">
        <v>0</v>
      </c>
      <c r="KCH292" s="18">
        <v>0</v>
      </c>
      <c r="KCI292" s="18">
        <v>0</v>
      </c>
      <c r="KCJ292" s="18">
        <v>0</v>
      </c>
      <c r="KCK292" s="18">
        <v>0</v>
      </c>
      <c r="KCL292" s="18">
        <v>0</v>
      </c>
      <c r="KCM292" s="18">
        <v>0</v>
      </c>
      <c r="KCN292" s="18">
        <v>0</v>
      </c>
      <c r="KCO292" s="18">
        <v>0</v>
      </c>
      <c r="KCP292" s="18">
        <v>0</v>
      </c>
      <c r="KCQ292" s="18">
        <v>0</v>
      </c>
      <c r="KCR292" s="18">
        <v>0</v>
      </c>
      <c r="KCS292" s="18">
        <v>0</v>
      </c>
      <c r="KCT292" s="18">
        <v>0</v>
      </c>
      <c r="KCU292" s="18">
        <v>0</v>
      </c>
      <c r="KCV292" s="18">
        <v>0</v>
      </c>
      <c r="KCW292" s="18">
        <v>0</v>
      </c>
      <c r="KCX292" s="18">
        <v>0</v>
      </c>
      <c r="KCY292" s="18">
        <v>0</v>
      </c>
      <c r="KCZ292" s="18">
        <v>0</v>
      </c>
      <c r="KDA292" s="18">
        <v>0</v>
      </c>
      <c r="KDB292" s="18">
        <v>0</v>
      </c>
      <c r="KDC292" s="18">
        <v>0</v>
      </c>
      <c r="KDD292" s="18">
        <v>0</v>
      </c>
      <c r="KDE292" s="18">
        <v>0</v>
      </c>
      <c r="KDF292" s="18">
        <v>0</v>
      </c>
      <c r="KDG292" s="18">
        <v>0</v>
      </c>
      <c r="KDH292" s="18">
        <v>0</v>
      </c>
      <c r="KDI292" s="18">
        <v>0</v>
      </c>
      <c r="KDJ292" s="18">
        <v>0</v>
      </c>
      <c r="KDK292" s="18">
        <v>0</v>
      </c>
      <c r="KDL292" s="18">
        <v>0</v>
      </c>
      <c r="KDM292" s="18">
        <v>0</v>
      </c>
      <c r="KDN292" s="18">
        <v>0</v>
      </c>
      <c r="KDO292" s="18">
        <v>0</v>
      </c>
      <c r="KDP292" s="18">
        <v>0</v>
      </c>
      <c r="KDQ292" s="18">
        <v>0</v>
      </c>
      <c r="KDR292" s="18">
        <v>0</v>
      </c>
      <c r="KDS292" s="18">
        <v>0</v>
      </c>
      <c r="KDT292" s="18">
        <v>0</v>
      </c>
      <c r="KDU292" s="18">
        <v>0</v>
      </c>
      <c r="KDV292" s="18">
        <v>0</v>
      </c>
      <c r="KDW292" s="18">
        <v>0</v>
      </c>
      <c r="KDX292" s="18">
        <v>0</v>
      </c>
      <c r="KDY292" s="18">
        <v>0</v>
      </c>
      <c r="KDZ292" s="18">
        <v>0</v>
      </c>
      <c r="KEA292" s="18">
        <v>0</v>
      </c>
      <c r="KEB292" s="18">
        <v>0</v>
      </c>
      <c r="KEC292" s="18">
        <v>0</v>
      </c>
      <c r="KED292" s="18">
        <v>0</v>
      </c>
      <c r="KEE292" s="18">
        <v>0</v>
      </c>
      <c r="KEF292" s="18">
        <v>0</v>
      </c>
      <c r="KEG292" s="18">
        <v>0</v>
      </c>
      <c r="KEH292" s="18">
        <v>0</v>
      </c>
      <c r="KEI292" s="18">
        <v>0</v>
      </c>
      <c r="KEJ292" s="18">
        <v>0</v>
      </c>
      <c r="KEK292" s="18">
        <v>0</v>
      </c>
      <c r="KEL292" s="18">
        <v>0</v>
      </c>
      <c r="KEM292" s="18">
        <v>0</v>
      </c>
      <c r="KEN292" s="18">
        <v>0</v>
      </c>
      <c r="KEO292" s="18">
        <v>0</v>
      </c>
      <c r="KEP292" s="18">
        <v>0</v>
      </c>
      <c r="KEQ292" s="18">
        <v>0</v>
      </c>
      <c r="KER292" s="18">
        <v>0</v>
      </c>
      <c r="KES292" s="18">
        <v>0</v>
      </c>
      <c r="KET292" s="18">
        <v>0</v>
      </c>
      <c r="KEU292" s="18">
        <v>0</v>
      </c>
      <c r="KEV292" s="18">
        <v>0</v>
      </c>
      <c r="KEW292" s="18">
        <v>0</v>
      </c>
      <c r="KEX292" s="18">
        <v>0</v>
      </c>
      <c r="KEY292" s="18">
        <v>0</v>
      </c>
      <c r="KEZ292" s="18">
        <v>0</v>
      </c>
      <c r="KFA292" s="18">
        <v>0</v>
      </c>
      <c r="KFB292" s="18">
        <v>0</v>
      </c>
      <c r="KFC292" s="18">
        <v>0</v>
      </c>
      <c r="KFD292" s="18">
        <v>0</v>
      </c>
      <c r="KFE292" s="18">
        <v>0</v>
      </c>
      <c r="KFF292" s="18">
        <v>0</v>
      </c>
      <c r="KFG292" s="18">
        <v>0</v>
      </c>
      <c r="KFH292" s="18">
        <v>0</v>
      </c>
      <c r="KFI292" s="18">
        <v>0</v>
      </c>
      <c r="KFJ292" s="18">
        <v>0</v>
      </c>
      <c r="KFK292" s="18">
        <v>0</v>
      </c>
      <c r="KFL292" s="18">
        <v>0</v>
      </c>
      <c r="KFM292" s="18">
        <v>0</v>
      </c>
      <c r="KFN292" s="18">
        <v>0</v>
      </c>
      <c r="KFO292" s="18">
        <v>0</v>
      </c>
      <c r="KFP292" s="18">
        <v>0</v>
      </c>
      <c r="KFQ292" s="18">
        <v>0</v>
      </c>
      <c r="KFR292" s="18">
        <v>0</v>
      </c>
      <c r="KFS292" s="18">
        <v>0</v>
      </c>
      <c r="KFT292" s="18">
        <v>0</v>
      </c>
      <c r="KFU292" s="18">
        <v>0</v>
      </c>
      <c r="KFV292" s="18">
        <v>0</v>
      </c>
      <c r="KFW292" s="18">
        <v>0</v>
      </c>
      <c r="KFX292" s="18">
        <v>0</v>
      </c>
      <c r="KFY292" s="18">
        <v>0</v>
      </c>
      <c r="KFZ292" s="18">
        <v>0</v>
      </c>
      <c r="KGA292" s="18">
        <v>0</v>
      </c>
      <c r="KGB292" s="18">
        <v>0</v>
      </c>
      <c r="KGC292" s="18">
        <v>0</v>
      </c>
      <c r="KGD292" s="18">
        <v>0</v>
      </c>
      <c r="KGE292" s="18">
        <v>0</v>
      </c>
      <c r="KGF292" s="18">
        <v>0</v>
      </c>
      <c r="KGG292" s="18">
        <v>0</v>
      </c>
      <c r="KGH292" s="18">
        <v>0</v>
      </c>
      <c r="KGI292" s="18">
        <v>0</v>
      </c>
      <c r="KGJ292" s="18">
        <v>0</v>
      </c>
      <c r="KGK292" s="18">
        <v>0</v>
      </c>
      <c r="KGL292" s="18">
        <v>0</v>
      </c>
      <c r="KGM292" s="18">
        <v>0</v>
      </c>
      <c r="KGN292" s="18">
        <v>0</v>
      </c>
      <c r="KGO292" s="18">
        <v>0</v>
      </c>
      <c r="KGP292" s="18">
        <v>0</v>
      </c>
      <c r="KGQ292" s="18">
        <v>0</v>
      </c>
      <c r="KGR292" s="18">
        <v>0</v>
      </c>
      <c r="KGS292" s="18">
        <v>0</v>
      </c>
      <c r="KGT292" s="18">
        <v>0</v>
      </c>
      <c r="KGU292" s="18">
        <v>0</v>
      </c>
      <c r="KGV292" s="18">
        <v>0</v>
      </c>
      <c r="KGW292" s="18">
        <v>0</v>
      </c>
      <c r="KGX292" s="18">
        <v>0</v>
      </c>
      <c r="KGY292" s="18">
        <v>0</v>
      </c>
      <c r="KGZ292" s="18">
        <v>0</v>
      </c>
      <c r="KHA292" s="18">
        <v>0</v>
      </c>
      <c r="KHB292" s="18">
        <v>0</v>
      </c>
      <c r="KHC292" s="18">
        <v>0</v>
      </c>
      <c r="KHD292" s="18">
        <v>0</v>
      </c>
      <c r="KHE292" s="18">
        <v>0</v>
      </c>
      <c r="KHF292" s="18">
        <v>0</v>
      </c>
      <c r="KHG292" s="18">
        <v>0</v>
      </c>
      <c r="KHH292" s="18">
        <v>0</v>
      </c>
      <c r="KHI292" s="18">
        <v>0</v>
      </c>
      <c r="KHJ292" s="18">
        <v>0</v>
      </c>
      <c r="KHK292" s="18">
        <v>0</v>
      </c>
      <c r="KHL292" s="18">
        <v>0</v>
      </c>
      <c r="KHM292" s="18">
        <v>0</v>
      </c>
      <c r="KHN292" s="18">
        <v>0</v>
      </c>
      <c r="KHO292" s="18">
        <v>0</v>
      </c>
      <c r="KHP292" s="18">
        <v>0</v>
      </c>
      <c r="KHQ292" s="18">
        <v>0</v>
      </c>
      <c r="KHR292" s="18">
        <v>0</v>
      </c>
      <c r="KHS292" s="18">
        <v>0</v>
      </c>
      <c r="KHT292" s="18">
        <v>0</v>
      </c>
      <c r="KHU292" s="18">
        <v>0</v>
      </c>
      <c r="KHV292" s="18">
        <v>0</v>
      </c>
      <c r="KHW292" s="18">
        <v>0</v>
      </c>
      <c r="KHX292" s="18">
        <v>0</v>
      </c>
      <c r="KHY292" s="18">
        <v>0</v>
      </c>
      <c r="KHZ292" s="18">
        <v>0</v>
      </c>
      <c r="KIA292" s="18">
        <v>0</v>
      </c>
      <c r="KIB292" s="18">
        <v>0</v>
      </c>
      <c r="KIC292" s="18">
        <v>0</v>
      </c>
      <c r="KID292" s="18">
        <v>0</v>
      </c>
      <c r="KIE292" s="18">
        <v>0</v>
      </c>
      <c r="KIF292" s="18">
        <v>0</v>
      </c>
      <c r="KIG292" s="18">
        <v>0</v>
      </c>
      <c r="KIH292" s="18">
        <v>0</v>
      </c>
      <c r="KII292" s="18">
        <v>0</v>
      </c>
      <c r="KIJ292" s="18">
        <v>0</v>
      </c>
      <c r="KIK292" s="18">
        <v>0</v>
      </c>
      <c r="KIL292" s="18">
        <v>0</v>
      </c>
      <c r="KIM292" s="18">
        <v>0</v>
      </c>
      <c r="KIN292" s="18">
        <v>0</v>
      </c>
      <c r="KIO292" s="18">
        <v>0</v>
      </c>
      <c r="KIP292" s="18">
        <v>0</v>
      </c>
      <c r="KIQ292" s="18">
        <v>0</v>
      </c>
      <c r="KIR292" s="18">
        <v>0</v>
      </c>
      <c r="KIS292" s="18">
        <v>0</v>
      </c>
      <c r="KIT292" s="18">
        <v>0</v>
      </c>
      <c r="KIU292" s="18">
        <v>0</v>
      </c>
      <c r="KIV292" s="18">
        <v>0</v>
      </c>
      <c r="KIW292" s="18">
        <v>0</v>
      </c>
      <c r="KIX292" s="18">
        <v>0</v>
      </c>
      <c r="KIY292" s="18">
        <v>0</v>
      </c>
      <c r="KIZ292" s="18">
        <v>0</v>
      </c>
      <c r="KJA292" s="18">
        <v>0</v>
      </c>
      <c r="KJB292" s="18">
        <v>0</v>
      </c>
      <c r="KJC292" s="18">
        <v>0</v>
      </c>
      <c r="KJD292" s="18">
        <v>0</v>
      </c>
      <c r="KJE292" s="18">
        <v>0</v>
      </c>
      <c r="KJF292" s="18">
        <v>0</v>
      </c>
      <c r="KJG292" s="18">
        <v>0</v>
      </c>
      <c r="KJH292" s="18">
        <v>0</v>
      </c>
      <c r="KJI292" s="18">
        <v>0</v>
      </c>
      <c r="KJJ292" s="18">
        <v>0</v>
      </c>
      <c r="KJK292" s="18">
        <v>0</v>
      </c>
      <c r="KJL292" s="18">
        <v>0</v>
      </c>
      <c r="KJM292" s="18">
        <v>0</v>
      </c>
      <c r="KJN292" s="18">
        <v>0</v>
      </c>
      <c r="KJO292" s="18">
        <v>0</v>
      </c>
      <c r="KJP292" s="18">
        <v>0</v>
      </c>
      <c r="KJQ292" s="18">
        <v>0</v>
      </c>
      <c r="KJR292" s="18">
        <v>0</v>
      </c>
      <c r="KJS292" s="18">
        <v>0</v>
      </c>
      <c r="KJT292" s="18">
        <v>0</v>
      </c>
      <c r="KJU292" s="18">
        <v>0</v>
      </c>
      <c r="KJV292" s="18">
        <v>0</v>
      </c>
      <c r="KJW292" s="18">
        <v>0</v>
      </c>
      <c r="KJX292" s="18">
        <v>0</v>
      </c>
      <c r="KJY292" s="18">
        <v>0</v>
      </c>
      <c r="KJZ292" s="18">
        <v>0</v>
      </c>
      <c r="KKA292" s="18">
        <v>0</v>
      </c>
      <c r="KKB292" s="18">
        <v>0</v>
      </c>
      <c r="KKC292" s="18">
        <v>0</v>
      </c>
      <c r="KKD292" s="18">
        <v>0</v>
      </c>
      <c r="KKE292" s="18">
        <v>0</v>
      </c>
      <c r="KKF292" s="18">
        <v>0</v>
      </c>
      <c r="KKG292" s="18">
        <v>0</v>
      </c>
      <c r="KKH292" s="18">
        <v>0</v>
      </c>
      <c r="KKI292" s="18">
        <v>0</v>
      </c>
      <c r="KKJ292" s="18">
        <v>0</v>
      </c>
      <c r="KKK292" s="18">
        <v>0</v>
      </c>
      <c r="KKL292" s="18">
        <v>0</v>
      </c>
      <c r="KKM292" s="18">
        <v>0</v>
      </c>
      <c r="KKN292" s="18">
        <v>0</v>
      </c>
      <c r="KKO292" s="18">
        <v>0</v>
      </c>
      <c r="KKP292" s="18">
        <v>0</v>
      </c>
      <c r="KKQ292" s="18">
        <v>0</v>
      </c>
      <c r="KKR292" s="18">
        <v>0</v>
      </c>
      <c r="KKS292" s="18">
        <v>0</v>
      </c>
      <c r="KKT292" s="18">
        <v>0</v>
      </c>
      <c r="KKU292" s="18">
        <v>0</v>
      </c>
      <c r="KKV292" s="18">
        <v>0</v>
      </c>
      <c r="KKW292" s="18">
        <v>0</v>
      </c>
      <c r="KKX292" s="18">
        <v>0</v>
      </c>
      <c r="KKY292" s="18">
        <v>0</v>
      </c>
      <c r="KKZ292" s="18">
        <v>0</v>
      </c>
      <c r="KLA292" s="18">
        <v>0</v>
      </c>
      <c r="KLB292" s="18">
        <v>0</v>
      </c>
      <c r="KLC292" s="18">
        <v>0</v>
      </c>
      <c r="KLD292" s="18">
        <v>0</v>
      </c>
      <c r="KLE292" s="18">
        <v>0</v>
      </c>
      <c r="KLF292" s="18">
        <v>0</v>
      </c>
      <c r="KLG292" s="18">
        <v>0</v>
      </c>
      <c r="KLH292" s="18">
        <v>0</v>
      </c>
      <c r="KLI292" s="18">
        <v>0</v>
      </c>
      <c r="KLJ292" s="18">
        <v>0</v>
      </c>
      <c r="KLK292" s="18">
        <v>0</v>
      </c>
      <c r="KLL292" s="18">
        <v>0</v>
      </c>
      <c r="KLM292" s="18">
        <v>0</v>
      </c>
      <c r="KLN292" s="18">
        <v>0</v>
      </c>
      <c r="KLO292" s="18">
        <v>0</v>
      </c>
      <c r="KLP292" s="18">
        <v>0</v>
      </c>
      <c r="KLQ292" s="18">
        <v>0</v>
      </c>
      <c r="KLR292" s="18">
        <v>0</v>
      </c>
      <c r="KLS292" s="18">
        <v>0</v>
      </c>
      <c r="KLT292" s="18">
        <v>0</v>
      </c>
      <c r="KLU292" s="18">
        <v>0</v>
      </c>
      <c r="KLV292" s="18">
        <v>0</v>
      </c>
      <c r="KLW292" s="18">
        <v>0</v>
      </c>
      <c r="KLX292" s="18">
        <v>0</v>
      </c>
      <c r="KLY292" s="18">
        <v>0</v>
      </c>
      <c r="KLZ292" s="18">
        <v>0</v>
      </c>
      <c r="KMA292" s="18">
        <v>0</v>
      </c>
      <c r="KMB292" s="18">
        <v>0</v>
      </c>
      <c r="KMC292" s="18">
        <v>0</v>
      </c>
      <c r="KMD292" s="18">
        <v>0</v>
      </c>
      <c r="KME292" s="18">
        <v>0</v>
      </c>
      <c r="KMF292" s="18">
        <v>0</v>
      </c>
      <c r="KMG292" s="18">
        <v>0</v>
      </c>
      <c r="KMH292" s="18">
        <v>0</v>
      </c>
      <c r="KMI292" s="18">
        <v>0</v>
      </c>
      <c r="KMJ292" s="18">
        <v>0</v>
      </c>
      <c r="KMK292" s="18">
        <v>0</v>
      </c>
      <c r="KML292" s="18">
        <v>0</v>
      </c>
      <c r="KMM292" s="18">
        <v>0</v>
      </c>
      <c r="KMN292" s="18">
        <v>0</v>
      </c>
      <c r="KMO292" s="18">
        <v>0</v>
      </c>
      <c r="KMP292" s="18">
        <v>0</v>
      </c>
      <c r="KMQ292" s="18">
        <v>0</v>
      </c>
      <c r="KMR292" s="18">
        <v>0</v>
      </c>
      <c r="KMS292" s="18">
        <v>0</v>
      </c>
      <c r="KMT292" s="18">
        <v>0</v>
      </c>
      <c r="KMU292" s="18">
        <v>0</v>
      </c>
      <c r="KMV292" s="18">
        <v>0</v>
      </c>
      <c r="KMW292" s="18">
        <v>0</v>
      </c>
      <c r="KMX292" s="18">
        <v>0</v>
      </c>
      <c r="KMY292" s="18">
        <v>0</v>
      </c>
      <c r="KMZ292" s="18">
        <v>0</v>
      </c>
      <c r="KNA292" s="18">
        <v>0</v>
      </c>
      <c r="KNB292" s="18">
        <v>0</v>
      </c>
      <c r="KNC292" s="18">
        <v>0</v>
      </c>
      <c r="KND292" s="18">
        <v>0</v>
      </c>
      <c r="KNE292" s="18">
        <v>0</v>
      </c>
      <c r="KNF292" s="18">
        <v>0</v>
      </c>
      <c r="KNG292" s="18">
        <v>0</v>
      </c>
      <c r="KNH292" s="18">
        <v>0</v>
      </c>
      <c r="KNI292" s="18">
        <v>0</v>
      </c>
      <c r="KNJ292" s="18">
        <v>0</v>
      </c>
      <c r="KNK292" s="18">
        <v>0</v>
      </c>
      <c r="KNL292" s="18">
        <v>0</v>
      </c>
      <c r="KNM292" s="18">
        <v>0</v>
      </c>
      <c r="KNN292" s="18">
        <v>0</v>
      </c>
      <c r="KNO292" s="18">
        <v>0</v>
      </c>
      <c r="KNP292" s="18">
        <v>0</v>
      </c>
      <c r="KNQ292" s="18">
        <v>0</v>
      </c>
      <c r="KNR292" s="18">
        <v>0</v>
      </c>
      <c r="KNS292" s="18">
        <v>0</v>
      </c>
      <c r="KNT292" s="18">
        <v>0</v>
      </c>
      <c r="KNU292" s="18">
        <v>0</v>
      </c>
      <c r="KNV292" s="18">
        <v>0</v>
      </c>
      <c r="KNW292" s="18">
        <v>0</v>
      </c>
      <c r="KNX292" s="18">
        <v>0</v>
      </c>
      <c r="KNY292" s="18">
        <v>0</v>
      </c>
      <c r="KNZ292" s="18">
        <v>0</v>
      </c>
      <c r="KOA292" s="18">
        <v>0</v>
      </c>
      <c r="KOB292" s="18">
        <v>0</v>
      </c>
      <c r="KOC292" s="18">
        <v>0</v>
      </c>
      <c r="KOD292" s="18">
        <v>0</v>
      </c>
      <c r="KOE292" s="18">
        <v>0</v>
      </c>
      <c r="KOF292" s="18">
        <v>0</v>
      </c>
      <c r="KOG292" s="18">
        <v>0</v>
      </c>
      <c r="KOH292" s="18">
        <v>0</v>
      </c>
      <c r="KOI292" s="18">
        <v>0</v>
      </c>
      <c r="KOJ292" s="18">
        <v>0</v>
      </c>
      <c r="KOK292" s="18">
        <v>0</v>
      </c>
      <c r="KOL292" s="18">
        <v>0</v>
      </c>
      <c r="KOM292" s="18">
        <v>0</v>
      </c>
      <c r="KON292" s="18">
        <v>0</v>
      </c>
      <c r="KOO292" s="18">
        <v>0</v>
      </c>
      <c r="KOP292" s="18">
        <v>0</v>
      </c>
      <c r="KOQ292" s="18">
        <v>0</v>
      </c>
      <c r="KOR292" s="18">
        <v>0</v>
      </c>
      <c r="KOS292" s="18">
        <v>0</v>
      </c>
      <c r="KOT292" s="18">
        <v>0</v>
      </c>
      <c r="KOU292" s="18">
        <v>0</v>
      </c>
      <c r="KOV292" s="18">
        <v>0</v>
      </c>
      <c r="KOW292" s="18">
        <v>0</v>
      </c>
      <c r="KOX292" s="18">
        <v>0</v>
      </c>
      <c r="KOY292" s="18">
        <v>0</v>
      </c>
      <c r="KOZ292" s="18">
        <v>0</v>
      </c>
      <c r="KPA292" s="18">
        <v>0</v>
      </c>
      <c r="KPB292" s="18">
        <v>0</v>
      </c>
      <c r="KPC292" s="18">
        <v>0</v>
      </c>
      <c r="KPD292" s="18">
        <v>0</v>
      </c>
      <c r="KPE292" s="18">
        <v>0</v>
      </c>
      <c r="KPF292" s="18">
        <v>0</v>
      </c>
      <c r="KPG292" s="18">
        <v>0</v>
      </c>
      <c r="KPH292" s="18">
        <v>0</v>
      </c>
      <c r="KPI292" s="18">
        <v>0</v>
      </c>
      <c r="KPJ292" s="18">
        <v>0</v>
      </c>
      <c r="KPK292" s="18">
        <v>0</v>
      </c>
      <c r="KPL292" s="18">
        <v>0</v>
      </c>
      <c r="KPM292" s="18">
        <v>0</v>
      </c>
      <c r="KPN292" s="18">
        <v>0</v>
      </c>
      <c r="KPO292" s="18">
        <v>0</v>
      </c>
      <c r="KPP292" s="18">
        <v>0</v>
      </c>
      <c r="KPQ292" s="18">
        <v>0</v>
      </c>
      <c r="KPR292" s="18">
        <v>0</v>
      </c>
      <c r="KPS292" s="18">
        <v>0</v>
      </c>
      <c r="KPT292" s="18">
        <v>0</v>
      </c>
      <c r="KPU292" s="18">
        <v>0</v>
      </c>
      <c r="KPV292" s="18">
        <v>0</v>
      </c>
      <c r="KPW292" s="18">
        <v>0</v>
      </c>
      <c r="KPX292" s="18">
        <v>0</v>
      </c>
      <c r="KPY292" s="18">
        <v>0</v>
      </c>
      <c r="KPZ292" s="18">
        <v>0</v>
      </c>
      <c r="KQA292" s="18">
        <v>0</v>
      </c>
      <c r="KQB292" s="18">
        <v>0</v>
      </c>
      <c r="KQC292" s="18">
        <v>0</v>
      </c>
      <c r="KQD292" s="18">
        <v>0</v>
      </c>
      <c r="KQE292" s="18">
        <v>0</v>
      </c>
      <c r="KQF292" s="18">
        <v>0</v>
      </c>
      <c r="KQG292" s="18">
        <v>0</v>
      </c>
      <c r="KQH292" s="18">
        <v>0</v>
      </c>
      <c r="KQI292" s="18">
        <v>0</v>
      </c>
      <c r="KQJ292" s="18">
        <v>0</v>
      </c>
      <c r="KQK292" s="18">
        <v>0</v>
      </c>
      <c r="KQL292" s="18">
        <v>0</v>
      </c>
      <c r="KQM292" s="18">
        <v>0</v>
      </c>
      <c r="KQN292" s="18">
        <v>0</v>
      </c>
      <c r="KQO292" s="18">
        <v>0</v>
      </c>
      <c r="KQP292" s="18">
        <v>0</v>
      </c>
      <c r="KQQ292" s="18">
        <v>0</v>
      </c>
      <c r="KQR292" s="18">
        <v>0</v>
      </c>
      <c r="KQS292" s="18">
        <v>0</v>
      </c>
      <c r="KQT292" s="18">
        <v>0</v>
      </c>
      <c r="KQU292" s="18">
        <v>0</v>
      </c>
      <c r="KQV292" s="18">
        <v>0</v>
      </c>
      <c r="KQW292" s="18">
        <v>0</v>
      </c>
      <c r="KQX292" s="18">
        <v>0</v>
      </c>
      <c r="KQY292" s="18">
        <v>0</v>
      </c>
      <c r="KQZ292" s="18">
        <v>0</v>
      </c>
      <c r="KRA292" s="18">
        <v>0</v>
      </c>
      <c r="KRB292" s="18">
        <v>0</v>
      </c>
      <c r="KRC292" s="18">
        <v>0</v>
      </c>
      <c r="KRD292" s="18">
        <v>0</v>
      </c>
      <c r="KRE292" s="18">
        <v>0</v>
      </c>
      <c r="KRF292" s="18">
        <v>0</v>
      </c>
      <c r="KRG292" s="18">
        <v>0</v>
      </c>
      <c r="KRH292" s="18">
        <v>0</v>
      </c>
      <c r="KRI292" s="18">
        <v>0</v>
      </c>
      <c r="KRJ292" s="18">
        <v>0</v>
      </c>
      <c r="KRK292" s="18">
        <v>0</v>
      </c>
      <c r="KRL292" s="18">
        <v>0</v>
      </c>
      <c r="KRM292" s="18">
        <v>0</v>
      </c>
      <c r="KRN292" s="18">
        <v>0</v>
      </c>
      <c r="KRO292" s="18">
        <v>0</v>
      </c>
      <c r="KRP292" s="18">
        <v>0</v>
      </c>
      <c r="KRQ292" s="18">
        <v>0</v>
      </c>
      <c r="KRR292" s="18">
        <v>0</v>
      </c>
      <c r="KRS292" s="18">
        <v>0</v>
      </c>
      <c r="KRT292" s="18">
        <v>0</v>
      </c>
      <c r="KRU292" s="18">
        <v>0</v>
      </c>
      <c r="KRV292" s="18">
        <v>0</v>
      </c>
      <c r="KRW292" s="18">
        <v>0</v>
      </c>
      <c r="KRX292" s="18">
        <v>0</v>
      </c>
      <c r="KRY292" s="18">
        <v>0</v>
      </c>
      <c r="KRZ292" s="18">
        <v>0</v>
      </c>
      <c r="KSA292" s="18">
        <v>0</v>
      </c>
      <c r="KSB292" s="18">
        <v>0</v>
      </c>
      <c r="KSC292" s="18">
        <v>0</v>
      </c>
      <c r="KSD292" s="18">
        <v>0</v>
      </c>
      <c r="KSE292" s="18">
        <v>0</v>
      </c>
      <c r="KSF292" s="18">
        <v>0</v>
      </c>
      <c r="KSG292" s="18">
        <v>0</v>
      </c>
      <c r="KSH292" s="18">
        <v>0</v>
      </c>
      <c r="KSI292" s="18">
        <v>0</v>
      </c>
      <c r="KSJ292" s="18">
        <v>0</v>
      </c>
      <c r="KSK292" s="18">
        <v>0</v>
      </c>
      <c r="KSL292" s="18">
        <v>0</v>
      </c>
      <c r="KSM292" s="18">
        <v>0</v>
      </c>
      <c r="KSN292" s="18">
        <v>0</v>
      </c>
      <c r="KSO292" s="18">
        <v>0</v>
      </c>
      <c r="KSP292" s="18">
        <v>0</v>
      </c>
      <c r="KSQ292" s="18">
        <v>0</v>
      </c>
      <c r="KSR292" s="18">
        <v>0</v>
      </c>
      <c r="KSS292" s="18">
        <v>0</v>
      </c>
      <c r="KST292" s="18">
        <v>0</v>
      </c>
      <c r="KSU292" s="18">
        <v>0</v>
      </c>
      <c r="KSV292" s="18">
        <v>0</v>
      </c>
      <c r="KSW292" s="18">
        <v>0</v>
      </c>
      <c r="KSX292" s="18">
        <v>0</v>
      </c>
      <c r="KSY292" s="18">
        <v>0</v>
      </c>
      <c r="KSZ292" s="18">
        <v>0</v>
      </c>
      <c r="KTA292" s="18">
        <v>0</v>
      </c>
      <c r="KTB292" s="18">
        <v>0</v>
      </c>
      <c r="KTC292" s="18">
        <v>0</v>
      </c>
      <c r="KTD292" s="18">
        <v>0</v>
      </c>
      <c r="KTE292" s="18">
        <v>0</v>
      </c>
      <c r="KTF292" s="18">
        <v>0</v>
      </c>
      <c r="KTG292" s="18">
        <v>0</v>
      </c>
      <c r="KTH292" s="18">
        <v>0</v>
      </c>
      <c r="KTI292" s="18">
        <v>0</v>
      </c>
      <c r="KTJ292" s="18">
        <v>0</v>
      </c>
      <c r="KTK292" s="18">
        <v>0</v>
      </c>
      <c r="KTL292" s="18">
        <v>0</v>
      </c>
      <c r="KTM292" s="18">
        <v>0</v>
      </c>
      <c r="KTN292" s="18">
        <v>0</v>
      </c>
      <c r="KTO292" s="18">
        <v>0</v>
      </c>
      <c r="KTP292" s="18">
        <v>0</v>
      </c>
      <c r="KTQ292" s="18">
        <v>0</v>
      </c>
      <c r="KTR292" s="18">
        <v>0</v>
      </c>
      <c r="KTS292" s="18">
        <v>0</v>
      </c>
      <c r="KTT292" s="18">
        <v>0</v>
      </c>
      <c r="KTU292" s="18">
        <v>0</v>
      </c>
      <c r="KTV292" s="18">
        <v>0</v>
      </c>
      <c r="KTW292" s="18">
        <v>0</v>
      </c>
      <c r="KTX292" s="18">
        <v>0</v>
      </c>
      <c r="KTY292" s="18">
        <v>0</v>
      </c>
      <c r="KTZ292" s="18">
        <v>0</v>
      </c>
      <c r="KUA292" s="18">
        <v>0</v>
      </c>
      <c r="KUB292" s="18">
        <v>0</v>
      </c>
      <c r="KUC292" s="18">
        <v>0</v>
      </c>
      <c r="KUD292" s="18">
        <v>0</v>
      </c>
      <c r="KUE292" s="18">
        <v>0</v>
      </c>
      <c r="KUF292" s="18">
        <v>0</v>
      </c>
      <c r="KUG292" s="18">
        <v>0</v>
      </c>
      <c r="KUH292" s="18">
        <v>0</v>
      </c>
      <c r="KUI292" s="18">
        <v>0</v>
      </c>
      <c r="KUJ292" s="18">
        <v>0</v>
      </c>
      <c r="KUK292" s="18">
        <v>0</v>
      </c>
      <c r="KUL292" s="18">
        <v>0</v>
      </c>
      <c r="KUM292" s="18">
        <v>0</v>
      </c>
      <c r="KUN292" s="18">
        <v>0</v>
      </c>
      <c r="KUO292" s="18">
        <v>0</v>
      </c>
      <c r="KUP292" s="18">
        <v>0</v>
      </c>
      <c r="KUQ292" s="18">
        <v>0</v>
      </c>
      <c r="KUR292" s="18">
        <v>0</v>
      </c>
      <c r="KUS292" s="18">
        <v>0</v>
      </c>
      <c r="KUT292" s="18">
        <v>0</v>
      </c>
      <c r="KUU292" s="18">
        <v>0</v>
      </c>
      <c r="KUV292" s="18">
        <v>0</v>
      </c>
      <c r="KUW292" s="18">
        <v>0</v>
      </c>
      <c r="KUX292" s="18">
        <v>0</v>
      </c>
      <c r="KUY292" s="18">
        <v>0</v>
      </c>
      <c r="KUZ292" s="18">
        <v>0</v>
      </c>
      <c r="KVA292" s="18">
        <v>0</v>
      </c>
      <c r="KVB292" s="18">
        <v>0</v>
      </c>
      <c r="KVC292" s="18">
        <v>0</v>
      </c>
      <c r="KVD292" s="18">
        <v>0</v>
      </c>
      <c r="KVE292" s="18">
        <v>0</v>
      </c>
      <c r="KVF292" s="18">
        <v>0</v>
      </c>
      <c r="KVG292" s="18">
        <v>0</v>
      </c>
      <c r="KVH292" s="18">
        <v>0</v>
      </c>
      <c r="KVI292" s="18">
        <v>0</v>
      </c>
      <c r="KVJ292" s="18">
        <v>0</v>
      </c>
      <c r="KVK292" s="18">
        <v>0</v>
      </c>
      <c r="KVL292" s="18">
        <v>0</v>
      </c>
      <c r="KVM292" s="18">
        <v>0</v>
      </c>
      <c r="KVN292" s="18">
        <v>0</v>
      </c>
      <c r="KVO292" s="18">
        <v>0</v>
      </c>
      <c r="KVP292" s="18">
        <v>0</v>
      </c>
      <c r="KVQ292" s="18">
        <v>0</v>
      </c>
      <c r="KVR292" s="18">
        <v>0</v>
      </c>
      <c r="KVS292" s="18">
        <v>0</v>
      </c>
      <c r="KVT292" s="18">
        <v>0</v>
      </c>
      <c r="KVU292" s="18">
        <v>0</v>
      </c>
      <c r="KVV292" s="18">
        <v>0</v>
      </c>
      <c r="KVW292" s="18">
        <v>0</v>
      </c>
      <c r="KVX292" s="18">
        <v>0</v>
      </c>
      <c r="KVY292" s="18">
        <v>0</v>
      </c>
      <c r="KVZ292" s="18">
        <v>0</v>
      </c>
      <c r="KWA292" s="18">
        <v>0</v>
      </c>
      <c r="KWB292" s="18">
        <v>0</v>
      </c>
      <c r="KWC292" s="18">
        <v>0</v>
      </c>
      <c r="KWD292" s="18">
        <v>0</v>
      </c>
      <c r="KWE292" s="18">
        <v>0</v>
      </c>
      <c r="KWF292" s="18">
        <v>0</v>
      </c>
      <c r="KWG292" s="18">
        <v>0</v>
      </c>
      <c r="KWH292" s="18">
        <v>0</v>
      </c>
      <c r="KWI292" s="18">
        <v>0</v>
      </c>
      <c r="KWJ292" s="18">
        <v>0</v>
      </c>
      <c r="KWK292" s="18">
        <v>0</v>
      </c>
      <c r="KWL292" s="18">
        <v>0</v>
      </c>
      <c r="KWM292" s="18">
        <v>0</v>
      </c>
      <c r="KWN292" s="18">
        <v>0</v>
      </c>
      <c r="KWO292" s="18">
        <v>0</v>
      </c>
      <c r="KWP292" s="18">
        <v>0</v>
      </c>
      <c r="KWQ292" s="18">
        <v>0</v>
      </c>
      <c r="KWR292" s="18">
        <v>0</v>
      </c>
      <c r="KWS292" s="18">
        <v>0</v>
      </c>
      <c r="KWT292" s="18">
        <v>0</v>
      </c>
      <c r="KWU292" s="18">
        <v>0</v>
      </c>
      <c r="KWV292" s="18">
        <v>0</v>
      </c>
      <c r="KWW292" s="18">
        <v>0</v>
      </c>
      <c r="KWX292" s="18">
        <v>0</v>
      </c>
      <c r="KWY292" s="18">
        <v>0</v>
      </c>
      <c r="KWZ292" s="18">
        <v>0</v>
      </c>
      <c r="KXA292" s="18">
        <v>0</v>
      </c>
      <c r="KXB292" s="18">
        <v>0</v>
      </c>
      <c r="KXC292" s="18">
        <v>0</v>
      </c>
      <c r="KXD292" s="18">
        <v>0</v>
      </c>
      <c r="KXE292" s="18">
        <v>0</v>
      </c>
      <c r="KXF292" s="18">
        <v>0</v>
      </c>
      <c r="KXG292" s="18">
        <v>0</v>
      </c>
      <c r="KXH292" s="18">
        <v>0</v>
      </c>
      <c r="KXI292" s="18">
        <v>0</v>
      </c>
      <c r="KXJ292" s="18">
        <v>0</v>
      </c>
      <c r="KXK292" s="18">
        <v>0</v>
      </c>
      <c r="KXL292" s="18">
        <v>0</v>
      </c>
      <c r="KXM292" s="18">
        <v>0</v>
      </c>
      <c r="KXN292" s="18">
        <v>0</v>
      </c>
      <c r="KXO292" s="18">
        <v>0</v>
      </c>
      <c r="KXP292" s="18">
        <v>0</v>
      </c>
      <c r="KXQ292" s="18">
        <v>0</v>
      </c>
      <c r="KXR292" s="18">
        <v>0</v>
      </c>
      <c r="KXS292" s="18">
        <v>0</v>
      </c>
      <c r="KXT292" s="18">
        <v>0</v>
      </c>
      <c r="KXU292" s="18">
        <v>0</v>
      </c>
      <c r="KXV292" s="18">
        <v>0</v>
      </c>
      <c r="KXW292" s="18">
        <v>0</v>
      </c>
      <c r="KXX292" s="18">
        <v>0</v>
      </c>
      <c r="KXY292" s="18">
        <v>0</v>
      </c>
      <c r="KXZ292" s="18">
        <v>0</v>
      </c>
      <c r="KYA292" s="18">
        <v>0</v>
      </c>
      <c r="KYB292" s="18">
        <v>0</v>
      </c>
      <c r="KYC292" s="18">
        <v>0</v>
      </c>
      <c r="KYD292" s="18">
        <v>0</v>
      </c>
      <c r="KYE292" s="18">
        <v>0</v>
      </c>
      <c r="KYF292" s="18">
        <v>0</v>
      </c>
      <c r="KYG292" s="18">
        <v>0</v>
      </c>
      <c r="KYH292" s="18">
        <v>0</v>
      </c>
      <c r="KYI292" s="18">
        <v>0</v>
      </c>
      <c r="KYJ292" s="18">
        <v>0</v>
      </c>
      <c r="KYK292" s="18">
        <v>0</v>
      </c>
      <c r="KYL292" s="18">
        <v>0</v>
      </c>
      <c r="KYM292" s="18">
        <v>0</v>
      </c>
      <c r="KYN292" s="18">
        <v>0</v>
      </c>
      <c r="KYO292" s="18">
        <v>0</v>
      </c>
      <c r="KYP292" s="18">
        <v>0</v>
      </c>
      <c r="KYQ292" s="18">
        <v>0</v>
      </c>
      <c r="KYR292" s="18">
        <v>0</v>
      </c>
      <c r="KYS292" s="18">
        <v>0</v>
      </c>
      <c r="KYT292" s="18">
        <v>0</v>
      </c>
      <c r="KYU292" s="18">
        <v>0</v>
      </c>
      <c r="KYV292" s="18">
        <v>0</v>
      </c>
      <c r="KYW292" s="18">
        <v>0</v>
      </c>
      <c r="KYX292" s="18">
        <v>0</v>
      </c>
      <c r="KYY292" s="18">
        <v>0</v>
      </c>
      <c r="KYZ292" s="18">
        <v>0</v>
      </c>
      <c r="KZA292" s="18">
        <v>0</v>
      </c>
      <c r="KZB292" s="18">
        <v>0</v>
      </c>
      <c r="KZC292" s="18">
        <v>0</v>
      </c>
      <c r="KZD292" s="18">
        <v>0</v>
      </c>
      <c r="KZE292" s="18">
        <v>0</v>
      </c>
      <c r="KZF292" s="18">
        <v>0</v>
      </c>
      <c r="KZG292" s="18">
        <v>0</v>
      </c>
      <c r="KZH292" s="18">
        <v>0</v>
      </c>
      <c r="KZI292" s="18">
        <v>0</v>
      </c>
      <c r="KZJ292" s="18">
        <v>0</v>
      </c>
      <c r="KZK292" s="18">
        <v>0</v>
      </c>
      <c r="KZL292" s="18">
        <v>0</v>
      </c>
      <c r="KZM292" s="18">
        <v>0</v>
      </c>
      <c r="KZN292" s="18">
        <v>0</v>
      </c>
      <c r="KZO292" s="18">
        <v>0</v>
      </c>
      <c r="KZP292" s="18">
        <v>0</v>
      </c>
      <c r="KZQ292" s="18">
        <v>0</v>
      </c>
      <c r="KZR292" s="18">
        <v>0</v>
      </c>
      <c r="KZS292" s="18">
        <v>0</v>
      </c>
      <c r="KZT292" s="18">
        <v>0</v>
      </c>
      <c r="KZU292" s="18">
        <v>0</v>
      </c>
      <c r="KZV292" s="18">
        <v>0</v>
      </c>
      <c r="KZW292" s="18">
        <v>0</v>
      </c>
      <c r="KZX292" s="18">
        <v>0</v>
      </c>
      <c r="KZY292" s="18">
        <v>0</v>
      </c>
      <c r="KZZ292" s="18">
        <v>0</v>
      </c>
      <c r="LAA292" s="18">
        <v>0</v>
      </c>
      <c r="LAB292" s="18">
        <v>0</v>
      </c>
      <c r="LAC292" s="18">
        <v>0</v>
      </c>
      <c r="LAD292" s="18">
        <v>0</v>
      </c>
      <c r="LAE292" s="18">
        <v>0</v>
      </c>
      <c r="LAF292" s="18">
        <v>0</v>
      </c>
      <c r="LAG292" s="18">
        <v>0</v>
      </c>
      <c r="LAH292" s="18">
        <v>0</v>
      </c>
      <c r="LAI292" s="18">
        <v>0</v>
      </c>
      <c r="LAJ292" s="18">
        <v>0</v>
      </c>
      <c r="LAK292" s="18">
        <v>0</v>
      </c>
      <c r="LAL292" s="18">
        <v>0</v>
      </c>
      <c r="LAM292" s="18">
        <v>0</v>
      </c>
      <c r="LAN292" s="18">
        <v>0</v>
      </c>
      <c r="LAO292" s="18">
        <v>0</v>
      </c>
      <c r="LAP292" s="18">
        <v>0</v>
      </c>
      <c r="LAQ292" s="18">
        <v>0</v>
      </c>
      <c r="LAR292" s="18">
        <v>0</v>
      </c>
      <c r="LAS292" s="18">
        <v>0</v>
      </c>
      <c r="LAT292" s="18">
        <v>0</v>
      </c>
      <c r="LAU292" s="18">
        <v>0</v>
      </c>
      <c r="LAV292" s="18">
        <v>0</v>
      </c>
      <c r="LAW292" s="18">
        <v>0</v>
      </c>
      <c r="LAX292" s="18">
        <v>0</v>
      </c>
      <c r="LAY292" s="18">
        <v>0</v>
      </c>
      <c r="LAZ292" s="18">
        <v>0</v>
      </c>
      <c r="LBA292" s="18">
        <v>0</v>
      </c>
      <c r="LBB292" s="18">
        <v>0</v>
      </c>
      <c r="LBC292" s="18">
        <v>0</v>
      </c>
      <c r="LBD292" s="18">
        <v>0</v>
      </c>
      <c r="LBE292" s="18">
        <v>0</v>
      </c>
      <c r="LBF292" s="18">
        <v>0</v>
      </c>
      <c r="LBG292" s="18">
        <v>0</v>
      </c>
      <c r="LBH292" s="18">
        <v>0</v>
      </c>
      <c r="LBI292" s="18">
        <v>0</v>
      </c>
      <c r="LBJ292" s="18">
        <v>0</v>
      </c>
      <c r="LBK292" s="18">
        <v>0</v>
      </c>
      <c r="LBL292" s="18">
        <v>0</v>
      </c>
      <c r="LBM292" s="18">
        <v>0</v>
      </c>
      <c r="LBN292" s="18">
        <v>0</v>
      </c>
      <c r="LBO292" s="18">
        <v>0</v>
      </c>
      <c r="LBP292" s="18">
        <v>0</v>
      </c>
      <c r="LBQ292" s="18">
        <v>0</v>
      </c>
      <c r="LBR292" s="18">
        <v>0</v>
      </c>
      <c r="LBS292" s="18">
        <v>0</v>
      </c>
      <c r="LBT292" s="18">
        <v>0</v>
      </c>
      <c r="LBU292" s="18">
        <v>0</v>
      </c>
      <c r="LBV292" s="18">
        <v>0</v>
      </c>
      <c r="LBW292" s="18">
        <v>0</v>
      </c>
      <c r="LBX292" s="18">
        <v>0</v>
      </c>
      <c r="LBY292" s="18">
        <v>0</v>
      </c>
      <c r="LBZ292" s="18">
        <v>0</v>
      </c>
      <c r="LCA292" s="18">
        <v>0</v>
      </c>
      <c r="LCB292" s="18">
        <v>0</v>
      </c>
      <c r="LCC292" s="18">
        <v>0</v>
      </c>
      <c r="LCD292" s="18">
        <v>0</v>
      </c>
      <c r="LCE292" s="18">
        <v>0</v>
      </c>
      <c r="LCF292" s="18">
        <v>0</v>
      </c>
      <c r="LCG292" s="18">
        <v>0</v>
      </c>
      <c r="LCH292" s="18">
        <v>0</v>
      </c>
      <c r="LCI292" s="18">
        <v>0</v>
      </c>
      <c r="LCJ292" s="18">
        <v>0</v>
      </c>
      <c r="LCK292" s="18">
        <v>0</v>
      </c>
      <c r="LCL292" s="18">
        <v>0</v>
      </c>
      <c r="LCM292" s="18">
        <v>0</v>
      </c>
      <c r="LCN292" s="18">
        <v>0</v>
      </c>
      <c r="LCO292" s="18">
        <v>0</v>
      </c>
      <c r="LCP292" s="18">
        <v>0</v>
      </c>
      <c r="LCQ292" s="18">
        <v>0</v>
      </c>
      <c r="LCR292" s="18">
        <v>0</v>
      </c>
      <c r="LCS292" s="18">
        <v>0</v>
      </c>
      <c r="LCT292" s="18">
        <v>0</v>
      </c>
      <c r="LCU292" s="18">
        <v>0</v>
      </c>
      <c r="LCV292" s="18">
        <v>0</v>
      </c>
      <c r="LCW292" s="18">
        <v>0</v>
      </c>
      <c r="LCX292" s="18">
        <v>0</v>
      </c>
      <c r="LCY292" s="18">
        <v>0</v>
      </c>
      <c r="LCZ292" s="18">
        <v>0</v>
      </c>
      <c r="LDA292" s="18">
        <v>0</v>
      </c>
      <c r="LDB292" s="18">
        <v>0</v>
      </c>
      <c r="LDC292" s="18">
        <v>0</v>
      </c>
      <c r="LDD292" s="18">
        <v>0</v>
      </c>
      <c r="LDE292" s="18">
        <v>0</v>
      </c>
      <c r="LDF292" s="18">
        <v>0</v>
      </c>
      <c r="LDG292" s="18">
        <v>0</v>
      </c>
      <c r="LDH292" s="18">
        <v>0</v>
      </c>
      <c r="LDI292" s="18">
        <v>0</v>
      </c>
      <c r="LDJ292" s="18">
        <v>0</v>
      </c>
      <c r="LDK292" s="18">
        <v>0</v>
      </c>
      <c r="LDL292" s="18">
        <v>0</v>
      </c>
      <c r="LDM292" s="18">
        <v>0</v>
      </c>
      <c r="LDN292" s="18">
        <v>0</v>
      </c>
      <c r="LDO292" s="18">
        <v>0</v>
      </c>
      <c r="LDP292" s="18">
        <v>0</v>
      </c>
      <c r="LDQ292" s="18">
        <v>0</v>
      </c>
      <c r="LDR292" s="18">
        <v>0</v>
      </c>
      <c r="LDS292" s="18">
        <v>0</v>
      </c>
      <c r="LDT292" s="18">
        <v>0</v>
      </c>
      <c r="LDU292" s="18">
        <v>0</v>
      </c>
      <c r="LDV292" s="18">
        <v>0</v>
      </c>
      <c r="LDW292" s="18">
        <v>0</v>
      </c>
      <c r="LDX292" s="18">
        <v>0</v>
      </c>
      <c r="LDY292" s="18">
        <v>0</v>
      </c>
      <c r="LDZ292" s="18">
        <v>0</v>
      </c>
      <c r="LEA292" s="18">
        <v>0</v>
      </c>
      <c r="LEB292" s="18">
        <v>0</v>
      </c>
      <c r="LEC292" s="18">
        <v>0</v>
      </c>
      <c r="LED292" s="18">
        <v>0</v>
      </c>
      <c r="LEE292" s="18">
        <v>0</v>
      </c>
      <c r="LEF292" s="18">
        <v>0</v>
      </c>
      <c r="LEG292" s="18">
        <v>0</v>
      </c>
      <c r="LEH292" s="18">
        <v>0</v>
      </c>
      <c r="LEI292" s="18">
        <v>0</v>
      </c>
      <c r="LEJ292" s="18">
        <v>0</v>
      </c>
      <c r="LEK292" s="18">
        <v>0</v>
      </c>
      <c r="LEL292" s="18">
        <v>0</v>
      </c>
      <c r="LEM292" s="18">
        <v>0</v>
      </c>
      <c r="LEN292" s="18">
        <v>0</v>
      </c>
      <c r="LEO292" s="18">
        <v>0</v>
      </c>
      <c r="LEP292" s="18">
        <v>0</v>
      </c>
      <c r="LEQ292" s="18">
        <v>0</v>
      </c>
      <c r="LER292" s="18">
        <v>0</v>
      </c>
      <c r="LES292" s="18">
        <v>0</v>
      </c>
      <c r="LET292" s="18">
        <v>0</v>
      </c>
      <c r="LEU292" s="18">
        <v>0</v>
      </c>
      <c r="LEV292" s="18">
        <v>0</v>
      </c>
      <c r="LEW292" s="18">
        <v>0</v>
      </c>
      <c r="LEX292" s="18">
        <v>0</v>
      </c>
      <c r="LEY292" s="18">
        <v>0</v>
      </c>
      <c r="LEZ292" s="18">
        <v>0</v>
      </c>
      <c r="LFA292" s="18">
        <v>0</v>
      </c>
      <c r="LFB292" s="18">
        <v>0</v>
      </c>
      <c r="LFC292" s="18">
        <v>0</v>
      </c>
      <c r="LFD292" s="18">
        <v>0</v>
      </c>
      <c r="LFE292" s="18">
        <v>0</v>
      </c>
      <c r="LFF292" s="18">
        <v>0</v>
      </c>
      <c r="LFG292" s="18">
        <v>0</v>
      </c>
      <c r="LFH292" s="18">
        <v>0</v>
      </c>
      <c r="LFI292" s="18">
        <v>0</v>
      </c>
      <c r="LFJ292" s="18">
        <v>0</v>
      </c>
      <c r="LFK292" s="18">
        <v>0</v>
      </c>
      <c r="LFL292" s="18">
        <v>0</v>
      </c>
      <c r="LFM292" s="18">
        <v>0</v>
      </c>
      <c r="LFN292" s="18">
        <v>0</v>
      </c>
      <c r="LFO292" s="18">
        <v>0</v>
      </c>
      <c r="LFP292" s="18">
        <v>0</v>
      </c>
      <c r="LFQ292" s="18">
        <v>0</v>
      </c>
      <c r="LFR292" s="18">
        <v>0</v>
      </c>
      <c r="LFS292" s="18">
        <v>0</v>
      </c>
      <c r="LFT292" s="18">
        <v>0</v>
      </c>
      <c r="LFU292" s="18">
        <v>0</v>
      </c>
      <c r="LFV292" s="18">
        <v>0</v>
      </c>
      <c r="LFW292" s="18">
        <v>0</v>
      </c>
      <c r="LFX292" s="18">
        <v>0</v>
      </c>
      <c r="LFY292" s="18">
        <v>0</v>
      </c>
      <c r="LFZ292" s="18">
        <v>0</v>
      </c>
      <c r="LGA292" s="18">
        <v>0</v>
      </c>
      <c r="LGB292" s="18">
        <v>0</v>
      </c>
      <c r="LGC292" s="18">
        <v>0</v>
      </c>
      <c r="LGD292" s="18">
        <v>0</v>
      </c>
      <c r="LGE292" s="18">
        <v>0</v>
      </c>
      <c r="LGF292" s="18">
        <v>0</v>
      </c>
      <c r="LGG292" s="18">
        <v>0</v>
      </c>
      <c r="LGH292" s="18">
        <v>0</v>
      </c>
      <c r="LGI292" s="18">
        <v>0</v>
      </c>
      <c r="LGJ292" s="18">
        <v>0</v>
      </c>
      <c r="LGK292" s="18">
        <v>0</v>
      </c>
      <c r="LGL292" s="18">
        <v>0</v>
      </c>
      <c r="LGM292" s="18">
        <v>0</v>
      </c>
      <c r="LGN292" s="18">
        <v>0</v>
      </c>
      <c r="LGO292" s="18">
        <v>0</v>
      </c>
      <c r="LGP292" s="18">
        <v>0</v>
      </c>
      <c r="LGQ292" s="18">
        <v>0</v>
      </c>
      <c r="LGR292" s="18">
        <v>0</v>
      </c>
      <c r="LGS292" s="18">
        <v>0</v>
      </c>
      <c r="LGT292" s="18">
        <v>0</v>
      </c>
      <c r="LGU292" s="18">
        <v>0</v>
      </c>
      <c r="LGV292" s="18">
        <v>0</v>
      </c>
      <c r="LGW292" s="18">
        <v>0</v>
      </c>
      <c r="LGX292" s="18">
        <v>0</v>
      </c>
      <c r="LGY292" s="18">
        <v>0</v>
      </c>
      <c r="LGZ292" s="18">
        <v>0</v>
      </c>
      <c r="LHA292" s="18">
        <v>0</v>
      </c>
      <c r="LHB292" s="18">
        <v>0</v>
      </c>
      <c r="LHC292" s="18">
        <v>0</v>
      </c>
      <c r="LHD292" s="18">
        <v>0</v>
      </c>
      <c r="LHE292" s="18">
        <v>0</v>
      </c>
      <c r="LHF292" s="18">
        <v>0</v>
      </c>
      <c r="LHG292" s="18">
        <v>0</v>
      </c>
      <c r="LHH292" s="18">
        <v>0</v>
      </c>
      <c r="LHI292" s="18">
        <v>0</v>
      </c>
      <c r="LHJ292" s="18">
        <v>0</v>
      </c>
      <c r="LHK292" s="18">
        <v>0</v>
      </c>
      <c r="LHL292" s="18">
        <v>0</v>
      </c>
      <c r="LHM292" s="18">
        <v>0</v>
      </c>
      <c r="LHN292" s="18">
        <v>0</v>
      </c>
      <c r="LHO292" s="18">
        <v>0</v>
      </c>
      <c r="LHP292" s="18">
        <v>0</v>
      </c>
      <c r="LHQ292" s="18">
        <v>0</v>
      </c>
      <c r="LHR292" s="18">
        <v>0</v>
      </c>
      <c r="LHS292" s="18">
        <v>0</v>
      </c>
      <c r="LHT292" s="18">
        <v>0</v>
      </c>
      <c r="LHU292" s="18">
        <v>0</v>
      </c>
      <c r="LHV292" s="18">
        <v>0</v>
      </c>
      <c r="LHW292" s="18">
        <v>0</v>
      </c>
      <c r="LHX292" s="18">
        <v>0</v>
      </c>
      <c r="LHY292" s="18">
        <v>0</v>
      </c>
      <c r="LHZ292" s="18">
        <v>0</v>
      </c>
      <c r="LIA292" s="18">
        <v>0</v>
      </c>
      <c r="LIB292" s="18">
        <v>0</v>
      </c>
      <c r="LIC292" s="18">
        <v>0</v>
      </c>
      <c r="LID292" s="18">
        <v>0</v>
      </c>
      <c r="LIE292" s="18">
        <v>0</v>
      </c>
      <c r="LIF292" s="18">
        <v>0</v>
      </c>
      <c r="LIG292" s="18">
        <v>0</v>
      </c>
      <c r="LIH292" s="18">
        <v>0</v>
      </c>
      <c r="LII292" s="18">
        <v>0</v>
      </c>
      <c r="LIJ292" s="18">
        <v>0</v>
      </c>
      <c r="LIK292" s="18">
        <v>0</v>
      </c>
      <c r="LIL292" s="18">
        <v>0</v>
      </c>
      <c r="LIM292" s="18">
        <v>0</v>
      </c>
      <c r="LIN292" s="18">
        <v>0</v>
      </c>
      <c r="LIO292" s="18">
        <v>0</v>
      </c>
      <c r="LIP292" s="18">
        <v>0</v>
      </c>
      <c r="LIQ292" s="18">
        <v>0</v>
      </c>
      <c r="LIR292" s="18">
        <v>0</v>
      </c>
      <c r="LIS292" s="18">
        <v>0</v>
      </c>
      <c r="LIT292" s="18">
        <v>0</v>
      </c>
      <c r="LIU292" s="18">
        <v>0</v>
      </c>
      <c r="LIV292" s="18">
        <v>0</v>
      </c>
      <c r="LIW292" s="18">
        <v>0</v>
      </c>
      <c r="LIX292" s="18">
        <v>0</v>
      </c>
      <c r="LIY292" s="18">
        <v>0</v>
      </c>
      <c r="LIZ292" s="18">
        <v>0</v>
      </c>
      <c r="LJA292" s="18">
        <v>0</v>
      </c>
      <c r="LJB292" s="18">
        <v>0</v>
      </c>
      <c r="LJC292" s="18">
        <v>0</v>
      </c>
      <c r="LJD292" s="18">
        <v>0</v>
      </c>
      <c r="LJE292" s="18">
        <v>0</v>
      </c>
      <c r="LJF292" s="18">
        <v>0</v>
      </c>
      <c r="LJG292" s="18">
        <v>0</v>
      </c>
      <c r="LJH292" s="18">
        <v>0</v>
      </c>
      <c r="LJI292" s="18">
        <v>0</v>
      </c>
      <c r="LJJ292" s="18">
        <v>0</v>
      </c>
      <c r="LJK292" s="18">
        <v>0</v>
      </c>
      <c r="LJL292" s="18">
        <v>0</v>
      </c>
      <c r="LJM292" s="18">
        <v>0</v>
      </c>
      <c r="LJN292" s="18">
        <v>0</v>
      </c>
      <c r="LJO292" s="18">
        <v>0</v>
      </c>
      <c r="LJP292" s="18">
        <v>0</v>
      </c>
      <c r="LJQ292" s="18">
        <v>0</v>
      </c>
      <c r="LJR292" s="18">
        <v>0</v>
      </c>
      <c r="LJS292" s="18">
        <v>0</v>
      </c>
      <c r="LJT292" s="18">
        <v>0</v>
      </c>
      <c r="LJU292" s="18">
        <v>0</v>
      </c>
      <c r="LJV292" s="18">
        <v>0</v>
      </c>
      <c r="LJW292" s="18">
        <v>0</v>
      </c>
      <c r="LJX292" s="18">
        <v>0</v>
      </c>
      <c r="LJY292" s="18">
        <v>0</v>
      </c>
      <c r="LJZ292" s="18">
        <v>0</v>
      </c>
      <c r="LKA292" s="18">
        <v>0</v>
      </c>
      <c r="LKB292" s="18">
        <v>0</v>
      </c>
      <c r="LKC292" s="18">
        <v>0</v>
      </c>
      <c r="LKD292" s="18">
        <v>0</v>
      </c>
      <c r="LKE292" s="18">
        <v>0</v>
      </c>
      <c r="LKF292" s="18">
        <v>0</v>
      </c>
      <c r="LKG292" s="18">
        <v>0</v>
      </c>
      <c r="LKH292" s="18">
        <v>0</v>
      </c>
      <c r="LKI292" s="18">
        <v>0</v>
      </c>
      <c r="LKJ292" s="18">
        <v>0</v>
      </c>
      <c r="LKK292" s="18">
        <v>0</v>
      </c>
      <c r="LKL292" s="18">
        <v>0</v>
      </c>
      <c r="LKM292" s="18">
        <v>0</v>
      </c>
      <c r="LKN292" s="18">
        <v>0</v>
      </c>
      <c r="LKO292" s="18">
        <v>0</v>
      </c>
      <c r="LKP292" s="18">
        <v>0</v>
      </c>
      <c r="LKQ292" s="18">
        <v>0</v>
      </c>
      <c r="LKR292" s="18">
        <v>0</v>
      </c>
      <c r="LKS292" s="18">
        <v>0</v>
      </c>
      <c r="LKT292" s="18">
        <v>0</v>
      </c>
      <c r="LKU292" s="18">
        <v>0</v>
      </c>
      <c r="LKV292" s="18">
        <v>0</v>
      </c>
      <c r="LKW292" s="18">
        <v>0</v>
      </c>
      <c r="LKX292" s="18">
        <v>0</v>
      </c>
      <c r="LKY292" s="18">
        <v>0</v>
      </c>
      <c r="LKZ292" s="18">
        <v>0</v>
      </c>
      <c r="LLA292" s="18">
        <v>0</v>
      </c>
      <c r="LLB292" s="18">
        <v>0</v>
      </c>
      <c r="LLC292" s="18">
        <v>0</v>
      </c>
      <c r="LLD292" s="18">
        <v>0</v>
      </c>
      <c r="LLE292" s="18">
        <v>0</v>
      </c>
      <c r="LLF292" s="18">
        <v>0</v>
      </c>
      <c r="LLG292" s="18">
        <v>0</v>
      </c>
      <c r="LLH292" s="18">
        <v>0</v>
      </c>
      <c r="LLI292" s="18">
        <v>0</v>
      </c>
      <c r="LLJ292" s="18">
        <v>0</v>
      </c>
      <c r="LLK292" s="18">
        <v>0</v>
      </c>
      <c r="LLL292" s="18">
        <v>0</v>
      </c>
      <c r="LLM292" s="18">
        <v>0</v>
      </c>
      <c r="LLN292" s="18">
        <v>0</v>
      </c>
      <c r="LLO292" s="18">
        <v>0</v>
      </c>
      <c r="LLP292" s="18">
        <v>0</v>
      </c>
      <c r="LLQ292" s="18">
        <v>0</v>
      </c>
      <c r="LLR292" s="18">
        <v>0</v>
      </c>
      <c r="LLS292" s="18">
        <v>0</v>
      </c>
      <c r="LLT292" s="18">
        <v>0</v>
      </c>
      <c r="LLU292" s="18">
        <v>0</v>
      </c>
      <c r="LLV292" s="18">
        <v>0</v>
      </c>
      <c r="LLW292" s="18">
        <v>0</v>
      </c>
      <c r="LLX292" s="18">
        <v>0</v>
      </c>
      <c r="LLY292" s="18">
        <v>0</v>
      </c>
      <c r="LLZ292" s="18">
        <v>0</v>
      </c>
      <c r="LMA292" s="18">
        <v>0</v>
      </c>
      <c r="LMB292" s="18">
        <v>0</v>
      </c>
      <c r="LMC292" s="18">
        <v>0</v>
      </c>
      <c r="LMD292" s="18">
        <v>0</v>
      </c>
      <c r="LME292" s="18">
        <v>0</v>
      </c>
      <c r="LMF292" s="18">
        <v>0</v>
      </c>
      <c r="LMG292" s="18">
        <v>0</v>
      </c>
      <c r="LMH292" s="18">
        <v>0</v>
      </c>
      <c r="LMI292" s="18">
        <v>0</v>
      </c>
      <c r="LMJ292" s="18">
        <v>0</v>
      </c>
      <c r="LMK292" s="18">
        <v>0</v>
      </c>
      <c r="LML292" s="18">
        <v>0</v>
      </c>
      <c r="LMM292" s="18">
        <v>0</v>
      </c>
      <c r="LMN292" s="18">
        <v>0</v>
      </c>
      <c r="LMO292" s="18">
        <v>0</v>
      </c>
      <c r="LMP292" s="18">
        <v>0</v>
      </c>
      <c r="LMQ292" s="18">
        <v>0</v>
      </c>
      <c r="LMR292" s="18">
        <v>0</v>
      </c>
      <c r="LMS292" s="18">
        <v>0</v>
      </c>
      <c r="LMT292" s="18">
        <v>0</v>
      </c>
      <c r="LMU292" s="18">
        <v>0</v>
      </c>
      <c r="LMV292" s="18">
        <v>0</v>
      </c>
      <c r="LMW292" s="18">
        <v>0</v>
      </c>
      <c r="LMX292" s="18">
        <v>0</v>
      </c>
      <c r="LMY292" s="18">
        <v>0</v>
      </c>
      <c r="LMZ292" s="18">
        <v>0</v>
      </c>
      <c r="LNA292" s="18">
        <v>0</v>
      </c>
      <c r="LNB292" s="18">
        <v>0</v>
      </c>
      <c r="LNC292" s="18">
        <v>0</v>
      </c>
      <c r="LND292" s="18">
        <v>0</v>
      </c>
      <c r="LNE292" s="18">
        <v>0</v>
      </c>
      <c r="LNF292" s="18">
        <v>0</v>
      </c>
      <c r="LNG292" s="18">
        <v>0</v>
      </c>
      <c r="LNH292" s="18">
        <v>0</v>
      </c>
      <c r="LNI292" s="18">
        <v>0</v>
      </c>
      <c r="LNJ292" s="18">
        <v>0</v>
      </c>
      <c r="LNK292" s="18">
        <v>0</v>
      </c>
      <c r="LNL292" s="18">
        <v>0</v>
      </c>
      <c r="LNM292" s="18">
        <v>0</v>
      </c>
      <c r="LNN292" s="18">
        <v>0</v>
      </c>
      <c r="LNO292" s="18">
        <v>0</v>
      </c>
      <c r="LNP292" s="18">
        <v>0</v>
      </c>
      <c r="LNQ292" s="18">
        <v>0</v>
      </c>
      <c r="LNR292" s="18">
        <v>0</v>
      </c>
      <c r="LNS292" s="18">
        <v>0</v>
      </c>
      <c r="LNT292" s="18">
        <v>0</v>
      </c>
      <c r="LNU292" s="18">
        <v>0</v>
      </c>
      <c r="LNV292" s="18">
        <v>0</v>
      </c>
      <c r="LNW292" s="18">
        <v>0</v>
      </c>
      <c r="LNX292" s="18">
        <v>0</v>
      </c>
      <c r="LNY292" s="18">
        <v>0</v>
      </c>
      <c r="LNZ292" s="18">
        <v>0</v>
      </c>
      <c r="LOA292" s="18">
        <v>0</v>
      </c>
      <c r="LOB292" s="18">
        <v>0</v>
      </c>
      <c r="LOC292" s="18">
        <v>0</v>
      </c>
      <c r="LOD292" s="18">
        <v>0</v>
      </c>
      <c r="LOE292" s="18">
        <v>0</v>
      </c>
      <c r="LOF292" s="18">
        <v>0</v>
      </c>
      <c r="LOG292" s="18">
        <v>0</v>
      </c>
      <c r="LOH292" s="18">
        <v>0</v>
      </c>
      <c r="LOI292" s="18">
        <v>0</v>
      </c>
      <c r="LOJ292" s="18">
        <v>0</v>
      </c>
      <c r="LOK292" s="18">
        <v>0</v>
      </c>
      <c r="LOL292" s="18">
        <v>0</v>
      </c>
      <c r="LOM292" s="18">
        <v>0</v>
      </c>
      <c r="LON292" s="18">
        <v>0</v>
      </c>
      <c r="LOO292" s="18">
        <v>0</v>
      </c>
      <c r="LOP292" s="18">
        <v>0</v>
      </c>
      <c r="LOQ292" s="18">
        <v>0</v>
      </c>
      <c r="LOR292" s="18">
        <v>0</v>
      </c>
      <c r="LOS292" s="18">
        <v>0</v>
      </c>
      <c r="LOT292" s="18">
        <v>0</v>
      </c>
      <c r="LOU292" s="18">
        <v>0</v>
      </c>
      <c r="LOV292" s="18">
        <v>0</v>
      </c>
      <c r="LOW292" s="18">
        <v>0</v>
      </c>
      <c r="LOX292" s="18">
        <v>0</v>
      </c>
      <c r="LOY292" s="18">
        <v>0</v>
      </c>
      <c r="LOZ292" s="18">
        <v>0</v>
      </c>
      <c r="LPA292" s="18">
        <v>0</v>
      </c>
      <c r="LPB292" s="18">
        <v>0</v>
      </c>
      <c r="LPC292" s="18">
        <v>0</v>
      </c>
      <c r="LPD292" s="18">
        <v>0</v>
      </c>
      <c r="LPE292" s="18">
        <v>0</v>
      </c>
      <c r="LPF292" s="18">
        <v>0</v>
      </c>
      <c r="LPG292" s="18">
        <v>0</v>
      </c>
      <c r="LPH292" s="18">
        <v>0</v>
      </c>
      <c r="LPI292" s="18">
        <v>0</v>
      </c>
      <c r="LPJ292" s="18">
        <v>0</v>
      </c>
      <c r="LPK292" s="18">
        <v>0</v>
      </c>
      <c r="LPL292" s="18">
        <v>0</v>
      </c>
      <c r="LPM292" s="18">
        <v>0</v>
      </c>
      <c r="LPN292" s="18">
        <v>0</v>
      </c>
      <c r="LPO292" s="18">
        <v>0</v>
      </c>
      <c r="LPP292" s="18">
        <v>0</v>
      </c>
      <c r="LPQ292" s="18">
        <v>0</v>
      </c>
      <c r="LPR292" s="18">
        <v>0</v>
      </c>
      <c r="LPS292" s="18">
        <v>0</v>
      </c>
      <c r="LPT292" s="18">
        <v>0</v>
      </c>
      <c r="LPU292" s="18">
        <v>0</v>
      </c>
      <c r="LPV292" s="18">
        <v>0</v>
      </c>
      <c r="LPW292" s="18">
        <v>0</v>
      </c>
      <c r="LPX292" s="18">
        <v>0</v>
      </c>
      <c r="LPY292" s="18">
        <v>0</v>
      </c>
      <c r="LPZ292" s="18">
        <v>0</v>
      </c>
      <c r="LQA292" s="18">
        <v>0</v>
      </c>
      <c r="LQB292" s="18">
        <v>0</v>
      </c>
      <c r="LQC292" s="18">
        <v>0</v>
      </c>
      <c r="LQD292" s="18">
        <v>0</v>
      </c>
      <c r="LQE292" s="18">
        <v>0</v>
      </c>
      <c r="LQF292" s="18">
        <v>0</v>
      </c>
      <c r="LQG292" s="18">
        <v>0</v>
      </c>
      <c r="LQH292" s="18">
        <v>0</v>
      </c>
      <c r="LQI292" s="18">
        <v>0</v>
      </c>
      <c r="LQJ292" s="18">
        <v>0</v>
      </c>
      <c r="LQK292" s="18">
        <v>0</v>
      </c>
      <c r="LQL292" s="18">
        <v>0</v>
      </c>
      <c r="LQM292" s="18">
        <v>0</v>
      </c>
      <c r="LQN292" s="18">
        <v>0</v>
      </c>
      <c r="LQO292" s="18">
        <v>0</v>
      </c>
      <c r="LQP292" s="18">
        <v>0</v>
      </c>
      <c r="LQQ292" s="18">
        <v>0</v>
      </c>
      <c r="LQR292" s="18">
        <v>0</v>
      </c>
      <c r="LQS292" s="18">
        <v>0</v>
      </c>
      <c r="LQT292" s="18">
        <v>0</v>
      </c>
      <c r="LQU292" s="18">
        <v>0</v>
      </c>
      <c r="LQV292" s="18">
        <v>0</v>
      </c>
      <c r="LQW292" s="18">
        <v>0</v>
      </c>
      <c r="LQX292" s="18">
        <v>0</v>
      </c>
      <c r="LQY292" s="18">
        <v>0</v>
      </c>
      <c r="LQZ292" s="18">
        <v>0</v>
      </c>
      <c r="LRA292" s="18">
        <v>0</v>
      </c>
      <c r="LRB292" s="18">
        <v>0</v>
      </c>
      <c r="LRC292" s="18">
        <v>0</v>
      </c>
      <c r="LRD292" s="18">
        <v>0</v>
      </c>
      <c r="LRE292" s="18">
        <v>0</v>
      </c>
      <c r="LRF292" s="18">
        <v>0</v>
      </c>
      <c r="LRG292" s="18">
        <v>0</v>
      </c>
      <c r="LRH292" s="18">
        <v>0</v>
      </c>
      <c r="LRI292" s="18">
        <v>0</v>
      </c>
      <c r="LRJ292" s="18">
        <v>0</v>
      </c>
      <c r="LRK292" s="18">
        <v>0</v>
      </c>
      <c r="LRL292" s="18">
        <v>0</v>
      </c>
      <c r="LRM292" s="18">
        <v>0</v>
      </c>
      <c r="LRN292" s="18">
        <v>0</v>
      </c>
      <c r="LRO292" s="18">
        <v>0</v>
      </c>
      <c r="LRP292" s="18">
        <v>0</v>
      </c>
      <c r="LRQ292" s="18">
        <v>0</v>
      </c>
      <c r="LRR292" s="18">
        <v>0</v>
      </c>
      <c r="LRS292" s="18">
        <v>0</v>
      </c>
      <c r="LRT292" s="18">
        <v>0</v>
      </c>
      <c r="LRU292" s="18">
        <v>0</v>
      </c>
      <c r="LRV292" s="18">
        <v>0</v>
      </c>
      <c r="LRW292" s="18">
        <v>0</v>
      </c>
      <c r="LRX292" s="18">
        <v>0</v>
      </c>
      <c r="LRY292" s="18">
        <v>0</v>
      </c>
      <c r="LRZ292" s="18">
        <v>0</v>
      </c>
      <c r="LSA292" s="18">
        <v>0</v>
      </c>
      <c r="LSB292" s="18">
        <v>0</v>
      </c>
      <c r="LSC292" s="18">
        <v>0</v>
      </c>
      <c r="LSD292" s="18">
        <v>0</v>
      </c>
      <c r="LSE292" s="18">
        <v>0</v>
      </c>
      <c r="LSF292" s="18">
        <v>0</v>
      </c>
      <c r="LSG292" s="18">
        <v>0</v>
      </c>
      <c r="LSH292" s="18">
        <v>0</v>
      </c>
      <c r="LSI292" s="18">
        <v>0</v>
      </c>
      <c r="LSJ292" s="18">
        <v>0</v>
      </c>
      <c r="LSK292" s="18">
        <v>0</v>
      </c>
      <c r="LSL292" s="18">
        <v>0</v>
      </c>
      <c r="LSM292" s="18">
        <v>0</v>
      </c>
      <c r="LSN292" s="18">
        <v>0</v>
      </c>
      <c r="LSO292" s="18">
        <v>0</v>
      </c>
      <c r="LSP292" s="18">
        <v>0</v>
      </c>
      <c r="LSQ292" s="18">
        <v>0</v>
      </c>
      <c r="LSR292" s="18">
        <v>0</v>
      </c>
      <c r="LSS292" s="18">
        <v>0</v>
      </c>
      <c r="LST292" s="18">
        <v>0</v>
      </c>
      <c r="LSU292" s="18">
        <v>0</v>
      </c>
      <c r="LSV292" s="18">
        <v>0</v>
      </c>
      <c r="LSW292" s="18">
        <v>0</v>
      </c>
      <c r="LSX292" s="18">
        <v>0</v>
      </c>
      <c r="LSY292" s="18">
        <v>0</v>
      </c>
      <c r="LSZ292" s="18">
        <v>0</v>
      </c>
      <c r="LTA292" s="18">
        <v>0</v>
      </c>
      <c r="LTB292" s="18">
        <v>0</v>
      </c>
      <c r="LTC292" s="18">
        <v>0</v>
      </c>
      <c r="LTD292" s="18">
        <v>0</v>
      </c>
      <c r="LTE292" s="18">
        <v>0</v>
      </c>
      <c r="LTF292" s="18">
        <v>0</v>
      </c>
      <c r="LTG292" s="18">
        <v>0</v>
      </c>
      <c r="LTH292" s="18">
        <v>0</v>
      </c>
      <c r="LTI292" s="18">
        <v>0</v>
      </c>
      <c r="LTJ292" s="18">
        <v>0</v>
      </c>
      <c r="LTK292" s="18">
        <v>0</v>
      </c>
      <c r="LTL292" s="18">
        <v>0</v>
      </c>
      <c r="LTM292" s="18">
        <v>0</v>
      </c>
      <c r="LTN292" s="18">
        <v>0</v>
      </c>
      <c r="LTO292" s="18">
        <v>0</v>
      </c>
      <c r="LTP292" s="18">
        <v>0</v>
      </c>
      <c r="LTQ292" s="18">
        <v>0</v>
      </c>
      <c r="LTR292" s="18">
        <v>0</v>
      </c>
      <c r="LTS292" s="18">
        <v>0</v>
      </c>
      <c r="LTT292" s="18">
        <v>0</v>
      </c>
      <c r="LTU292" s="18">
        <v>0</v>
      </c>
      <c r="LTV292" s="18">
        <v>0</v>
      </c>
      <c r="LTW292" s="18">
        <v>0</v>
      </c>
      <c r="LTX292" s="18">
        <v>0</v>
      </c>
      <c r="LTY292" s="18">
        <v>0</v>
      </c>
      <c r="LTZ292" s="18">
        <v>0</v>
      </c>
      <c r="LUA292" s="18">
        <v>0</v>
      </c>
      <c r="LUB292" s="18">
        <v>0</v>
      </c>
      <c r="LUC292" s="18">
        <v>0</v>
      </c>
      <c r="LUD292" s="18">
        <v>0</v>
      </c>
      <c r="LUE292" s="18">
        <v>0</v>
      </c>
      <c r="LUF292" s="18">
        <v>0</v>
      </c>
      <c r="LUG292" s="18">
        <v>0</v>
      </c>
      <c r="LUH292" s="18">
        <v>0</v>
      </c>
      <c r="LUI292" s="18">
        <v>0</v>
      </c>
      <c r="LUJ292" s="18">
        <v>0</v>
      </c>
      <c r="LUK292" s="18">
        <v>0</v>
      </c>
      <c r="LUL292" s="18">
        <v>0</v>
      </c>
      <c r="LUM292" s="18">
        <v>0</v>
      </c>
      <c r="LUN292" s="18">
        <v>0</v>
      </c>
      <c r="LUO292" s="18">
        <v>0</v>
      </c>
      <c r="LUP292" s="18">
        <v>0</v>
      </c>
      <c r="LUQ292" s="18">
        <v>0</v>
      </c>
      <c r="LUR292" s="18">
        <v>0</v>
      </c>
      <c r="LUS292" s="18">
        <v>0</v>
      </c>
      <c r="LUT292" s="18">
        <v>0</v>
      </c>
      <c r="LUU292" s="18">
        <v>0</v>
      </c>
      <c r="LUV292" s="18">
        <v>0</v>
      </c>
      <c r="LUW292" s="18">
        <v>0</v>
      </c>
      <c r="LUX292" s="18">
        <v>0</v>
      </c>
      <c r="LUY292" s="18">
        <v>0</v>
      </c>
      <c r="LUZ292" s="18">
        <v>0</v>
      </c>
      <c r="LVA292" s="18">
        <v>0</v>
      </c>
      <c r="LVB292" s="18">
        <v>0</v>
      </c>
      <c r="LVC292" s="18">
        <v>0</v>
      </c>
      <c r="LVD292" s="18">
        <v>0</v>
      </c>
      <c r="LVE292" s="18">
        <v>0</v>
      </c>
      <c r="LVF292" s="18">
        <v>0</v>
      </c>
      <c r="LVG292" s="18">
        <v>0</v>
      </c>
      <c r="LVH292" s="18">
        <v>0</v>
      </c>
      <c r="LVI292" s="18">
        <v>0</v>
      </c>
      <c r="LVJ292" s="18">
        <v>0</v>
      </c>
      <c r="LVK292" s="18">
        <v>0</v>
      </c>
      <c r="LVL292" s="18">
        <v>0</v>
      </c>
      <c r="LVM292" s="18">
        <v>0</v>
      </c>
      <c r="LVN292" s="18">
        <v>0</v>
      </c>
      <c r="LVO292" s="18">
        <v>0</v>
      </c>
      <c r="LVP292" s="18">
        <v>0</v>
      </c>
      <c r="LVQ292" s="18">
        <v>0</v>
      </c>
      <c r="LVR292" s="18">
        <v>0</v>
      </c>
      <c r="LVS292" s="18">
        <v>0</v>
      </c>
      <c r="LVT292" s="18">
        <v>0</v>
      </c>
      <c r="LVU292" s="18">
        <v>0</v>
      </c>
      <c r="LVV292" s="18">
        <v>0</v>
      </c>
      <c r="LVW292" s="18">
        <v>0</v>
      </c>
      <c r="LVX292" s="18">
        <v>0</v>
      </c>
      <c r="LVY292" s="18">
        <v>0</v>
      </c>
      <c r="LVZ292" s="18">
        <v>0</v>
      </c>
      <c r="LWA292" s="18">
        <v>0</v>
      </c>
      <c r="LWB292" s="18">
        <v>0</v>
      </c>
      <c r="LWC292" s="18">
        <v>0</v>
      </c>
      <c r="LWD292" s="18">
        <v>0</v>
      </c>
      <c r="LWE292" s="18">
        <v>0</v>
      </c>
      <c r="LWF292" s="18">
        <v>0</v>
      </c>
      <c r="LWG292" s="18">
        <v>0</v>
      </c>
      <c r="LWH292" s="18">
        <v>0</v>
      </c>
      <c r="LWI292" s="18">
        <v>0</v>
      </c>
      <c r="LWJ292" s="18">
        <v>0</v>
      </c>
      <c r="LWK292" s="18">
        <v>0</v>
      </c>
      <c r="LWL292" s="18">
        <v>0</v>
      </c>
      <c r="LWM292" s="18">
        <v>0</v>
      </c>
      <c r="LWN292" s="18">
        <v>0</v>
      </c>
      <c r="LWO292" s="18">
        <v>0</v>
      </c>
      <c r="LWP292" s="18">
        <v>0</v>
      </c>
      <c r="LWQ292" s="18">
        <v>0</v>
      </c>
      <c r="LWR292" s="18">
        <v>0</v>
      </c>
      <c r="LWS292" s="18">
        <v>0</v>
      </c>
      <c r="LWT292" s="18">
        <v>0</v>
      </c>
      <c r="LWU292" s="18">
        <v>0</v>
      </c>
      <c r="LWV292" s="18">
        <v>0</v>
      </c>
      <c r="LWW292" s="18">
        <v>0</v>
      </c>
      <c r="LWX292" s="18">
        <v>0</v>
      </c>
      <c r="LWY292" s="18">
        <v>0</v>
      </c>
      <c r="LWZ292" s="18">
        <v>0</v>
      </c>
      <c r="LXA292" s="18">
        <v>0</v>
      </c>
      <c r="LXB292" s="18">
        <v>0</v>
      </c>
      <c r="LXC292" s="18">
        <v>0</v>
      </c>
      <c r="LXD292" s="18">
        <v>0</v>
      </c>
      <c r="LXE292" s="18">
        <v>0</v>
      </c>
      <c r="LXF292" s="18">
        <v>0</v>
      </c>
      <c r="LXG292" s="18">
        <v>0</v>
      </c>
      <c r="LXH292" s="18">
        <v>0</v>
      </c>
      <c r="LXI292" s="18">
        <v>0</v>
      </c>
      <c r="LXJ292" s="18">
        <v>0</v>
      </c>
      <c r="LXK292" s="18">
        <v>0</v>
      </c>
      <c r="LXL292" s="18">
        <v>0</v>
      </c>
      <c r="LXM292" s="18">
        <v>0</v>
      </c>
      <c r="LXN292" s="18">
        <v>0</v>
      </c>
      <c r="LXO292" s="18">
        <v>0</v>
      </c>
      <c r="LXP292" s="18">
        <v>0</v>
      </c>
      <c r="LXQ292" s="18">
        <v>0</v>
      </c>
      <c r="LXR292" s="18">
        <v>0</v>
      </c>
      <c r="LXS292" s="18">
        <v>0</v>
      </c>
      <c r="LXT292" s="18">
        <v>0</v>
      </c>
      <c r="LXU292" s="18">
        <v>0</v>
      </c>
      <c r="LXV292" s="18">
        <v>0</v>
      </c>
      <c r="LXW292" s="18">
        <v>0</v>
      </c>
      <c r="LXX292" s="18">
        <v>0</v>
      </c>
      <c r="LXY292" s="18">
        <v>0</v>
      </c>
      <c r="LXZ292" s="18">
        <v>0</v>
      </c>
      <c r="LYA292" s="18">
        <v>0</v>
      </c>
      <c r="LYB292" s="18">
        <v>0</v>
      </c>
      <c r="LYC292" s="18">
        <v>0</v>
      </c>
      <c r="LYD292" s="18">
        <v>0</v>
      </c>
      <c r="LYE292" s="18">
        <v>0</v>
      </c>
      <c r="LYF292" s="18">
        <v>0</v>
      </c>
      <c r="LYG292" s="18">
        <v>0</v>
      </c>
      <c r="LYH292" s="18">
        <v>0</v>
      </c>
      <c r="LYI292" s="18">
        <v>0</v>
      </c>
      <c r="LYJ292" s="18">
        <v>0</v>
      </c>
      <c r="LYK292" s="18">
        <v>0</v>
      </c>
      <c r="LYL292" s="18">
        <v>0</v>
      </c>
      <c r="LYM292" s="18">
        <v>0</v>
      </c>
      <c r="LYN292" s="18">
        <v>0</v>
      </c>
      <c r="LYO292" s="18">
        <v>0</v>
      </c>
      <c r="LYP292" s="18">
        <v>0</v>
      </c>
      <c r="LYQ292" s="18">
        <v>0</v>
      </c>
      <c r="LYR292" s="18">
        <v>0</v>
      </c>
      <c r="LYS292" s="18">
        <v>0</v>
      </c>
      <c r="LYT292" s="18">
        <v>0</v>
      </c>
      <c r="LYU292" s="18">
        <v>0</v>
      </c>
      <c r="LYV292" s="18">
        <v>0</v>
      </c>
      <c r="LYW292" s="18">
        <v>0</v>
      </c>
      <c r="LYX292" s="18">
        <v>0</v>
      </c>
      <c r="LYY292" s="18">
        <v>0</v>
      </c>
      <c r="LYZ292" s="18">
        <v>0</v>
      </c>
      <c r="LZA292" s="18">
        <v>0</v>
      </c>
      <c r="LZB292" s="18">
        <v>0</v>
      </c>
      <c r="LZC292" s="18">
        <v>0</v>
      </c>
      <c r="LZD292" s="18">
        <v>0</v>
      </c>
      <c r="LZE292" s="18">
        <v>0</v>
      </c>
      <c r="LZF292" s="18">
        <v>0</v>
      </c>
      <c r="LZG292" s="18">
        <v>0</v>
      </c>
      <c r="LZH292" s="18">
        <v>0</v>
      </c>
      <c r="LZI292" s="18">
        <v>0</v>
      </c>
      <c r="LZJ292" s="18">
        <v>0</v>
      </c>
      <c r="LZK292" s="18">
        <v>0</v>
      </c>
      <c r="LZL292" s="18">
        <v>0</v>
      </c>
      <c r="LZM292" s="18">
        <v>0</v>
      </c>
      <c r="LZN292" s="18">
        <v>0</v>
      </c>
      <c r="LZO292" s="18">
        <v>0</v>
      </c>
      <c r="LZP292" s="18">
        <v>0</v>
      </c>
      <c r="LZQ292" s="18">
        <v>0</v>
      </c>
      <c r="LZR292" s="18">
        <v>0</v>
      </c>
      <c r="LZS292" s="18">
        <v>0</v>
      </c>
      <c r="LZT292" s="18">
        <v>0</v>
      </c>
      <c r="LZU292" s="18">
        <v>0</v>
      </c>
      <c r="LZV292" s="18">
        <v>0</v>
      </c>
      <c r="LZW292" s="18">
        <v>0</v>
      </c>
      <c r="LZX292" s="18">
        <v>0</v>
      </c>
      <c r="LZY292" s="18">
        <v>0</v>
      </c>
      <c r="LZZ292" s="18">
        <v>0</v>
      </c>
      <c r="MAA292" s="18">
        <v>0</v>
      </c>
      <c r="MAB292" s="18">
        <v>0</v>
      </c>
      <c r="MAC292" s="18">
        <v>0</v>
      </c>
      <c r="MAD292" s="18">
        <v>0</v>
      </c>
      <c r="MAE292" s="18">
        <v>0</v>
      </c>
      <c r="MAF292" s="18">
        <v>0</v>
      </c>
      <c r="MAG292" s="18">
        <v>0</v>
      </c>
      <c r="MAH292" s="18">
        <v>0</v>
      </c>
      <c r="MAI292" s="18">
        <v>0</v>
      </c>
      <c r="MAJ292" s="18">
        <v>0</v>
      </c>
      <c r="MAK292" s="18">
        <v>0</v>
      </c>
      <c r="MAL292" s="18">
        <v>0</v>
      </c>
      <c r="MAM292" s="18">
        <v>0</v>
      </c>
      <c r="MAN292" s="18">
        <v>0</v>
      </c>
      <c r="MAO292" s="18">
        <v>0</v>
      </c>
      <c r="MAP292" s="18">
        <v>0</v>
      </c>
      <c r="MAQ292" s="18">
        <v>0</v>
      </c>
      <c r="MAR292" s="18">
        <v>0</v>
      </c>
      <c r="MAS292" s="18">
        <v>0</v>
      </c>
      <c r="MAT292" s="18">
        <v>0</v>
      </c>
      <c r="MAU292" s="18">
        <v>0</v>
      </c>
      <c r="MAV292" s="18">
        <v>0</v>
      </c>
      <c r="MAW292" s="18">
        <v>0</v>
      </c>
      <c r="MAX292" s="18">
        <v>0</v>
      </c>
      <c r="MAY292" s="18">
        <v>0</v>
      </c>
      <c r="MAZ292" s="18">
        <v>0</v>
      </c>
      <c r="MBA292" s="18">
        <v>0</v>
      </c>
      <c r="MBB292" s="18">
        <v>0</v>
      </c>
      <c r="MBC292" s="18">
        <v>0</v>
      </c>
      <c r="MBD292" s="18">
        <v>0</v>
      </c>
      <c r="MBE292" s="18">
        <v>0</v>
      </c>
      <c r="MBF292" s="18">
        <v>0</v>
      </c>
      <c r="MBG292" s="18">
        <v>0</v>
      </c>
      <c r="MBH292" s="18">
        <v>0</v>
      </c>
      <c r="MBI292" s="18">
        <v>0</v>
      </c>
      <c r="MBJ292" s="18">
        <v>0</v>
      </c>
      <c r="MBK292" s="18">
        <v>0</v>
      </c>
      <c r="MBL292" s="18">
        <v>0</v>
      </c>
      <c r="MBM292" s="18">
        <v>0</v>
      </c>
      <c r="MBN292" s="18">
        <v>0</v>
      </c>
      <c r="MBO292" s="18">
        <v>0</v>
      </c>
      <c r="MBP292" s="18">
        <v>0</v>
      </c>
      <c r="MBQ292" s="18">
        <v>0</v>
      </c>
      <c r="MBR292" s="18">
        <v>0</v>
      </c>
      <c r="MBS292" s="18">
        <v>0</v>
      </c>
      <c r="MBT292" s="18">
        <v>0</v>
      </c>
      <c r="MBU292" s="18">
        <v>0</v>
      </c>
      <c r="MBV292" s="18">
        <v>0</v>
      </c>
      <c r="MBW292" s="18">
        <v>0</v>
      </c>
      <c r="MBX292" s="18">
        <v>0</v>
      </c>
      <c r="MBY292" s="18">
        <v>0</v>
      </c>
      <c r="MBZ292" s="18">
        <v>0</v>
      </c>
      <c r="MCA292" s="18">
        <v>0</v>
      </c>
      <c r="MCB292" s="18">
        <v>0</v>
      </c>
      <c r="MCC292" s="18">
        <v>0</v>
      </c>
      <c r="MCD292" s="18">
        <v>0</v>
      </c>
      <c r="MCE292" s="18">
        <v>0</v>
      </c>
      <c r="MCF292" s="18">
        <v>0</v>
      </c>
      <c r="MCG292" s="18">
        <v>0</v>
      </c>
      <c r="MCH292" s="18">
        <v>0</v>
      </c>
      <c r="MCI292" s="18">
        <v>0</v>
      </c>
      <c r="MCJ292" s="18">
        <v>0</v>
      </c>
      <c r="MCK292" s="18">
        <v>0</v>
      </c>
      <c r="MCL292" s="18">
        <v>0</v>
      </c>
      <c r="MCM292" s="18">
        <v>0</v>
      </c>
      <c r="MCN292" s="18">
        <v>0</v>
      </c>
      <c r="MCO292" s="18">
        <v>0</v>
      </c>
      <c r="MCP292" s="18">
        <v>0</v>
      </c>
      <c r="MCQ292" s="18">
        <v>0</v>
      </c>
      <c r="MCR292" s="18">
        <v>0</v>
      </c>
      <c r="MCS292" s="18">
        <v>0</v>
      </c>
      <c r="MCT292" s="18">
        <v>0</v>
      </c>
      <c r="MCU292" s="18">
        <v>0</v>
      </c>
      <c r="MCV292" s="18">
        <v>0</v>
      </c>
      <c r="MCW292" s="18">
        <v>0</v>
      </c>
      <c r="MCX292" s="18">
        <v>0</v>
      </c>
      <c r="MCY292" s="18">
        <v>0</v>
      </c>
      <c r="MCZ292" s="18">
        <v>0</v>
      </c>
      <c r="MDA292" s="18">
        <v>0</v>
      </c>
      <c r="MDB292" s="18">
        <v>0</v>
      </c>
      <c r="MDC292" s="18">
        <v>0</v>
      </c>
      <c r="MDD292" s="18">
        <v>0</v>
      </c>
      <c r="MDE292" s="18">
        <v>0</v>
      </c>
      <c r="MDF292" s="18">
        <v>0</v>
      </c>
      <c r="MDG292" s="18">
        <v>0</v>
      </c>
      <c r="MDH292" s="18">
        <v>0</v>
      </c>
      <c r="MDI292" s="18">
        <v>0</v>
      </c>
      <c r="MDJ292" s="18">
        <v>0</v>
      </c>
      <c r="MDK292" s="18">
        <v>0</v>
      </c>
      <c r="MDL292" s="18">
        <v>0</v>
      </c>
      <c r="MDM292" s="18">
        <v>0</v>
      </c>
      <c r="MDN292" s="18">
        <v>0</v>
      </c>
      <c r="MDO292" s="18">
        <v>0</v>
      </c>
      <c r="MDP292" s="18">
        <v>0</v>
      </c>
      <c r="MDQ292" s="18">
        <v>0</v>
      </c>
      <c r="MDR292" s="18">
        <v>0</v>
      </c>
      <c r="MDS292" s="18">
        <v>0</v>
      </c>
      <c r="MDT292" s="18">
        <v>0</v>
      </c>
      <c r="MDU292" s="18">
        <v>0</v>
      </c>
      <c r="MDV292" s="18">
        <v>0</v>
      </c>
      <c r="MDW292" s="18">
        <v>0</v>
      </c>
      <c r="MDX292" s="18">
        <v>0</v>
      </c>
      <c r="MDY292" s="18">
        <v>0</v>
      </c>
      <c r="MDZ292" s="18">
        <v>0</v>
      </c>
      <c r="MEA292" s="18">
        <v>0</v>
      </c>
      <c r="MEB292" s="18">
        <v>0</v>
      </c>
      <c r="MEC292" s="18">
        <v>0</v>
      </c>
      <c r="MED292" s="18">
        <v>0</v>
      </c>
      <c r="MEE292" s="18">
        <v>0</v>
      </c>
      <c r="MEF292" s="18">
        <v>0</v>
      </c>
      <c r="MEG292" s="18">
        <v>0</v>
      </c>
      <c r="MEH292" s="18">
        <v>0</v>
      </c>
      <c r="MEI292" s="18">
        <v>0</v>
      </c>
      <c r="MEJ292" s="18">
        <v>0</v>
      </c>
      <c r="MEK292" s="18">
        <v>0</v>
      </c>
      <c r="MEL292" s="18">
        <v>0</v>
      </c>
      <c r="MEM292" s="18">
        <v>0</v>
      </c>
      <c r="MEN292" s="18">
        <v>0</v>
      </c>
      <c r="MEO292" s="18">
        <v>0</v>
      </c>
      <c r="MEP292" s="18">
        <v>0</v>
      </c>
      <c r="MEQ292" s="18">
        <v>0</v>
      </c>
      <c r="MER292" s="18">
        <v>0</v>
      </c>
      <c r="MES292" s="18">
        <v>0</v>
      </c>
      <c r="MET292" s="18">
        <v>0</v>
      </c>
      <c r="MEU292" s="18">
        <v>0</v>
      </c>
      <c r="MEV292" s="18">
        <v>0</v>
      </c>
      <c r="MEW292" s="18">
        <v>0</v>
      </c>
      <c r="MEX292" s="18">
        <v>0</v>
      </c>
      <c r="MEY292" s="18">
        <v>0</v>
      </c>
      <c r="MEZ292" s="18">
        <v>0</v>
      </c>
      <c r="MFA292" s="18">
        <v>0</v>
      </c>
      <c r="MFB292" s="18">
        <v>0</v>
      </c>
      <c r="MFC292" s="18">
        <v>0</v>
      </c>
      <c r="MFD292" s="18">
        <v>0</v>
      </c>
      <c r="MFE292" s="18">
        <v>0</v>
      </c>
      <c r="MFF292" s="18">
        <v>0</v>
      </c>
      <c r="MFG292" s="18">
        <v>0</v>
      </c>
      <c r="MFH292" s="18">
        <v>0</v>
      </c>
      <c r="MFI292" s="18">
        <v>0</v>
      </c>
      <c r="MFJ292" s="18">
        <v>0</v>
      </c>
      <c r="MFK292" s="18">
        <v>0</v>
      </c>
      <c r="MFL292" s="18">
        <v>0</v>
      </c>
      <c r="MFM292" s="18">
        <v>0</v>
      </c>
      <c r="MFN292" s="18">
        <v>0</v>
      </c>
      <c r="MFO292" s="18">
        <v>0</v>
      </c>
      <c r="MFP292" s="18">
        <v>0</v>
      </c>
      <c r="MFQ292" s="18">
        <v>0</v>
      </c>
      <c r="MFR292" s="18">
        <v>0</v>
      </c>
      <c r="MFS292" s="18">
        <v>0</v>
      </c>
      <c r="MFT292" s="18">
        <v>0</v>
      </c>
      <c r="MFU292" s="18">
        <v>0</v>
      </c>
      <c r="MFV292" s="18">
        <v>0</v>
      </c>
      <c r="MFW292" s="18">
        <v>0</v>
      </c>
      <c r="MFX292" s="18">
        <v>0</v>
      </c>
      <c r="MFY292" s="18">
        <v>0</v>
      </c>
      <c r="MFZ292" s="18">
        <v>0</v>
      </c>
      <c r="MGA292" s="18">
        <v>0</v>
      </c>
      <c r="MGB292" s="18">
        <v>0</v>
      </c>
      <c r="MGC292" s="18">
        <v>0</v>
      </c>
      <c r="MGD292" s="18">
        <v>0</v>
      </c>
      <c r="MGE292" s="18">
        <v>0</v>
      </c>
      <c r="MGF292" s="18">
        <v>0</v>
      </c>
      <c r="MGG292" s="18">
        <v>0</v>
      </c>
      <c r="MGH292" s="18">
        <v>0</v>
      </c>
      <c r="MGI292" s="18">
        <v>0</v>
      </c>
      <c r="MGJ292" s="18">
        <v>0</v>
      </c>
      <c r="MGK292" s="18">
        <v>0</v>
      </c>
      <c r="MGL292" s="18">
        <v>0</v>
      </c>
      <c r="MGM292" s="18">
        <v>0</v>
      </c>
      <c r="MGN292" s="18">
        <v>0</v>
      </c>
      <c r="MGO292" s="18">
        <v>0</v>
      </c>
      <c r="MGP292" s="18">
        <v>0</v>
      </c>
      <c r="MGQ292" s="18">
        <v>0</v>
      </c>
      <c r="MGR292" s="18">
        <v>0</v>
      </c>
      <c r="MGS292" s="18">
        <v>0</v>
      </c>
      <c r="MGT292" s="18">
        <v>0</v>
      </c>
      <c r="MGU292" s="18">
        <v>0</v>
      </c>
      <c r="MGV292" s="18">
        <v>0</v>
      </c>
      <c r="MGW292" s="18">
        <v>0</v>
      </c>
      <c r="MGX292" s="18">
        <v>0</v>
      </c>
      <c r="MGY292" s="18">
        <v>0</v>
      </c>
      <c r="MGZ292" s="18">
        <v>0</v>
      </c>
      <c r="MHA292" s="18">
        <v>0</v>
      </c>
      <c r="MHB292" s="18">
        <v>0</v>
      </c>
      <c r="MHC292" s="18">
        <v>0</v>
      </c>
      <c r="MHD292" s="18">
        <v>0</v>
      </c>
      <c r="MHE292" s="18">
        <v>0</v>
      </c>
      <c r="MHF292" s="18">
        <v>0</v>
      </c>
      <c r="MHG292" s="18">
        <v>0</v>
      </c>
      <c r="MHH292" s="18">
        <v>0</v>
      </c>
      <c r="MHI292" s="18">
        <v>0</v>
      </c>
      <c r="MHJ292" s="18">
        <v>0</v>
      </c>
      <c r="MHK292" s="18">
        <v>0</v>
      </c>
      <c r="MHL292" s="18">
        <v>0</v>
      </c>
      <c r="MHM292" s="18">
        <v>0</v>
      </c>
      <c r="MHN292" s="18">
        <v>0</v>
      </c>
      <c r="MHO292" s="18">
        <v>0</v>
      </c>
      <c r="MHP292" s="18">
        <v>0</v>
      </c>
      <c r="MHQ292" s="18">
        <v>0</v>
      </c>
      <c r="MHR292" s="18">
        <v>0</v>
      </c>
      <c r="MHS292" s="18">
        <v>0</v>
      </c>
      <c r="MHT292" s="18">
        <v>0</v>
      </c>
      <c r="MHU292" s="18">
        <v>0</v>
      </c>
      <c r="MHV292" s="18">
        <v>0</v>
      </c>
      <c r="MHW292" s="18">
        <v>0</v>
      </c>
      <c r="MHX292" s="18">
        <v>0</v>
      </c>
      <c r="MHY292" s="18">
        <v>0</v>
      </c>
      <c r="MHZ292" s="18">
        <v>0</v>
      </c>
      <c r="MIA292" s="18">
        <v>0</v>
      </c>
      <c r="MIB292" s="18">
        <v>0</v>
      </c>
      <c r="MIC292" s="18">
        <v>0</v>
      </c>
      <c r="MID292" s="18">
        <v>0</v>
      </c>
      <c r="MIE292" s="18">
        <v>0</v>
      </c>
      <c r="MIF292" s="18">
        <v>0</v>
      </c>
      <c r="MIG292" s="18">
        <v>0</v>
      </c>
      <c r="MIH292" s="18">
        <v>0</v>
      </c>
      <c r="MII292" s="18">
        <v>0</v>
      </c>
      <c r="MIJ292" s="18">
        <v>0</v>
      </c>
      <c r="MIK292" s="18">
        <v>0</v>
      </c>
      <c r="MIL292" s="18">
        <v>0</v>
      </c>
      <c r="MIM292" s="18">
        <v>0</v>
      </c>
      <c r="MIN292" s="18">
        <v>0</v>
      </c>
      <c r="MIO292" s="18">
        <v>0</v>
      </c>
      <c r="MIP292" s="18">
        <v>0</v>
      </c>
      <c r="MIQ292" s="18">
        <v>0</v>
      </c>
      <c r="MIR292" s="18">
        <v>0</v>
      </c>
      <c r="MIS292" s="18">
        <v>0</v>
      </c>
      <c r="MIT292" s="18">
        <v>0</v>
      </c>
      <c r="MIU292" s="18">
        <v>0</v>
      </c>
      <c r="MIV292" s="18">
        <v>0</v>
      </c>
      <c r="MIW292" s="18">
        <v>0</v>
      </c>
      <c r="MIX292" s="18">
        <v>0</v>
      </c>
      <c r="MIY292" s="18">
        <v>0</v>
      </c>
      <c r="MIZ292" s="18">
        <v>0</v>
      </c>
      <c r="MJA292" s="18">
        <v>0</v>
      </c>
      <c r="MJB292" s="18">
        <v>0</v>
      </c>
      <c r="MJC292" s="18">
        <v>0</v>
      </c>
      <c r="MJD292" s="18">
        <v>0</v>
      </c>
      <c r="MJE292" s="18">
        <v>0</v>
      </c>
      <c r="MJF292" s="18">
        <v>0</v>
      </c>
      <c r="MJG292" s="18">
        <v>0</v>
      </c>
      <c r="MJH292" s="18">
        <v>0</v>
      </c>
      <c r="MJI292" s="18">
        <v>0</v>
      </c>
      <c r="MJJ292" s="18">
        <v>0</v>
      </c>
      <c r="MJK292" s="18">
        <v>0</v>
      </c>
      <c r="MJL292" s="18">
        <v>0</v>
      </c>
      <c r="MJM292" s="18">
        <v>0</v>
      </c>
      <c r="MJN292" s="18">
        <v>0</v>
      </c>
      <c r="MJO292" s="18">
        <v>0</v>
      </c>
      <c r="MJP292" s="18">
        <v>0</v>
      </c>
      <c r="MJQ292" s="18">
        <v>0</v>
      </c>
      <c r="MJR292" s="18">
        <v>0</v>
      </c>
      <c r="MJS292" s="18">
        <v>0</v>
      </c>
      <c r="MJT292" s="18">
        <v>0</v>
      </c>
      <c r="MJU292" s="18">
        <v>0</v>
      </c>
      <c r="MJV292" s="18">
        <v>0</v>
      </c>
      <c r="MJW292" s="18">
        <v>0</v>
      </c>
      <c r="MJX292" s="18">
        <v>0</v>
      </c>
      <c r="MJY292" s="18">
        <v>0</v>
      </c>
      <c r="MJZ292" s="18">
        <v>0</v>
      </c>
      <c r="MKA292" s="18">
        <v>0</v>
      </c>
      <c r="MKB292" s="18">
        <v>0</v>
      </c>
      <c r="MKC292" s="18">
        <v>0</v>
      </c>
      <c r="MKD292" s="18">
        <v>0</v>
      </c>
      <c r="MKE292" s="18">
        <v>0</v>
      </c>
      <c r="MKF292" s="18">
        <v>0</v>
      </c>
      <c r="MKG292" s="18">
        <v>0</v>
      </c>
      <c r="MKH292" s="18">
        <v>0</v>
      </c>
      <c r="MKI292" s="18">
        <v>0</v>
      </c>
      <c r="MKJ292" s="18">
        <v>0</v>
      </c>
      <c r="MKK292" s="18">
        <v>0</v>
      </c>
      <c r="MKL292" s="18">
        <v>0</v>
      </c>
      <c r="MKM292" s="18">
        <v>0</v>
      </c>
      <c r="MKN292" s="18">
        <v>0</v>
      </c>
      <c r="MKO292" s="18">
        <v>0</v>
      </c>
      <c r="MKP292" s="18">
        <v>0</v>
      </c>
      <c r="MKQ292" s="18">
        <v>0</v>
      </c>
      <c r="MKR292" s="18">
        <v>0</v>
      </c>
      <c r="MKS292" s="18">
        <v>0</v>
      </c>
      <c r="MKT292" s="18">
        <v>0</v>
      </c>
      <c r="MKU292" s="18">
        <v>0</v>
      </c>
      <c r="MKV292" s="18">
        <v>0</v>
      </c>
      <c r="MKW292" s="18">
        <v>0</v>
      </c>
      <c r="MKX292" s="18">
        <v>0</v>
      </c>
      <c r="MKY292" s="18">
        <v>0</v>
      </c>
      <c r="MKZ292" s="18">
        <v>0</v>
      </c>
      <c r="MLA292" s="18">
        <v>0</v>
      </c>
      <c r="MLB292" s="18">
        <v>0</v>
      </c>
      <c r="MLC292" s="18">
        <v>0</v>
      </c>
      <c r="MLD292" s="18">
        <v>0</v>
      </c>
      <c r="MLE292" s="18">
        <v>0</v>
      </c>
      <c r="MLF292" s="18">
        <v>0</v>
      </c>
      <c r="MLG292" s="18">
        <v>0</v>
      </c>
      <c r="MLH292" s="18">
        <v>0</v>
      </c>
      <c r="MLI292" s="18">
        <v>0</v>
      </c>
      <c r="MLJ292" s="18">
        <v>0</v>
      </c>
      <c r="MLK292" s="18">
        <v>0</v>
      </c>
      <c r="MLL292" s="18">
        <v>0</v>
      </c>
      <c r="MLM292" s="18">
        <v>0</v>
      </c>
      <c r="MLN292" s="18">
        <v>0</v>
      </c>
      <c r="MLO292" s="18">
        <v>0</v>
      </c>
      <c r="MLP292" s="18">
        <v>0</v>
      </c>
      <c r="MLQ292" s="18">
        <v>0</v>
      </c>
      <c r="MLR292" s="18">
        <v>0</v>
      </c>
      <c r="MLS292" s="18">
        <v>0</v>
      </c>
      <c r="MLT292" s="18">
        <v>0</v>
      </c>
      <c r="MLU292" s="18">
        <v>0</v>
      </c>
      <c r="MLV292" s="18">
        <v>0</v>
      </c>
      <c r="MLW292" s="18">
        <v>0</v>
      </c>
      <c r="MLX292" s="18">
        <v>0</v>
      </c>
      <c r="MLY292" s="18">
        <v>0</v>
      </c>
      <c r="MLZ292" s="18">
        <v>0</v>
      </c>
      <c r="MMA292" s="18">
        <v>0</v>
      </c>
      <c r="MMB292" s="18">
        <v>0</v>
      </c>
      <c r="MMC292" s="18">
        <v>0</v>
      </c>
      <c r="MMD292" s="18">
        <v>0</v>
      </c>
      <c r="MME292" s="18">
        <v>0</v>
      </c>
      <c r="MMF292" s="18">
        <v>0</v>
      </c>
      <c r="MMG292" s="18">
        <v>0</v>
      </c>
      <c r="MMH292" s="18">
        <v>0</v>
      </c>
      <c r="MMI292" s="18">
        <v>0</v>
      </c>
      <c r="MMJ292" s="18">
        <v>0</v>
      </c>
      <c r="MMK292" s="18">
        <v>0</v>
      </c>
      <c r="MML292" s="18">
        <v>0</v>
      </c>
      <c r="MMM292" s="18">
        <v>0</v>
      </c>
      <c r="MMN292" s="18">
        <v>0</v>
      </c>
      <c r="MMO292" s="18">
        <v>0</v>
      </c>
      <c r="MMP292" s="18">
        <v>0</v>
      </c>
      <c r="MMQ292" s="18">
        <v>0</v>
      </c>
      <c r="MMR292" s="18">
        <v>0</v>
      </c>
      <c r="MMS292" s="18">
        <v>0</v>
      </c>
      <c r="MMT292" s="18">
        <v>0</v>
      </c>
      <c r="MMU292" s="18">
        <v>0</v>
      </c>
      <c r="MMV292" s="18">
        <v>0</v>
      </c>
      <c r="MMW292" s="18">
        <v>0</v>
      </c>
      <c r="MMX292" s="18">
        <v>0</v>
      </c>
      <c r="MMY292" s="18">
        <v>0</v>
      </c>
      <c r="MMZ292" s="18">
        <v>0</v>
      </c>
      <c r="MNA292" s="18">
        <v>0</v>
      </c>
      <c r="MNB292" s="18">
        <v>0</v>
      </c>
      <c r="MNC292" s="18">
        <v>0</v>
      </c>
      <c r="MND292" s="18">
        <v>0</v>
      </c>
      <c r="MNE292" s="18">
        <v>0</v>
      </c>
      <c r="MNF292" s="18">
        <v>0</v>
      </c>
      <c r="MNG292" s="18">
        <v>0</v>
      </c>
      <c r="MNH292" s="18">
        <v>0</v>
      </c>
      <c r="MNI292" s="18">
        <v>0</v>
      </c>
      <c r="MNJ292" s="18">
        <v>0</v>
      </c>
      <c r="MNK292" s="18">
        <v>0</v>
      </c>
      <c r="MNL292" s="18">
        <v>0</v>
      </c>
      <c r="MNM292" s="18">
        <v>0</v>
      </c>
      <c r="MNN292" s="18">
        <v>0</v>
      </c>
      <c r="MNO292" s="18">
        <v>0</v>
      </c>
      <c r="MNP292" s="18">
        <v>0</v>
      </c>
      <c r="MNQ292" s="18">
        <v>0</v>
      </c>
      <c r="MNR292" s="18">
        <v>0</v>
      </c>
      <c r="MNS292" s="18">
        <v>0</v>
      </c>
      <c r="MNT292" s="18">
        <v>0</v>
      </c>
      <c r="MNU292" s="18">
        <v>0</v>
      </c>
      <c r="MNV292" s="18">
        <v>0</v>
      </c>
      <c r="MNW292" s="18">
        <v>0</v>
      </c>
      <c r="MNX292" s="18">
        <v>0</v>
      </c>
      <c r="MNY292" s="18">
        <v>0</v>
      </c>
      <c r="MNZ292" s="18">
        <v>0</v>
      </c>
      <c r="MOA292" s="18">
        <v>0</v>
      </c>
      <c r="MOB292" s="18">
        <v>0</v>
      </c>
      <c r="MOC292" s="18">
        <v>0</v>
      </c>
      <c r="MOD292" s="18">
        <v>0</v>
      </c>
      <c r="MOE292" s="18">
        <v>0</v>
      </c>
      <c r="MOF292" s="18">
        <v>0</v>
      </c>
      <c r="MOG292" s="18">
        <v>0</v>
      </c>
      <c r="MOH292" s="18">
        <v>0</v>
      </c>
      <c r="MOI292" s="18">
        <v>0</v>
      </c>
      <c r="MOJ292" s="18">
        <v>0</v>
      </c>
      <c r="MOK292" s="18">
        <v>0</v>
      </c>
      <c r="MOL292" s="18">
        <v>0</v>
      </c>
      <c r="MOM292" s="18">
        <v>0</v>
      </c>
      <c r="MON292" s="18">
        <v>0</v>
      </c>
      <c r="MOO292" s="18">
        <v>0</v>
      </c>
      <c r="MOP292" s="18">
        <v>0</v>
      </c>
      <c r="MOQ292" s="18">
        <v>0</v>
      </c>
      <c r="MOR292" s="18">
        <v>0</v>
      </c>
      <c r="MOS292" s="18">
        <v>0</v>
      </c>
      <c r="MOT292" s="18">
        <v>0</v>
      </c>
      <c r="MOU292" s="18">
        <v>0</v>
      </c>
      <c r="MOV292" s="18">
        <v>0</v>
      </c>
      <c r="MOW292" s="18">
        <v>0</v>
      </c>
      <c r="MOX292" s="18">
        <v>0</v>
      </c>
      <c r="MOY292" s="18">
        <v>0</v>
      </c>
      <c r="MOZ292" s="18">
        <v>0</v>
      </c>
      <c r="MPA292" s="18">
        <v>0</v>
      </c>
      <c r="MPB292" s="18">
        <v>0</v>
      </c>
      <c r="MPC292" s="18">
        <v>0</v>
      </c>
      <c r="MPD292" s="18">
        <v>0</v>
      </c>
      <c r="MPE292" s="18">
        <v>0</v>
      </c>
      <c r="MPF292" s="18">
        <v>0</v>
      </c>
      <c r="MPG292" s="18">
        <v>0</v>
      </c>
      <c r="MPH292" s="18">
        <v>0</v>
      </c>
      <c r="MPI292" s="18">
        <v>0</v>
      </c>
      <c r="MPJ292" s="18">
        <v>0</v>
      </c>
      <c r="MPK292" s="18">
        <v>0</v>
      </c>
      <c r="MPL292" s="18">
        <v>0</v>
      </c>
      <c r="MPM292" s="18">
        <v>0</v>
      </c>
      <c r="MPN292" s="18">
        <v>0</v>
      </c>
      <c r="MPO292" s="18">
        <v>0</v>
      </c>
      <c r="MPP292" s="18">
        <v>0</v>
      </c>
      <c r="MPQ292" s="18">
        <v>0</v>
      </c>
      <c r="MPR292" s="18">
        <v>0</v>
      </c>
      <c r="MPS292" s="18">
        <v>0</v>
      </c>
      <c r="MPT292" s="18">
        <v>0</v>
      </c>
      <c r="MPU292" s="18">
        <v>0</v>
      </c>
      <c r="MPV292" s="18">
        <v>0</v>
      </c>
      <c r="MPW292" s="18">
        <v>0</v>
      </c>
      <c r="MPX292" s="18">
        <v>0</v>
      </c>
      <c r="MPY292" s="18">
        <v>0</v>
      </c>
      <c r="MPZ292" s="18">
        <v>0</v>
      </c>
      <c r="MQA292" s="18">
        <v>0</v>
      </c>
      <c r="MQB292" s="18">
        <v>0</v>
      </c>
      <c r="MQC292" s="18">
        <v>0</v>
      </c>
      <c r="MQD292" s="18">
        <v>0</v>
      </c>
      <c r="MQE292" s="18">
        <v>0</v>
      </c>
      <c r="MQF292" s="18">
        <v>0</v>
      </c>
      <c r="MQG292" s="18">
        <v>0</v>
      </c>
      <c r="MQH292" s="18">
        <v>0</v>
      </c>
      <c r="MQI292" s="18">
        <v>0</v>
      </c>
      <c r="MQJ292" s="18">
        <v>0</v>
      </c>
      <c r="MQK292" s="18">
        <v>0</v>
      </c>
      <c r="MQL292" s="18">
        <v>0</v>
      </c>
      <c r="MQM292" s="18">
        <v>0</v>
      </c>
      <c r="MQN292" s="18">
        <v>0</v>
      </c>
      <c r="MQO292" s="18">
        <v>0</v>
      </c>
      <c r="MQP292" s="18">
        <v>0</v>
      </c>
      <c r="MQQ292" s="18">
        <v>0</v>
      </c>
      <c r="MQR292" s="18">
        <v>0</v>
      </c>
      <c r="MQS292" s="18">
        <v>0</v>
      </c>
      <c r="MQT292" s="18">
        <v>0</v>
      </c>
      <c r="MQU292" s="18">
        <v>0</v>
      </c>
      <c r="MQV292" s="18">
        <v>0</v>
      </c>
      <c r="MQW292" s="18">
        <v>0</v>
      </c>
      <c r="MQX292" s="18">
        <v>0</v>
      </c>
      <c r="MQY292" s="18">
        <v>0</v>
      </c>
      <c r="MQZ292" s="18">
        <v>0</v>
      </c>
      <c r="MRA292" s="18">
        <v>0</v>
      </c>
      <c r="MRB292" s="18">
        <v>0</v>
      </c>
      <c r="MRC292" s="18">
        <v>0</v>
      </c>
      <c r="MRD292" s="18">
        <v>0</v>
      </c>
      <c r="MRE292" s="18">
        <v>0</v>
      </c>
      <c r="MRF292" s="18">
        <v>0</v>
      </c>
      <c r="MRG292" s="18">
        <v>0</v>
      </c>
      <c r="MRH292" s="18">
        <v>0</v>
      </c>
      <c r="MRI292" s="18">
        <v>0</v>
      </c>
      <c r="MRJ292" s="18">
        <v>0</v>
      </c>
      <c r="MRK292" s="18">
        <v>0</v>
      </c>
      <c r="MRL292" s="18">
        <v>0</v>
      </c>
      <c r="MRM292" s="18">
        <v>0</v>
      </c>
      <c r="MRN292" s="18">
        <v>0</v>
      </c>
      <c r="MRO292" s="18">
        <v>0</v>
      </c>
      <c r="MRP292" s="18">
        <v>0</v>
      </c>
      <c r="MRQ292" s="18">
        <v>0</v>
      </c>
      <c r="MRR292" s="18">
        <v>0</v>
      </c>
      <c r="MRS292" s="18">
        <v>0</v>
      </c>
      <c r="MRT292" s="18">
        <v>0</v>
      </c>
      <c r="MRU292" s="18">
        <v>0</v>
      </c>
      <c r="MRV292" s="18">
        <v>0</v>
      </c>
      <c r="MRW292" s="18">
        <v>0</v>
      </c>
      <c r="MRX292" s="18">
        <v>0</v>
      </c>
      <c r="MRY292" s="18">
        <v>0</v>
      </c>
      <c r="MRZ292" s="18">
        <v>0</v>
      </c>
      <c r="MSA292" s="18">
        <v>0</v>
      </c>
      <c r="MSB292" s="18">
        <v>0</v>
      </c>
      <c r="MSC292" s="18">
        <v>0</v>
      </c>
      <c r="MSD292" s="18">
        <v>0</v>
      </c>
      <c r="MSE292" s="18">
        <v>0</v>
      </c>
      <c r="MSF292" s="18">
        <v>0</v>
      </c>
      <c r="MSG292" s="18">
        <v>0</v>
      </c>
      <c r="MSH292" s="18">
        <v>0</v>
      </c>
      <c r="MSI292" s="18">
        <v>0</v>
      </c>
      <c r="MSJ292" s="18">
        <v>0</v>
      </c>
      <c r="MSK292" s="18">
        <v>0</v>
      </c>
      <c r="MSL292" s="18">
        <v>0</v>
      </c>
      <c r="MSM292" s="18">
        <v>0</v>
      </c>
      <c r="MSN292" s="18">
        <v>0</v>
      </c>
      <c r="MSO292" s="18">
        <v>0</v>
      </c>
      <c r="MSP292" s="18">
        <v>0</v>
      </c>
      <c r="MSQ292" s="18">
        <v>0</v>
      </c>
      <c r="MSR292" s="18">
        <v>0</v>
      </c>
      <c r="MSS292" s="18">
        <v>0</v>
      </c>
      <c r="MST292" s="18">
        <v>0</v>
      </c>
      <c r="MSU292" s="18">
        <v>0</v>
      </c>
      <c r="MSV292" s="18">
        <v>0</v>
      </c>
      <c r="MSW292" s="18">
        <v>0</v>
      </c>
      <c r="MSX292" s="18">
        <v>0</v>
      </c>
      <c r="MSY292" s="18">
        <v>0</v>
      </c>
      <c r="MSZ292" s="18">
        <v>0</v>
      </c>
      <c r="MTA292" s="18">
        <v>0</v>
      </c>
      <c r="MTB292" s="18">
        <v>0</v>
      </c>
      <c r="MTC292" s="18">
        <v>0</v>
      </c>
      <c r="MTD292" s="18">
        <v>0</v>
      </c>
      <c r="MTE292" s="18">
        <v>0</v>
      </c>
      <c r="MTF292" s="18">
        <v>0</v>
      </c>
      <c r="MTG292" s="18">
        <v>0</v>
      </c>
      <c r="MTH292" s="18">
        <v>0</v>
      </c>
      <c r="MTI292" s="18">
        <v>0</v>
      </c>
      <c r="MTJ292" s="18">
        <v>0</v>
      </c>
      <c r="MTK292" s="18">
        <v>0</v>
      </c>
      <c r="MTL292" s="18">
        <v>0</v>
      </c>
      <c r="MTM292" s="18">
        <v>0</v>
      </c>
      <c r="MTN292" s="18">
        <v>0</v>
      </c>
      <c r="MTO292" s="18">
        <v>0</v>
      </c>
      <c r="MTP292" s="18">
        <v>0</v>
      </c>
      <c r="MTQ292" s="18">
        <v>0</v>
      </c>
      <c r="MTR292" s="18">
        <v>0</v>
      </c>
      <c r="MTS292" s="18">
        <v>0</v>
      </c>
      <c r="MTT292" s="18">
        <v>0</v>
      </c>
      <c r="MTU292" s="18">
        <v>0</v>
      </c>
      <c r="MTV292" s="18">
        <v>0</v>
      </c>
      <c r="MTW292" s="18">
        <v>0</v>
      </c>
      <c r="MTX292" s="18">
        <v>0</v>
      </c>
      <c r="MTY292" s="18">
        <v>0</v>
      </c>
      <c r="MTZ292" s="18">
        <v>0</v>
      </c>
      <c r="MUA292" s="18">
        <v>0</v>
      </c>
      <c r="MUB292" s="18">
        <v>0</v>
      </c>
      <c r="MUC292" s="18">
        <v>0</v>
      </c>
      <c r="MUD292" s="18">
        <v>0</v>
      </c>
      <c r="MUE292" s="18">
        <v>0</v>
      </c>
      <c r="MUF292" s="18">
        <v>0</v>
      </c>
      <c r="MUG292" s="18">
        <v>0</v>
      </c>
      <c r="MUH292" s="18">
        <v>0</v>
      </c>
      <c r="MUI292" s="18">
        <v>0</v>
      </c>
      <c r="MUJ292" s="18">
        <v>0</v>
      </c>
      <c r="MUK292" s="18">
        <v>0</v>
      </c>
      <c r="MUL292" s="18">
        <v>0</v>
      </c>
      <c r="MUM292" s="18">
        <v>0</v>
      </c>
      <c r="MUN292" s="18">
        <v>0</v>
      </c>
      <c r="MUO292" s="18">
        <v>0</v>
      </c>
      <c r="MUP292" s="18">
        <v>0</v>
      </c>
      <c r="MUQ292" s="18">
        <v>0</v>
      </c>
      <c r="MUR292" s="18">
        <v>0</v>
      </c>
      <c r="MUS292" s="18">
        <v>0</v>
      </c>
      <c r="MUT292" s="18">
        <v>0</v>
      </c>
      <c r="MUU292" s="18">
        <v>0</v>
      </c>
      <c r="MUV292" s="18">
        <v>0</v>
      </c>
      <c r="MUW292" s="18">
        <v>0</v>
      </c>
      <c r="MUX292" s="18">
        <v>0</v>
      </c>
      <c r="MUY292" s="18">
        <v>0</v>
      </c>
      <c r="MUZ292" s="18">
        <v>0</v>
      </c>
      <c r="MVA292" s="18">
        <v>0</v>
      </c>
      <c r="MVB292" s="18">
        <v>0</v>
      </c>
      <c r="MVC292" s="18">
        <v>0</v>
      </c>
      <c r="MVD292" s="18">
        <v>0</v>
      </c>
      <c r="MVE292" s="18">
        <v>0</v>
      </c>
      <c r="MVF292" s="18">
        <v>0</v>
      </c>
      <c r="MVG292" s="18">
        <v>0</v>
      </c>
      <c r="MVH292" s="18">
        <v>0</v>
      </c>
      <c r="MVI292" s="18">
        <v>0</v>
      </c>
      <c r="MVJ292" s="18">
        <v>0</v>
      </c>
      <c r="MVK292" s="18">
        <v>0</v>
      </c>
      <c r="MVL292" s="18">
        <v>0</v>
      </c>
      <c r="MVM292" s="18">
        <v>0</v>
      </c>
      <c r="MVN292" s="18">
        <v>0</v>
      </c>
      <c r="MVO292" s="18">
        <v>0</v>
      </c>
      <c r="MVP292" s="18">
        <v>0</v>
      </c>
      <c r="MVQ292" s="18">
        <v>0</v>
      </c>
      <c r="MVR292" s="18">
        <v>0</v>
      </c>
      <c r="MVS292" s="18">
        <v>0</v>
      </c>
      <c r="MVT292" s="18">
        <v>0</v>
      </c>
      <c r="MVU292" s="18">
        <v>0</v>
      </c>
      <c r="MVV292" s="18">
        <v>0</v>
      </c>
      <c r="MVW292" s="18">
        <v>0</v>
      </c>
      <c r="MVX292" s="18">
        <v>0</v>
      </c>
      <c r="MVY292" s="18">
        <v>0</v>
      </c>
      <c r="MVZ292" s="18">
        <v>0</v>
      </c>
      <c r="MWA292" s="18">
        <v>0</v>
      </c>
      <c r="MWB292" s="18">
        <v>0</v>
      </c>
      <c r="MWC292" s="18">
        <v>0</v>
      </c>
      <c r="MWD292" s="18">
        <v>0</v>
      </c>
      <c r="MWE292" s="18">
        <v>0</v>
      </c>
      <c r="MWF292" s="18">
        <v>0</v>
      </c>
      <c r="MWG292" s="18">
        <v>0</v>
      </c>
      <c r="MWH292" s="18">
        <v>0</v>
      </c>
      <c r="MWI292" s="18">
        <v>0</v>
      </c>
      <c r="MWJ292" s="18">
        <v>0</v>
      </c>
      <c r="MWK292" s="18">
        <v>0</v>
      </c>
      <c r="MWL292" s="18">
        <v>0</v>
      </c>
      <c r="MWM292" s="18">
        <v>0</v>
      </c>
      <c r="MWN292" s="18">
        <v>0</v>
      </c>
      <c r="MWO292" s="18">
        <v>0</v>
      </c>
      <c r="MWP292" s="18">
        <v>0</v>
      </c>
      <c r="MWQ292" s="18">
        <v>0</v>
      </c>
      <c r="MWR292" s="18">
        <v>0</v>
      </c>
      <c r="MWS292" s="18">
        <v>0</v>
      </c>
      <c r="MWT292" s="18">
        <v>0</v>
      </c>
      <c r="MWU292" s="18">
        <v>0</v>
      </c>
      <c r="MWV292" s="18">
        <v>0</v>
      </c>
      <c r="MWW292" s="18">
        <v>0</v>
      </c>
      <c r="MWX292" s="18">
        <v>0</v>
      </c>
      <c r="MWY292" s="18">
        <v>0</v>
      </c>
      <c r="MWZ292" s="18">
        <v>0</v>
      </c>
      <c r="MXA292" s="18">
        <v>0</v>
      </c>
      <c r="MXB292" s="18">
        <v>0</v>
      </c>
      <c r="MXC292" s="18">
        <v>0</v>
      </c>
      <c r="MXD292" s="18">
        <v>0</v>
      </c>
      <c r="MXE292" s="18">
        <v>0</v>
      </c>
      <c r="MXF292" s="18">
        <v>0</v>
      </c>
      <c r="MXG292" s="18">
        <v>0</v>
      </c>
      <c r="MXH292" s="18">
        <v>0</v>
      </c>
      <c r="MXI292" s="18">
        <v>0</v>
      </c>
      <c r="MXJ292" s="18">
        <v>0</v>
      </c>
      <c r="MXK292" s="18">
        <v>0</v>
      </c>
      <c r="MXL292" s="18">
        <v>0</v>
      </c>
      <c r="MXM292" s="18">
        <v>0</v>
      </c>
      <c r="MXN292" s="18">
        <v>0</v>
      </c>
      <c r="MXO292" s="18">
        <v>0</v>
      </c>
      <c r="MXP292" s="18">
        <v>0</v>
      </c>
      <c r="MXQ292" s="18">
        <v>0</v>
      </c>
      <c r="MXR292" s="18">
        <v>0</v>
      </c>
      <c r="MXS292" s="18">
        <v>0</v>
      </c>
      <c r="MXT292" s="18">
        <v>0</v>
      </c>
      <c r="MXU292" s="18">
        <v>0</v>
      </c>
      <c r="MXV292" s="18">
        <v>0</v>
      </c>
      <c r="MXW292" s="18">
        <v>0</v>
      </c>
      <c r="MXX292" s="18">
        <v>0</v>
      </c>
      <c r="MXY292" s="18">
        <v>0</v>
      </c>
      <c r="MXZ292" s="18">
        <v>0</v>
      </c>
      <c r="MYA292" s="18">
        <v>0</v>
      </c>
      <c r="MYB292" s="18">
        <v>0</v>
      </c>
      <c r="MYC292" s="18">
        <v>0</v>
      </c>
      <c r="MYD292" s="18">
        <v>0</v>
      </c>
      <c r="MYE292" s="18">
        <v>0</v>
      </c>
      <c r="MYF292" s="18">
        <v>0</v>
      </c>
      <c r="MYG292" s="18">
        <v>0</v>
      </c>
      <c r="MYH292" s="18">
        <v>0</v>
      </c>
      <c r="MYI292" s="18">
        <v>0</v>
      </c>
      <c r="MYJ292" s="18">
        <v>0</v>
      </c>
      <c r="MYK292" s="18">
        <v>0</v>
      </c>
      <c r="MYL292" s="18">
        <v>0</v>
      </c>
      <c r="MYM292" s="18">
        <v>0</v>
      </c>
      <c r="MYN292" s="18">
        <v>0</v>
      </c>
      <c r="MYO292" s="18">
        <v>0</v>
      </c>
      <c r="MYP292" s="18">
        <v>0</v>
      </c>
      <c r="MYQ292" s="18">
        <v>0</v>
      </c>
      <c r="MYR292" s="18">
        <v>0</v>
      </c>
      <c r="MYS292" s="18">
        <v>0</v>
      </c>
      <c r="MYT292" s="18">
        <v>0</v>
      </c>
      <c r="MYU292" s="18">
        <v>0</v>
      </c>
      <c r="MYV292" s="18">
        <v>0</v>
      </c>
      <c r="MYW292" s="18">
        <v>0</v>
      </c>
      <c r="MYX292" s="18">
        <v>0</v>
      </c>
      <c r="MYY292" s="18">
        <v>0</v>
      </c>
      <c r="MYZ292" s="18">
        <v>0</v>
      </c>
      <c r="MZA292" s="18">
        <v>0</v>
      </c>
      <c r="MZB292" s="18">
        <v>0</v>
      </c>
      <c r="MZC292" s="18">
        <v>0</v>
      </c>
      <c r="MZD292" s="18">
        <v>0</v>
      </c>
      <c r="MZE292" s="18">
        <v>0</v>
      </c>
      <c r="MZF292" s="18">
        <v>0</v>
      </c>
      <c r="MZG292" s="18">
        <v>0</v>
      </c>
      <c r="MZH292" s="18">
        <v>0</v>
      </c>
      <c r="MZI292" s="18">
        <v>0</v>
      </c>
      <c r="MZJ292" s="18">
        <v>0</v>
      </c>
      <c r="MZK292" s="18">
        <v>0</v>
      </c>
      <c r="MZL292" s="18">
        <v>0</v>
      </c>
      <c r="MZM292" s="18">
        <v>0</v>
      </c>
      <c r="MZN292" s="18">
        <v>0</v>
      </c>
      <c r="MZO292" s="18">
        <v>0</v>
      </c>
      <c r="MZP292" s="18">
        <v>0</v>
      </c>
      <c r="MZQ292" s="18">
        <v>0</v>
      </c>
      <c r="MZR292" s="18">
        <v>0</v>
      </c>
      <c r="MZS292" s="18">
        <v>0</v>
      </c>
      <c r="MZT292" s="18">
        <v>0</v>
      </c>
      <c r="MZU292" s="18">
        <v>0</v>
      </c>
      <c r="MZV292" s="18">
        <v>0</v>
      </c>
      <c r="MZW292" s="18">
        <v>0</v>
      </c>
      <c r="MZX292" s="18">
        <v>0</v>
      </c>
      <c r="MZY292" s="18">
        <v>0</v>
      </c>
      <c r="MZZ292" s="18">
        <v>0</v>
      </c>
      <c r="NAA292" s="18">
        <v>0</v>
      </c>
      <c r="NAB292" s="18">
        <v>0</v>
      </c>
      <c r="NAC292" s="18">
        <v>0</v>
      </c>
      <c r="NAD292" s="18">
        <v>0</v>
      </c>
      <c r="NAE292" s="18">
        <v>0</v>
      </c>
      <c r="NAF292" s="18">
        <v>0</v>
      </c>
      <c r="NAG292" s="18">
        <v>0</v>
      </c>
      <c r="NAH292" s="18">
        <v>0</v>
      </c>
      <c r="NAI292" s="18">
        <v>0</v>
      </c>
      <c r="NAJ292" s="18">
        <v>0</v>
      </c>
      <c r="NAK292" s="18">
        <v>0</v>
      </c>
      <c r="NAL292" s="18">
        <v>0</v>
      </c>
      <c r="NAM292" s="18">
        <v>0</v>
      </c>
      <c r="NAN292" s="18">
        <v>0</v>
      </c>
      <c r="NAO292" s="18">
        <v>0</v>
      </c>
      <c r="NAP292" s="18">
        <v>0</v>
      </c>
      <c r="NAQ292" s="18">
        <v>0</v>
      </c>
      <c r="NAR292" s="18">
        <v>0</v>
      </c>
      <c r="NAS292" s="18">
        <v>0</v>
      </c>
      <c r="NAT292" s="18">
        <v>0</v>
      </c>
      <c r="NAU292" s="18">
        <v>0</v>
      </c>
      <c r="NAV292" s="18">
        <v>0</v>
      </c>
      <c r="NAW292" s="18">
        <v>0</v>
      </c>
      <c r="NAX292" s="18">
        <v>0</v>
      </c>
      <c r="NAY292" s="18">
        <v>0</v>
      </c>
      <c r="NAZ292" s="18">
        <v>0</v>
      </c>
      <c r="NBA292" s="18">
        <v>0</v>
      </c>
      <c r="NBB292" s="18">
        <v>0</v>
      </c>
      <c r="NBC292" s="18">
        <v>0</v>
      </c>
      <c r="NBD292" s="18">
        <v>0</v>
      </c>
      <c r="NBE292" s="18">
        <v>0</v>
      </c>
      <c r="NBF292" s="18">
        <v>0</v>
      </c>
      <c r="NBG292" s="18">
        <v>0</v>
      </c>
      <c r="NBH292" s="18">
        <v>0</v>
      </c>
      <c r="NBI292" s="18">
        <v>0</v>
      </c>
      <c r="NBJ292" s="18">
        <v>0</v>
      </c>
      <c r="NBK292" s="18">
        <v>0</v>
      </c>
      <c r="NBL292" s="18">
        <v>0</v>
      </c>
      <c r="NBM292" s="18">
        <v>0</v>
      </c>
      <c r="NBN292" s="18">
        <v>0</v>
      </c>
      <c r="NBO292" s="18">
        <v>0</v>
      </c>
      <c r="NBP292" s="18">
        <v>0</v>
      </c>
      <c r="NBQ292" s="18">
        <v>0</v>
      </c>
      <c r="NBR292" s="18">
        <v>0</v>
      </c>
      <c r="NBS292" s="18">
        <v>0</v>
      </c>
      <c r="NBT292" s="18">
        <v>0</v>
      </c>
      <c r="NBU292" s="18">
        <v>0</v>
      </c>
      <c r="NBV292" s="18">
        <v>0</v>
      </c>
      <c r="NBW292" s="18">
        <v>0</v>
      </c>
      <c r="NBX292" s="18">
        <v>0</v>
      </c>
      <c r="NBY292" s="18">
        <v>0</v>
      </c>
      <c r="NBZ292" s="18">
        <v>0</v>
      </c>
      <c r="NCA292" s="18">
        <v>0</v>
      </c>
      <c r="NCB292" s="18">
        <v>0</v>
      </c>
      <c r="NCC292" s="18">
        <v>0</v>
      </c>
      <c r="NCD292" s="18">
        <v>0</v>
      </c>
      <c r="NCE292" s="18">
        <v>0</v>
      </c>
      <c r="NCF292" s="18">
        <v>0</v>
      </c>
      <c r="NCG292" s="18">
        <v>0</v>
      </c>
      <c r="NCH292" s="18">
        <v>0</v>
      </c>
      <c r="NCI292" s="18">
        <v>0</v>
      </c>
      <c r="NCJ292" s="18">
        <v>0</v>
      </c>
      <c r="NCK292" s="18">
        <v>0</v>
      </c>
      <c r="NCL292" s="18">
        <v>0</v>
      </c>
      <c r="NCM292" s="18">
        <v>0</v>
      </c>
      <c r="NCN292" s="18">
        <v>0</v>
      </c>
      <c r="NCO292" s="18">
        <v>0</v>
      </c>
      <c r="NCP292" s="18">
        <v>0</v>
      </c>
      <c r="NCQ292" s="18">
        <v>0</v>
      </c>
      <c r="NCR292" s="18">
        <v>0</v>
      </c>
      <c r="NCS292" s="18">
        <v>0</v>
      </c>
      <c r="NCT292" s="18">
        <v>0</v>
      </c>
      <c r="NCU292" s="18">
        <v>0</v>
      </c>
      <c r="NCV292" s="18">
        <v>0</v>
      </c>
      <c r="NCW292" s="18">
        <v>0</v>
      </c>
      <c r="NCX292" s="18">
        <v>0</v>
      </c>
      <c r="NCY292" s="18">
        <v>0</v>
      </c>
      <c r="NCZ292" s="18">
        <v>0</v>
      </c>
      <c r="NDA292" s="18">
        <v>0</v>
      </c>
      <c r="NDB292" s="18">
        <v>0</v>
      </c>
      <c r="NDC292" s="18">
        <v>0</v>
      </c>
      <c r="NDD292" s="18">
        <v>0</v>
      </c>
      <c r="NDE292" s="18">
        <v>0</v>
      </c>
      <c r="NDF292" s="18">
        <v>0</v>
      </c>
      <c r="NDG292" s="18">
        <v>0</v>
      </c>
      <c r="NDH292" s="18">
        <v>0</v>
      </c>
      <c r="NDI292" s="18">
        <v>0</v>
      </c>
      <c r="NDJ292" s="18">
        <v>0</v>
      </c>
      <c r="NDK292" s="18">
        <v>0</v>
      </c>
      <c r="NDL292" s="18">
        <v>0</v>
      </c>
      <c r="NDM292" s="18">
        <v>0</v>
      </c>
      <c r="NDN292" s="18">
        <v>0</v>
      </c>
      <c r="NDO292" s="18">
        <v>0</v>
      </c>
      <c r="NDP292" s="18">
        <v>0</v>
      </c>
      <c r="NDQ292" s="18">
        <v>0</v>
      </c>
      <c r="NDR292" s="18">
        <v>0</v>
      </c>
      <c r="NDS292" s="18">
        <v>0</v>
      </c>
      <c r="NDT292" s="18">
        <v>0</v>
      </c>
      <c r="NDU292" s="18">
        <v>0</v>
      </c>
      <c r="NDV292" s="18">
        <v>0</v>
      </c>
      <c r="NDW292" s="18">
        <v>0</v>
      </c>
      <c r="NDX292" s="18">
        <v>0</v>
      </c>
      <c r="NDY292" s="18">
        <v>0</v>
      </c>
      <c r="NDZ292" s="18">
        <v>0</v>
      </c>
      <c r="NEA292" s="18">
        <v>0</v>
      </c>
      <c r="NEB292" s="18">
        <v>0</v>
      </c>
      <c r="NEC292" s="18">
        <v>0</v>
      </c>
      <c r="NED292" s="18">
        <v>0</v>
      </c>
      <c r="NEE292" s="18">
        <v>0</v>
      </c>
      <c r="NEF292" s="18">
        <v>0</v>
      </c>
      <c r="NEG292" s="18">
        <v>0</v>
      </c>
      <c r="NEH292" s="18">
        <v>0</v>
      </c>
      <c r="NEI292" s="18">
        <v>0</v>
      </c>
      <c r="NEJ292" s="18">
        <v>0</v>
      </c>
      <c r="NEK292" s="18">
        <v>0</v>
      </c>
      <c r="NEL292" s="18">
        <v>0</v>
      </c>
      <c r="NEM292" s="18">
        <v>0</v>
      </c>
      <c r="NEN292" s="18">
        <v>0</v>
      </c>
      <c r="NEO292" s="18">
        <v>0</v>
      </c>
      <c r="NEP292" s="18">
        <v>0</v>
      </c>
      <c r="NEQ292" s="18">
        <v>0</v>
      </c>
      <c r="NER292" s="18">
        <v>0</v>
      </c>
      <c r="NES292" s="18">
        <v>0</v>
      </c>
      <c r="NET292" s="18">
        <v>0</v>
      </c>
      <c r="NEU292" s="18">
        <v>0</v>
      </c>
      <c r="NEV292" s="18">
        <v>0</v>
      </c>
      <c r="NEW292" s="18">
        <v>0</v>
      </c>
      <c r="NEX292" s="18">
        <v>0</v>
      </c>
      <c r="NEY292" s="18">
        <v>0</v>
      </c>
      <c r="NEZ292" s="18">
        <v>0</v>
      </c>
      <c r="NFA292" s="18">
        <v>0</v>
      </c>
      <c r="NFB292" s="18">
        <v>0</v>
      </c>
      <c r="NFC292" s="18">
        <v>0</v>
      </c>
      <c r="NFD292" s="18">
        <v>0</v>
      </c>
      <c r="NFE292" s="18">
        <v>0</v>
      </c>
      <c r="NFF292" s="18">
        <v>0</v>
      </c>
      <c r="NFG292" s="18">
        <v>0</v>
      </c>
      <c r="NFH292" s="18">
        <v>0</v>
      </c>
      <c r="NFI292" s="18">
        <v>0</v>
      </c>
      <c r="NFJ292" s="18">
        <v>0</v>
      </c>
      <c r="NFK292" s="18">
        <v>0</v>
      </c>
      <c r="NFL292" s="18">
        <v>0</v>
      </c>
      <c r="NFM292" s="18">
        <v>0</v>
      </c>
      <c r="NFN292" s="18">
        <v>0</v>
      </c>
      <c r="NFO292" s="18">
        <v>0</v>
      </c>
      <c r="NFP292" s="18">
        <v>0</v>
      </c>
      <c r="NFQ292" s="18">
        <v>0</v>
      </c>
      <c r="NFR292" s="18">
        <v>0</v>
      </c>
      <c r="NFS292" s="18">
        <v>0</v>
      </c>
      <c r="NFT292" s="18">
        <v>0</v>
      </c>
      <c r="NFU292" s="18">
        <v>0</v>
      </c>
      <c r="NFV292" s="18">
        <v>0</v>
      </c>
      <c r="NFW292" s="18">
        <v>0</v>
      </c>
      <c r="NFX292" s="18">
        <v>0</v>
      </c>
      <c r="NFY292" s="18">
        <v>0</v>
      </c>
      <c r="NFZ292" s="18">
        <v>0</v>
      </c>
      <c r="NGA292" s="18">
        <v>0</v>
      </c>
      <c r="NGB292" s="18">
        <v>0</v>
      </c>
      <c r="NGC292" s="18">
        <v>0</v>
      </c>
      <c r="NGD292" s="18">
        <v>0</v>
      </c>
      <c r="NGE292" s="18">
        <v>0</v>
      </c>
      <c r="NGF292" s="18">
        <v>0</v>
      </c>
      <c r="NGG292" s="18">
        <v>0</v>
      </c>
      <c r="NGH292" s="18">
        <v>0</v>
      </c>
      <c r="NGI292" s="18">
        <v>0</v>
      </c>
      <c r="NGJ292" s="18">
        <v>0</v>
      </c>
      <c r="NGK292" s="18">
        <v>0</v>
      </c>
      <c r="NGL292" s="18">
        <v>0</v>
      </c>
      <c r="NGM292" s="18">
        <v>0</v>
      </c>
      <c r="NGN292" s="18">
        <v>0</v>
      </c>
      <c r="NGO292" s="18">
        <v>0</v>
      </c>
      <c r="NGP292" s="18">
        <v>0</v>
      </c>
      <c r="NGQ292" s="18">
        <v>0</v>
      </c>
      <c r="NGR292" s="18">
        <v>0</v>
      </c>
      <c r="NGS292" s="18">
        <v>0</v>
      </c>
      <c r="NGT292" s="18">
        <v>0</v>
      </c>
      <c r="NGU292" s="18">
        <v>0</v>
      </c>
      <c r="NGV292" s="18">
        <v>0</v>
      </c>
      <c r="NGW292" s="18">
        <v>0</v>
      </c>
      <c r="NGX292" s="18">
        <v>0</v>
      </c>
      <c r="NGY292" s="18">
        <v>0</v>
      </c>
      <c r="NGZ292" s="18">
        <v>0</v>
      </c>
      <c r="NHA292" s="18">
        <v>0</v>
      </c>
      <c r="NHB292" s="18">
        <v>0</v>
      </c>
      <c r="NHC292" s="18">
        <v>0</v>
      </c>
      <c r="NHD292" s="18">
        <v>0</v>
      </c>
      <c r="NHE292" s="18">
        <v>0</v>
      </c>
      <c r="NHF292" s="18">
        <v>0</v>
      </c>
      <c r="NHG292" s="18">
        <v>0</v>
      </c>
      <c r="NHH292" s="18">
        <v>0</v>
      </c>
      <c r="NHI292" s="18">
        <v>0</v>
      </c>
      <c r="NHJ292" s="18">
        <v>0</v>
      </c>
      <c r="NHK292" s="18">
        <v>0</v>
      </c>
      <c r="NHL292" s="18">
        <v>0</v>
      </c>
      <c r="NHM292" s="18">
        <v>0</v>
      </c>
      <c r="NHN292" s="18">
        <v>0</v>
      </c>
      <c r="NHO292" s="18">
        <v>0</v>
      </c>
      <c r="NHP292" s="18">
        <v>0</v>
      </c>
      <c r="NHQ292" s="18">
        <v>0</v>
      </c>
      <c r="NHR292" s="18">
        <v>0</v>
      </c>
      <c r="NHS292" s="18">
        <v>0</v>
      </c>
      <c r="NHT292" s="18">
        <v>0</v>
      </c>
      <c r="NHU292" s="18">
        <v>0</v>
      </c>
      <c r="NHV292" s="18">
        <v>0</v>
      </c>
      <c r="NHW292" s="18">
        <v>0</v>
      </c>
      <c r="NHX292" s="18">
        <v>0</v>
      </c>
      <c r="NHY292" s="18">
        <v>0</v>
      </c>
      <c r="NHZ292" s="18">
        <v>0</v>
      </c>
      <c r="NIA292" s="18">
        <v>0</v>
      </c>
      <c r="NIB292" s="18">
        <v>0</v>
      </c>
      <c r="NIC292" s="18">
        <v>0</v>
      </c>
      <c r="NID292" s="18">
        <v>0</v>
      </c>
      <c r="NIE292" s="18">
        <v>0</v>
      </c>
      <c r="NIF292" s="18">
        <v>0</v>
      </c>
      <c r="NIG292" s="18">
        <v>0</v>
      </c>
      <c r="NIH292" s="18">
        <v>0</v>
      </c>
      <c r="NII292" s="18">
        <v>0</v>
      </c>
      <c r="NIJ292" s="18">
        <v>0</v>
      </c>
      <c r="NIK292" s="18">
        <v>0</v>
      </c>
      <c r="NIL292" s="18">
        <v>0</v>
      </c>
      <c r="NIM292" s="18">
        <v>0</v>
      </c>
      <c r="NIN292" s="18">
        <v>0</v>
      </c>
      <c r="NIO292" s="18">
        <v>0</v>
      </c>
      <c r="NIP292" s="18">
        <v>0</v>
      </c>
      <c r="NIQ292" s="18">
        <v>0</v>
      </c>
      <c r="NIR292" s="18">
        <v>0</v>
      </c>
      <c r="NIS292" s="18">
        <v>0</v>
      </c>
      <c r="NIT292" s="18">
        <v>0</v>
      </c>
      <c r="NIU292" s="18">
        <v>0</v>
      </c>
      <c r="NIV292" s="18">
        <v>0</v>
      </c>
      <c r="NIW292" s="18">
        <v>0</v>
      </c>
      <c r="NIX292" s="18">
        <v>0</v>
      </c>
      <c r="NIY292" s="18">
        <v>0</v>
      </c>
      <c r="NIZ292" s="18">
        <v>0</v>
      </c>
      <c r="NJA292" s="18">
        <v>0</v>
      </c>
      <c r="NJB292" s="18">
        <v>0</v>
      </c>
      <c r="NJC292" s="18">
        <v>0</v>
      </c>
      <c r="NJD292" s="18">
        <v>0</v>
      </c>
      <c r="NJE292" s="18">
        <v>0</v>
      </c>
      <c r="NJF292" s="18">
        <v>0</v>
      </c>
      <c r="NJG292" s="18">
        <v>0</v>
      </c>
      <c r="NJH292" s="18">
        <v>0</v>
      </c>
      <c r="NJI292" s="18">
        <v>0</v>
      </c>
      <c r="NJJ292" s="18">
        <v>0</v>
      </c>
      <c r="NJK292" s="18">
        <v>0</v>
      </c>
      <c r="NJL292" s="18">
        <v>0</v>
      </c>
      <c r="NJM292" s="18">
        <v>0</v>
      </c>
      <c r="NJN292" s="18">
        <v>0</v>
      </c>
      <c r="NJO292" s="18">
        <v>0</v>
      </c>
      <c r="NJP292" s="18">
        <v>0</v>
      </c>
      <c r="NJQ292" s="18">
        <v>0</v>
      </c>
      <c r="NJR292" s="18">
        <v>0</v>
      </c>
      <c r="NJS292" s="18">
        <v>0</v>
      </c>
      <c r="NJT292" s="18">
        <v>0</v>
      </c>
      <c r="NJU292" s="18">
        <v>0</v>
      </c>
      <c r="NJV292" s="18">
        <v>0</v>
      </c>
      <c r="NJW292" s="18">
        <v>0</v>
      </c>
      <c r="NJX292" s="18">
        <v>0</v>
      </c>
      <c r="NJY292" s="18">
        <v>0</v>
      </c>
      <c r="NJZ292" s="18">
        <v>0</v>
      </c>
      <c r="NKA292" s="18">
        <v>0</v>
      </c>
      <c r="NKB292" s="18">
        <v>0</v>
      </c>
      <c r="NKC292" s="18">
        <v>0</v>
      </c>
      <c r="NKD292" s="18">
        <v>0</v>
      </c>
      <c r="NKE292" s="18">
        <v>0</v>
      </c>
      <c r="NKF292" s="18">
        <v>0</v>
      </c>
      <c r="NKG292" s="18">
        <v>0</v>
      </c>
      <c r="NKH292" s="18">
        <v>0</v>
      </c>
      <c r="NKI292" s="18">
        <v>0</v>
      </c>
      <c r="NKJ292" s="18">
        <v>0</v>
      </c>
      <c r="NKK292" s="18">
        <v>0</v>
      </c>
      <c r="NKL292" s="18">
        <v>0</v>
      </c>
      <c r="NKM292" s="18">
        <v>0</v>
      </c>
      <c r="NKN292" s="18">
        <v>0</v>
      </c>
      <c r="NKO292" s="18">
        <v>0</v>
      </c>
      <c r="NKP292" s="18">
        <v>0</v>
      </c>
      <c r="NKQ292" s="18">
        <v>0</v>
      </c>
      <c r="NKR292" s="18">
        <v>0</v>
      </c>
      <c r="NKS292" s="18">
        <v>0</v>
      </c>
      <c r="NKT292" s="18">
        <v>0</v>
      </c>
      <c r="NKU292" s="18">
        <v>0</v>
      </c>
      <c r="NKV292" s="18">
        <v>0</v>
      </c>
      <c r="NKW292" s="18">
        <v>0</v>
      </c>
      <c r="NKX292" s="18">
        <v>0</v>
      </c>
      <c r="NKY292" s="18">
        <v>0</v>
      </c>
      <c r="NKZ292" s="18">
        <v>0</v>
      </c>
      <c r="NLA292" s="18">
        <v>0</v>
      </c>
      <c r="NLB292" s="18">
        <v>0</v>
      </c>
      <c r="NLC292" s="18">
        <v>0</v>
      </c>
      <c r="NLD292" s="18">
        <v>0</v>
      </c>
      <c r="NLE292" s="18">
        <v>0</v>
      </c>
      <c r="NLF292" s="18">
        <v>0</v>
      </c>
      <c r="NLG292" s="18">
        <v>0</v>
      </c>
      <c r="NLH292" s="18">
        <v>0</v>
      </c>
      <c r="NLI292" s="18">
        <v>0</v>
      </c>
      <c r="NLJ292" s="18">
        <v>0</v>
      </c>
      <c r="NLK292" s="18">
        <v>0</v>
      </c>
      <c r="NLL292" s="18">
        <v>0</v>
      </c>
      <c r="NLM292" s="18">
        <v>0</v>
      </c>
      <c r="NLN292" s="18">
        <v>0</v>
      </c>
      <c r="NLO292" s="18">
        <v>0</v>
      </c>
      <c r="NLP292" s="18">
        <v>0</v>
      </c>
      <c r="NLQ292" s="18">
        <v>0</v>
      </c>
      <c r="NLR292" s="18">
        <v>0</v>
      </c>
      <c r="NLS292" s="18">
        <v>0</v>
      </c>
      <c r="NLT292" s="18">
        <v>0</v>
      </c>
      <c r="NLU292" s="18">
        <v>0</v>
      </c>
      <c r="NLV292" s="18">
        <v>0</v>
      </c>
      <c r="NLW292" s="18">
        <v>0</v>
      </c>
      <c r="NLX292" s="18">
        <v>0</v>
      </c>
      <c r="NLY292" s="18">
        <v>0</v>
      </c>
      <c r="NLZ292" s="18">
        <v>0</v>
      </c>
      <c r="NMA292" s="18">
        <v>0</v>
      </c>
      <c r="NMB292" s="18">
        <v>0</v>
      </c>
      <c r="NMC292" s="18">
        <v>0</v>
      </c>
      <c r="NMD292" s="18">
        <v>0</v>
      </c>
      <c r="NME292" s="18">
        <v>0</v>
      </c>
      <c r="NMF292" s="18">
        <v>0</v>
      </c>
      <c r="NMG292" s="18">
        <v>0</v>
      </c>
      <c r="NMH292" s="18">
        <v>0</v>
      </c>
      <c r="NMI292" s="18">
        <v>0</v>
      </c>
      <c r="NMJ292" s="18">
        <v>0</v>
      </c>
      <c r="NMK292" s="18">
        <v>0</v>
      </c>
      <c r="NML292" s="18">
        <v>0</v>
      </c>
      <c r="NMM292" s="18">
        <v>0</v>
      </c>
      <c r="NMN292" s="18">
        <v>0</v>
      </c>
      <c r="NMO292" s="18">
        <v>0</v>
      </c>
      <c r="NMP292" s="18">
        <v>0</v>
      </c>
      <c r="NMQ292" s="18">
        <v>0</v>
      </c>
      <c r="NMR292" s="18">
        <v>0</v>
      </c>
      <c r="NMS292" s="18">
        <v>0</v>
      </c>
      <c r="NMT292" s="18">
        <v>0</v>
      </c>
      <c r="NMU292" s="18">
        <v>0</v>
      </c>
      <c r="NMV292" s="18">
        <v>0</v>
      </c>
      <c r="NMW292" s="18">
        <v>0</v>
      </c>
      <c r="NMX292" s="18">
        <v>0</v>
      </c>
      <c r="NMY292" s="18">
        <v>0</v>
      </c>
      <c r="NMZ292" s="18">
        <v>0</v>
      </c>
      <c r="NNA292" s="18">
        <v>0</v>
      </c>
      <c r="NNB292" s="18">
        <v>0</v>
      </c>
      <c r="NNC292" s="18">
        <v>0</v>
      </c>
      <c r="NND292" s="18">
        <v>0</v>
      </c>
      <c r="NNE292" s="18">
        <v>0</v>
      </c>
      <c r="NNF292" s="18">
        <v>0</v>
      </c>
      <c r="NNG292" s="18">
        <v>0</v>
      </c>
      <c r="NNH292" s="18">
        <v>0</v>
      </c>
      <c r="NNI292" s="18">
        <v>0</v>
      </c>
      <c r="NNJ292" s="18">
        <v>0</v>
      </c>
      <c r="NNK292" s="18">
        <v>0</v>
      </c>
      <c r="NNL292" s="18">
        <v>0</v>
      </c>
      <c r="NNM292" s="18">
        <v>0</v>
      </c>
      <c r="NNN292" s="18">
        <v>0</v>
      </c>
      <c r="NNO292" s="18">
        <v>0</v>
      </c>
      <c r="NNP292" s="18">
        <v>0</v>
      </c>
      <c r="NNQ292" s="18">
        <v>0</v>
      </c>
      <c r="NNR292" s="18">
        <v>0</v>
      </c>
      <c r="NNS292" s="18">
        <v>0</v>
      </c>
      <c r="NNT292" s="18">
        <v>0</v>
      </c>
      <c r="NNU292" s="18">
        <v>0</v>
      </c>
      <c r="NNV292" s="18">
        <v>0</v>
      </c>
      <c r="NNW292" s="18">
        <v>0</v>
      </c>
      <c r="NNX292" s="18">
        <v>0</v>
      </c>
      <c r="NNY292" s="18">
        <v>0</v>
      </c>
      <c r="NNZ292" s="18">
        <v>0</v>
      </c>
      <c r="NOA292" s="18">
        <v>0</v>
      </c>
      <c r="NOB292" s="18">
        <v>0</v>
      </c>
      <c r="NOC292" s="18">
        <v>0</v>
      </c>
      <c r="NOD292" s="18">
        <v>0</v>
      </c>
      <c r="NOE292" s="18">
        <v>0</v>
      </c>
      <c r="NOF292" s="18">
        <v>0</v>
      </c>
      <c r="NOG292" s="18">
        <v>0</v>
      </c>
      <c r="NOH292" s="18">
        <v>0</v>
      </c>
      <c r="NOI292" s="18">
        <v>0</v>
      </c>
      <c r="NOJ292" s="18">
        <v>0</v>
      </c>
      <c r="NOK292" s="18">
        <v>0</v>
      </c>
      <c r="NOL292" s="18">
        <v>0</v>
      </c>
      <c r="NOM292" s="18">
        <v>0</v>
      </c>
      <c r="NON292" s="18">
        <v>0</v>
      </c>
      <c r="NOO292" s="18">
        <v>0</v>
      </c>
      <c r="NOP292" s="18">
        <v>0</v>
      </c>
      <c r="NOQ292" s="18">
        <v>0</v>
      </c>
      <c r="NOR292" s="18">
        <v>0</v>
      </c>
      <c r="NOS292" s="18">
        <v>0</v>
      </c>
      <c r="NOT292" s="18">
        <v>0</v>
      </c>
      <c r="NOU292" s="18">
        <v>0</v>
      </c>
      <c r="NOV292" s="18">
        <v>0</v>
      </c>
      <c r="NOW292" s="18">
        <v>0</v>
      </c>
      <c r="NOX292" s="18">
        <v>0</v>
      </c>
      <c r="NOY292" s="18">
        <v>0</v>
      </c>
      <c r="NOZ292" s="18">
        <v>0</v>
      </c>
      <c r="NPA292" s="18">
        <v>0</v>
      </c>
      <c r="NPB292" s="18">
        <v>0</v>
      </c>
      <c r="NPC292" s="18">
        <v>0</v>
      </c>
      <c r="NPD292" s="18">
        <v>0</v>
      </c>
      <c r="NPE292" s="18">
        <v>0</v>
      </c>
      <c r="NPF292" s="18">
        <v>0</v>
      </c>
      <c r="NPG292" s="18">
        <v>0</v>
      </c>
      <c r="NPH292" s="18">
        <v>0</v>
      </c>
      <c r="NPI292" s="18">
        <v>0</v>
      </c>
      <c r="NPJ292" s="18">
        <v>0</v>
      </c>
      <c r="NPK292" s="18">
        <v>0</v>
      </c>
      <c r="NPL292" s="18">
        <v>0</v>
      </c>
      <c r="NPM292" s="18">
        <v>0</v>
      </c>
      <c r="NPN292" s="18">
        <v>0</v>
      </c>
      <c r="NPO292" s="18">
        <v>0</v>
      </c>
      <c r="NPP292" s="18">
        <v>0</v>
      </c>
      <c r="NPQ292" s="18">
        <v>0</v>
      </c>
      <c r="NPR292" s="18">
        <v>0</v>
      </c>
      <c r="NPS292" s="18">
        <v>0</v>
      </c>
      <c r="NPT292" s="18">
        <v>0</v>
      </c>
      <c r="NPU292" s="18">
        <v>0</v>
      </c>
      <c r="NPV292" s="18">
        <v>0</v>
      </c>
      <c r="NPW292" s="18">
        <v>0</v>
      </c>
      <c r="NPX292" s="18">
        <v>0</v>
      </c>
      <c r="NPY292" s="18">
        <v>0</v>
      </c>
      <c r="NPZ292" s="18">
        <v>0</v>
      </c>
      <c r="NQA292" s="18">
        <v>0</v>
      </c>
      <c r="NQB292" s="18">
        <v>0</v>
      </c>
      <c r="NQC292" s="18">
        <v>0</v>
      </c>
      <c r="NQD292" s="18">
        <v>0</v>
      </c>
      <c r="NQE292" s="18">
        <v>0</v>
      </c>
      <c r="NQF292" s="18">
        <v>0</v>
      </c>
      <c r="NQG292" s="18">
        <v>0</v>
      </c>
      <c r="NQH292" s="18">
        <v>0</v>
      </c>
      <c r="NQI292" s="18">
        <v>0</v>
      </c>
      <c r="NQJ292" s="18">
        <v>0</v>
      </c>
      <c r="NQK292" s="18">
        <v>0</v>
      </c>
      <c r="NQL292" s="18">
        <v>0</v>
      </c>
      <c r="NQM292" s="18">
        <v>0</v>
      </c>
      <c r="NQN292" s="18">
        <v>0</v>
      </c>
      <c r="NQO292" s="18">
        <v>0</v>
      </c>
      <c r="NQP292" s="18">
        <v>0</v>
      </c>
      <c r="NQQ292" s="18">
        <v>0</v>
      </c>
      <c r="NQR292" s="18">
        <v>0</v>
      </c>
      <c r="NQS292" s="18">
        <v>0</v>
      </c>
      <c r="NQT292" s="18">
        <v>0</v>
      </c>
      <c r="NQU292" s="18">
        <v>0</v>
      </c>
      <c r="NQV292" s="18">
        <v>0</v>
      </c>
      <c r="NQW292" s="18">
        <v>0</v>
      </c>
      <c r="NQX292" s="18">
        <v>0</v>
      </c>
      <c r="NQY292" s="18">
        <v>0</v>
      </c>
      <c r="NQZ292" s="18">
        <v>0</v>
      </c>
      <c r="NRA292" s="18">
        <v>0</v>
      </c>
      <c r="NRB292" s="18">
        <v>0</v>
      </c>
      <c r="NRC292" s="18">
        <v>0</v>
      </c>
      <c r="NRD292" s="18">
        <v>0</v>
      </c>
      <c r="NRE292" s="18">
        <v>0</v>
      </c>
      <c r="NRF292" s="18">
        <v>0</v>
      </c>
      <c r="NRG292" s="18">
        <v>0</v>
      </c>
      <c r="NRH292" s="18">
        <v>0</v>
      </c>
      <c r="NRI292" s="18">
        <v>0</v>
      </c>
      <c r="NRJ292" s="18">
        <v>0</v>
      </c>
      <c r="NRK292" s="18">
        <v>0</v>
      </c>
      <c r="NRL292" s="18">
        <v>0</v>
      </c>
      <c r="NRM292" s="18">
        <v>0</v>
      </c>
      <c r="NRN292" s="18">
        <v>0</v>
      </c>
      <c r="NRO292" s="18">
        <v>0</v>
      </c>
      <c r="NRP292" s="18">
        <v>0</v>
      </c>
      <c r="NRQ292" s="18">
        <v>0</v>
      </c>
      <c r="NRR292" s="18">
        <v>0</v>
      </c>
      <c r="NRS292" s="18">
        <v>0</v>
      </c>
      <c r="NRT292" s="18">
        <v>0</v>
      </c>
      <c r="NRU292" s="18">
        <v>0</v>
      </c>
      <c r="NRV292" s="18">
        <v>0</v>
      </c>
      <c r="NRW292" s="18">
        <v>0</v>
      </c>
      <c r="NRX292" s="18">
        <v>0</v>
      </c>
      <c r="NRY292" s="18">
        <v>0</v>
      </c>
      <c r="NRZ292" s="18">
        <v>0</v>
      </c>
      <c r="NSA292" s="18">
        <v>0</v>
      </c>
      <c r="NSB292" s="18">
        <v>0</v>
      </c>
      <c r="NSC292" s="18">
        <v>0</v>
      </c>
      <c r="NSD292" s="18">
        <v>0</v>
      </c>
      <c r="NSE292" s="18">
        <v>0</v>
      </c>
      <c r="NSF292" s="18">
        <v>0</v>
      </c>
      <c r="NSG292" s="18">
        <v>0</v>
      </c>
      <c r="NSH292" s="18">
        <v>0</v>
      </c>
      <c r="NSI292" s="18">
        <v>0</v>
      </c>
      <c r="NSJ292" s="18">
        <v>0</v>
      </c>
      <c r="NSK292" s="18">
        <v>0</v>
      </c>
      <c r="NSL292" s="18">
        <v>0</v>
      </c>
      <c r="NSM292" s="18">
        <v>0</v>
      </c>
      <c r="NSN292" s="18">
        <v>0</v>
      </c>
      <c r="NSO292" s="18">
        <v>0</v>
      </c>
      <c r="NSP292" s="18">
        <v>0</v>
      </c>
      <c r="NSQ292" s="18">
        <v>0</v>
      </c>
      <c r="NSR292" s="18">
        <v>0</v>
      </c>
      <c r="NSS292" s="18">
        <v>0</v>
      </c>
      <c r="NST292" s="18">
        <v>0</v>
      </c>
      <c r="NSU292" s="18">
        <v>0</v>
      </c>
      <c r="NSV292" s="18">
        <v>0</v>
      </c>
      <c r="NSW292" s="18">
        <v>0</v>
      </c>
      <c r="NSX292" s="18">
        <v>0</v>
      </c>
      <c r="NSY292" s="18">
        <v>0</v>
      </c>
      <c r="NSZ292" s="18">
        <v>0</v>
      </c>
      <c r="NTA292" s="18">
        <v>0</v>
      </c>
      <c r="NTB292" s="18">
        <v>0</v>
      </c>
      <c r="NTC292" s="18">
        <v>0</v>
      </c>
      <c r="NTD292" s="18">
        <v>0</v>
      </c>
      <c r="NTE292" s="18">
        <v>0</v>
      </c>
      <c r="NTF292" s="18">
        <v>0</v>
      </c>
      <c r="NTG292" s="18">
        <v>0</v>
      </c>
      <c r="NTH292" s="18">
        <v>0</v>
      </c>
      <c r="NTI292" s="18">
        <v>0</v>
      </c>
      <c r="NTJ292" s="18">
        <v>0</v>
      </c>
      <c r="NTK292" s="18">
        <v>0</v>
      </c>
      <c r="NTL292" s="18">
        <v>0</v>
      </c>
      <c r="NTM292" s="18">
        <v>0</v>
      </c>
      <c r="NTN292" s="18">
        <v>0</v>
      </c>
      <c r="NTO292" s="18">
        <v>0</v>
      </c>
      <c r="NTP292" s="18">
        <v>0</v>
      </c>
      <c r="NTQ292" s="18">
        <v>0</v>
      </c>
      <c r="NTR292" s="18">
        <v>0</v>
      </c>
      <c r="NTS292" s="18">
        <v>0</v>
      </c>
      <c r="NTT292" s="18">
        <v>0</v>
      </c>
      <c r="NTU292" s="18">
        <v>0</v>
      </c>
      <c r="NTV292" s="18">
        <v>0</v>
      </c>
      <c r="NTW292" s="18">
        <v>0</v>
      </c>
      <c r="NTX292" s="18">
        <v>0</v>
      </c>
      <c r="NTY292" s="18">
        <v>0</v>
      </c>
      <c r="NTZ292" s="18">
        <v>0</v>
      </c>
      <c r="NUA292" s="18">
        <v>0</v>
      </c>
      <c r="NUB292" s="18">
        <v>0</v>
      </c>
      <c r="NUC292" s="18">
        <v>0</v>
      </c>
      <c r="NUD292" s="18">
        <v>0</v>
      </c>
      <c r="NUE292" s="18">
        <v>0</v>
      </c>
      <c r="NUF292" s="18">
        <v>0</v>
      </c>
      <c r="NUG292" s="18">
        <v>0</v>
      </c>
      <c r="NUH292" s="18">
        <v>0</v>
      </c>
      <c r="NUI292" s="18">
        <v>0</v>
      </c>
      <c r="NUJ292" s="18">
        <v>0</v>
      </c>
      <c r="NUK292" s="18">
        <v>0</v>
      </c>
      <c r="NUL292" s="18">
        <v>0</v>
      </c>
      <c r="NUM292" s="18">
        <v>0</v>
      </c>
      <c r="NUN292" s="18">
        <v>0</v>
      </c>
      <c r="NUO292" s="18">
        <v>0</v>
      </c>
      <c r="NUP292" s="18">
        <v>0</v>
      </c>
      <c r="NUQ292" s="18">
        <v>0</v>
      </c>
      <c r="NUR292" s="18">
        <v>0</v>
      </c>
      <c r="NUS292" s="18">
        <v>0</v>
      </c>
      <c r="NUT292" s="18">
        <v>0</v>
      </c>
      <c r="NUU292" s="18">
        <v>0</v>
      </c>
      <c r="NUV292" s="18">
        <v>0</v>
      </c>
      <c r="NUW292" s="18">
        <v>0</v>
      </c>
      <c r="NUX292" s="18">
        <v>0</v>
      </c>
      <c r="NUY292" s="18">
        <v>0</v>
      </c>
      <c r="NUZ292" s="18">
        <v>0</v>
      </c>
      <c r="NVA292" s="18">
        <v>0</v>
      </c>
      <c r="NVB292" s="18">
        <v>0</v>
      </c>
      <c r="NVC292" s="18">
        <v>0</v>
      </c>
      <c r="NVD292" s="18">
        <v>0</v>
      </c>
      <c r="NVE292" s="18">
        <v>0</v>
      </c>
      <c r="NVF292" s="18">
        <v>0</v>
      </c>
      <c r="NVG292" s="18">
        <v>0</v>
      </c>
      <c r="NVH292" s="18">
        <v>0</v>
      </c>
      <c r="NVI292" s="18">
        <v>0</v>
      </c>
      <c r="NVJ292" s="18">
        <v>0</v>
      </c>
      <c r="NVK292" s="18">
        <v>0</v>
      </c>
      <c r="NVL292" s="18">
        <v>0</v>
      </c>
      <c r="NVM292" s="18">
        <v>0</v>
      </c>
      <c r="NVN292" s="18">
        <v>0</v>
      </c>
      <c r="NVO292" s="18">
        <v>0</v>
      </c>
      <c r="NVP292" s="18">
        <v>0</v>
      </c>
      <c r="NVQ292" s="18">
        <v>0</v>
      </c>
      <c r="NVR292" s="18">
        <v>0</v>
      </c>
      <c r="NVS292" s="18">
        <v>0</v>
      </c>
      <c r="NVT292" s="18">
        <v>0</v>
      </c>
      <c r="NVU292" s="18">
        <v>0</v>
      </c>
      <c r="NVV292" s="18">
        <v>0</v>
      </c>
      <c r="NVW292" s="18">
        <v>0</v>
      </c>
      <c r="NVX292" s="18">
        <v>0</v>
      </c>
      <c r="NVY292" s="18">
        <v>0</v>
      </c>
      <c r="NVZ292" s="18">
        <v>0</v>
      </c>
      <c r="NWA292" s="18">
        <v>0</v>
      </c>
      <c r="NWB292" s="18">
        <v>0</v>
      </c>
      <c r="NWC292" s="18">
        <v>0</v>
      </c>
      <c r="NWD292" s="18">
        <v>0</v>
      </c>
      <c r="NWE292" s="18">
        <v>0</v>
      </c>
      <c r="NWF292" s="18">
        <v>0</v>
      </c>
      <c r="NWG292" s="18">
        <v>0</v>
      </c>
      <c r="NWH292" s="18">
        <v>0</v>
      </c>
      <c r="NWI292" s="18">
        <v>0</v>
      </c>
      <c r="NWJ292" s="18">
        <v>0</v>
      </c>
      <c r="NWK292" s="18">
        <v>0</v>
      </c>
      <c r="NWL292" s="18">
        <v>0</v>
      </c>
      <c r="NWM292" s="18">
        <v>0</v>
      </c>
      <c r="NWN292" s="18">
        <v>0</v>
      </c>
      <c r="NWO292" s="18">
        <v>0</v>
      </c>
      <c r="NWP292" s="18">
        <v>0</v>
      </c>
      <c r="NWQ292" s="18">
        <v>0</v>
      </c>
      <c r="NWR292" s="18">
        <v>0</v>
      </c>
      <c r="NWS292" s="18">
        <v>0</v>
      </c>
      <c r="NWT292" s="18">
        <v>0</v>
      </c>
      <c r="NWU292" s="18">
        <v>0</v>
      </c>
      <c r="NWV292" s="18">
        <v>0</v>
      </c>
      <c r="NWW292" s="18">
        <v>0</v>
      </c>
      <c r="NWX292" s="18">
        <v>0</v>
      </c>
      <c r="NWY292" s="18">
        <v>0</v>
      </c>
      <c r="NWZ292" s="18">
        <v>0</v>
      </c>
      <c r="NXA292" s="18">
        <v>0</v>
      </c>
      <c r="NXB292" s="18">
        <v>0</v>
      </c>
      <c r="NXC292" s="18">
        <v>0</v>
      </c>
      <c r="NXD292" s="18">
        <v>0</v>
      </c>
      <c r="NXE292" s="18">
        <v>0</v>
      </c>
      <c r="NXF292" s="18">
        <v>0</v>
      </c>
      <c r="NXG292" s="18">
        <v>0</v>
      </c>
      <c r="NXH292" s="18">
        <v>0</v>
      </c>
      <c r="NXI292" s="18">
        <v>0</v>
      </c>
      <c r="NXJ292" s="18">
        <v>0</v>
      </c>
      <c r="NXK292" s="18">
        <v>0</v>
      </c>
      <c r="NXL292" s="18">
        <v>0</v>
      </c>
      <c r="NXM292" s="18">
        <v>0</v>
      </c>
      <c r="NXN292" s="18">
        <v>0</v>
      </c>
      <c r="NXO292" s="18">
        <v>0</v>
      </c>
      <c r="NXP292" s="18">
        <v>0</v>
      </c>
      <c r="NXQ292" s="18">
        <v>0</v>
      </c>
      <c r="NXR292" s="18">
        <v>0</v>
      </c>
      <c r="NXS292" s="18">
        <v>0</v>
      </c>
      <c r="NXT292" s="18">
        <v>0</v>
      </c>
      <c r="NXU292" s="18">
        <v>0</v>
      </c>
      <c r="NXV292" s="18">
        <v>0</v>
      </c>
      <c r="NXW292" s="18">
        <v>0</v>
      </c>
      <c r="NXX292" s="18">
        <v>0</v>
      </c>
      <c r="NXY292" s="18">
        <v>0</v>
      </c>
      <c r="NXZ292" s="18">
        <v>0</v>
      </c>
      <c r="NYA292" s="18">
        <v>0</v>
      </c>
      <c r="NYB292" s="18">
        <v>0</v>
      </c>
      <c r="NYC292" s="18">
        <v>0</v>
      </c>
      <c r="NYD292" s="18">
        <v>0</v>
      </c>
      <c r="NYE292" s="18">
        <v>0</v>
      </c>
      <c r="NYF292" s="18">
        <v>0</v>
      </c>
      <c r="NYG292" s="18">
        <v>0</v>
      </c>
      <c r="NYH292" s="18">
        <v>0</v>
      </c>
      <c r="NYI292" s="18">
        <v>0</v>
      </c>
      <c r="NYJ292" s="18">
        <v>0</v>
      </c>
      <c r="NYK292" s="18">
        <v>0</v>
      </c>
      <c r="NYL292" s="18">
        <v>0</v>
      </c>
      <c r="NYM292" s="18">
        <v>0</v>
      </c>
      <c r="NYN292" s="18">
        <v>0</v>
      </c>
      <c r="NYO292" s="18">
        <v>0</v>
      </c>
      <c r="NYP292" s="18">
        <v>0</v>
      </c>
      <c r="NYQ292" s="18">
        <v>0</v>
      </c>
      <c r="NYR292" s="18">
        <v>0</v>
      </c>
      <c r="NYS292" s="18">
        <v>0</v>
      </c>
      <c r="NYT292" s="18">
        <v>0</v>
      </c>
      <c r="NYU292" s="18">
        <v>0</v>
      </c>
      <c r="NYV292" s="18">
        <v>0</v>
      </c>
      <c r="NYW292" s="18">
        <v>0</v>
      </c>
      <c r="NYX292" s="18">
        <v>0</v>
      </c>
      <c r="NYY292" s="18">
        <v>0</v>
      </c>
      <c r="NYZ292" s="18">
        <v>0</v>
      </c>
      <c r="NZA292" s="18">
        <v>0</v>
      </c>
      <c r="NZB292" s="18">
        <v>0</v>
      </c>
      <c r="NZC292" s="18">
        <v>0</v>
      </c>
      <c r="NZD292" s="18">
        <v>0</v>
      </c>
      <c r="NZE292" s="18">
        <v>0</v>
      </c>
      <c r="NZF292" s="18">
        <v>0</v>
      </c>
      <c r="NZG292" s="18">
        <v>0</v>
      </c>
      <c r="NZH292" s="18">
        <v>0</v>
      </c>
      <c r="NZI292" s="18">
        <v>0</v>
      </c>
      <c r="NZJ292" s="18">
        <v>0</v>
      </c>
      <c r="NZK292" s="18">
        <v>0</v>
      </c>
      <c r="NZL292" s="18">
        <v>0</v>
      </c>
      <c r="NZM292" s="18">
        <v>0</v>
      </c>
      <c r="NZN292" s="18">
        <v>0</v>
      </c>
      <c r="NZO292" s="18">
        <v>0</v>
      </c>
      <c r="NZP292" s="18">
        <v>0</v>
      </c>
      <c r="NZQ292" s="18">
        <v>0</v>
      </c>
      <c r="NZR292" s="18">
        <v>0</v>
      </c>
      <c r="NZS292" s="18">
        <v>0</v>
      </c>
      <c r="NZT292" s="18">
        <v>0</v>
      </c>
      <c r="NZU292" s="18">
        <v>0</v>
      </c>
      <c r="NZV292" s="18">
        <v>0</v>
      </c>
      <c r="NZW292" s="18">
        <v>0</v>
      </c>
      <c r="NZX292" s="18">
        <v>0</v>
      </c>
      <c r="NZY292" s="18">
        <v>0</v>
      </c>
      <c r="NZZ292" s="18">
        <v>0</v>
      </c>
      <c r="OAA292" s="18">
        <v>0</v>
      </c>
      <c r="OAB292" s="18">
        <v>0</v>
      </c>
      <c r="OAC292" s="18">
        <v>0</v>
      </c>
      <c r="OAD292" s="18">
        <v>0</v>
      </c>
      <c r="OAE292" s="18">
        <v>0</v>
      </c>
      <c r="OAF292" s="18">
        <v>0</v>
      </c>
      <c r="OAG292" s="18">
        <v>0</v>
      </c>
      <c r="OAH292" s="18">
        <v>0</v>
      </c>
      <c r="OAI292" s="18">
        <v>0</v>
      </c>
      <c r="OAJ292" s="18">
        <v>0</v>
      </c>
      <c r="OAK292" s="18">
        <v>0</v>
      </c>
      <c r="OAL292" s="18">
        <v>0</v>
      </c>
      <c r="OAM292" s="18">
        <v>0</v>
      </c>
      <c r="OAN292" s="18">
        <v>0</v>
      </c>
      <c r="OAO292" s="18">
        <v>0</v>
      </c>
      <c r="OAP292" s="18">
        <v>0</v>
      </c>
      <c r="OAQ292" s="18">
        <v>0</v>
      </c>
      <c r="OAR292" s="18">
        <v>0</v>
      </c>
      <c r="OAS292" s="18">
        <v>0</v>
      </c>
      <c r="OAT292" s="18">
        <v>0</v>
      </c>
      <c r="OAU292" s="18">
        <v>0</v>
      </c>
      <c r="OAV292" s="18">
        <v>0</v>
      </c>
      <c r="OAW292" s="18">
        <v>0</v>
      </c>
      <c r="OAX292" s="18">
        <v>0</v>
      </c>
      <c r="OAY292" s="18">
        <v>0</v>
      </c>
      <c r="OAZ292" s="18">
        <v>0</v>
      </c>
      <c r="OBA292" s="18">
        <v>0</v>
      </c>
      <c r="OBB292" s="18">
        <v>0</v>
      </c>
      <c r="OBC292" s="18">
        <v>0</v>
      </c>
      <c r="OBD292" s="18">
        <v>0</v>
      </c>
      <c r="OBE292" s="18">
        <v>0</v>
      </c>
      <c r="OBF292" s="18">
        <v>0</v>
      </c>
      <c r="OBG292" s="18">
        <v>0</v>
      </c>
      <c r="OBH292" s="18">
        <v>0</v>
      </c>
      <c r="OBI292" s="18">
        <v>0</v>
      </c>
      <c r="OBJ292" s="18">
        <v>0</v>
      </c>
      <c r="OBK292" s="18">
        <v>0</v>
      </c>
      <c r="OBL292" s="18">
        <v>0</v>
      </c>
      <c r="OBM292" s="18">
        <v>0</v>
      </c>
      <c r="OBN292" s="18">
        <v>0</v>
      </c>
      <c r="OBO292" s="18">
        <v>0</v>
      </c>
      <c r="OBP292" s="18">
        <v>0</v>
      </c>
      <c r="OBQ292" s="18">
        <v>0</v>
      </c>
      <c r="OBR292" s="18">
        <v>0</v>
      </c>
      <c r="OBS292" s="18">
        <v>0</v>
      </c>
      <c r="OBT292" s="18">
        <v>0</v>
      </c>
      <c r="OBU292" s="18">
        <v>0</v>
      </c>
      <c r="OBV292" s="18">
        <v>0</v>
      </c>
      <c r="OBW292" s="18">
        <v>0</v>
      </c>
      <c r="OBX292" s="18">
        <v>0</v>
      </c>
      <c r="OBY292" s="18">
        <v>0</v>
      </c>
      <c r="OBZ292" s="18">
        <v>0</v>
      </c>
      <c r="OCA292" s="18">
        <v>0</v>
      </c>
      <c r="OCB292" s="18">
        <v>0</v>
      </c>
      <c r="OCC292" s="18">
        <v>0</v>
      </c>
      <c r="OCD292" s="18">
        <v>0</v>
      </c>
      <c r="OCE292" s="18">
        <v>0</v>
      </c>
      <c r="OCF292" s="18">
        <v>0</v>
      </c>
      <c r="OCG292" s="18">
        <v>0</v>
      </c>
      <c r="OCH292" s="18">
        <v>0</v>
      </c>
      <c r="OCI292" s="18">
        <v>0</v>
      </c>
      <c r="OCJ292" s="18">
        <v>0</v>
      </c>
      <c r="OCK292" s="18">
        <v>0</v>
      </c>
      <c r="OCL292" s="18">
        <v>0</v>
      </c>
      <c r="OCM292" s="18">
        <v>0</v>
      </c>
      <c r="OCN292" s="18">
        <v>0</v>
      </c>
      <c r="OCO292" s="18">
        <v>0</v>
      </c>
      <c r="OCP292" s="18">
        <v>0</v>
      </c>
      <c r="OCQ292" s="18">
        <v>0</v>
      </c>
      <c r="OCR292" s="18">
        <v>0</v>
      </c>
      <c r="OCS292" s="18">
        <v>0</v>
      </c>
      <c r="OCT292" s="18">
        <v>0</v>
      </c>
      <c r="OCU292" s="18">
        <v>0</v>
      </c>
      <c r="OCV292" s="18">
        <v>0</v>
      </c>
      <c r="OCW292" s="18">
        <v>0</v>
      </c>
      <c r="OCX292" s="18">
        <v>0</v>
      </c>
      <c r="OCY292" s="18">
        <v>0</v>
      </c>
      <c r="OCZ292" s="18">
        <v>0</v>
      </c>
      <c r="ODA292" s="18">
        <v>0</v>
      </c>
      <c r="ODB292" s="18">
        <v>0</v>
      </c>
      <c r="ODC292" s="18">
        <v>0</v>
      </c>
      <c r="ODD292" s="18">
        <v>0</v>
      </c>
      <c r="ODE292" s="18">
        <v>0</v>
      </c>
      <c r="ODF292" s="18">
        <v>0</v>
      </c>
      <c r="ODG292" s="18">
        <v>0</v>
      </c>
      <c r="ODH292" s="18">
        <v>0</v>
      </c>
      <c r="ODI292" s="18">
        <v>0</v>
      </c>
      <c r="ODJ292" s="18">
        <v>0</v>
      </c>
      <c r="ODK292" s="18">
        <v>0</v>
      </c>
      <c r="ODL292" s="18">
        <v>0</v>
      </c>
      <c r="ODM292" s="18">
        <v>0</v>
      </c>
      <c r="ODN292" s="18">
        <v>0</v>
      </c>
      <c r="ODO292" s="18">
        <v>0</v>
      </c>
      <c r="ODP292" s="18">
        <v>0</v>
      </c>
      <c r="ODQ292" s="18">
        <v>0</v>
      </c>
      <c r="ODR292" s="18">
        <v>0</v>
      </c>
      <c r="ODS292" s="18">
        <v>0</v>
      </c>
      <c r="ODT292" s="18">
        <v>0</v>
      </c>
      <c r="ODU292" s="18">
        <v>0</v>
      </c>
      <c r="ODV292" s="18">
        <v>0</v>
      </c>
      <c r="ODW292" s="18">
        <v>0</v>
      </c>
      <c r="ODX292" s="18">
        <v>0</v>
      </c>
      <c r="ODY292" s="18">
        <v>0</v>
      </c>
      <c r="ODZ292" s="18">
        <v>0</v>
      </c>
      <c r="OEA292" s="18">
        <v>0</v>
      </c>
      <c r="OEB292" s="18">
        <v>0</v>
      </c>
      <c r="OEC292" s="18">
        <v>0</v>
      </c>
      <c r="OED292" s="18">
        <v>0</v>
      </c>
      <c r="OEE292" s="18">
        <v>0</v>
      </c>
      <c r="OEF292" s="18">
        <v>0</v>
      </c>
      <c r="OEG292" s="18">
        <v>0</v>
      </c>
      <c r="OEH292" s="18">
        <v>0</v>
      </c>
      <c r="OEI292" s="18">
        <v>0</v>
      </c>
      <c r="OEJ292" s="18">
        <v>0</v>
      </c>
      <c r="OEK292" s="18">
        <v>0</v>
      </c>
      <c r="OEL292" s="18">
        <v>0</v>
      </c>
      <c r="OEM292" s="18">
        <v>0</v>
      </c>
      <c r="OEN292" s="18">
        <v>0</v>
      </c>
      <c r="OEO292" s="18">
        <v>0</v>
      </c>
      <c r="OEP292" s="18">
        <v>0</v>
      </c>
      <c r="OEQ292" s="18">
        <v>0</v>
      </c>
      <c r="OER292" s="18">
        <v>0</v>
      </c>
      <c r="OES292" s="18">
        <v>0</v>
      </c>
      <c r="OET292" s="18">
        <v>0</v>
      </c>
      <c r="OEU292" s="18">
        <v>0</v>
      </c>
      <c r="OEV292" s="18">
        <v>0</v>
      </c>
      <c r="OEW292" s="18">
        <v>0</v>
      </c>
      <c r="OEX292" s="18">
        <v>0</v>
      </c>
      <c r="OEY292" s="18">
        <v>0</v>
      </c>
      <c r="OEZ292" s="18">
        <v>0</v>
      </c>
      <c r="OFA292" s="18">
        <v>0</v>
      </c>
      <c r="OFB292" s="18">
        <v>0</v>
      </c>
      <c r="OFC292" s="18">
        <v>0</v>
      </c>
      <c r="OFD292" s="18">
        <v>0</v>
      </c>
      <c r="OFE292" s="18">
        <v>0</v>
      </c>
      <c r="OFF292" s="18">
        <v>0</v>
      </c>
      <c r="OFG292" s="18">
        <v>0</v>
      </c>
      <c r="OFH292" s="18">
        <v>0</v>
      </c>
      <c r="OFI292" s="18">
        <v>0</v>
      </c>
      <c r="OFJ292" s="18">
        <v>0</v>
      </c>
      <c r="OFK292" s="18">
        <v>0</v>
      </c>
      <c r="OFL292" s="18">
        <v>0</v>
      </c>
      <c r="OFM292" s="18">
        <v>0</v>
      </c>
      <c r="OFN292" s="18">
        <v>0</v>
      </c>
      <c r="OFO292" s="18">
        <v>0</v>
      </c>
      <c r="OFP292" s="18">
        <v>0</v>
      </c>
      <c r="OFQ292" s="18">
        <v>0</v>
      </c>
      <c r="OFR292" s="18">
        <v>0</v>
      </c>
      <c r="OFS292" s="18">
        <v>0</v>
      </c>
      <c r="OFT292" s="18">
        <v>0</v>
      </c>
      <c r="OFU292" s="18">
        <v>0</v>
      </c>
      <c r="OFV292" s="18">
        <v>0</v>
      </c>
      <c r="OFW292" s="18">
        <v>0</v>
      </c>
      <c r="OFX292" s="18">
        <v>0</v>
      </c>
      <c r="OFY292" s="18">
        <v>0</v>
      </c>
      <c r="OFZ292" s="18">
        <v>0</v>
      </c>
      <c r="OGA292" s="18">
        <v>0</v>
      </c>
      <c r="OGB292" s="18">
        <v>0</v>
      </c>
      <c r="OGC292" s="18">
        <v>0</v>
      </c>
      <c r="OGD292" s="18">
        <v>0</v>
      </c>
      <c r="OGE292" s="18">
        <v>0</v>
      </c>
      <c r="OGF292" s="18">
        <v>0</v>
      </c>
      <c r="OGG292" s="18">
        <v>0</v>
      </c>
      <c r="OGH292" s="18">
        <v>0</v>
      </c>
      <c r="OGI292" s="18">
        <v>0</v>
      </c>
      <c r="OGJ292" s="18">
        <v>0</v>
      </c>
      <c r="OGK292" s="18">
        <v>0</v>
      </c>
      <c r="OGL292" s="18">
        <v>0</v>
      </c>
      <c r="OGM292" s="18">
        <v>0</v>
      </c>
      <c r="OGN292" s="18">
        <v>0</v>
      </c>
      <c r="OGO292" s="18">
        <v>0</v>
      </c>
      <c r="OGP292" s="18">
        <v>0</v>
      </c>
      <c r="OGQ292" s="18">
        <v>0</v>
      </c>
      <c r="OGR292" s="18">
        <v>0</v>
      </c>
      <c r="OGS292" s="18">
        <v>0</v>
      </c>
      <c r="OGT292" s="18">
        <v>0</v>
      </c>
      <c r="OGU292" s="18">
        <v>0</v>
      </c>
      <c r="OGV292" s="18">
        <v>0</v>
      </c>
      <c r="OGW292" s="18">
        <v>0</v>
      </c>
      <c r="OGX292" s="18">
        <v>0</v>
      </c>
      <c r="OGY292" s="18">
        <v>0</v>
      </c>
      <c r="OGZ292" s="18">
        <v>0</v>
      </c>
      <c r="OHA292" s="18">
        <v>0</v>
      </c>
      <c r="OHB292" s="18">
        <v>0</v>
      </c>
      <c r="OHC292" s="18">
        <v>0</v>
      </c>
      <c r="OHD292" s="18">
        <v>0</v>
      </c>
      <c r="OHE292" s="18">
        <v>0</v>
      </c>
      <c r="OHF292" s="18">
        <v>0</v>
      </c>
      <c r="OHG292" s="18">
        <v>0</v>
      </c>
      <c r="OHH292" s="18">
        <v>0</v>
      </c>
      <c r="OHI292" s="18">
        <v>0</v>
      </c>
      <c r="OHJ292" s="18">
        <v>0</v>
      </c>
      <c r="OHK292" s="18">
        <v>0</v>
      </c>
      <c r="OHL292" s="18">
        <v>0</v>
      </c>
      <c r="OHM292" s="18">
        <v>0</v>
      </c>
      <c r="OHN292" s="18">
        <v>0</v>
      </c>
      <c r="OHO292" s="18">
        <v>0</v>
      </c>
      <c r="OHP292" s="18">
        <v>0</v>
      </c>
      <c r="OHQ292" s="18">
        <v>0</v>
      </c>
      <c r="OHR292" s="18">
        <v>0</v>
      </c>
      <c r="OHS292" s="18">
        <v>0</v>
      </c>
      <c r="OHT292" s="18">
        <v>0</v>
      </c>
      <c r="OHU292" s="18">
        <v>0</v>
      </c>
      <c r="OHV292" s="18">
        <v>0</v>
      </c>
      <c r="OHW292" s="18">
        <v>0</v>
      </c>
      <c r="OHX292" s="18">
        <v>0</v>
      </c>
      <c r="OHY292" s="18">
        <v>0</v>
      </c>
      <c r="OHZ292" s="18">
        <v>0</v>
      </c>
      <c r="OIA292" s="18">
        <v>0</v>
      </c>
      <c r="OIB292" s="18">
        <v>0</v>
      </c>
      <c r="OIC292" s="18">
        <v>0</v>
      </c>
      <c r="OID292" s="18">
        <v>0</v>
      </c>
      <c r="OIE292" s="18">
        <v>0</v>
      </c>
      <c r="OIF292" s="18">
        <v>0</v>
      </c>
      <c r="OIG292" s="18">
        <v>0</v>
      </c>
      <c r="OIH292" s="18">
        <v>0</v>
      </c>
      <c r="OII292" s="18">
        <v>0</v>
      </c>
      <c r="OIJ292" s="18">
        <v>0</v>
      </c>
      <c r="OIK292" s="18">
        <v>0</v>
      </c>
      <c r="OIL292" s="18">
        <v>0</v>
      </c>
      <c r="OIM292" s="18">
        <v>0</v>
      </c>
      <c r="OIN292" s="18">
        <v>0</v>
      </c>
      <c r="OIO292" s="18">
        <v>0</v>
      </c>
      <c r="OIP292" s="18">
        <v>0</v>
      </c>
      <c r="OIQ292" s="18">
        <v>0</v>
      </c>
      <c r="OIR292" s="18">
        <v>0</v>
      </c>
      <c r="OIS292" s="18">
        <v>0</v>
      </c>
      <c r="OIT292" s="18">
        <v>0</v>
      </c>
      <c r="OIU292" s="18">
        <v>0</v>
      </c>
      <c r="OIV292" s="18">
        <v>0</v>
      </c>
      <c r="OIW292" s="18">
        <v>0</v>
      </c>
      <c r="OIX292" s="18">
        <v>0</v>
      </c>
      <c r="OIY292" s="18">
        <v>0</v>
      </c>
      <c r="OIZ292" s="18">
        <v>0</v>
      </c>
      <c r="OJA292" s="18">
        <v>0</v>
      </c>
      <c r="OJB292" s="18">
        <v>0</v>
      </c>
      <c r="OJC292" s="18">
        <v>0</v>
      </c>
      <c r="OJD292" s="18">
        <v>0</v>
      </c>
      <c r="OJE292" s="18">
        <v>0</v>
      </c>
      <c r="OJF292" s="18">
        <v>0</v>
      </c>
      <c r="OJG292" s="18">
        <v>0</v>
      </c>
      <c r="OJH292" s="18">
        <v>0</v>
      </c>
      <c r="OJI292" s="18">
        <v>0</v>
      </c>
      <c r="OJJ292" s="18">
        <v>0</v>
      </c>
      <c r="OJK292" s="18">
        <v>0</v>
      </c>
      <c r="OJL292" s="18">
        <v>0</v>
      </c>
      <c r="OJM292" s="18">
        <v>0</v>
      </c>
      <c r="OJN292" s="18">
        <v>0</v>
      </c>
      <c r="OJO292" s="18">
        <v>0</v>
      </c>
      <c r="OJP292" s="18">
        <v>0</v>
      </c>
      <c r="OJQ292" s="18">
        <v>0</v>
      </c>
      <c r="OJR292" s="18">
        <v>0</v>
      </c>
      <c r="OJS292" s="18">
        <v>0</v>
      </c>
      <c r="OJT292" s="18">
        <v>0</v>
      </c>
      <c r="OJU292" s="18">
        <v>0</v>
      </c>
      <c r="OJV292" s="18">
        <v>0</v>
      </c>
      <c r="OJW292" s="18">
        <v>0</v>
      </c>
      <c r="OJX292" s="18">
        <v>0</v>
      </c>
      <c r="OJY292" s="18">
        <v>0</v>
      </c>
      <c r="OJZ292" s="18">
        <v>0</v>
      </c>
      <c r="OKA292" s="18">
        <v>0</v>
      </c>
      <c r="OKB292" s="18">
        <v>0</v>
      </c>
      <c r="OKC292" s="18">
        <v>0</v>
      </c>
      <c r="OKD292" s="18">
        <v>0</v>
      </c>
      <c r="OKE292" s="18">
        <v>0</v>
      </c>
      <c r="OKF292" s="18">
        <v>0</v>
      </c>
      <c r="OKG292" s="18">
        <v>0</v>
      </c>
      <c r="OKH292" s="18">
        <v>0</v>
      </c>
      <c r="OKI292" s="18">
        <v>0</v>
      </c>
      <c r="OKJ292" s="18">
        <v>0</v>
      </c>
      <c r="OKK292" s="18">
        <v>0</v>
      </c>
      <c r="OKL292" s="18">
        <v>0</v>
      </c>
      <c r="OKM292" s="18">
        <v>0</v>
      </c>
      <c r="OKN292" s="18">
        <v>0</v>
      </c>
      <c r="OKO292" s="18">
        <v>0</v>
      </c>
      <c r="OKP292" s="18">
        <v>0</v>
      </c>
      <c r="OKQ292" s="18">
        <v>0</v>
      </c>
      <c r="OKR292" s="18">
        <v>0</v>
      </c>
      <c r="OKS292" s="18">
        <v>0</v>
      </c>
      <c r="OKT292" s="18">
        <v>0</v>
      </c>
      <c r="OKU292" s="18">
        <v>0</v>
      </c>
      <c r="OKV292" s="18">
        <v>0</v>
      </c>
      <c r="OKW292" s="18">
        <v>0</v>
      </c>
      <c r="OKX292" s="18">
        <v>0</v>
      </c>
      <c r="OKY292" s="18">
        <v>0</v>
      </c>
      <c r="OKZ292" s="18">
        <v>0</v>
      </c>
      <c r="OLA292" s="18">
        <v>0</v>
      </c>
      <c r="OLB292" s="18">
        <v>0</v>
      </c>
      <c r="OLC292" s="18">
        <v>0</v>
      </c>
      <c r="OLD292" s="18">
        <v>0</v>
      </c>
      <c r="OLE292" s="18">
        <v>0</v>
      </c>
      <c r="OLF292" s="18">
        <v>0</v>
      </c>
      <c r="OLG292" s="18">
        <v>0</v>
      </c>
      <c r="OLH292" s="18">
        <v>0</v>
      </c>
      <c r="OLI292" s="18">
        <v>0</v>
      </c>
      <c r="OLJ292" s="18">
        <v>0</v>
      </c>
      <c r="OLK292" s="18">
        <v>0</v>
      </c>
      <c r="OLL292" s="18">
        <v>0</v>
      </c>
      <c r="OLM292" s="18">
        <v>0</v>
      </c>
      <c r="OLN292" s="18">
        <v>0</v>
      </c>
      <c r="OLO292" s="18">
        <v>0</v>
      </c>
      <c r="OLP292" s="18">
        <v>0</v>
      </c>
      <c r="OLQ292" s="18">
        <v>0</v>
      </c>
      <c r="OLR292" s="18">
        <v>0</v>
      </c>
      <c r="OLS292" s="18">
        <v>0</v>
      </c>
      <c r="OLT292" s="18">
        <v>0</v>
      </c>
      <c r="OLU292" s="18">
        <v>0</v>
      </c>
      <c r="OLV292" s="18">
        <v>0</v>
      </c>
      <c r="OLW292" s="18">
        <v>0</v>
      </c>
      <c r="OLX292" s="18">
        <v>0</v>
      </c>
      <c r="OLY292" s="18">
        <v>0</v>
      </c>
      <c r="OLZ292" s="18">
        <v>0</v>
      </c>
      <c r="OMA292" s="18">
        <v>0</v>
      </c>
      <c r="OMB292" s="18">
        <v>0</v>
      </c>
      <c r="OMC292" s="18">
        <v>0</v>
      </c>
      <c r="OMD292" s="18">
        <v>0</v>
      </c>
      <c r="OME292" s="18">
        <v>0</v>
      </c>
      <c r="OMF292" s="18">
        <v>0</v>
      </c>
      <c r="OMG292" s="18">
        <v>0</v>
      </c>
      <c r="OMH292" s="18">
        <v>0</v>
      </c>
      <c r="OMI292" s="18">
        <v>0</v>
      </c>
      <c r="OMJ292" s="18">
        <v>0</v>
      </c>
      <c r="OMK292" s="18">
        <v>0</v>
      </c>
      <c r="OML292" s="18">
        <v>0</v>
      </c>
      <c r="OMM292" s="18">
        <v>0</v>
      </c>
      <c r="OMN292" s="18">
        <v>0</v>
      </c>
      <c r="OMO292" s="18">
        <v>0</v>
      </c>
      <c r="OMP292" s="18">
        <v>0</v>
      </c>
      <c r="OMQ292" s="18">
        <v>0</v>
      </c>
      <c r="OMR292" s="18">
        <v>0</v>
      </c>
      <c r="OMS292" s="18">
        <v>0</v>
      </c>
      <c r="OMT292" s="18">
        <v>0</v>
      </c>
      <c r="OMU292" s="18">
        <v>0</v>
      </c>
      <c r="OMV292" s="18">
        <v>0</v>
      </c>
      <c r="OMW292" s="18">
        <v>0</v>
      </c>
      <c r="OMX292" s="18">
        <v>0</v>
      </c>
      <c r="OMY292" s="18">
        <v>0</v>
      </c>
      <c r="OMZ292" s="18">
        <v>0</v>
      </c>
      <c r="ONA292" s="18">
        <v>0</v>
      </c>
      <c r="ONB292" s="18">
        <v>0</v>
      </c>
      <c r="ONC292" s="18">
        <v>0</v>
      </c>
      <c r="OND292" s="18">
        <v>0</v>
      </c>
      <c r="ONE292" s="18">
        <v>0</v>
      </c>
      <c r="ONF292" s="18">
        <v>0</v>
      </c>
      <c r="ONG292" s="18">
        <v>0</v>
      </c>
      <c r="ONH292" s="18">
        <v>0</v>
      </c>
      <c r="ONI292" s="18">
        <v>0</v>
      </c>
      <c r="ONJ292" s="18">
        <v>0</v>
      </c>
      <c r="ONK292" s="18">
        <v>0</v>
      </c>
      <c r="ONL292" s="18">
        <v>0</v>
      </c>
      <c r="ONM292" s="18">
        <v>0</v>
      </c>
      <c r="ONN292" s="18">
        <v>0</v>
      </c>
      <c r="ONO292" s="18">
        <v>0</v>
      </c>
      <c r="ONP292" s="18">
        <v>0</v>
      </c>
      <c r="ONQ292" s="18">
        <v>0</v>
      </c>
      <c r="ONR292" s="18">
        <v>0</v>
      </c>
      <c r="ONS292" s="18">
        <v>0</v>
      </c>
      <c r="ONT292" s="18">
        <v>0</v>
      </c>
      <c r="ONU292" s="18">
        <v>0</v>
      </c>
      <c r="ONV292" s="18">
        <v>0</v>
      </c>
      <c r="ONW292" s="18">
        <v>0</v>
      </c>
      <c r="ONX292" s="18">
        <v>0</v>
      </c>
      <c r="ONY292" s="18">
        <v>0</v>
      </c>
      <c r="ONZ292" s="18">
        <v>0</v>
      </c>
      <c r="OOA292" s="18">
        <v>0</v>
      </c>
      <c r="OOB292" s="18">
        <v>0</v>
      </c>
      <c r="OOC292" s="18">
        <v>0</v>
      </c>
      <c r="OOD292" s="18">
        <v>0</v>
      </c>
      <c r="OOE292" s="18">
        <v>0</v>
      </c>
      <c r="OOF292" s="18">
        <v>0</v>
      </c>
      <c r="OOG292" s="18">
        <v>0</v>
      </c>
      <c r="OOH292" s="18">
        <v>0</v>
      </c>
      <c r="OOI292" s="18">
        <v>0</v>
      </c>
      <c r="OOJ292" s="18">
        <v>0</v>
      </c>
      <c r="OOK292" s="18">
        <v>0</v>
      </c>
      <c r="OOL292" s="18">
        <v>0</v>
      </c>
      <c r="OOM292" s="18">
        <v>0</v>
      </c>
      <c r="OON292" s="18">
        <v>0</v>
      </c>
      <c r="OOO292" s="18">
        <v>0</v>
      </c>
      <c r="OOP292" s="18">
        <v>0</v>
      </c>
      <c r="OOQ292" s="18">
        <v>0</v>
      </c>
      <c r="OOR292" s="18">
        <v>0</v>
      </c>
      <c r="OOS292" s="18">
        <v>0</v>
      </c>
      <c r="OOT292" s="18">
        <v>0</v>
      </c>
      <c r="OOU292" s="18">
        <v>0</v>
      </c>
      <c r="OOV292" s="18">
        <v>0</v>
      </c>
      <c r="OOW292" s="18">
        <v>0</v>
      </c>
      <c r="OOX292" s="18">
        <v>0</v>
      </c>
      <c r="OOY292" s="18">
        <v>0</v>
      </c>
      <c r="OOZ292" s="18">
        <v>0</v>
      </c>
      <c r="OPA292" s="18">
        <v>0</v>
      </c>
      <c r="OPB292" s="18">
        <v>0</v>
      </c>
      <c r="OPC292" s="18">
        <v>0</v>
      </c>
      <c r="OPD292" s="18">
        <v>0</v>
      </c>
      <c r="OPE292" s="18">
        <v>0</v>
      </c>
      <c r="OPF292" s="18">
        <v>0</v>
      </c>
      <c r="OPG292" s="18">
        <v>0</v>
      </c>
      <c r="OPH292" s="18">
        <v>0</v>
      </c>
      <c r="OPI292" s="18">
        <v>0</v>
      </c>
      <c r="OPJ292" s="18">
        <v>0</v>
      </c>
      <c r="OPK292" s="18">
        <v>0</v>
      </c>
      <c r="OPL292" s="18">
        <v>0</v>
      </c>
      <c r="OPM292" s="18">
        <v>0</v>
      </c>
      <c r="OPN292" s="18">
        <v>0</v>
      </c>
      <c r="OPO292" s="18">
        <v>0</v>
      </c>
      <c r="OPP292" s="18">
        <v>0</v>
      </c>
      <c r="OPQ292" s="18">
        <v>0</v>
      </c>
      <c r="OPR292" s="18">
        <v>0</v>
      </c>
      <c r="OPS292" s="18">
        <v>0</v>
      </c>
      <c r="OPT292" s="18">
        <v>0</v>
      </c>
      <c r="OPU292" s="18">
        <v>0</v>
      </c>
      <c r="OPV292" s="18">
        <v>0</v>
      </c>
      <c r="OPW292" s="18">
        <v>0</v>
      </c>
      <c r="OPX292" s="18">
        <v>0</v>
      </c>
      <c r="OPY292" s="18">
        <v>0</v>
      </c>
      <c r="OPZ292" s="18">
        <v>0</v>
      </c>
      <c r="OQA292" s="18">
        <v>0</v>
      </c>
      <c r="OQB292" s="18">
        <v>0</v>
      </c>
      <c r="OQC292" s="18">
        <v>0</v>
      </c>
      <c r="OQD292" s="18">
        <v>0</v>
      </c>
      <c r="OQE292" s="18">
        <v>0</v>
      </c>
      <c r="OQF292" s="18">
        <v>0</v>
      </c>
      <c r="OQG292" s="18">
        <v>0</v>
      </c>
      <c r="OQH292" s="18">
        <v>0</v>
      </c>
      <c r="OQI292" s="18">
        <v>0</v>
      </c>
      <c r="OQJ292" s="18">
        <v>0</v>
      </c>
      <c r="OQK292" s="18">
        <v>0</v>
      </c>
      <c r="OQL292" s="18">
        <v>0</v>
      </c>
      <c r="OQM292" s="18">
        <v>0</v>
      </c>
      <c r="OQN292" s="18">
        <v>0</v>
      </c>
      <c r="OQO292" s="18">
        <v>0</v>
      </c>
      <c r="OQP292" s="18">
        <v>0</v>
      </c>
      <c r="OQQ292" s="18">
        <v>0</v>
      </c>
      <c r="OQR292" s="18">
        <v>0</v>
      </c>
      <c r="OQS292" s="18">
        <v>0</v>
      </c>
      <c r="OQT292" s="18">
        <v>0</v>
      </c>
      <c r="OQU292" s="18">
        <v>0</v>
      </c>
      <c r="OQV292" s="18">
        <v>0</v>
      </c>
      <c r="OQW292" s="18">
        <v>0</v>
      </c>
      <c r="OQX292" s="18">
        <v>0</v>
      </c>
      <c r="OQY292" s="18">
        <v>0</v>
      </c>
      <c r="OQZ292" s="18">
        <v>0</v>
      </c>
      <c r="ORA292" s="18">
        <v>0</v>
      </c>
      <c r="ORB292" s="18">
        <v>0</v>
      </c>
      <c r="ORC292" s="18">
        <v>0</v>
      </c>
      <c r="ORD292" s="18">
        <v>0</v>
      </c>
      <c r="ORE292" s="18">
        <v>0</v>
      </c>
      <c r="ORF292" s="18">
        <v>0</v>
      </c>
      <c r="ORG292" s="18">
        <v>0</v>
      </c>
      <c r="ORH292" s="18">
        <v>0</v>
      </c>
      <c r="ORI292" s="18">
        <v>0</v>
      </c>
      <c r="ORJ292" s="18">
        <v>0</v>
      </c>
      <c r="ORK292" s="18">
        <v>0</v>
      </c>
      <c r="ORL292" s="18">
        <v>0</v>
      </c>
      <c r="ORM292" s="18">
        <v>0</v>
      </c>
      <c r="ORN292" s="18">
        <v>0</v>
      </c>
      <c r="ORO292" s="18">
        <v>0</v>
      </c>
      <c r="ORP292" s="18">
        <v>0</v>
      </c>
      <c r="ORQ292" s="18">
        <v>0</v>
      </c>
      <c r="ORR292" s="18">
        <v>0</v>
      </c>
      <c r="ORS292" s="18">
        <v>0</v>
      </c>
      <c r="ORT292" s="18">
        <v>0</v>
      </c>
      <c r="ORU292" s="18">
        <v>0</v>
      </c>
      <c r="ORV292" s="18">
        <v>0</v>
      </c>
      <c r="ORW292" s="18">
        <v>0</v>
      </c>
      <c r="ORX292" s="18">
        <v>0</v>
      </c>
      <c r="ORY292" s="18">
        <v>0</v>
      </c>
      <c r="ORZ292" s="18">
        <v>0</v>
      </c>
      <c r="OSA292" s="18">
        <v>0</v>
      </c>
      <c r="OSB292" s="18">
        <v>0</v>
      </c>
      <c r="OSC292" s="18">
        <v>0</v>
      </c>
      <c r="OSD292" s="18">
        <v>0</v>
      </c>
      <c r="OSE292" s="18">
        <v>0</v>
      </c>
      <c r="OSF292" s="18">
        <v>0</v>
      </c>
      <c r="OSG292" s="18">
        <v>0</v>
      </c>
      <c r="OSH292" s="18">
        <v>0</v>
      </c>
      <c r="OSI292" s="18">
        <v>0</v>
      </c>
      <c r="OSJ292" s="18">
        <v>0</v>
      </c>
      <c r="OSK292" s="18">
        <v>0</v>
      </c>
      <c r="OSL292" s="18">
        <v>0</v>
      </c>
      <c r="OSM292" s="18">
        <v>0</v>
      </c>
      <c r="OSN292" s="18">
        <v>0</v>
      </c>
      <c r="OSO292" s="18">
        <v>0</v>
      </c>
      <c r="OSP292" s="18">
        <v>0</v>
      </c>
      <c r="OSQ292" s="18">
        <v>0</v>
      </c>
      <c r="OSR292" s="18">
        <v>0</v>
      </c>
      <c r="OSS292" s="18">
        <v>0</v>
      </c>
      <c r="OST292" s="18">
        <v>0</v>
      </c>
      <c r="OSU292" s="18">
        <v>0</v>
      </c>
      <c r="OSV292" s="18">
        <v>0</v>
      </c>
      <c r="OSW292" s="18">
        <v>0</v>
      </c>
      <c r="OSX292" s="18">
        <v>0</v>
      </c>
      <c r="OSY292" s="18">
        <v>0</v>
      </c>
      <c r="OSZ292" s="18">
        <v>0</v>
      </c>
      <c r="OTA292" s="18">
        <v>0</v>
      </c>
      <c r="OTB292" s="18">
        <v>0</v>
      </c>
      <c r="OTC292" s="18">
        <v>0</v>
      </c>
      <c r="OTD292" s="18">
        <v>0</v>
      </c>
      <c r="OTE292" s="18">
        <v>0</v>
      </c>
      <c r="OTF292" s="18">
        <v>0</v>
      </c>
      <c r="OTG292" s="18">
        <v>0</v>
      </c>
      <c r="OTH292" s="18">
        <v>0</v>
      </c>
      <c r="OTI292" s="18">
        <v>0</v>
      </c>
      <c r="OTJ292" s="18">
        <v>0</v>
      </c>
      <c r="OTK292" s="18">
        <v>0</v>
      </c>
      <c r="OTL292" s="18">
        <v>0</v>
      </c>
      <c r="OTM292" s="18">
        <v>0</v>
      </c>
      <c r="OTN292" s="18">
        <v>0</v>
      </c>
      <c r="OTO292" s="18">
        <v>0</v>
      </c>
      <c r="OTP292" s="18">
        <v>0</v>
      </c>
      <c r="OTQ292" s="18">
        <v>0</v>
      </c>
      <c r="OTR292" s="18">
        <v>0</v>
      </c>
      <c r="OTS292" s="18">
        <v>0</v>
      </c>
      <c r="OTT292" s="18">
        <v>0</v>
      </c>
      <c r="OTU292" s="18">
        <v>0</v>
      </c>
      <c r="OTV292" s="18">
        <v>0</v>
      </c>
      <c r="OTW292" s="18">
        <v>0</v>
      </c>
      <c r="OTX292" s="18">
        <v>0</v>
      </c>
      <c r="OTY292" s="18">
        <v>0</v>
      </c>
      <c r="OTZ292" s="18">
        <v>0</v>
      </c>
      <c r="OUA292" s="18">
        <v>0</v>
      </c>
      <c r="OUB292" s="18">
        <v>0</v>
      </c>
      <c r="OUC292" s="18">
        <v>0</v>
      </c>
      <c r="OUD292" s="18">
        <v>0</v>
      </c>
      <c r="OUE292" s="18">
        <v>0</v>
      </c>
      <c r="OUF292" s="18">
        <v>0</v>
      </c>
      <c r="OUG292" s="18">
        <v>0</v>
      </c>
      <c r="OUH292" s="18">
        <v>0</v>
      </c>
      <c r="OUI292" s="18">
        <v>0</v>
      </c>
      <c r="OUJ292" s="18">
        <v>0</v>
      </c>
      <c r="OUK292" s="18">
        <v>0</v>
      </c>
      <c r="OUL292" s="18">
        <v>0</v>
      </c>
      <c r="OUM292" s="18">
        <v>0</v>
      </c>
      <c r="OUN292" s="18">
        <v>0</v>
      </c>
      <c r="OUO292" s="18">
        <v>0</v>
      </c>
      <c r="OUP292" s="18">
        <v>0</v>
      </c>
      <c r="OUQ292" s="18">
        <v>0</v>
      </c>
      <c r="OUR292" s="18">
        <v>0</v>
      </c>
      <c r="OUS292" s="18">
        <v>0</v>
      </c>
      <c r="OUT292" s="18">
        <v>0</v>
      </c>
      <c r="OUU292" s="18">
        <v>0</v>
      </c>
      <c r="OUV292" s="18">
        <v>0</v>
      </c>
      <c r="OUW292" s="18">
        <v>0</v>
      </c>
      <c r="OUX292" s="18">
        <v>0</v>
      </c>
      <c r="OUY292" s="18">
        <v>0</v>
      </c>
      <c r="OUZ292" s="18">
        <v>0</v>
      </c>
      <c r="OVA292" s="18">
        <v>0</v>
      </c>
      <c r="OVB292" s="18">
        <v>0</v>
      </c>
      <c r="OVC292" s="18">
        <v>0</v>
      </c>
      <c r="OVD292" s="18">
        <v>0</v>
      </c>
      <c r="OVE292" s="18">
        <v>0</v>
      </c>
      <c r="OVF292" s="18">
        <v>0</v>
      </c>
      <c r="OVG292" s="18">
        <v>0</v>
      </c>
      <c r="OVH292" s="18">
        <v>0</v>
      </c>
      <c r="OVI292" s="18">
        <v>0</v>
      </c>
      <c r="OVJ292" s="18">
        <v>0</v>
      </c>
      <c r="OVK292" s="18">
        <v>0</v>
      </c>
      <c r="OVL292" s="18">
        <v>0</v>
      </c>
      <c r="OVM292" s="18">
        <v>0</v>
      </c>
      <c r="OVN292" s="18">
        <v>0</v>
      </c>
      <c r="OVO292" s="18">
        <v>0</v>
      </c>
      <c r="OVP292" s="18">
        <v>0</v>
      </c>
      <c r="OVQ292" s="18">
        <v>0</v>
      </c>
      <c r="OVR292" s="18">
        <v>0</v>
      </c>
      <c r="OVS292" s="18">
        <v>0</v>
      </c>
      <c r="OVT292" s="18">
        <v>0</v>
      </c>
      <c r="OVU292" s="18">
        <v>0</v>
      </c>
      <c r="OVV292" s="18">
        <v>0</v>
      </c>
      <c r="OVW292" s="18">
        <v>0</v>
      </c>
      <c r="OVX292" s="18">
        <v>0</v>
      </c>
      <c r="OVY292" s="18">
        <v>0</v>
      </c>
      <c r="OVZ292" s="18">
        <v>0</v>
      </c>
      <c r="OWA292" s="18">
        <v>0</v>
      </c>
      <c r="OWB292" s="18">
        <v>0</v>
      </c>
      <c r="OWC292" s="18">
        <v>0</v>
      </c>
      <c r="OWD292" s="18">
        <v>0</v>
      </c>
      <c r="OWE292" s="18">
        <v>0</v>
      </c>
      <c r="OWF292" s="18">
        <v>0</v>
      </c>
      <c r="OWG292" s="18">
        <v>0</v>
      </c>
      <c r="OWH292" s="18">
        <v>0</v>
      </c>
      <c r="OWI292" s="18">
        <v>0</v>
      </c>
      <c r="OWJ292" s="18">
        <v>0</v>
      </c>
      <c r="OWK292" s="18">
        <v>0</v>
      </c>
      <c r="OWL292" s="18">
        <v>0</v>
      </c>
      <c r="OWM292" s="18">
        <v>0</v>
      </c>
      <c r="OWN292" s="18">
        <v>0</v>
      </c>
      <c r="OWO292" s="18">
        <v>0</v>
      </c>
      <c r="OWP292" s="18">
        <v>0</v>
      </c>
      <c r="OWQ292" s="18">
        <v>0</v>
      </c>
      <c r="OWR292" s="18">
        <v>0</v>
      </c>
      <c r="OWS292" s="18">
        <v>0</v>
      </c>
      <c r="OWT292" s="18">
        <v>0</v>
      </c>
      <c r="OWU292" s="18">
        <v>0</v>
      </c>
      <c r="OWV292" s="18">
        <v>0</v>
      </c>
      <c r="OWW292" s="18">
        <v>0</v>
      </c>
      <c r="OWX292" s="18">
        <v>0</v>
      </c>
      <c r="OWY292" s="18">
        <v>0</v>
      </c>
      <c r="OWZ292" s="18">
        <v>0</v>
      </c>
      <c r="OXA292" s="18">
        <v>0</v>
      </c>
      <c r="OXB292" s="18">
        <v>0</v>
      </c>
      <c r="OXC292" s="18">
        <v>0</v>
      </c>
      <c r="OXD292" s="18">
        <v>0</v>
      </c>
      <c r="OXE292" s="18">
        <v>0</v>
      </c>
      <c r="OXF292" s="18">
        <v>0</v>
      </c>
      <c r="OXG292" s="18">
        <v>0</v>
      </c>
      <c r="OXH292" s="18">
        <v>0</v>
      </c>
      <c r="OXI292" s="18">
        <v>0</v>
      </c>
      <c r="OXJ292" s="18">
        <v>0</v>
      </c>
      <c r="OXK292" s="18">
        <v>0</v>
      </c>
      <c r="OXL292" s="18">
        <v>0</v>
      </c>
      <c r="OXM292" s="18">
        <v>0</v>
      </c>
      <c r="OXN292" s="18">
        <v>0</v>
      </c>
      <c r="OXO292" s="18">
        <v>0</v>
      </c>
      <c r="OXP292" s="18">
        <v>0</v>
      </c>
      <c r="OXQ292" s="18">
        <v>0</v>
      </c>
      <c r="OXR292" s="18">
        <v>0</v>
      </c>
      <c r="OXS292" s="18">
        <v>0</v>
      </c>
      <c r="OXT292" s="18">
        <v>0</v>
      </c>
      <c r="OXU292" s="18">
        <v>0</v>
      </c>
      <c r="OXV292" s="18">
        <v>0</v>
      </c>
      <c r="OXW292" s="18">
        <v>0</v>
      </c>
      <c r="OXX292" s="18">
        <v>0</v>
      </c>
      <c r="OXY292" s="18">
        <v>0</v>
      </c>
      <c r="OXZ292" s="18">
        <v>0</v>
      </c>
      <c r="OYA292" s="18">
        <v>0</v>
      </c>
      <c r="OYB292" s="18">
        <v>0</v>
      </c>
      <c r="OYC292" s="18">
        <v>0</v>
      </c>
      <c r="OYD292" s="18">
        <v>0</v>
      </c>
      <c r="OYE292" s="18">
        <v>0</v>
      </c>
      <c r="OYF292" s="18">
        <v>0</v>
      </c>
      <c r="OYG292" s="18">
        <v>0</v>
      </c>
      <c r="OYH292" s="18">
        <v>0</v>
      </c>
      <c r="OYI292" s="18">
        <v>0</v>
      </c>
      <c r="OYJ292" s="18">
        <v>0</v>
      </c>
      <c r="OYK292" s="18">
        <v>0</v>
      </c>
      <c r="OYL292" s="18">
        <v>0</v>
      </c>
      <c r="OYM292" s="18">
        <v>0</v>
      </c>
      <c r="OYN292" s="18">
        <v>0</v>
      </c>
      <c r="OYO292" s="18">
        <v>0</v>
      </c>
      <c r="OYP292" s="18">
        <v>0</v>
      </c>
      <c r="OYQ292" s="18">
        <v>0</v>
      </c>
      <c r="OYR292" s="18">
        <v>0</v>
      </c>
      <c r="OYS292" s="18">
        <v>0</v>
      </c>
      <c r="OYT292" s="18">
        <v>0</v>
      </c>
      <c r="OYU292" s="18">
        <v>0</v>
      </c>
      <c r="OYV292" s="18">
        <v>0</v>
      </c>
      <c r="OYW292" s="18">
        <v>0</v>
      </c>
      <c r="OYX292" s="18">
        <v>0</v>
      </c>
      <c r="OYY292" s="18">
        <v>0</v>
      </c>
      <c r="OYZ292" s="18">
        <v>0</v>
      </c>
      <c r="OZA292" s="18">
        <v>0</v>
      </c>
      <c r="OZB292" s="18">
        <v>0</v>
      </c>
      <c r="OZC292" s="18">
        <v>0</v>
      </c>
      <c r="OZD292" s="18">
        <v>0</v>
      </c>
      <c r="OZE292" s="18">
        <v>0</v>
      </c>
      <c r="OZF292" s="18">
        <v>0</v>
      </c>
      <c r="OZG292" s="18">
        <v>0</v>
      </c>
      <c r="OZH292" s="18">
        <v>0</v>
      </c>
      <c r="OZI292" s="18">
        <v>0</v>
      </c>
      <c r="OZJ292" s="18">
        <v>0</v>
      </c>
      <c r="OZK292" s="18">
        <v>0</v>
      </c>
      <c r="OZL292" s="18">
        <v>0</v>
      </c>
      <c r="OZM292" s="18">
        <v>0</v>
      </c>
      <c r="OZN292" s="18">
        <v>0</v>
      </c>
      <c r="OZO292" s="18">
        <v>0</v>
      </c>
      <c r="OZP292" s="18">
        <v>0</v>
      </c>
      <c r="OZQ292" s="18">
        <v>0</v>
      </c>
      <c r="OZR292" s="18">
        <v>0</v>
      </c>
      <c r="OZS292" s="18">
        <v>0</v>
      </c>
      <c r="OZT292" s="18">
        <v>0</v>
      </c>
      <c r="OZU292" s="18">
        <v>0</v>
      </c>
      <c r="OZV292" s="18">
        <v>0</v>
      </c>
      <c r="OZW292" s="18">
        <v>0</v>
      </c>
      <c r="OZX292" s="18">
        <v>0</v>
      </c>
      <c r="OZY292" s="18">
        <v>0</v>
      </c>
      <c r="OZZ292" s="18">
        <v>0</v>
      </c>
      <c r="PAA292" s="18">
        <v>0</v>
      </c>
      <c r="PAB292" s="18">
        <v>0</v>
      </c>
      <c r="PAC292" s="18">
        <v>0</v>
      </c>
      <c r="PAD292" s="18">
        <v>0</v>
      </c>
      <c r="PAE292" s="18">
        <v>0</v>
      </c>
      <c r="PAF292" s="18">
        <v>0</v>
      </c>
      <c r="PAG292" s="18">
        <v>0</v>
      </c>
      <c r="PAH292" s="18">
        <v>0</v>
      </c>
      <c r="PAI292" s="18">
        <v>0</v>
      </c>
      <c r="PAJ292" s="18">
        <v>0</v>
      </c>
      <c r="PAK292" s="18">
        <v>0</v>
      </c>
      <c r="PAL292" s="18">
        <v>0</v>
      </c>
      <c r="PAM292" s="18">
        <v>0</v>
      </c>
      <c r="PAN292" s="18">
        <v>0</v>
      </c>
      <c r="PAO292" s="18">
        <v>0</v>
      </c>
      <c r="PAP292" s="18">
        <v>0</v>
      </c>
      <c r="PAQ292" s="18">
        <v>0</v>
      </c>
      <c r="PAR292" s="18">
        <v>0</v>
      </c>
      <c r="PAS292" s="18">
        <v>0</v>
      </c>
      <c r="PAT292" s="18">
        <v>0</v>
      </c>
      <c r="PAU292" s="18">
        <v>0</v>
      </c>
      <c r="PAV292" s="18">
        <v>0</v>
      </c>
      <c r="PAW292" s="18">
        <v>0</v>
      </c>
      <c r="PAX292" s="18">
        <v>0</v>
      </c>
      <c r="PAY292" s="18">
        <v>0</v>
      </c>
      <c r="PAZ292" s="18">
        <v>0</v>
      </c>
      <c r="PBA292" s="18">
        <v>0</v>
      </c>
      <c r="PBB292" s="18">
        <v>0</v>
      </c>
      <c r="PBC292" s="18">
        <v>0</v>
      </c>
      <c r="PBD292" s="18">
        <v>0</v>
      </c>
      <c r="PBE292" s="18">
        <v>0</v>
      </c>
      <c r="PBF292" s="18">
        <v>0</v>
      </c>
      <c r="PBG292" s="18">
        <v>0</v>
      </c>
      <c r="PBH292" s="18">
        <v>0</v>
      </c>
      <c r="PBI292" s="18">
        <v>0</v>
      </c>
      <c r="PBJ292" s="18">
        <v>0</v>
      </c>
      <c r="PBK292" s="18">
        <v>0</v>
      </c>
      <c r="PBL292" s="18">
        <v>0</v>
      </c>
      <c r="PBM292" s="18">
        <v>0</v>
      </c>
      <c r="PBN292" s="18">
        <v>0</v>
      </c>
      <c r="PBO292" s="18">
        <v>0</v>
      </c>
      <c r="PBP292" s="18">
        <v>0</v>
      </c>
      <c r="PBQ292" s="18">
        <v>0</v>
      </c>
      <c r="PBR292" s="18">
        <v>0</v>
      </c>
      <c r="PBS292" s="18">
        <v>0</v>
      </c>
      <c r="PBT292" s="18">
        <v>0</v>
      </c>
      <c r="PBU292" s="18">
        <v>0</v>
      </c>
      <c r="PBV292" s="18">
        <v>0</v>
      </c>
      <c r="PBW292" s="18">
        <v>0</v>
      </c>
      <c r="PBX292" s="18">
        <v>0</v>
      </c>
      <c r="PBY292" s="18">
        <v>0</v>
      </c>
      <c r="PBZ292" s="18">
        <v>0</v>
      </c>
      <c r="PCA292" s="18">
        <v>0</v>
      </c>
      <c r="PCB292" s="18">
        <v>0</v>
      </c>
      <c r="PCC292" s="18">
        <v>0</v>
      </c>
      <c r="PCD292" s="18">
        <v>0</v>
      </c>
      <c r="PCE292" s="18">
        <v>0</v>
      </c>
      <c r="PCF292" s="18">
        <v>0</v>
      </c>
      <c r="PCG292" s="18">
        <v>0</v>
      </c>
      <c r="PCH292" s="18">
        <v>0</v>
      </c>
      <c r="PCI292" s="18">
        <v>0</v>
      </c>
      <c r="PCJ292" s="18">
        <v>0</v>
      </c>
      <c r="PCK292" s="18">
        <v>0</v>
      </c>
      <c r="PCL292" s="18">
        <v>0</v>
      </c>
      <c r="PCM292" s="18">
        <v>0</v>
      </c>
      <c r="PCN292" s="18">
        <v>0</v>
      </c>
      <c r="PCO292" s="18">
        <v>0</v>
      </c>
      <c r="PCP292" s="18">
        <v>0</v>
      </c>
      <c r="PCQ292" s="18">
        <v>0</v>
      </c>
      <c r="PCR292" s="18">
        <v>0</v>
      </c>
      <c r="PCS292" s="18">
        <v>0</v>
      </c>
      <c r="PCT292" s="18">
        <v>0</v>
      </c>
      <c r="PCU292" s="18">
        <v>0</v>
      </c>
      <c r="PCV292" s="18">
        <v>0</v>
      </c>
      <c r="PCW292" s="18">
        <v>0</v>
      </c>
      <c r="PCX292" s="18">
        <v>0</v>
      </c>
      <c r="PCY292" s="18">
        <v>0</v>
      </c>
      <c r="PCZ292" s="18">
        <v>0</v>
      </c>
      <c r="PDA292" s="18">
        <v>0</v>
      </c>
      <c r="PDB292" s="18">
        <v>0</v>
      </c>
      <c r="PDC292" s="18">
        <v>0</v>
      </c>
      <c r="PDD292" s="18">
        <v>0</v>
      </c>
      <c r="PDE292" s="18">
        <v>0</v>
      </c>
      <c r="PDF292" s="18">
        <v>0</v>
      </c>
      <c r="PDG292" s="18">
        <v>0</v>
      </c>
      <c r="PDH292" s="18">
        <v>0</v>
      </c>
      <c r="PDI292" s="18">
        <v>0</v>
      </c>
      <c r="PDJ292" s="18">
        <v>0</v>
      </c>
      <c r="PDK292" s="18">
        <v>0</v>
      </c>
      <c r="PDL292" s="18">
        <v>0</v>
      </c>
      <c r="PDM292" s="18">
        <v>0</v>
      </c>
      <c r="PDN292" s="18">
        <v>0</v>
      </c>
      <c r="PDO292" s="18">
        <v>0</v>
      </c>
      <c r="PDP292" s="18">
        <v>0</v>
      </c>
      <c r="PDQ292" s="18">
        <v>0</v>
      </c>
      <c r="PDR292" s="18">
        <v>0</v>
      </c>
      <c r="PDS292" s="18">
        <v>0</v>
      </c>
      <c r="PDT292" s="18">
        <v>0</v>
      </c>
      <c r="PDU292" s="18">
        <v>0</v>
      </c>
      <c r="PDV292" s="18">
        <v>0</v>
      </c>
      <c r="PDW292" s="18">
        <v>0</v>
      </c>
      <c r="PDX292" s="18">
        <v>0</v>
      </c>
      <c r="PDY292" s="18">
        <v>0</v>
      </c>
      <c r="PDZ292" s="18">
        <v>0</v>
      </c>
      <c r="PEA292" s="18">
        <v>0</v>
      </c>
      <c r="PEB292" s="18">
        <v>0</v>
      </c>
      <c r="PEC292" s="18">
        <v>0</v>
      </c>
      <c r="PED292" s="18">
        <v>0</v>
      </c>
      <c r="PEE292" s="18">
        <v>0</v>
      </c>
      <c r="PEF292" s="18">
        <v>0</v>
      </c>
      <c r="PEG292" s="18">
        <v>0</v>
      </c>
      <c r="PEH292" s="18">
        <v>0</v>
      </c>
      <c r="PEI292" s="18">
        <v>0</v>
      </c>
      <c r="PEJ292" s="18">
        <v>0</v>
      </c>
      <c r="PEK292" s="18">
        <v>0</v>
      </c>
      <c r="PEL292" s="18">
        <v>0</v>
      </c>
      <c r="PEM292" s="18">
        <v>0</v>
      </c>
      <c r="PEN292" s="18">
        <v>0</v>
      </c>
      <c r="PEO292" s="18">
        <v>0</v>
      </c>
      <c r="PEP292" s="18">
        <v>0</v>
      </c>
      <c r="PEQ292" s="18">
        <v>0</v>
      </c>
      <c r="PER292" s="18">
        <v>0</v>
      </c>
      <c r="PES292" s="18">
        <v>0</v>
      </c>
      <c r="PET292" s="18">
        <v>0</v>
      </c>
      <c r="PEU292" s="18">
        <v>0</v>
      </c>
      <c r="PEV292" s="18">
        <v>0</v>
      </c>
      <c r="PEW292" s="18">
        <v>0</v>
      </c>
      <c r="PEX292" s="18">
        <v>0</v>
      </c>
      <c r="PEY292" s="18">
        <v>0</v>
      </c>
      <c r="PEZ292" s="18">
        <v>0</v>
      </c>
      <c r="PFA292" s="18">
        <v>0</v>
      </c>
      <c r="PFB292" s="18">
        <v>0</v>
      </c>
      <c r="PFC292" s="18">
        <v>0</v>
      </c>
      <c r="PFD292" s="18">
        <v>0</v>
      </c>
      <c r="PFE292" s="18">
        <v>0</v>
      </c>
      <c r="PFF292" s="18">
        <v>0</v>
      </c>
      <c r="PFG292" s="18">
        <v>0</v>
      </c>
      <c r="PFH292" s="18">
        <v>0</v>
      </c>
      <c r="PFI292" s="18">
        <v>0</v>
      </c>
      <c r="PFJ292" s="18">
        <v>0</v>
      </c>
      <c r="PFK292" s="18">
        <v>0</v>
      </c>
      <c r="PFL292" s="18">
        <v>0</v>
      </c>
      <c r="PFM292" s="18">
        <v>0</v>
      </c>
      <c r="PFN292" s="18">
        <v>0</v>
      </c>
      <c r="PFO292" s="18">
        <v>0</v>
      </c>
      <c r="PFP292" s="18">
        <v>0</v>
      </c>
      <c r="PFQ292" s="18">
        <v>0</v>
      </c>
      <c r="PFR292" s="18">
        <v>0</v>
      </c>
      <c r="PFS292" s="18">
        <v>0</v>
      </c>
      <c r="PFT292" s="18">
        <v>0</v>
      </c>
      <c r="PFU292" s="18">
        <v>0</v>
      </c>
      <c r="PFV292" s="18">
        <v>0</v>
      </c>
      <c r="PFW292" s="18">
        <v>0</v>
      </c>
      <c r="PFX292" s="18">
        <v>0</v>
      </c>
      <c r="PFY292" s="18">
        <v>0</v>
      </c>
      <c r="PFZ292" s="18">
        <v>0</v>
      </c>
      <c r="PGA292" s="18">
        <v>0</v>
      </c>
      <c r="PGB292" s="18">
        <v>0</v>
      </c>
      <c r="PGC292" s="18">
        <v>0</v>
      </c>
      <c r="PGD292" s="18">
        <v>0</v>
      </c>
      <c r="PGE292" s="18">
        <v>0</v>
      </c>
      <c r="PGF292" s="18">
        <v>0</v>
      </c>
      <c r="PGG292" s="18">
        <v>0</v>
      </c>
      <c r="PGH292" s="18">
        <v>0</v>
      </c>
      <c r="PGI292" s="18">
        <v>0</v>
      </c>
      <c r="PGJ292" s="18">
        <v>0</v>
      </c>
      <c r="PGK292" s="18">
        <v>0</v>
      </c>
      <c r="PGL292" s="18">
        <v>0</v>
      </c>
      <c r="PGM292" s="18">
        <v>0</v>
      </c>
      <c r="PGN292" s="18">
        <v>0</v>
      </c>
      <c r="PGO292" s="18">
        <v>0</v>
      </c>
      <c r="PGP292" s="18">
        <v>0</v>
      </c>
      <c r="PGQ292" s="18">
        <v>0</v>
      </c>
      <c r="PGR292" s="18">
        <v>0</v>
      </c>
      <c r="PGS292" s="18">
        <v>0</v>
      </c>
      <c r="PGT292" s="18">
        <v>0</v>
      </c>
      <c r="PGU292" s="18">
        <v>0</v>
      </c>
      <c r="PGV292" s="18">
        <v>0</v>
      </c>
      <c r="PGW292" s="18">
        <v>0</v>
      </c>
      <c r="PGX292" s="18">
        <v>0</v>
      </c>
      <c r="PGY292" s="18">
        <v>0</v>
      </c>
      <c r="PGZ292" s="18">
        <v>0</v>
      </c>
      <c r="PHA292" s="18">
        <v>0</v>
      </c>
      <c r="PHB292" s="18">
        <v>0</v>
      </c>
      <c r="PHC292" s="18">
        <v>0</v>
      </c>
      <c r="PHD292" s="18">
        <v>0</v>
      </c>
      <c r="PHE292" s="18">
        <v>0</v>
      </c>
      <c r="PHF292" s="18">
        <v>0</v>
      </c>
      <c r="PHG292" s="18">
        <v>0</v>
      </c>
      <c r="PHH292" s="18">
        <v>0</v>
      </c>
      <c r="PHI292" s="18">
        <v>0</v>
      </c>
      <c r="PHJ292" s="18">
        <v>0</v>
      </c>
      <c r="PHK292" s="18">
        <v>0</v>
      </c>
      <c r="PHL292" s="18">
        <v>0</v>
      </c>
      <c r="PHM292" s="18">
        <v>0</v>
      </c>
      <c r="PHN292" s="18">
        <v>0</v>
      </c>
      <c r="PHO292" s="18">
        <v>0</v>
      </c>
      <c r="PHP292" s="18">
        <v>0</v>
      </c>
      <c r="PHQ292" s="18">
        <v>0</v>
      </c>
      <c r="PHR292" s="18">
        <v>0</v>
      </c>
      <c r="PHS292" s="18">
        <v>0</v>
      </c>
      <c r="PHT292" s="18">
        <v>0</v>
      </c>
      <c r="PHU292" s="18">
        <v>0</v>
      </c>
      <c r="PHV292" s="18">
        <v>0</v>
      </c>
      <c r="PHW292" s="18">
        <v>0</v>
      </c>
      <c r="PHX292" s="18">
        <v>0</v>
      </c>
      <c r="PHY292" s="18">
        <v>0</v>
      </c>
      <c r="PHZ292" s="18">
        <v>0</v>
      </c>
      <c r="PIA292" s="18">
        <v>0</v>
      </c>
      <c r="PIB292" s="18">
        <v>0</v>
      </c>
      <c r="PIC292" s="18">
        <v>0</v>
      </c>
      <c r="PID292" s="18">
        <v>0</v>
      </c>
      <c r="PIE292" s="18">
        <v>0</v>
      </c>
      <c r="PIF292" s="18">
        <v>0</v>
      </c>
      <c r="PIG292" s="18">
        <v>0</v>
      </c>
      <c r="PIH292" s="18">
        <v>0</v>
      </c>
      <c r="PII292" s="18">
        <v>0</v>
      </c>
      <c r="PIJ292" s="18">
        <v>0</v>
      </c>
      <c r="PIK292" s="18">
        <v>0</v>
      </c>
      <c r="PIL292" s="18">
        <v>0</v>
      </c>
      <c r="PIM292" s="18">
        <v>0</v>
      </c>
      <c r="PIN292" s="18">
        <v>0</v>
      </c>
      <c r="PIO292" s="18">
        <v>0</v>
      </c>
      <c r="PIP292" s="18">
        <v>0</v>
      </c>
      <c r="PIQ292" s="18">
        <v>0</v>
      </c>
      <c r="PIR292" s="18">
        <v>0</v>
      </c>
      <c r="PIS292" s="18">
        <v>0</v>
      </c>
      <c r="PIT292" s="18">
        <v>0</v>
      </c>
      <c r="PIU292" s="18">
        <v>0</v>
      </c>
      <c r="PIV292" s="18">
        <v>0</v>
      </c>
      <c r="PIW292" s="18">
        <v>0</v>
      </c>
      <c r="PIX292" s="18">
        <v>0</v>
      </c>
      <c r="PIY292" s="18">
        <v>0</v>
      </c>
      <c r="PIZ292" s="18">
        <v>0</v>
      </c>
      <c r="PJA292" s="18">
        <v>0</v>
      </c>
      <c r="PJB292" s="18">
        <v>0</v>
      </c>
      <c r="PJC292" s="18">
        <v>0</v>
      </c>
      <c r="PJD292" s="18">
        <v>0</v>
      </c>
      <c r="PJE292" s="18">
        <v>0</v>
      </c>
      <c r="PJF292" s="18">
        <v>0</v>
      </c>
      <c r="PJG292" s="18">
        <v>0</v>
      </c>
      <c r="PJH292" s="18">
        <v>0</v>
      </c>
      <c r="PJI292" s="18">
        <v>0</v>
      </c>
      <c r="PJJ292" s="18">
        <v>0</v>
      </c>
      <c r="PJK292" s="18">
        <v>0</v>
      </c>
      <c r="PJL292" s="18">
        <v>0</v>
      </c>
      <c r="PJM292" s="18">
        <v>0</v>
      </c>
      <c r="PJN292" s="18">
        <v>0</v>
      </c>
      <c r="PJO292" s="18">
        <v>0</v>
      </c>
      <c r="PJP292" s="18">
        <v>0</v>
      </c>
      <c r="PJQ292" s="18">
        <v>0</v>
      </c>
      <c r="PJR292" s="18">
        <v>0</v>
      </c>
      <c r="PJS292" s="18">
        <v>0</v>
      </c>
      <c r="PJT292" s="18">
        <v>0</v>
      </c>
      <c r="PJU292" s="18">
        <v>0</v>
      </c>
      <c r="PJV292" s="18">
        <v>0</v>
      </c>
      <c r="PJW292" s="18">
        <v>0</v>
      </c>
      <c r="PJX292" s="18">
        <v>0</v>
      </c>
      <c r="PJY292" s="18">
        <v>0</v>
      </c>
      <c r="PJZ292" s="18">
        <v>0</v>
      </c>
      <c r="PKA292" s="18">
        <v>0</v>
      </c>
      <c r="PKB292" s="18">
        <v>0</v>
      </c>
      <c r="PKC292" s="18">
        <v>0</v>
      </c>
      <c r="PKD292" s="18">
        <v>0</v>
      </c>
      <c r="PKE292" s="18">
        <v>0</v>
      </c>
      <c r="PKF292" s="18">
        <v>0</v>
      </c>
      <c r="PKG292" s="18">
        <v>0</v>
      </c>
      <c r="PKH292" s="18">
        <v>0</v>
      </c>
      <c r="PKI292" s="18">
        <v>0</v>
      </c>
      <c r="PKJ292" s="18">
        <v>0</v>
      </c>
      <c r="PKK292" s="18">
        <v>0</v>
      </c>
      <c r="PKL292" s="18">
        <v>0</v>
      </c>
      <c r="PKM292" s="18">
        <v>0</v>
      </c>
      <c r="PKN292" s="18">
        <v>0</v>
      </c>
      <c r="PKO292" s="18">
        <v>0</v>
      </c>
      <c r="PKP292" s="18">
        <v>0</v>
      </c>
      <c r="PKQ292" s="18">
        <v>0</v>
      </c>
      <c r="PKR292" s="18">
        <v>0</v>
      </c>
      <c r="PKS292" s="18">
        <v>0</v>
      </c>
      <c r="PKT292" s="18">
        <v>0</v>
      </c>
      <c r="PKU292" s="18">
        <v>0</v>
      </c>
      <c r="PKV292" s="18">
        <v>0</v>
      </c>
      <c r="PKW292" s="18">
        <v>0</v>
      </c>
      <c r="PKX292" s="18">
        <v>0</v>
      </c>
      <c r="PKY292" s="18">
        <v>0</v>
      </c>
      <c r="PKZ292" s="18">
        <v>0</v>
      </c>
      <c r="PLA292" s="18">
        <v>0</v>
      </c>
      <c r="PLB292" s="18">
        <v>0</v>
      </c>
      <c r="PLC292" s="18">
        <v>0</v>
      </c>
      <c r="PLD292" s="18">
        <v>0</v>
      </c>
      <c r="PLE292" s="18">
        <v>0</v>
      </c>
      <c r="PLF292" s="18">
        <v>0</v>
      </c>
      <c r="PLG292" s="18">
        <v>0</v>
      </c>
      <c r="PLH292" s="18">
        <v>0</v>
      </c>
      <c r="PLI292" s="18">
        <v>0</v>
      </c>
      <c r="PLJ292" s="18">
        <v>0</v>
      </c>
      <c r="PLK292" s="18">
        <v>0</v>
      </c>
      <c r="PLL292" s="18">
        <v>0</v>
      </c>
      <c r="PLM292" s="18">
        <v>0</v>
      </c>
      <c r="PLN292" s="18">
        <v>0</v>
      </c>
      <c r="PLO292" s="18">
        <v>0</v>
      </c>
      <c r="PLP292" s="18">
        <v>0</v>
      </c>
      <c r="PLQ292" s="18">
        <v>0</v>
      </c>
      <c r="PLR292" s="18">
        <v>0</v>
      </c>
      <c r="PLS292" s="18">
        <v>0</v>
      </c>
      <c r="PLT292" s="18">
        <v>0</v>
      </c>
      <c r="PLU292" s="18">
        <v>0</v>
      </c>
      <c r="PLV292" s="18">
        <v>0</v>
      </c>
      <c r="PLW292" s="18">
        <v>0</v>
      </c>
      <c r="PLX292" s="18">
        <v>0</v>
      </c>
      <c r="PLY292" s="18">
        <v>0</v>
      </c>
      <c r="PLZ292" s="18">
        <v>0</v>
      </c>
      <c r="PMA292" s="18">
        <v>0</v>
      </c>
      <c r="PMB292" s="18">
        <v>0</v>
      </c>
      <c r="PMC292" s="18">
        <v>0</v>
      </c>
      <c r="PMD292" s="18">
        <v>0</v>
      </c>
      <c r="PME292" s="18">
        <v>0</v>
      </c>
      <c r="PMF292" s="18">
        <v>0</v>
      </c>
      <c r="PMG292" s="18">
        <v>0</v>
      </c>
      <c r="PMH292" s="18">
        <v>0</v>
      </c>
      <c r="PMI292" s="18">
        <v>0</v>
      </c>
      <c r="PMJ292" s="18">
        <v>0</v>
      </c>
      <c r="PMK292" s="18">
        <v>0</v>
      </c>
      <c r="PML292" s="18">
        <v>0</v>
      </c>
      <c r="PMM292" s="18">
        <v>0</v>
      </c>
      <c r="PMN292" s="18">
        <v>0</v>
      </c>
      <c r="PMO292" s="18">
        <v>0</v>
      </c>
      <c r="PMP292" s="18">
        <v>0</v>
      </c>
      <c r="PMQ292" s="18">
        <v>0</v>
      </c>
      <c r="PMR292" s="18">
        <v>0</v>
      </c>
      <c r="PMS292" s="18">
        <v>0</v>
      </c>
      <c r="PMT292" s="18">
        <v>0</v>
      </c>
      <c r="PMU292" s="18">
        <v>0</v>
      </c>
      <c r="PMV292" s="18">
        <v>0</v>
      </c>
      <c r="PMW292" s="18">
        <v>0</v>
      </c>
      <c r="PMX292" s="18">
        <v>0</v>
      </c>
      <c r="PMY292" s="18">
        <v>0</v>
      </c>
      <c r="PMZ292" s="18">
        <v>0</v>
      </c>
      <c r="PNA292" s="18">
        <v>0</v>
      </c>
      <c r="PNB292" s="18">
        <v>0</v>
      </c>
      <c r="PNC292" s="18">
        <v>0</v>
      </c>
      <c r="PND292" s="18">
        <v>0</v>
      </c>
      <c r="PNE292" s="18">
        <v>0</v>
      </c>
      <c r="PNF292" s="18">
        <v>0</v>
      </c>
      <c r="PNG292" s="18">
        <v>0</v>
      </c>
      <c r="PNH292" s="18">
        <v>0</v>
      </c>
      <c r="PNI292" s="18">
        <v>0</v>
      </c>
      <c r="PNJ292" s="18">
        <v>0</v>
      </c>
      <c r="PNK292" s="18">
        <v>0</v>
      </c>
      <c r="PNL292" s="18">
        <v>0</v>
      </c>
      <c r="PNM292" s="18">
        <v>0</v>
      </c>
      <c r="PNN292" s="18">
        <v>0</v>
      </c>
      <c r="PNO292" s="18">
        <v>0</v>
      </c>
      <c r="PNP292" s="18">
        <v>0</v>
      </c>
      <c r="PNQ292" s="18">
        <v>0</v>
      </c>
      <c r="PNR292" s="18">
        <v>0</v>
      </c>
      <c r="PNS292" s="18">
        <v>0</v>
      </c>
      <c r="PNT292" s="18">
        <v>0</v>
      </c>
      <c r="PNU292" s="18">
        <v>0</v>
      </c>
      <c r="PNV292" s="18">
        <v>0</v>
      </c>
      <c r="PNW292" s="18">
        <v>0</v>
      </c>
      <c r="PNX292" s="18">
        <v>0</v>
      </c>
      <c r="PNY292" s="18">
        <v>0</v>
      </c>
      <c r="PNZ292" s="18">
        <v>0</v>
      </c>
      <c r="POA292" s="18">
        <v>0</v>
      </c>
      <c r="POB292" s="18">
        <v>0</v>
      </c>
      <c r="POC292" s="18">
        <v>0</v>
      </c>
      <c r="POD292" s="18">
        <v>0</v>
      </c>
      <c r="POE292" s="18">
        <v>0</v>
      </c>
      <c r="POF292" s="18">
        <v>0</v>
      </c>
      <c r="POG292" s="18">
        <v>0</v>
      </c>
      <c r="POH292" s="18">
        <v>0</v>
      </c>
      <c r="POI292" s="18">
        <v>0</v>
      </c>
      <c r="POJ292" s="18">
        <v>0</v>
      </c>
      <c r="POK292" s="18">
        <v>0</v>
      </c>
      <c r="POL292" s="18">
        <v>0</v>
      </c>
      <c r="POM292" s="18">
        <v>0</v>
      </c>
      <c r="PON292" s="18">
        <v>0</v>
      </c>
      <c r="POO292" s="18">
        <v>0</v>
      </c>
      <c r="POP292" s="18">
        <v>0</v>
      </c>
      <c r="POQ292" s="18">
        <v>0</v>
      </c>
      <c r="POR292" s="18">
        <v>0</v>
      </c>
      <c r="POS292" s="18">
        <v>0</v>
      </c>
      <c r="POT292" s="18">
        <v>0</v>
      </c>
      <c r="POU292" s="18">
        <v>0</v>
      </c>
      <c r="POV292" s="18">
        <v>0</v>
      </c>
      <c r="POW292" s="18">
        <v>0</v>
      </c>
      <c r="POX292" s="18">
        <v>0</v>
      </c>
      <c r="POY292" s="18">
        <v>0</v>
      </c>
      <c r="POZ292" s="18">
        <v>0</v>
      </c>
      <c r="PPA292" s="18">
        <v>0</v>
      </c>
      <c r="PPB292" s="18">
        <v>0</v>
      </c>
      <c r="PPC292" s="18">
        <v>0</v>
      </c>
      <c r="PPD292" s="18">
        <v>0</v>
      </c>
      <c r="PPE292" s="18">
        <v>0</v>
      </c>
      <c r="PPF292" s="18">
        <v>0</v>
      </c>
      <c r="PPG292" s="18">
        <v>0</v>
      </c>
      <c r="PPH292" s="18">
        <v>0</v>
      </c>
      <c r="PPI292" s="18">
        <v>0</v>
      </c>
      <c r="PPJ292" s="18">
        <v>0</v>
      </c>
      <c r="PPK292" s="18">
        <v>0</v>
      </c>
      <c r="PPL292" s="18">
        <v>0</v>
      </c>
      <c r="PPM292" s="18">
        <v>0</v>
      </c>
      <c r="PPN292" s="18">
        <v>0</v>
      </c>
      <c r="PPO292" s="18">
        <v>0</v>
      </c>
      <c r="PPP292" s="18">
        <v>0</v>
      </c>
      <c r="PPQ292" s="18">
        <v>0</v>
      </c>
      <c r="PPR292" s="18">
        <v>0</v>
      </c>
      <c r="PPS292" s="18">
        <v>0</v>
      </c>
      <c r="PPT292" s="18">
        <v>0</v>
      </c>
      <c r="PPU292" s="18">
        <v>0</v>
      </c>
      <c r="PPV292" s="18">
        <v>0</v>
      </c>
      <c r="PPW292" s="18">
        <v>0</v>
      </c>
      <c r="PPX292" s="18">
        <v>0</v>
      </c>
      <c r="PPY292" s="18">
        <v>0</v>
      </c>
      <c r="PPZ292" s="18">
        <v>0</v>
      </c>
      <c r="PQA292" s="18">
        <v>0</v>
      </c>
      <c r="PQB292" s="18">
        <v>0</v>
      </c>
      <c r="PQC292" s="18">
        <v>0</v>
      </c>
      <c r="PQD292" s="18">
        <v>0</v>
      </c>
      <c r="PQE292" s="18">
        <v>0</v>
      </c>
      <c r="PQF292" s="18">
        <v>0</v>
      </c>
      <c r="PQG292" s="18">
        <v>0</v>
      </c>
      <c r="PQH292" s="18">
        <v>0</v>
      </c>
      <c r="PQI292" s="18">
        <v>0</v>
      </c>
      <c r="PQJ292" s="18">
        <v>0</v>
      </c>
      <c r="PQK292" s="18">
        <v>0</v>
      </c>
      <c r="PQL292" s="18">
        <v>0</v>
      </c>
      <c r="PQM292" s="18">
        <v>0</v>
      </c>
      <c r="PQN292" s="18">
        <v>0</v>
      </c>
      <c r="PQO292" s="18">
        <v>0</v>
      </c>
      <c r="PQP292" s="18">
        <v>0</v>
      </c>
      <c r="PQQ292" s="18">
        <v>0</v>
      </c>
      <c r="PQR292" s="18">
        <v>0</v>
      </c>
      <c r="PQS292" s="18">
        <v>0</v>
      </c>
      <c r="PQT292" s="18">
        <v>0</v>
      </c>
      <c r="PQU292" s="18">
        <v>0</v>
      </c>
      <c r="PQV292" s="18">
        <v>0</v>
      </c>
      <c r="PQW292" s="18">
        <v>0</v>
      </c>
      <c r="PQX292" s="18">
        <v>0</v>
      </c>
      <c r="PQY292" s="18">
        <v>0</v>
      </c>
      <c r="PQZ292" s="18">
        <v>0</v>
      </c>
      <c r="PRA292" s="18">
        <v>0</v>
      </c>
      <c r="PRB292" s="18">
        <v>0</v>
      </c>
      <c r="PRC292" s="18">
        <v>0</v>
      </c>
      <c r="PRD292" s="18">
        <v>0</v>
      </c>
      <c r="PRE292" s="18">
        <v>0</v>
      </c>
      <c r="PRF292" s="18">
        <v>0</v>
      </c>
      <c r="PRG292" s="18">
        <v>0</v>
      </c>
      <c r="PRH292" s="18">
        <v>0</v>
      </c>
      <c r="PRI292" s="18">
        <v>0</v>
      </c>
      <c r="PRJ292" s="18">
        <v>0</v>
      </c>
      <c r="PRK292" s="18">
        <v>0</v>
      </c>
      <c r="PRL292" s="18">
        <v>0</v>
      </c>
      <c r="PRM292" s="18">
        <v>0</v>
      </c>
      <c r="PRN292" s="18">
        <v>0</v>
      </c>
      <c r="PRO292" s="18">
        <v>0</v>
      </c>
      <c r="PRP292" s="18">
        <v>0</v>
      </c>
      <c r="PRQ292" s="18">
        <v>0</v>
      </c>
      <c r="PRR292" s="18">
        <v>0</v>
      </c>
      <c r="PRS292" s="18">
        <v>0</v>
      </c>
      <c r="PRT292" s="18">
        <v>0</v>
      </c>
      <c r="PRU292" s="18">
        <v>0</v>
      </c>
      <c r="PRV292" s="18">
        <v>0</v>
      </c>
      <c r="PRW292" s="18">
        <v>0</v>
      </c>
      <c r="PRX292" s="18">
        <v>0</v>
      </c>
      <c r="PRY292" s="18">
        <v>0</v>
      </c>
      <c r="PRZ292" s="18">
        <v>0</v>
      </c>
      <c r="PSA292" s="18">
        <v>0</v>
      </c>
      <c r="PSB292" s="18">
        <v>0</v>
      </c>
      <c r="PSC292" s="18">
        <v>0</v>
      </c>
      <c r="PSD292" s="18">
        <v>0</v>
      </c>
      <c r="PSE292" s="18">
        <v>0</v>
      </c>
      <c r="PSF292" s="18">
        <v>0</v>
      </c>
      <c r="PSG292" s="18">
        <v>0</v>
      </c>
      <c r="PSH292" s="18">
        <v>0</v>
      </c>
      <c r="PSI292" s="18">
        <v>0</v>
      </c>
      <c r="PSJ292" s="18">
        <v>0</v>
      </c>
      <c r="PSK292" s="18">
        <v>0</v>
      </c>
      <c r="PSL292" s="18">
        <v>0</v>
      </c>
      <c r="PSM292" s="18">
        <v>0</v>
      </c>
      <c r="PSN292" s="18">
        <v>0</v>
      </c>
      <c r="PSO292" s="18">
        <v>0</v>
      </c>
      <c r="PSP292" s="18">
        <v>0</v>
      </c>
      <c r="PSQ292" s="18">
        <v>0</v>
      </c>
      <c r="PSR292" s="18">
        <v>0</v>
      </c>
      <c r="PSS292" s="18">
        <v>0</v>
      </c>
      <c r="PST292" s="18">
        <v>0</v>
      </c>
      <c r="PSU292" s="18">
        <v>0</v>
      </c>
      <c r="PSV292" s="18">
        <v>0</v>
      </c>
      <c r="PSW292" s="18">
        <v>0</v>
      </c>
      <c r="PSX292" s="18">
        <v>0</v>
      </c>
      <c r="PSY292" s="18">
        <v>0</v>
      </c>
      <c r="PSZ292" s="18">
        <v>0</v>
      </c>
      <c r="PTA292" s="18">
        <v>0</v>
      </c>
      <c r="PTB292" s="18">
        <v>0</v>
      </c>
      <c r="PTC292" s="18">
        <v>0</v>
      </c>
      <c r="PTD292" s="18">
        <v>0</v>
      </c>
      <c r="PTE292" s="18">
        <v>0</v>
      </c>
      <c r="PTF292" s="18">
        <v>0</v>
      </c>
      <c r="PTG292" s="18">
        <v>0</v>
      </c>
      <c r="PTH292" s="18">
        <v>0</v>
      </c>
      <c r="PTI292" s="18">
        <v>0</v>
      </c>
      <c r="PTJ292" s="18">
        <v>0</v>
      </c>
      <c r="PTK292" s="18">
        <v>0</v>
      </c>
      <c r="PTL292" s="18">
        <v>0</v>
      </c>
      <c r="PTM292" s="18">
        <v>0</v>
      </c>
      <c r="PTN292" s="18">
        <v>0</v>
      </c>
      <c r="PTO292" s="18">
        <v>0</v>
      </c>
      <c r="PTP292" s="18">
        <v>0</v>
      </c>
      <c r="PTQ292" s="18">
        <v>0</v>
      </c>
      <c r="PTR292" s="18">
        <v>0</v>
      </c>
      <c r="PTS292" s="18">
        <v>0</v>
      </c>
      <c r="PTT292" s="18">
        <v>0</v>
      </c>
      <c r="PTU292" s="18">
        <v>0</v>
      </c>
      <c r="PTV292" s="18">
        <v>0</v>
      </c>
      <c r="PTW292" s="18">
        <v>0</v>
      </c>
      <c r="PTX292" s="18">
        <v>0</v>
      </c>
      <c r="PTY292" s="18">
        <v>0</v>
      </c>
      <c r="PTZ292" s="18">
        <v>0</v>
      </c>
      <c r="PUA292" s="18">
        <v>0</v>
      </c>
      <c r="PUB292" s="18">
        <v>0</v>
      </c>
      <c r="PUC292" s="18">
        <v>0</v>
      </c>
      <c r="PUD292" s="18">
        <v>0</v>
      </c>
      <c r="PUE292" s="18">
        <v>0</v>
      </c>
      <c r="PUF292" s="18">
        <v>0</v>
      </c>
      <c r="PUG292" s="18">
        <v>0</v>
      </c>
      <c r="PUH292" s="18">
        <v>0</v>
      </c>
      <c r="PUI292" s="18">
        <v>0</v>
      </c>
      <c r="PUJ292" s="18">
        <v>0</v>
      </c>
      <c r="PUK292" s="18">
        <v>0</v>
      </c>
      <c r="PUL292" s="18">
        <v>0</v>
      </c>
      <c r="PUM292" s="18">
        <v>0</v>
      </c>
      <c r="PUN292" s="18">
        <v>0</v>
      </c>
      <c r="PUO292" s="18">
        <v>0</v>
      </c>
      <c r="PUP292" s="18">
        <v>0</v>
      </c>
      <c r="PUQ292" s="18">
        <v>0</v>
      </c>
      <c r="PUR292" s="18">
        <v>0</v>
      </c>
      <c r="PUS292" s="18">
        <v>0</v>
      </c>
      <c r="PUT292" s="18">
        <v>0</v>
      </c>
      <c r="PUU292" s="18">
        <v>0</v>
      </c>
      <c r="PUV292" s="18">
        <v>0</v>
      </c>
      <c r="PUW292" s="18">
        <v>0</v>
      </c>
      <c r="PUX292" s="18">
        <v>0</v>
      </c>
      <c r="PUY292" s="18">
        <v>0</v>
      </c>
      <c r="PUZ292" s="18">
        <v>0</v>
      </c>
      <c r="PVA292" s="18">
        <v>0</v>
      </c>
      <c r="PVB292" s="18">
        <v>0</v>
      </c>
      <c r="PVC292" s="18">
        <v>0</v>
      </c>
      <c r="PVD292" s="18">
        <v>0</v>
      </c>
      <c r="PVE292" s="18">
        <v>0</v>
      </c>
      <c r="PVF292" s="18">
        <v>0</v>
      </c>
      <c r="PVG292" s="18">
        <v>0</v>
      </c>
      <c r="PVH292" s="18">
        <v>0</v>
      </c>
      <c r="PVI292" s="18">
        <v>0</v>
      </c>
      <c r="PVJ292" s="18">
        <v>0</v>
      </c>
      <c r="PVK292" s="18">
        <v>0</v>
      </c>
      <c r="PVL292" s="18">
        <v>0</v>
      </c>
      <c r="PVM292" s="18">
        <v>0</v>
      </c>
      <c r="PVN292" s="18">
        <v>0</v>
      </c>
      <c r="PVO292" s="18">
        <v>0</v>
      </c>
      <c r="PVP292" s="18">
        <v>0</v>
      </c>
      <c r="PVQ292" s="18">
        <v>0</v>
      </c>
      <c r="PVR292" s="18">
        <v>0</v>
      </c>
      <c r="PVS292" s="18">
        <v>0</v>
      </c>
      <c r="PVT292" s="18">
        <v>0</v>
      </c>
      <c r="PVU292" s="18">
        <v>0</v>
      </c>
      <c r="PVV292" s="18">
        <v>0</v>
      </c>
      <c r="PVW292" s="18">
        <v>0</v>
      </c>
      <c r="PVX292" s="18">
        <v>0</v>
      </c>
      <c r="PVY292" s="18">
        <v>0</v>
      </c>
      <c r="PVZ292" s="18">
        <v>0</v>
      </c>
      <c r="PWA292" s="18">
        <v>0</v>
      </c>
      <c r="PWB292" s="18">
        <v>0</v>
      </c>
      <c r="PWC292" s="18">
        <v>0</v>
      </c>
      <c r="PWD292" s="18">
        <v>0</v>
      </c>
      <c r="PWE292" s="18">
        <v>0</v>
      </c>
      <c r="PWF292" s="18">
        <v>0</v>
      </c>
      <c r="PWG292" s="18">
        <v>0</v>
      </c>
      <c r="PWH292" s="18">
        <v>0</v>
      </c>
      <c r="PWI292" s="18">
        <v>0</v>
      </c>
      <c r="PWJ292" s="18">
        <v>0</v>
      </c>
      <c r="PWK292" s="18">
        <v>0</v>
      </c>
      <c r="PWL292" s="18">
        <v>0</v>
      </c>
      <c r="PWM292" s="18">
        <v>0</v>
      </c>
      <c r="PWN292" s="18">
        <v>0</v>
      </c>
      <c r="PWO292" s="18">
        <v>0</v>
      </c>
      <c r="PWP292" s="18">
        <v>0</v>
      </c>
      <c r="PWQ292" s="18">
        <v>0</v>
      </c>
      <c r="PWR292" s="18">
        <v>0</v>
      </c>
      <c r="PWS292" s="18">
        <v>0</v>
      </c>
      <c r="PWT292" s="18">
        <v>0</v>
      </c>
      <c r="PWU292" s="18">
        <v>0</v>
      </c>
      <c r="PWV292" s="18">
        <v>0</v>
      </c>
      <c r="PWW292" s="18">
        <v>0</v>
      </c>
      <c r="PWX292" s="18">
        <v>0</v>
      </c>
      <c r="PWY292" s="18">
        <v>0</v>
      </c>
      <c r="PWZ292" s="18">
        <v>0</v>
      </c>
      <c r="PXA292" s="18">
        <v>0</v>
      </c>
      <c r="PXB292" s="18">
        <v>0</v>
      </c>
      <c r="PXC292" s="18">
        <v>0</v>
      </c>
      <c r="PXD292" s="18">
        <v>0</v>
      </c>
      <c r="PXE292" s="18">
        <v>0</v>
      </c>
      <c r="PXF292" s="18">
        <v>0</v>
      </c>
      <c r="PXG292" s="18">
        <v>0</v>
      </c>
      <c r="PXH292" s="18">
        <v>0</v>
      </c>
      <c r="PXI292" s="18">
        <v>0</v>
      </c>
      <c r="PXJ292" s="18">
        <v>0</v>
      </c>
      <c r="PXK292" s="18">
        <v>0</v>
      </c>
      <c r="PXL292" s="18">
        <v>0</v>
      </c>
      <c r="PXM292" s="18">
        <v>0</v>
      </c>
      <c r="PXN292" s="18">
        <v>0</v>
      </c>
      <c r="PXO292" s="18">
        <v>0</v>
      </c>
      <c r="PXP292" s="18">
        <v>0</v>
      </c>
      <c r="PXQ292" s="18">
        <v>0</v>
      </c>
      <c r="PXR292" s="18">
        <v>0</v>
      </c>
      <c r="PXS292" s="18">
        <v>0</v>
      </c>
      <c r="PXT292" s="18">
        <v>0</v>
      </c>
      <c r="PXU292" s="18">
        <v>0</v>
      </c>
      <c r="PXV292" s="18">
        <v>0</v>
      </c>
      <c r="PXW292" s="18">
        <v>0</v>
      </c>
      <c r="PXX292" s="18">
        <v>0</v>
      </c>
      <c r="PXY292" s="18">
        <v>0</v>
      </c>
      <c r="PXZ292" s="18">
        <v>0</v>
      </c>
      <c r="PYA292" s="18">
        <v>0</v>
      </c>
      <c r="PYB292" s="18">
        <v>0</v>
      </c>
      <c r="PYC292" s="18">
        <v>0</v>
      </c>
      <c r="PYD292" s="18">
        <v>0</v>
      </c>
      <c r="PYE292" s="18">
        <v>0</v>
      </c>
      <c r="PYF292" s="18">
        <v>0</v>
      </c>
      <c r="PYG292" s="18">
        <v>0</v>
      </c>
      <c r="PYH292" s="18">
        <v>0</v>
      </c>
      <c r="PYI292" s="18">
        <v>0</v>
      </c>
      <c r="PYJ292" s="18">
        <v>0</v>
      </c>
      <c r="PYK292" s="18">
        <v>0</v>
      </c>
      <c r="PYL292" s="18">
        <v>0</v>
      </c>
      <c r="PYM292" s="18">
        <v>0</v>
      </c>
      <c r="PYN292" s="18">
        <v>0</v>
      </c>
      <c r="PYO292" s="18">
        <v>0</v>
      </c>
      <c r="PYP292" s="18">
        <v>0</v>
      </c>
      <c r="PYQ292" s="18">
        <v>0</v>
      </c>
      <c r="PYR292" s="18">
        <v>0</v>
      </c>
      <c r="PYS292" s="18">
        <v>0</v>
      </c>
      <c r="PYT292" s="18">
        <v>0</v>
      </c>
      <c r="PYU292" s="18">
        <v>0</v>
      </c>
      <c r="PYV292" s="18">
        <v>0</v>
      </c>
      <c r="PYW292" s="18">
        <v>0</v>
      </c>
      <c r="PYX292" s="18">
        <v>0</v>
      </c>
      <c r="PYY292" s="18">
        <v>0</v>
      </c>
      <c r="PYZ292" s="18">
        <v>0</v>
      </c>
      <c r="PZA292" s="18">
        <v>0</v>
      </c>
      <c r="PZB292" s="18">
        <v>0</v>
      </c>
      <c r="PZC292" s="18">
        <v>0</v>
      </c>
      <c r="PZD292" s="18">
        <v>0</v>
      </c>
      <c r="PZE292" s="18">
        <v>0</v>
      </c>
      <c r="PZF292" s="18">
        <v>0</v>
      </c>
      <c r="PZG292" s="18">
        <v>0</v>
      </c>
      <c r="PZH292" s="18">
        <v>0</v>
      </c>
      <c r="PZI292" s="18">
        <v>0</v>
      </c>
      <c r="PZJ292" s="18">
        <v>0</v>
      </c>
      <c r="PZK292" s="18">
        <v>0</v>
      </c>
      <c r="PZL292" s="18">
        <v>0</v>
      </c>
      <c r="PZM292" s="18">
        <v>0</v>
      </c>
      <c r="PZN292" s="18">
        <v>0</v>
      </c>
      <c r="PZO292" s="18">
        <v>0</v>
      </c>
      <c r="PZP292" s="18">
        <v>0</v>
      </c>
      <c r="PZQ292" s="18">
        <v>0</v>
      </c>
      <c r="PZR292" s="18">
        <v>0</v>
      </c>
      <c r="PZS292" s="18">
        <v>0</v>
      </c>
      <c r="PZT292" s="18">
        <v>0</v>
      </c>
      <c r="PZU292" s="18">
        <v>0</v>
      </c>
      <c r="PZV292" s="18">
        <v>0</v>
      </c>
      <c r="PZW292" s="18">
        <v>0</v>
      </c>
      <c r="PZX292" s="18">
        <v>0</v>
      </c>
      <c r="PZY292" s="18">
        <v>0</v>
      </c>
      <c r="PZZ292" s="18">
        <v>0</v>
      </c>
      <c r="QAA292" s="18">
        <v>0</v>
      </c>
      <c r="QAB292" s="18">
        <v>0</v>
      </c>
      <c r="QAC292" s="18">
        <v>0</v>
      </c>
      <c r="QAD292" s="18">
        <v>0</v>
      </c>
      <c r="QAE292" s="18">
        <v>0</v>
      </c>
      <c r="QAF292" s="18">
        <v>0</v>
      </c>
      <c r="QAG292" s="18">
        <v>0</v>
      </c>
      <c r="QAH292" s="18">
        <v>0</v>
      </c>
      <c r="QAI292" s="18">
        <v>0</v>
      </c>
      <c r="QAJ292" s="18">
        <v>0</v>
      </c>
      <c r="QAK292" s="18">
        <v>0</v>
      </c>
      <c r="QAL292" s="18">
        <v>0</v>
      </c>
      <c r="QAM292" s="18">
        <v>0</v>
      </c>
      <c r="QAN292" s="18">
        <v>0</v>
      </c>
      <c r="QAO292" s="18">
        <v>0</v>
      </c>
      <c r="QAP292" s="18">
        <v>0</v>
      </c>
      <c r="QAQ292" s="18">
        <v>0</v>
      </c>
      <c r="QAR292" s="18">
        <v>0</v>
      </c>
      <c r="QAS292" s="18">
        <v>0</v>
      </c>
      <c r="QAT292" s="18">
        <v>0</v>
      </c>
      <c r="QAU292" s="18">
        <v>0</v>
      </c>
      <c r="QAV292" s="18">
        <v>0</v>
      </c>
      <c r="QAW292" s="18">
        <v>0</v>
      </c>
      <c r="QAX292" s="18">
        <v>0</v>
      </c>
      <c r="QAY292" s="18">
        <v>0</v>
      </c>
      <c r="QAZ292" s="18">
        <v>0</v>
      </c>
      <c r="QBA292" s="18">
        <v>0</v>
      </c>
      <c r="QBB292" s="18">
        <v>0</v>
      </c>
      <c r="QBC292" s="18">
        <v>0</v>
      </c>
      <c r="QBD292" s="18">
        <v>0</v>
      </c>
      <c r="QBE292" s="18">
        <v>0</v>
      </c>
      <c r="QBF292" s="18">
        <v>0</v>
      </c>
      <c r="QBG292" s="18">
        <v>0</v>
      </c>
      <c r="QBH292" s="18">
        <v>0</v>
      </c>
      <c r="QBI292" s="18">
        <v>0</v>
      </c>
      <c r="QBJ292" s="18">
        <v>0</v>
      </c>
      <c r="QBK292" s="18">
        <v>0</v>
      </c>
      <c r="QBL292" s="18">
        <v>0</v>
      </c>
      <c r="QBM292" s="18">
        <v>0</v>
      </c>
      <c r="QBN292" s="18">
        <v>0</v>
      </c>
      <c r="QBO292" s="18">
        <v>0</v>
      </c>
      <c r="QBP292" s="18">
        <v>0</v>
      </c>
      <c r="QBQ292" s="18">
        <v>0</v>
      </c>
      <c r="QBR292" s="18">
        <v>0</v>
      </c>
      <c r="QBS292" s="18">
        <v>0</v>
      </c>
      <c r="QBT292" s="18">
        <v>0</v>
      </c>
      <c r="QBU292" s="18">
        <v>0</v>
      </c>
      <c r="QBV292" s="18">
        <v>0</v>
      </c>
      <c r="QBW292" s="18">
        <v>0</v>
      </c>
      <c r="QBX292" s="18">
        <v>0</v>
      </c>
      <c r="QBY292" s="18">
        <v>0</v>
      </c>
      <c r="QBZ292" s="18">
        <v>0</v>
      </c>
      <c r="QCA292" s="18">
        <v>0</v>
      </c>
      <c r="QCB292" s="18">
        <v>0</v>
      </c>
      <c r="QCC292" s="18">
        <v>0</v>
      </c>
      <c r="QCD292" s="18">
        <v>0</v>
      </c>
      <c r="QCE292" s="18">
        <v>0</v>
      </c>
      <c r="QCF292" s="18">
        <v>0</v>
      </c>
      <c r="QCG292" s="18">
        <v>0</v>
      </c>
      <c r="QCH292" s="18">
        <v>0</v>
      </c>
      <c r="QCI292" s="18">
        <v>0</v>
      </c>
      <c r="QCJ292" s="18">
        <v>0</v>
      </c>
      <c r="QCK292" s="18">
        <v>0</v>
      </c>
      <c r="QCL292" s="18">
        <v>0</v>
      </c>
      <c r="QCM292" s="18">
        <v>0</v>
      </c>
      <c r="QCN292" s="18">
        <v>0</v>
      </c>
      <c r="QCO292" s="18">
        <v>0</v>
      </c>
      <c r="QCP292" s="18">
        <v>0</v>
      </c>
      <c r="QCQ292" s="18">
        <v>0</v>
      </c>
      <c r="QCR292" s="18">
        <v>0</v>
      </c>
      <c r="QCS292" s="18">
        <v>0</v>
      </c>
      <c r="QCT292" s="18">
        <v>0</v>
      </c>
      <c r="QCU292" s="18">
        <v>0</v>
      </c>
      <c r="QCV292" s="18">
        <v>0</v>
      </c>
      <c r="QCW292" s="18">
        <v>0</v>
      </c>
      <c r="QCX292" s="18">
        <v>0</v>
      </c>
      <c r="QCY292" s="18">
        <v>0</v>
      </c>
      <c r="QCZ292" s="18">
        <v>0</v>
      </c>
      <c r="QDA292" s="18">
        <v>0</v>
      </c>
      <c r="QDB292" s="18">
        <v>0</v>
      </c>
      <c r="QDC292" s="18">
        <v>0</v>
      </c>
      <c r="QDD292" s="18">
        <v>0</v>
      </c>
      <c r="QDE292" s="18">
        <v>0</v>
      </c>
      <c r="QDF292" s="18">
        <v>0</v>
      </c>
      <c r="QDG292" s="18">
        <v>0</v>
      </c>
      <c r="QDH292" s="18">
        <v>0</v>
      </c>
      <c r="QDI292" s="18">
        <v>0</v>
      </c>
      <c r="QDJ292" s="18">
        <v>0</v>
      </c>
      <c r="QDK292" s="18">
        <v>0</v>
      </c>
      <c r="QDL292" s="18">
        <v>0</v>
      </c>
      <c r="QDM292" s="18">
        <v>0</v>
      </c>
      <c r="QDN292" s="18">
        <v>0</v>
      </c>
      <c r="QDO292" s="18">
        <v>0</v>
      </c>
      <c r="QDP292" s="18">
        <v>0</v>
      </c>
      <c r="QDQ292" s="18">
        <v>0</v>
      </c>
      <c r="QDR292" s="18">
        <v>0</v>
      </c>
      <c r="QDS292" s="18">
        <v>0</v>
      </c>
      <c r="QDT292" s="18">
        <v>0</v>
      </c>
      <c r="QDU292" s="18">
        <v>0</v>
      </c>
      <c r="QDV292" s="18">
        <v>0</v>
      </c>
      <c r="QDW292" s="18">
        <v>0</v>
      </c>
      <c r="QDX292" s="18">
        <v>0</v>
      </c>
      <c r="QDY292" s="18">
        <v>0</v>
      </c>
      <c r="QDZ292" s="18">
        <v>0</v>
      </c>
      <c r="QEA292" s="18">
        <v>0</v>
      </c>
      <c r="QEB292" s="18">
        <v>0</v>
      </c>
      <c r="QEC292" s="18">
        <v>0</v>
      </c>
      <c r="QED292" s="18">
        <v>0</v>
      </c>
      <c r="QEE292" s="18">
        <v>0</v>
      </c>
      <c r="QEF292" s="18">
        <v>0</v>
      </c>
      <c r="QEG292" s="18">
        <v>0</v>
      </c>
      <c r="QEH292" s="18">
        <v>0</v>
      </c>
      <c r="QEI292" s="18">
        <v>0</v>
      </c>
      <c r="QEJ292" s="18">
        <v>0</v>
      </c>
      <c r="QEK292" s="18">
        <v>0</v>
      </c>
      <c r="QEL292" s="18">
        <v>0</v>
      </c>
      <c r="QEM292" s="18">
        <v>0</v>
      </c>
      <c r="QEN292" s="18">
        <v>0</v>
      </c>
      <c r="QEO292" s="18">
        <v>0</v>
      </c>
      <c r="QEP292" s="18">
        <v>0</v>
      </c>
      <c r="QEQ292" s="18">
        <v>0</v>
      </c>
      <c r="QER292" s="18">
        <v>0</v>
      </c>
      <c r="QES292" s="18">
        <v>0</v>
      </c>
      <c r="QET292" s="18">
        <v>0</v>
      </c>
      <c r="QEU292" s="18">
        <v>0</v>
      </c>
      <c r="QEV292" s="18">
        <v>0</v>
      </c>
      <c r="QEW292" s="18">
        <v>0</v>
      </c>
      <c r="QEX292" s="18">
        <v>0</v>
      </c>
      <c r="QEY292" s="18">
        <v>0</v>
      </c>
      <c r="QEZ292" s="18">
        <v>0</v>
      </c>
      <c r="QFA292" s="18">
        <v>0</v>
      </c>
      <c r="QFB292" s="18">
        <v>0</v>
      </c>
      <c r="QFC292" s="18">
        <v>0</v>
      </c>
      <c r="QFD292" s="18">
        <v>0</v>
      </c>
      <c r="QFE292" s="18">
        <v>0</v>
      </c>
      <c r="QFF292" s="18">
        <v>0</v>
      </c>
      <c r="QFG292" s="18">
        <v>0</v>
      </c>
      <c r="QFH292" s="18">
        <v>0</v>
      </c>
      <c r="QFI292" s="18">
        <v>0</v>
      </c>
      <c r="QFJ292" s="18">
        <v>0</v>
      </c>
      <c r="QFK292" s="18">
        <v>0</v>
      </c>
      <c r="QFL292" s="18">
        <v>0</v>
      </c>
      <c r="QFM292" s="18">
        <v>0</v>
      </c>
      <c r="QFN292" s="18">
        <v>0</v>
      </c>
      <c r="QFO292" s="18">
        <v>0</v>
      </c>
      <c r="QFP292" s="18">
        <v>0</v>
      </c>
      <c r="QFQ292" s="18">
        <v>0</v>
      </c>
      <c r="QFR292" s="18">
        <v>0</v>
      </c>
      <c r="QFS292" s="18">
        <v>0</v>
      </c>
      <c r="QFT292" s="18">
        <v>0</v>
      </c>
      <c r="QFU292" s="18">
        <v>0</v>
      </c>
      <c r="QFV292" s="18">
        <v>0</v>
      </c>
      <c r="QFW292" s="18">
        <v>0</v>
      </c>
      <c r="QFX292" s="18">
        <v>0</v>
      </c>
      <c r="QFY292" s="18">
        <v>0</v>
      </c>
      <c r="QFZ292" s="18">
        <v>0</v>
      </c>
      <c r="QGA292" s="18">
        <v>0</v>
      </c>
      <c r="QGB292" s="18">
        <v>0</v>
      </c>
      <c r="QGC292" s="18">
        <v>0</v>
      </c>
      <c r="QGD292" s="18">
        <v>0</v>
      </c>
      <c r="QGE292" s="18">
        <v>0</v>
      </c>
      <c r="QGF292" s="18">
        <v>0</v>
      </c>
      <c r="QGG292" s="18">
        <v>0</v>
      </c>
      <c r="QGH292" s="18">
        <v>0</v>
      </c>
      <c r="QGI292" s="18">
        <v>0</v>
      </c>
      <c r="QGJ292" s="18">
        <v>0</v>
      </c>
      <c r="QGK292" s="18">
        <v>0</v>
      </c>
      <c r="QGL292" s="18">
        <v>0</v>
      </c>
      <c r="QGM292" s="18">
        <v>0</v>
      </c>
      <c r="QGN292" s="18">
        <v>0</v>
      </c>
      <c r="QGO292" s="18">
        <v>0</v>
      </c>
      <c r="QGP292" s="18">
        <v>0</v>
      </c>
      <c r="QGQ292" s="18">
        <v>0</v>
      </c>
      <c r="QGR292" s="18">
        <v>0</v>
      </c>
      <c r="QGS292" s="18">
        <v>0</v>
      </c>
      <c r="QGT292" s="18">
        <v>0</v>
      </c>
      <c r="QGU292" s="18">
        <v>0</v>
      </c>
      <c r="QGV292" s="18">
        <v>0</v>
      </c>
      <c r="QGW292" s="18">
        <v>0</v>
      </c>
      <c r="QGX292" s="18">
        <v>0</v>
      </c>
      <c r="QGY292" s="18">
        <v>0</v>
      </c>
      <c r="QGZ292" s="18">
        <v>0</v>
      </c>
      <c r="QHA292" s="18">
        <v>0</v>
      </c>
      <c r="QHB292" s="18">
        <v>0</v>
      </c>
      <c r="QHC292" s="18">
        <v>0</v>
      </c>
      <c r="QHD292" s="18">
        <v>0</v>
      </c>
      <c r="QHE292" s="18">
        <v>0</v>
      </c>
      <c r="QHF292" s="18">
        <v>0</v>
      </c>
      <c r="QHG292" s="18">
        <v>0</v>
      </c>
      <c r="QHH292" s="18">
        <v>0</v>
      </c>
      <c r="QHI292" s="18">
        <v>0</v>
      </c>
      <c r="QHJ292" s="18">
        <v>0</v>
      </c>
      <c r="QHK292" s="18">
        <v>0</v>
      </c>
      <c r="QHL292" s="18">
        <v>0</v>
      </c>
      <c r="QHM292" s="18">
        <v>0</v>
      </c>
      <c r="QHN292" s="18">
        <v>0</v>
      </c>
      <c r="QHO292" s="18">
        <v>0</v>
      </c>
      <c r="QHP292" s="18">
        <v>0</v>
      </c>
      <c r="QHQ292" s="18">
        <v>0</v>
      </c>
      <c r="QHR292" s="18">
        <v>0</v>
      </c>
      <c r="QHS292" s="18">
        <v>0</v>
      </c>
      <c r="QHT292" s="18">
        <v>0</v>
      </c>
      <c r="QHU292" s="18">
        <v>0</v>
      </c>
      <c r="QHV292" s="18">
        <v>0</v>
      </c>
      <c r="QHW292" s="18">
        <v>0</v>
      </c>
      <c r="QHX292" s="18">
        <v>0</v>
      </c>
      <c r="QHY292" s="18">
        <v>0</v>
      </c>
      <c r="QHZ292" s="18">
        <v>0</v>
      </c>
      <c r="QIA292" s="18">
        <v>0</v>
      </c>
      <c r="QIB292" s="18">
        <v>0</v>
      </c>
      <c r="QIC292" s="18">
        <v>0</v>
      </c>
      <c r="QID292" s="18">
        <v>0</v>
      </c>
      <c r="QIE292" s="18">
        <v>0</v>
      </c>
      <c r="QIF292" s="18">
        <v>0</v>
      </c>
      <c r="QIG292" s="18">
        <v>0</v>
      </c>
      <c r="QIH292" s="18">
        <v>0</v>
      </c>
      <c r="QII292" s="18">
        <v>0</v>
      </c>
      <c r="QIJ292" s="18">
        <v>0</v>
      </c>
      <c r="QIK292" s="18">
        <v>0</v>
      </c>
      <c r="QIL292" s="18">
        <v>0</v>
      </c>
      <c r="QIM292" s="18">
        <v>0</v>
      </c>
      <c r="QIN292" s="18">
        <v>0</v>
      </c>
      <c r="QIO292" s="18">
        <v>0</v>
      </c>
      <c r="QIP292" s="18">
        <v>0</v>
      </c>
      <c r="QIQ292" s="18">
        <v>0</v>
      </c>
      <c r="QIR292" s="18">
        <v>0</v>
      </c>
      <c r="QIS292" s="18">
        <v>0</v>
      </c>
      <c r="QIT292" s="18">
        <v>0</v>
      </c>
      <c r="QIU292" s="18">
        <v>0</v>
      </c>
      <c r="QIV292" s="18">
        <v>0</v>
      </c>
      <c r="QIW292" s="18">
        <v>0</v>
      </c>
      <c r="QIX292" s="18">
        <v>0</v>
      </c>
      <c r="QIY292" s="18">
        <v>0</v>
      </c>
      <c r="QIZ292" s="18">
        <v>0</v>
      </c>
      <c r="QJA292" s="18">
        <v>0</v>
      </c>
      <c r="QJB292" s="18">
        <v>0</v>
      </c>
      <c r="QJC292" s="18">
        <v>0</v>
      </c>
      <c r="QJD292" s="18">
        <v>0</v>
      </c>
      <c r="QJE292" s="18">
        <v>0</v>
      </c>
      <c r="QJF292" s="18">
        <v>0</v>
      </c>
      <c r="QJG292" s="18">
        <v>0</v>
      </c>
      <c r="QJH292" s="18">
        <v>0</v>
      </c>
      <c r="QJI292" s="18">
        <v>0</v>
      </c>
      <c r="QJJ292" s="18">
        <v>0</v>
      </c>
      <c r="QJK292" s="18">
        <v>0</v>
      </c>
      <c r="QJL292" s="18">
        <v>0</v>
      </c>
      <c r="QJM292" s="18">
        <v>0</v>
      </c>
      <c r="QJN292" s="18">
        <v>0</v>
      </c>
      <c r="QJO292" s="18">
        <v>0</v>
      </c>
      <c r="QJP292" s="18">
        <v>0</v>
      </c>
      <c r="QJQ292" s="18">
        <v>0</v>
      </c>
      <c r="QJR292" s="18">
        <v>0</v>
      </c>
      <c r="QJS292" s="18">
        <v>0</v>
      </c>
      <c r="QJT292" s="18">
        <v>0</v>
      </c>
      <c r="QJU292" s="18">
        <v>0</v>
      </c>
      <c r="QJV292" s="18">
        <v>0</v>
      </c>
      <c r="QJW292" s="18">
        <v>0</v>
      </c>
      <c r="QJX292" s="18">
        <v>0</v>
      </c>
      <c r="QJY292" s="18">
        <v>0</v>
      </c>
      <c r="QJZ292" s="18">
        <v>0</v>
      </c>
      <c r="QKA292" s="18">
        <v>0</v>
      </c>
      <c r="QKB292" s="18">
        <v>0</v>
      </c>
      <c r="QKC292" s="18">
        <v>0</v>
      </c>
      <c r="QKD292" s="18">
        <v>0</v>
      </c>
      <c r="QKE292" s="18">
        <v>0</v>
      </c>
      <c r="QKF292" s="18">
        <v>0</v>
      </c>
      <c r="QKG292" s="18">
        <v>0</v>
      </c>
      <c r="QKH292" s="18">
        <v>0</v>
      </c>
      <c r="QKI292" s="18">
        <v>0</v>
      </c>
      <c r="QKJ292" s="18">
        <v>0</v>
      </c>
      <c r="QKK292" s="18">
        <v>0</v>
      </c>
      <c r="QKL292" s="18">
        <v>0</v>
      </c>
      <c r="QKM292" s="18">
        <v>0</v>
      </c>
      <c r="QKN292" s="18">
        <v>0</v>
      </c>
      <c r="QKO292" s="18">
        <v>0</v>
      </c>
      <c r="QKP292" s="18">
        <v>0</v>
      </c>
      <c r="QKQ292" s="18">
        <v>0</v>
      </c>
      <c r="QKR292" s="18">
        <v>0</v>
      </c>
      <c r="QKS292" s="18">
        <v>0</v>
      </c>
      <c r="QKT292" s="18">
        <v>0</v>
      </c>
      <c r="QKU292" s="18">
        <v>0</v>
      </c>
      <c r="QKV292" s="18">
        <v>0</v>
      </c>
      <c r="QKW292" s="18">
        <v>0</v>
      </c>
      <c r="QKX292" s="18">
        <v>0</v>
      </c>
      <c r="QKY292" s="18">
        <v>0</v>
      </c>
      <c r="QKZ292" s="18">
        <v>0</v>
      </c>
      <c r="QLA292" s="18">
        <v>0</v>
      </c>
      <c r="QLB292" s="18">
        <v>0</v>
      </c>
      <c r="QLC292" s="18">
        <v>0</v>
      </c>
      <c r="QLD292" s="18">
        <v>0</v>
      </c>
      <c r="QLE292" s="18">
        <v>0</v>
      </c>
      <c r="QLF292" s="18">
        <v>0</v>
      </c>
      <c r="QLG292" s="18">
        <v>0</v>
      </c>
      <c r="QLH292" s="18">
        <v>0</v>
      </c>
      <c r="QLI292" s="18">
        <v>0</v>
      </c>
      <c r="QLJ292" s="18">
        <v>0</v>
      </c>
      <c r="QLK292" s="18">
        <v>0</v>
      </c>
      <c r="QLL292" s="18">
        <v>0</v>
      </c>
      <c r="QLM292" s="18">
        <v>0</v>
      </c>
      <c r="QLN292" s="18">
        <v>0</v>
      </c>
      <c r="QLO292" s="18">
        <v>0</v>
      </c>
      <c r="QLP292" s="18">
        <v>0</v>
      </c>
      <c r="QLQ292" s="18">
        <v>0</v>
      </c>
      <c r="QLR292" s="18">
        <v>0</v>
      </c>
      <c r="QLS292" s="18">
        <v>0</v>
      </c>
      <c r="QLT292" s="18">
        <v>0</v>
      </c>
      <c r="QLU292" s="18">
        <v>0</v>
      </c>
      <c r="QLV292" s="18">
        <v>0</v>
      </c>
      <c r="QLW292" s="18">
        <v>0</v>
      </c>
      <c r="QLX292" s="18">
        <v>0</v>
      </c>
      <c r="QLY292" s="18">
        <v>0</v>
      </c>
      <c r="QLZ292" s="18">
        <v>0</v>
      </c>
      <c r="QMA292" s="18">
        <v>0</v>
      </c>
      <c r="QMB292" s="18">
        <v>0</v>
      </c>
      <c r="QMC292" s="18">
        <v>0</v>
      </c>
      <c r="QMD292" s="18">
        <v>0</v>
      </c>
      <c r="QME292" s="18">
        <v>0</v>
      </c>
      <c r="QMF292" s="18">
        <v>0</v>
      </c>
      <c r="QMG292" s="18">
        <v>0</v>
      </c>
      <c r="QMH292" s="18">
        <v>0</v>
      </c>
      <c r="QMI292" s="18">
        <v>0</v>
      </c>
      <c r="QMJ292" s="18">
        <v>0</v>
      </c>
      <c r="QMK292" s="18">
        <v>0</v>
      </c>
      <c r="QML292" s="18">
        <v>0</v>
      </c>
      <c r="QMM292" s="18">
        <v>0</v>
      </c>
      <c r="QMN292" s="18">
        <v>0</v>
      </c>
      <c r="QMO292" s="18">
        <v>0</v>
      </c>
      <c r="QMP292" s="18">
        <v>0</v>
      </c>
      <c r="QMQ292" s="18">
        <v>0</v>
      </c>
      <c r="QMR292" s="18">
        <v>0</v>
      </c>
      <c r="QMS292" s="18">
        <v>0</v>
      </c>
      <c r="QMT292" s="18">
        <v>0</v>
      </c>
      <c r="QMU292" s="18">
        <v>0</v>
      </c>
      <c r="QMV292" s="18">
        <v>0</v>
      </c>
      <c r="QMW292" s="18">
        <v>0</v>
      </c>
      <c r="QMX292" s="18">
        <v>0</v>
      </c>
      <c r="QMY292" s="18">
        <v>0</v>
      </c>
      <c r="QMZ292" s="18">
        <v>0</v>
      </c>
      <c r="QNA292" s="18">
        <v>0</v>
      </c>
      <c r="QNB292" s="18">
        <v>0</v>
      </c>
      <c r="QNC292" s="18">
        <v>0</v>
      </c>
      <c r="QND292" s="18">
        <v>0</v>
      </c>
      <c r="QNE292" s="18">
        <v>0</v>
      </c>
      <c r="QNF292" s="18">
        <v>0</v>
      </c>
      <c r="QNG292" s="18">
        <v>0</v>
      </c>
      <c r="QNH292" s="18">
        <v>0</v>
      </c>
      <c r="QNI292" s="18">
        <v>0</v>
      </c>
      <c r="QNJ292" s="18">
        <v>0</v>
      </c>
      <c r="QNK292" s="18">
        <v>0</v>
      </c>
      <c r="QNL292" s="18">
        <v>0</v>
      </c>
      <c r="QNM292" s="18">
        <v>0</v>
      </c>
      <c r="QNN292" s="18">
        <v>0</v>
      </c>
      <c r="QNO292" s="18">
        <v>0</v>
      </c>
      <c r="QNP292" s="18">
        <v>0</v>
      </c>
      <c r="QNQ292" s="18">
        <v>0</v>
      </c>
      <c r="QNR292" s="18">
        <v>0</v>
      </c>
      <c r="QNS292" s="18">
        <v>0</v>
      </c>
      <c r="QNT292" s="18">
        <v>0</v>
      </c>
      <c r="QNU292" s="18">
        <v>0</v>
      </c>
      <c r="QNV292" s="18">
        <v>0</v>
      </c>
      <c r="QNW292" s="18">
        <v>0</v>
      </c>
      <c r="QNX292" s="18">
        <v>0</v>
      </c>
      <c r="QNY292" s="18">
        <v>0</v>
      </c>
      <c r="QNZ292" s="18">
        <v>0</v>
      </c>
      <c r="QOA292" s="18">
        <v>0</v>
      </c>
      <c r="QOB292" s="18">
        <v>0</v>
      </c>
      <c r="QOC292" s="18">
        <v>0</v>
      </c>
      <c r="QOD292" s="18">
        <v>0</v>
      </c>
      <c r="QOE292" s="18">
        <v>0</v>
      </c>
      <c r="QOF292" s="18">
        <v>0</v>
      </c>
      <c r="QOG292" s="18">
        <v>0</v>
      </c>
      <c r="QOH292" s="18">
        <v>0</v>
      </c>
      <c r="QOI292" s="18">
        <v>0</v>
      </c>
      <c r="QOJ292" s="18">
        <v>0</v>
      </c>
      <c r="QOK292" s="18">
        <v>0</v>
      </c>
      <c r="QOL292" s="18">
        <v>0</v>
      </c>
      <c r="QOM292" s="18">
        <v>0</v>
      </c>
      <c r="QON292" s="18">
        <v>0</v>
      </c>
      <c r="QOO292" s="18">
        <v>0</v>
      </c>
      <c r="QOP292" s="18">
        <v>0</v>
      </c>
      <c r="QOQ292" s="18">
        <v>0</v>
      </c>
      <c r="QOR292" s="18">
        <v>0</v>
      </c>
      <c r="QOS292" s="18">
        <v>0</v>
      </c>
      <c r="QOT292" s="18">
        <v>0</v>
      </c>
      <c r="QOU292" s="18">
        <v>0</v>
      </c>
      <c r="QOV292" s="18">
        <v>0</v>
      </c>
      <c r="QOW292" s="18">
        <v>0</v>
      </c>
      <c r="QOX292" s="18">
        <v>0</v>
      </c>
      <c r="QOY292" s="18">
        <v>0</v>
      </c>
      <c r="QOZ292" s="18">
        <v>0</v>
      </c>
      <c r="QPA292" s="18">
        <v>0</v>
      </c>
      <c r="QPB292" s="18">
        <v>0</v>
      </c>
      <c r="QPC292" s="18">
        <v>0</v>
      </c>
      <c r="QPD292" s="18">
        <v>0</v>
      </c>
      <c r="QPE292" s="18">
        <v>0</v>
      </c>
      <c r="QPF292" s="18">
        <v>0</v>
      </c>
      <c r="QPG292" s="18">
        <v>0</v>
      </c>
      <c r="QPH292" s="18">
        <v>0</v>
      </c>
      <c r="QPI292" s="18">
        <v>0</v>
      </c>
      <c r="QPJ292" s="18">
        <v>0</v>
      </c>
      <c r="QPK292" s="18">
        <v>0</v>
      </c>
      <c r="QPL292" s="18">
        <v>0</v>
      </c>
      <c r="QPM292" s="18">
        <v>0</v>
      </c>
      <c r="QPN292" s="18">
        <v>0</v>
      </c>
      <c r="QPO292" s="18">
        <v>0</v>
      </c>
      <c r="QPP292" s="18">
        <v>0</v>
      </c>
      <c r="QPQ292" s="18">
        <v>0</v>
      </c>
      <c r="QPR292" s="18">
        <v>0</v>
      </c>
      <c r="QPS292" s="18">
        <v>0</v>
      </c>
      <c r="QPT292" s="18">
        <v>0</v>
      </c>
      <c r="QPU292" s="18">
        <v>0</v>
      </c>
      <c r="QPV292" s="18">
        <v>0</v>
      </c>
      <c r="QPW292" s="18">
        <v>0</v>
      </c>
      <c r="QPX292" s="18">
        <v>0</v>
      </c>
      <c r="QPY292" s="18">
        <v>0</v>
      </c>
      <c r="QPZ292" s="18">
        <v>0</v>
      </c>
      <c r="QQA292" s="18">
        <v>0</v>
      </c>
      <c r="QQB292" s="18">
        <v>0</v>
      </c>
      <c r="QQC292" s="18">
        <v>0</v>
      </c>
      <c r="QQD292" s="18">
        <v>0</v>
      </c>
      <c r="QQE292" s="18">
        <v>0</v>
      </c>
      <c r="QQF292" s="18">
        <v>0</v>
      </c>
      <c r="QQG292" s="18">
        <v>0</v>
      </c>
      <c r="QQH292" s="18">
        <v>0</v>
      </c>
      <c r="QQI292" s="18">
        <v>0</v>
      </c>
      <c r="QQJ292" s="18">
        <v>0</v>
      </c>
      <c r="QQK292" s="18">
        <v>0</v>
      </c>
      <c r="QQL292" s="18">
        <v>0</v>
      </c>
      <c r="QQM292" s="18">
        <v>0</v>
      </c>
      <c r="QQN292" s="18">
        <v>0</v>
      </c>
      <c r="QQO292" s="18">
        <v>0</v>
      </c>
      <c r="QQP292" s="18">
        <v>0</v>
      </c>
      <c r="QQQ292" s="18">
        <v>0</v>
      </c>
      <c r="QQR292" s="18">
        <v>0</v>
      </c>
      <c r="QQS292" s="18">
        <v>0</v>
      </c>
      <c r="QQT292" s="18">
        <v>0</v>
      </c>
      <c r="QQU292" s="18">
        <v>0</v>
      </c>
      <c r="QQV292" s="18">
        <v>0</v>
      </c>
      <c r="QQW292" s="18">
        <v>0</v>
      </c>
      <c r="QQX292" s="18">
        <v>0</v>
      </c>
      <c r="QQY292" s="18">
        <v>0</v>
      </c>
      <c r="QQZ292" s="18">
        <v>0</v>
      </c>
      <c r="QRA292" s="18">
        <v>0</v>
      </c>
      <c r="QRB292" s="18">
        <v>0</v>
      </c>
      <c r="QRC292" s="18">
        <v>0</v>
      </c>
      <c r="QRD292" s="18">
        <v>0</v>
      </c>
      <c r="QRE292" s="18">
        <v>0</v>
      </c>
      <c r="QRF292" s="18">
        <v>0</v>
      </c>
      <c r="QRG292" s="18">
        <v>0</v>
      </c>
      <c r="QRH292" s="18">
        <v>0</v>
      </c>
      <c r="QRI292" s="18">
        <v>0</v>
      </c>
      <c r="QRJ292" s="18">
        <v>0</v>
      </c>
      <c r="QRK292" s="18">
        <v>0</v>
      </c>
      <c r="QRL292" s="18">
        <v>0</v>
      </c>
      <c r="QRM292" s="18">
        <v>0</v>
      </c>
      <c r="QRN292" s="18">
        <v>0</v>
      </c>
      <c r="QRO292" s="18">
        <v>0</v>
      </c>
      <c r="QRP292" s="18">
        <v>0</v>
      </c>
      <c r="QRQ292" s="18">
        <v>0</v>
      </c>
      <c r="QRR292" s="18">
        <v>0</v>
      </c>
      <c r="QRS292" s="18">
        <v>0</v>
      </c>
      <c r="QRT292" s="18">
        <v>0</v>
      </c>
      <c r="QRU292" s="18">
        <v>0</v>
      </c>
      <c r="QRV292" s="18">
        <v>0</v>
      </c>
      <c r="QRW292" s="18">
        <v>0</v>
      </c>
      <c r="QRX292" s="18">
        <v>0</v>
      </c>
      <c r="QRY292" s="18">
        <v>0</v>
      </c>
      <c r="QRZ292" s="18">
        <v>0</v>
      </c>
      <c r="QSA292" s="18">
        <v>0</v>
      </c>
      <c r="QSB292" s="18">
        <v>0</v>
      </c>
      <c r="QSC292" s="18">
        <v>0</v>
      </c>
      <c r="QSD292" s="18">
        <v>0</v>
      </c>
      <c r="QSE292" s="18">
        <v>0</v>
      </c>
      <c r="QSF292" s="18">
        <v>0</v>
      </c>
      <c r="QSG292" s="18">
        <v>0</v>
      </c>
      <c r="QSH292" s="18">
        <v>0</v>
      </c>
      <c r="QSI292" s="18">
        <v>0</v>
      </c>
      <c r="QSJ292" s="18">
        <v>0</v>
      </c>
      <c r="QSK292" s="18">
        <v>0</v>
      </c>
      <c r="QSL292" s="18">
        <v>0</v>
      </c>
      <c r="QSM292" s="18">
        <v>0</v>
      </c>
      <c r="QSN292" s="18">
        <v>0</v>
      </c>
      <c r="QSO292" s="18">
        <v>0</v>
      </c>
      <c r="QSP292" s="18">
        <v>0</v>
      </c>
      <c r="QSQ292" s="18">
        <v>0</v>
      </c>
      <c r="QSR292" s="18">
        <v>0</v>
      </c>
      <c r="QSS292" s="18">
        <v>0</v>
      </c>
      <c r="QST292" s="18">
        <v>0</v>
      </c>
      <c r="QSU292" s="18">
        <v>0</v>
      </c>
      <c r="QSV292" s="18">
        <v>0</v>
      </c>
      <c r="QSW292" s="18">
        <v>0</v>
      </c>
      <c r="QSX292" s="18">
        <v>0</v>
      </c>
      <c r="QSY292" s="18">
        <v>0</v>
      </c>
      <c r="QSZ292" s="18">
        <v>0</v>
      </c>
      <c r="QTA292" s="18">
        <v>0</v>
      </c>
      <c r="QTB292" s="18">
        <v>0</v>
      </c>
      <c r="QTC292" s="18">
        <v>0</v>
      </c>
      <c r="QTD292" s="18">
        <v>0</v>
      </c>
      <c r="QTE292" s="18">
        <v>0</v>
      </c>
      <c r="QTF292" s="18">
        <v>0</v>
      </c>
      <c r="QTG292" s="18">
        <v>0</v>
      </c>
      <c r="QTH292" s="18">
        <v>0</v>
      </c>
      <c r="QTI292" s="18">
        <v>0</v>
      </c>
      <c r="QTJ292" s="18">
        <v>0</v>
      </c>
      <c r="QTK292" s="18">
        <v>0</v>
      </c>
      <c r="QTL292" s="18">
        <v>0</v>
      </c>
      <c r="QTM292" s="18">
        <v>0</v>
      </c>
      <c r="QTN292" s="18">
        <v>0</v>
      </c>
      <c r="QTO292" s="18">
        <v>0</v>
      </c>
      <c r="QTP292" s="18">
        <v>0</v>
      </c>
      <c r="QTQ292" s="18">
        <v>0</v>
      </c>
      <c r="QTR292" s="18">
        <v>0</v>
      </c>
      <c r="QTS292" s="18">
        <v>0</v>
      </c>
      <c r="QTT292" s="18">
        <v>0</v>
      </c>
      <c r="QTU292" s="18">
        <v>0</v>
      </c>
      <c r="QTV292" s="18">
        <v>0</v>
      </c>
      <c r="QTW292" s="18">
        <v>0</v>
      </c>
      <c r="QTX292" s="18">
        <v>0</v>
      </c>
      <c r="QTY292" s="18">
        <v>0</v>
      </c>
      <c r="QTZ292" s="18">
        <v>0</v>
      </c>
      <c r="QUA292" s="18">
        <v>0</v>
      </c>
      <c r="QUB292" s="18">
        <v>0</v>
      </c>
      <c r="QUC292" s="18">
        <v>0</v>
      </c>
      <c r="QUD292" s="18">
        <v>0</v>
      </c>
      <c r="QUE292" s="18">
        <v>0</v>
      </c>
      <c r="QUF292" s="18">
        <v>0</v>
      </c>
      <c r="QUG292" s="18">
        <v>0</v>
      </c>
      <c r="QUH292" s="18">
        <v>0</v>
      </c>
      <c r="QUI292" s="18">
        <v>0</v>
      </c>
      <c r="QUJ292" s="18">
        <v>0</v>
      </c>
      <c r="QUK292" s="18">
        <v>0</v>
      </c>
      <c r="QUL292" s="18">
        <v>0</v>
      </c>
      <c r="QUM292" s="18">
        <v>0</v>
      </c>
      <c r="QUN292" s="18">
        <v>0</v>
      </c>
      <c r="QUO292" s="18">
        <v>0</v>
      </c>
      <c r="QUP292" s="18">
        <v>0</v>
      </c>
      <c r="QUQ292" s="18">
        <v>0</v>
      </c>
      <c r="QUR292" s="18">
        <v>0</v>
      </c>
      <c r="QUS292" s="18">
        <v>0</v>
      </c>
      <c r="QUT292" s="18">
        <v>0</v>
      </c>
      <c r="QUU292" s="18">
        <v>0</v>
      </c>
      <c r="QUV292" s="18">
        <v>0</v>
      </c>
      <c r="QUW292" s="18">
        <v>0</v>
      </c>
      <c r="QUX292" s="18">
        <v>0</v>
      </c>
      <c r="QUY292" s="18">
        <v>0</v>
      </c>
      <c r="QUZ292" s="18">
        <v>0</v>
      </c>
      <c r="QVA292" s="18">
        <v>0</v>
      </c>
      <c r="QVB292" s="18">
        <v>0</v>
      </c>
      <c r="QVC292" s="18">
        <v>0</v>
      </c>
      <c r="QVD292" s="18">
        <v>0</v>
      </c>
      <c r="QVE292" s="18">
        <v>0</v>
      </c>
      <c r="QVF292" s="18">
        <v>0</v>
      </c>
      <c r="QVG292" s="18">
        <v>0</v>
      </c>
      <c r="QVH292" s="18">
        <v>0</v>
      </c>
      <c r="QVI292" s="18">
        <v>0</v>
      </c>
      <c r="QVJ292" s="18">
        <v>0</v>
      </c>
      <c r="QVK292" s="18">
        <v>0</v>
      </c>
      <c r="QVL292" s="18">
        <v>0</v>
      </c>
      <c r="QVM292" s="18">
        <v>0</v>
      </c>
      <c r="QVN292" s="18">
        <v>0</v>
      </c>
      <c r="QVO292" s="18">
        <v>0</v>
      </c>
      <c r="QVP292" s="18">
        <v>0</v>
      </c>
      <c r="QVQ292" s="18">
        <v>0</v>
      </c>
      <c r="QVR292" s="18">
        <v>0</v>
      </c>
      <c r="QVS292" s="18">
        <v>0</v>
      </c>
      <c r="QVT292" s="18">
        <v>0</v>
      </c>
      <c r="QVU292" s="18">
        <v>0</v>
      </c>
      <c r="QVV292" s="18">
        <v>0</v>
      </c>
      <c r="QVW292" s="18">
        <v>0</v>
      </c>
      <c r="QVX292" s="18">
        <v>0</v>
      </c>
      <c r="QVY292" s="18">
        <v>0</v>
      </c>
      <c r="QVZ292" s="18">
        <v>0</v>
      </c>
      <c r="QWA292" s="18">
        <v>0</v>
      </c>
      <c r="QWB292" s="18">
        <v>0</v>
      </c>
      <c r="QWC292" s="18">
        <v>0</v>
      </c>
      <c r="QWD292" s="18">
        <v>0</v>
      </c>
      <c r="QWE292" s="18">
        <v>0</v>
      </c>
      <c r="QWF292" s="18">
        <v>0</v>
      </c>
      <c r="QWG292" s="18">
        <v>0</v>
      </c>
      <c r="QWH292" s="18">
        <v>0</v>
      </c>
      <c r="QWI292" s="18">
        <v>0</v>
      </c>
      <c r="QWJ292" s="18">
        <v>0</v>
      </c>
      <c r="QWK292" s="18">
        <v>0</v>
      </c>
      <c r="QWL292" s="18">
        <v>0</v>
      </c>
      <c r="QWM292" s="18">
        <v>0</v>
      </c>
      <c r="QWN292" s="18">
        <v>0</v>
      </c>
      <c r="QWO292" s="18">
        <v>0</v>
      </c>
      <c r="QWP292" s="18">
        <v>0</v>
      </c>
      <c r="QWQ292" s="18">
        <v>0</v>
      </c>
      <c r="QWR292" s="18">
        <v>0</v>
      </c>
      <c r="QWS292" s="18">
        <v>0</v>
      </c>
      <c r="QWT292" s="18">
        <v>0</v>
      </c>
      <c r="QWU292" s="18">
        <v>0</v>
      </c>
      <c r="QWV292" s="18">
        <v>0</v>
      </c>
      <c r="QWW292" s="18">
        <v>0</v>
      </c>
      <c r="QWX292" s="18">
        <v>0</v>
      </c>
      <c r="QWY292" s="18">
        <v>0</v>
      </c>
      <c r="QWZ292" s="18">
        <v>0</v>
      </c>
      <c r="QXA292" s="18">
        <v>0</v>
      </c>
      <c r="QXB292" s="18">
        <v>0</v>
      </c>
      <c r="QXC292" s="18">
        <v>0</v>
      </c>
      <c r="QXD292" s="18">
        <v>0</v>
      </c>
      <c r="QXE292" s="18">
        <v>0</v>
      </c>
      <c r="QXF292" s="18">
        <v>0</v>
      </c>
      <c r="QXG292" s="18">
        <v>0</v>
      </c>
      <c r="QXH292" s="18">
        <v>0</v>
      </c>
      <c r="QXI292" s="18">
        <v>0</v>
      </c>
      <c r="QXJ292" s="18">
        <v>0</v>
      </c>
      <c r="QXK292" s="18">
        <v>0</v>
      </c>
      <c r="QXL292" s="18">
        <v>0</v>
      </c>
      <c r="QXM292" s="18">
        <v>0</v>
      </c>
      <c r="QXN292" s="18">
        <v>0</v>
      </c>
      <c r="QXO292" s="18">
        <v>0</v>
      </c>
      <c r="QXP292" s="18">
        <v>0</v>
      </c>
      <c r="QXQ292" s="18">
        <v>0</v>
      </c>
      <c r="QXR292" s="18">
        <v>0</v>
      </c>
      <c r="QXS292" s="18">
        <v>0</v>
      </c>
      <c r="QXT292" s="18">
        <v>0</v>
      </c>
      <c r="QXU292" s="18">
        <v>0</v>
      </c>
      <c r="QXV292" s="18">
        <v>0</v>
      </c>
      <c r="QXW292" s="18">
        <v>0</v>
      </c>
      <c r="QXX292" s="18">
        <v>0</v>
      </c>
      <c r="QXY292" s="18">
        <v>0</v>
      </c>
      <c r="QXZ292" s="18">
        <v>0</v>
      </c>
      <c r="QYA292" s="18">
        <v>0</v>
      </c>
      <c r="QYB292" s="18">
        <v>0</v>
      </c>
      <c r="QYC292" s="18">
        <v>0</v>
      </c>
      <c r="QYD292" s="18">
        <v>0</v>
      </c>
      <c r="QYE292" s="18">
        <v>0</v>
      </c>
      <c r="QYF292" s="18">
        <v>0</v>
      </c>
      <c r="QYG292" s="18">
        <v>0</v>
      </c>
      <c r="QYH292" s="18">
        <v>0</v>
      </c>
      <c r="QYI292" s="18">
        <v>0</v>
      </c>
      <c r="QYJ292" s="18">
        <v>0</v>
      </c>
      <c r="QYK292" s="18">
        <v>0</v>
      </c>
      <c r="QYL292" s="18">
        <v>0</v>
      </c>
      <c r="QYM292" s="18">
        <v>0</v>
      </c>
      <c r="QYN292" s="18">
        <v>0</v>
      </c>
      <c r="QYO292" s="18">
        <v>0</v>
      </c>
      <c r="QYP292" s="18">
        <v>0</v>
      </c>
      <c r="QYQ292" s="18">
        <v>0</v>
      </c>
      <c r="QYR292" s="18">
        <v>0</v>
      </c>
      <c r="QYS292" s="18">
        <v>0</v>
      </c>
      <c r="QYT292" s="18">
        <v>0</v>
      </c>
      <c r="QYU292" s="18">
        <v>0</v>
      </c>
      <c r="QYV292" s="18">
        <v>0</v>
      </c>
      <c r="QYW292" s="18">
        <v>0</v>
      </c>
      <c r="QYX292" s="18">
        <v>0</v>
      </c>
      <c r="QYY292" s="18">
        <v>0</v>
      </c>
      <c r="QYZ292" s="18">
        <v>0</v>
      </c>
      <c r="QZA292" s="18">
        <v>0</v>
      </c>
      <c r="QZB292" s="18">
        <v>0</v>
      </c>
      <c r="QZC292" s="18">
        <v>0</v>
      </c>
      <c r="QZD292" s="18">
        <v>0</v>
      </c>
      <c r="QZE292" s="18">
        <v>0</v>
      </c>
      <c r="QZF292" s="18">
        <v>0</v>
      </c>
      <c r="QZG292" s="18">
        <v>0</v>
      </c>
      <c r="QZH292" s="18">
        <v>0</v>
      </c>
      <c r="QZI292" s="18">
        <v>0</v>
      </c>
      <c r="QZJ292" s="18">
        <v>0</v>
      </c>
      <c r="QZK292" s="18">
        <v>0</v>
      </c>
      <c r="QZL292" s="18">
        <v>0</v>
      </c>
      <c r="QZM292" s="18">
        <v>0</v>
      </c>
      <c r="QZN292" s="18">
        <v>0</v>
      </c>
      <c r="QZO292" s="18">
        <v>0</v>
      </c>
      <c r="QZP292" s="18">
        <v>0</v>
      </c>
      <c r="QZQ292" s="18">
        <v>0</v>
      </c>
      <c r="QZR292" s="18">
        <v>0</v>
      </c>
      <c r="QZS292" s="18">
        <v>0</v>
      </c>
      <c r="QZT292" s="18">
        <v>0</v>
      </c>
      <c r="QZU292" s="18">
        <v>0</v>
      </c>
      <c r="QZV292" s="18">
        <v>0</v>
      </c>
      <c r="QZW292" s="18">
        <v>0</v>
      </c>
      <c r="QZX292" s="18">
        <v>0</v>
      </c>
      <c r="QZY292" s="18">
        <v>0</v>
      </c>
      <c r="QZZ292" s="18">
        <v>0</v>
      </c>
      <c r="RAA292" s="18">
        <v>0</v>
      </c>
      <c r="RAB292" s="18">
        <v>0</v>
      </c>
      <c r="RAC292" s="18">
        <v>0</v>
      </c>
      <c r="RAD292" s="18">
        <v>0</v>
      </c>
      <c r="RAE292" s="18">
        <v>0</v>
      </c>
      <c r="RAF292" s="18">
        <v>0</v>
      </c>
      <c r="RAG292" s="18">
        <v>0</v>
      </c>
      <c r="RAH292" s="18">
        <v>0</v>
      </c>
      <c r="RAI292" s="18">
        <v>0</v>
      </c>
      <c r="RAJ292" s="18">
        <v>0</v>
      </c>
      <c r="RAK292" s="18">
        <v>0</v>
      </c>
      <c r="RAL292" s="18">
        <v>0</v>
      </c>
      <c r="RAM292" s="18">
        <v>0</v>
      </c>
      <c r="RAN292" s="18">
        <v>0</v>
      </c>
      <c r="RAO292" s="18">
        <v>0</v>
      </c>
      <c r="RAP292" s="18">
        <v>0</v>
      </c>
      <c r="RAQ292" s="18">
        <v>0</v>
      </c>
      <c r="RAR292" s="18">
        <v>0</v>
      </c>
      <c r="RAS292" s="18">
        <v>0</v>
      </c>
      <c r="RAT292" s="18">
        <v>0</v>
      </c>
      <c r="RAU292" s="18">
        <v>0</v>
      </c>
      <c r="RAV292" s="18">
        <v>0</v>
      </c>
      <c r="RAW292" s="18">
        <v>0</v>
      </c>
      <c r="RAX292" s="18">
        <v>0</v>
      </c>
      <c r="RAY292" s="18">
        <v>0</v>
      </c>
      <c r="RAZ292" s="18">
        <v>0</v>
      </c>
      <c r="RBA292" s="18">
        <v>0</v>
      </c>
      <c r="RBB292" s="18">
        <v>0</v>
      </c>
      <c r="RBC292" s="18">
        <v>0</v>
      </c>
      <c r="RBD292" s="18">
        <v>0</v>
      </c>
      <c r="RBE292" s="18">
        <v>0</v>
      </c>
      <c r="RBF292" s="18">
        <v>0</v>
      </c>
      <c r="RBG292" s="18">
        <v>0</v>
      </c>
      <c r="RBH292" s="18">
        <v>0</v>
      </c>
      <c r="RBI292" s="18">
        <v>0</v>
      </c>
      <c r="RBJ292" s="18">
        <v>0</v>
      </c>
      <c r="RBK292" s="18">
        <v>0</v>
      </c>
      <c r="RBL292" s="18">
        <v>0</v>
      </c>
      <c r="RBM292" s="18">
        <v>0</v>
      </c>
      <c r="RBN292" s="18">
        <v>0</v>
      </c>
      <c r="RBO292" s="18">
        <v>0</v>
      </c>
      <c r="RBP292" s="18">
        <v>0</v>
      </c>
      <c r="RBQ292" s="18">
        <v>0</v>
      </c>
      <c r="RBR292" s="18">
        <v>0</v>
      </c>
      <c r="RBS292" s="18">
        <v>0</v>
      </c>
      <c r="RBT292" s="18">
        <v>0</v>
      </c>
      <c r="RBU292" s="18">
        <v>0</v>
      </c>
      <c r="RBV292" s="18">
        <v>0</v>
      </c>
      <c r="RBW292" s="18">
        <v>0</v>
      </c>
      <c r="RBX292" s="18">
        <v>0</v>
      </c>
      <c r="RBY292" s="18">
        <v>0</v>
      </c>
      <c r="RBZ292" s="18">
        <v>0</v>
      </c>
      <c r="RCA292" s="18">
        <v>0</v>
      </c>
      <c r="RCB292" s="18">
        <v>0</v>
      </c>
      <c r="RCC292" s="18">
        <v>0</v>
      </c>
      <c r="RCD292" s="18">
        <v>0</v>
      </c>
      <c r="RCE292" s="18">
        <v>0</v>
      </c>
      <c r="RCF292" s="18">
        <v>0</v>
      </c>
      <c r="RCG292" s="18">
        <v>0</v>
      </c>
      <c r="RCH292" s="18">
        <v>0</v>
      </c>
      <c r="RCI292" s="18">
        <v>0</v>
      </c>
      <c r="RCJ292" s="18">
        <v>0</v>
      </c>
      <c r="RCK292" s="18">
        <v>0</v>
      </c>
      <c r="RCL292" s="18">
        <v>0</v>
      </c>
      <c r="RCM292" s="18">
        <v>0</v>
      </c>
      <c r="RCN292" s="18">
        <v>0</v>
      </c>
      <c r="RCO292" s="18">
        <v>0</v>
      </c>
      <c r="RCP292" s="18">
        <v>0</v>
      </c>
      <c r="RCQ292" s="18">
        <v>0</v>
      </c>
      <c r="RCR292" s="18">
        <v>0</v>
      </c>
      <c r="RCS292" s="18">
        <v>0</v>
      </c>
      <c r="RCT292" s="18">
        <v>0</v>
      </c>
      <c r="RCU292" s="18">
        <v>0</v>
      </c>
      <c r="RCV292" s="18">
        <v>0</v>
      </c>
      <c r="RCW292" s="18">
        <v>0</v>
      </c>
      <c r="RCX292" s="18">
        <v>0</v>
      </c>
      <c r="RCY292" s="18">
        <v>0</v>
      </c>
      <c r="RCZ292" s="18">
        <v>0</v>
      </c>
      <c r="RDA292" s="18">
        <v>0</v>
      </c>
      <c r="RDB292" s="18">
        <v>0</v>
      </c>
      <c r="RDC292" s="18">
        <v>0</v>
      </c>
      <c r="RDD292" s="18">
        <v>0</v>
      </c>
      <c r="RDE292" s="18">
        <v>0</v>
      </c>
      <c r="RDF292" s="18">
        <v>0</v>
      </c>
      <c r="RDG292" s="18">
        <v>0</v>
      </c>
      <c r="RDH292" s="18">
        <v>0</v>
      </c>
      <c r="RDI292" s="18">
        <v>0</v>
      </c>
      <c r="RDJ292" s="18">
        <v>0</v>
      </c>
      <c r="RDK292" s="18">
        <v>0</v>
      </c>
      <c r="RDL292" s="18">
        <v>0</v>
      </c>
      <c r="RDM292" s="18">
        <v>0</v>
      </c>
      <c r="RDN292" s="18">
        <v>0</v>
      </c>
      <c r="RDO292" s="18">
        <v>0</v>
      </c>
      <c r="RDP292" s="18">
        <v>0</v>
      </c>
      <c r="RDQ292" s="18">
        <v>0</v>
      </c>
      <c r="RDR292" s="18">
        <v>0</v>
      </c>
      <c r="RDS292" s="18">
        <v>0</v>
      </c>
      <c r="RDT292" s="18">
        <v>0</v>
      </c>
      <c r="RDU292" s="18">
        <v>0</v>
      </c>
      <c r="RDV292" s="18">
        <v>0</v>
      </c>
      <c r="RDW292" s="18">
        <v>0</v>
      </c>
      <c r="RDX292" s="18">
        <v>0</v>
      </c>
      <c r="RDY292" s="18">
        <v>0</v>
      </c>
      <c r="RDZ292" s="18">
        <v>0</v>
      </c>
      <c r="REA292" s="18">
        <v>0</v>
      </c>
      <c r="REB292" s="18">
        <v>0</v>
      </c>
      <c r="REC292" s="18">
        <v>0</v>
      </c>
      <c r="RED292" s="18">
        <v>0</v>
      </c>
      <c r="REE292" s="18">
        <v>0</v>
      </c>
      <c r="REF292" s="18">
        <v>0</v>
      </c>
      <c r="REG292" s="18">
        <v>0</v>
      </c>
      <c r="REH292" s="18">
        <v>0</v>
      </c>
      <c r="REI292" s="18">
        <v>0</v>
      </c>
      <c r="REJ292" s="18">
        <v>0</v>
      </c>
      <c r="REK292" s="18">
        <v>0</v>
      </c>
      <c r="REL292" s="18">
        <v>0</v>
      </c>
      <c r="REM292" s="18">
        <v>0</v>
      </c>
      <c r="REN292" s="18">
        <v>0</v>
      </c>
      <c r="REO292" s="18">
        <v>0</v>
      </c>
      <c r="REP292" s="18">
        <v>0</v>
      </c>
      <c r="REQ292" s="18">
        <v>0</v>
      </c>
      <c r="RER292" s="18">
        <v>0</v>
      </c>
      <c r="RES292" s="18">
        <v>0</v>
      </c>
      <c r="RET292" s="18">
        <v>0</v>
      </c>
      <c r="REU292" s="18">
        <v>0</v>
      </c>
      <c r="REV292" s="18">
        <v>0</v>
      </c>
      <c r="REW292" s="18">
        <v>0</v>
      </c>
      <c r="REX292" s="18">
        <v>0</v>
      </c>
      <c r="REY292" s="18">
        <v>0</v>
      </c>
      <c r="REZ292" s="18">
        <v>0</v>
      </c>
      <c r="RFA292" s="18">
        <v>0</v>
      </c>
      <c r="RFB292" s="18">
        <v>0</v>
      </c>
      <c r="RFC292" s="18">
        <v>0</v>
      </c>
      <c r="RFD292" s="18">
        <v>0</v>
      </c>
      <c r="RFE292" s="18">
        <v>0</v>
      </c>
      <c r="RFF292" s="18">
        <v>0</v>
      </c>
      <c r="RFG292" s="18">
        <v>0</v>
      </c>
      <c r="RFH292" s="18">
        <v>0</v>
      </c>
      <c r="RFI292" s="18">
        <v>0</v>
      </c>
      <c r="RFJ292" s="18">
        <v>0</v>
      </c>
      <c r="RFK292" s="18">
        <v>0</v>
      </c>
      <c r="RFL292" s="18">
        <v>0</v>
      </c>
      <c r="RFM292" s="18">
        <v>0</v>
      </c>
      <c r="RFN292" s="18">
        <v>0</v>
      </c>
      <c r="RFO292" s="18">
        <v>0</v>
      </c>
      <c r="RFP292" s="18">
        <v>0</v>
      </c>
      <c r="RFQ292" s="18">
        <v>0</v>
      </c>
      <c r="RFR292" s="18">
        <v>0</v>
      </c>
      <c r="RFS292" s="18">
        <v>0</v>
      </c>
      <c r="RFT292" s="18">
        <v>0</v>
      </c>
      <c r="RFU292" s="18">
        <v>0</v>
      </c>
      <c r="RFV292" s="18">
        <v>0</v>
      </c>
      <c r="RFW292" s="18">
        <v>0</v>
      </c>
      <c r="RFX292" s="18">
        <v>0</v>
      </c>
      <c r="RFY292" s="18">
        <v>0</v>
      </c>
      <c r="RFZ292" s="18">
        <v>0</v>
      </c>
      <c r="RGA292" s="18">
        <v>0</v>
      </c>
      <c r="RGB292" s="18">
        <v>0</v>
      </c>
      <c r="RGC292" s="18">
        <v>0</v>
      </c>
      <c r="RGD292" s="18">
        <v>0</v>
      </c>
      <c r="RGE292" s="18">
        <v>0</v>
      </c>
      <c r="RGF292" s="18">
        <v>0</v>
      </c>
      <c r="RGG292" s="18">
        <v>0</v>
      </c>
      <c r="RGH292" s="18">
        <v>0</v>
      </c>
      <c r="RGI292" s="18">
        <v>0</v>
      </c>
      <c r="RGJ292" s="18">
        <v>0</v>
      </c>
      <c r="RGK292" s="18">
        <v>0</v>
      </c>
      <c r="RGL292" s="18">
        <v>0</v>
      </c>
      <c r="RGM292" s="18">
        <v>0</v>
      </c>
      <c r="RGN292" s="18">
        <v>0</v>
      </c>
      <c r="RGO292" s="18">
        <v>0</v>
      </c>
      <c r="RGP292" s="18">
        <v>0</v>
      </c>
      <c r="RGQ292" s="18">
        <v>0</v>
      </c>
      <c r="RGR292" s="18">
        <v>0</v>
      </c>
      <c r="RGS292" s="18">
        <v>0</v>
      </c>
      <c r="RGT292" s="18">
        <v>0</v>
      </c>
      <c r="RGU292" s="18">
        <v>0</v>
      </c>
      <c r="RGV292" s="18">
        <v>0</v>
      </c>
      <c r="RGW292" s="18">
        <v>0</v>
      </c>
      <c r="RGX292" s="18">
        <v>0</v>
      </c>
      <c r="RGY292" s="18">
        <v>0</v>
      </c>
      <c r="RGZ292" s="18">
        <v>0</v>
      </c>
      <c r="RHA292" s="18">
        <v>0</v>
      </c>
      <c r="RHB292" s="18">
        <v>0</v>
      </c>
      <c r="RHC292" s="18">
        <v>0</v>
      </c>
      <c r="RHD292" s="18">
        <v>0</v>
      </c>
      <c r="RHE292" s="18">
        <v>0</v>
      </c>
      <c r="RHF292" s="18">
        <v>0</v>
      </c>
      <c r="RHG292" s="18">
        <v>0</v>
      </c>
      <c r="RHH292" s="18">
        <v>0</v>
      </c>
      <c r="RHI292" s="18">
        <v>0</v>
      </c>
      <c r="RHJ292" s="18">
        <v>0</v>
      </c>
      <c r="RHK292" s="18">
        <v>0</v>
      </c>
      <c r="RHL292" s="18">
        <v>0</v>
      </c>
      <c r="RHM292" s="18">
        <v>0</v>
      </c>
      <c r="RHN292" s="18">
        <v>0</v>
      </c>
      <c r="RHO292" s="18">
        <v>0</v>
      </c>
      <c r="RHP292" s="18">
        <v>0</v>
      </c>
      <c r="RHQ292" s="18">
        <v>0</v>
      </c>
      <c r="RHR292" s="18">
        <v>0</v>
      </c>
      <c r="RHS292" s="18">
        <v>0</v>
      </c>
      <c r="RHT292" s="18">
        <v>0</v>
      </c>
      <c r="RHU292" s="18">
        <v>0</v>
      </c>
      <c r="RHV292" s="18">
        <v>0</v>
      </c>
      <c r="RHW292" s="18">
        <v>0</v>
      </c>
      <c r="RHX292" s="18">
        <v>0</v>
      </c>
      <c r="RHY292" s="18">
        <v>0</v>
      </c>
      <c r="RHZ292" s="18">
        <v>0</v>
      </c>
      <c r="RIA292" s="18">
        <v>0</v>
      </c>
      <c r="RIB292" s="18">
        <v>0</v>
      </c>
      <c r="RIC292" s="18">
        <v>0</v>
      </c>
      <c r="RID292" s="18">
        <v>0</v>
      </c>
      <c r="RIE292" s="18">
        <v>0</v>
      </c>
      <c r="RIF292" s="18">
        <v>0</v>
      </c>
      <c r="RIG292" s="18">
        <v>0</v>
      </c>
      <c r="RIH292" s="18">
        <v>0</v>
      </c>
      <c r="RII292" s="18">
        <v>0</v>
      </c>
      <c r="RIJ292" s="18">
        <v>0</v>
      </c>
      <c r="RIK292" s="18">
        <v>0</v>
      </c>
      <c r="RIL292" s="18">
        <v>0</v>
      </c>
      <c r="RIM292" s="18">
        <v>0</v>
      </c>
      <c r="RIN292" s="18">
        <v>0</v>
      </c>
      <c r="RIO292" s="18">
        <v>0</v>
      </c>
      <c r="RIP292" s="18">
        <v>0</v>
      </c>
      <c r="RIQ292" s="18">
        <v>0</v>
      </c>
      <c r="RIR292" s="18">
        <v>0</v>
      </c>
      <c r="RIS292" s="18">
        <v>0</v>
      </c>
      <c r="RIT292" s="18">
        <v>0</v>
      </c>
      <c r="RIU292" s="18">
        <v>0</v>
      </c>
      <c r="RIV292" s="18">
        <v>0</v>
      </c>
      <c r="RIW292" s="18">
        <v>0</v>
      </c>
      <c r="RIX292" s="18">
        <v>0</v>
      </c>
      <c r="RIY292" s="18">
        <v>0</v>
      </c>
      <c r="RIZ292" s="18">
        <v>0</v>
      </c>
      <c r="RJA292" s="18">
        <v>0</v>
      </c>
      <c r="RJB292" s="18">
        <v>0</v>
      </c>
      <c r="RJC292" s="18">
        <v>0</v>
      </c>
      <c r="RJD292" s="18">
        <v>0</v>
      </c>
      <c r="RJE292" s="18">
        <v>0</v>
      </c>
      <c r="RJF292" s="18">
        <v>0</v>
      </c>
      <c r="RJG292" s="18">
        <v>0</v>
      </c>
      <c r="RJH292" s="18">
        <v>0</v>
      </c>
      <c r="RJI292" s="18">
        <v>0</v>
      </c>
      <c r="RJJ292" s="18">
        <v>0</v>
      </c>
      <c r="RJK292" s="18">
        <v>0</v>
      </c>
      <c r="RJL292" s="18">
        <v>0</v>
      </c>
      <c r="RJM292" s="18">
        <v>0</v>
      </c>
      <c r="RJN292" s="18">
        <v>0</v>
      </c>
      <c r="RJO292" s="18">
        <v>0</v>
      </c>
      <c r="RJP292" s="18">
        <v>0</v>
      </c>
      <c r="RJQ292" s="18">
        <v>0</v>
      </c>
      <c r="RJR292" s="18">
        <v>0</v>
      </c>
      <c r="RJS292" s="18">
        <v>0</v>
      </c>
      <c r="RJT292" s="18">
        <v>0</v>
      </c>
      <c r="RJU292" s="18">
        <v>0</v>
      </c>
      <c r="RJV292" s="18">
        <v>0</v>
      </c>
      <c r="RJW292" s="18">
        <v>0</v>
      </c>
      <c r="RJX292" s="18">
        <v>0</v>
      </c>
      <c r="RJY292" s="18">
        <v>0</v>
      </c>
      <c r="RJZ292" s="18">
        <v>0</v>
      </c>
      <c r="RKA292" s="18">
        <v>0</v>
      </c>
      <c r="RKB292" s="18">
        <v>0</v>
      </c>
      <c r="RKC292" s="18">
        <v>0</v>
      </c>
      <c r="RKD292" s="18">
        <v>0</v>
      </c>
      <c r="RKE292" s="18">
        <v>0</v>
      </c>
      <c r="RKF292" s="18">
        <v>0</v>
      </c>
      <c r="RKG292" s="18">
        <v>0</v>
      </c>
      <c r="RKH292" s="18">
        <v>0</v>
      </c>
      <c r="RKI292" s="18">
        <v>0</v>
      </c>
      <c r="RKJ292" s="18">
        <v>0</v>
      </c>
      <c r="RKK292" s="18">
        <v>0</v>
      </c>
      <c r="RKL292" s="18">
        <v>0</v>
      </c>
      <c r="RKM292" s="18">
        <v>0</v>
      </c>
      <c r="RKN292" s="18">
        <v>0</v>
      </c>
      <c r="RKO292" s="18">
        <v>0</v>
      </c>
      <c r="RKP292" s="18">
        <v>0</v>
      </c>
      <c r="RKQ292" s="18">
        <v>0</v>
      </c>
      <c r="RKR292" s="18">
        <v>0</v>
      </c>
      <c r="RKS292" s="18">
        <v>0</v>
      </c>
      <c r="RKT292" s="18">
        <v>0</v>
      </c>
      <c r="RKU292" s="18">
        <v>0</v>
      </c>
      <c r="RKV292" s="18">
        <v>0</v>
      </c>
      <c r="RKW292" s="18">
        <v>0</v>
      </c>
      <c r="RKX292" s="18">
        <v>0</v>
      </c>
      <c r="RKY292" s="18">
        <v>0</v>
      </c>
      <c r="RKZ292" s="18">
        <v>0</v>
      </c>
      <c r="RLA292" s="18">
        <v>0</v>
      </c>
      <c r="RLB292" s="18">
        <v>0</v>
      </c>
      <c r="RLC292" s="18">
        <v>0</v>
      </c>
      <c r="RLD292" s="18">
        <v>0</v>
      </c>
      <c r="RLE292" s="18">
        <v>0</v>
      </c>
      <c r="RLF292" s="18">
        <v>0</v>
      </c>
      <c r="RLG292" s="18">
        <v>0</v>
      </c>
      <c r="RLH292" s="18">
        <v>0</v>
      </c>
      <c r="RLI292" s="18">
        <v>0</v>
      </c>
      <c r="RLJ292" s="18">
        <v>0</v>
      </c>
      <c r="RLK292" s="18">
        <v>0</v>
      </c>
      <c r="RLL292" s="18">
        <v>0</v>
      </c>
      <c r="RLM292" s="18">
        <v>0</v>
      </c>
      <c r="RLN292" s="18">
        <v>0</v>
      </c>
      <c r="RLO292" s="18">
        <v>0</v>
      </c>
      <c r="RLP292" s="18">
        <v>0</v>
      </c>
      <c r="RLQ292" s="18">
        <v>0</v>
      </c>
      <c r="RLR292" s="18">
        <v>0</v>
      </c>
      <c r="RLS292" s="18">
        <v>0</v>
      </c>
      <c r="RLT292" s="18">
        <v>0</v>
      </c>
      <c r="RLU292" s="18">
        <v>0</v>
      </c>
      <c r="RLV292" s="18">
        <v>0</v>
      </c>
      <c r="RLW292" s="18">
        <v>0</v>
      </c>
      <c r="RLX292" s="18">
        <v>0</v>
      </c>
      <c r="RLY292" s="18">
        <v>0</v>
      </c>
      <c r="RLZ292" s="18">
        <v>0</v>
      </c>
      <c r="RMA292" s="18">
        <v>0</v>
      </c>
      <c r="RMB292" s="18">
        <v>0</v>
      </c>
      <c r="RMC292" s="18">
        <v>0</v>
      </c>
      <c r="RMD292" s="18">
        <v>0</v>
      </c>
      <c r="RME292" s="18">
        <v>0</v>
      </c>
      <c r="RMF292" s="18">
        <v>0</v>
      </c>
      <c r="RMG292" s="18">
        <v>0</v>
      </c>
      <c r="RMH292" s="18">
        <v>0</v>
      </c>
      <c r="RMI292" s="18">
        <v>0</v>
      </c>
      <c r="RMJ292" s="18">
        <v>0</v>
      </c>
      <c r="RMK292" s="18">
        <v>0</v>
      </c>
      <c r="RML292" s="18">
        <v>0</v>
      </c>
      <c r="RMM292" s="18">
        <v>0</v>
      </c>
      <c r="RMN292" s="18">
        <v>0</v>
      </c>
      <c r="RMO292" s="18">
        <v>0</v>
      </c>
      <c r="RMP292" s="18">
        <v>0</v>
      </c>
      <c r="RMQ292" s="18">
        <v>0</v>
      </c>
      <c r="RMR292" s="18">
        <v>0</v>
      </c>
      <c r="RMS292" s="18">
        <v>0</v>
      </c>
      <c r="RMT292" s="18">
        <v>0</v>
      </c>
      <c r="RMU292" s="18">
        <v>0</v>
      </c>
      <c r="RMV292" s="18">
        <v>0</v>
      </c>
      <c r="RMW292" s="18">
        <v>0</v>
      </c>
      <c r="RMX292" s="18">
        <v>0</v>
      </c>
      <c r="RMY292" s="18">
        <v>0</v>
      </c>
      <c r="RMZ292" s="18">
        <v>0</v>
      </c>
      <c r="RNA292" s="18">
        <v>0</v>
      </c>
      <c r="RNB292" s="18">
        <v>0</v>
      </c>
      <c r="RNC292" s="18">
        <v>0</v>
      </c>
      <c r="RND292" s="18">
        <v>0</v>
      </c>
      <c r="RNE292" s="18">
        <v>0</v>
      </c>
      <c r="RNF292" s="18">
        <v>0</v>
      </c>
      <c r="RNG292" s="18">
        <v>0</v>
      </c>
      <c r="RNH292" s="18">
        <v>0</v>
      </c>
      <c r="RNI292" s="18">
        <v>0</v>
      </c>
      <c r="RNJ292" s="18">
        <v>0</v>
      </c>
      <c r="RNK292" s="18">
        <v>0</v>
      </c>
      <c r="RNL292" s="18">
        <v>0</v>
      </c>
      <c r="RNM292" s="18">
        <v>0</v>
      </c>
      <c r="RNN292" s="18">
        <v>0</v>
      </c>
      <c r="RNO292" s="18">
        <v>0</v>
      </c>
      <c r="RNP292" s="18">
        <v>0</v>
      </c>
      <c r="RNQ292" s="18">
        <v>0</v>
      </c>
      <c r="RNR292" s="18">
        <v>0</v>
      </c>
      <c r="RNS292" s="18">
        <v>0</v>
      </c>
      <c r="RNT292" s="18">
        <v>0</v>
      </c>
      <c r="RNU292" s="18">
        <v>0</v>
      </c>
      <c r="RNV292" s="18">
        <v>0</v>
      </c>
      <c r="RNW292" s="18">
        <v>0</v>
      </c>
      <c r="RNX292" s="18">
        <v>0</v>
      </c>
      <c r="RNY292" s="18">
        <v>0</v>
      </c>
      <c r="RNZ292" s="18">
        <v>0</v>
      </c>
      <c r="ROA292" s="18">
        <v>0</v>
      </c>
      <c r="ROB292" s="18">
        <v>0</v>
      </c>
      <c r="ROC292" s="18">
        <v>0</v>
      </c>
      <c r="ROD292" s="18">
        <v>0</v>
      </c>
      <c r="ROE292" s="18">
        <v>0</v>
      </c>
      <c r="ROF292" s="18">
        <v>0</v>
      </c>
      <c r="ROG292" s="18">
        <v>0</v>
      </c>
      <c r="ROH292" s="18">
        <v>0</v>
      </c>
      <c r="ROI292" s="18">
        <v>0</v>
      </c>
      <c r="ROJ292" s="18">
        <v>0</v>
      </c>
      <c r="ROK292" s="18">
        <v>0</v>
      </c>
      <c r="ROL292" s="18">
        <v>0</v>
      </c>
      <c r="ROM292" s="18">
        <v>0</v>
      </c>
      <c r="RON292" s="18">
        <v>0</v>
      </c>
      <c r="ROO292" s="18">
        <v>0</v>
      </c>
      <c r="ROP292" s="18">
        <v>0</v>
      </c>
      <c r="ROQ292" s="18">
        <v>0</v>
      </c>
      <c r="ROR292" s="18">
        <v>0</v>
      </c>
      <c r="ROS292" s="18">
        <v>0</v>
      </c>
      <c r="ROT292" s="18">
        <v>0</v>
      </c>
      <c r="ROU292" s="18">
        <v>0</v>
      </c>
      <c r="ROV292" s="18">
        <v>0</v>
      </c>
      <c r="ROW292" s="18">
        <v>0</v>
      </c>
      <c r="ROX292" s="18">
        <v>0</v>
      </c>
      <c r="ROY292" s="18">
        <v>0</v>
      </c>
      <c r="ROZ292" s="18">
        <v>0</v>
      </c>
      <c r="RPA292" s="18">
        <v>0</v>
      </c>
      <c r="RPB292" s="18">
        <v>0</v>
      </c>
      <c r="RPC292" s="18">
        <v>0</v>
      </c>
      <c r="RPD292" s="18">
        <v>0</v>
      </c>
      <c r="RPE292" s="18">
        <v>0</v>
      </c>
      <c r="RPF292" s="18">
        <v>0</v>
      </c>
      <c r="RPG292" s="18">
        <v>0</v>
      </c>
      <c r="RPH292" s="18">
        <v>0</v>
      </c>
      <c r="RPI292" s="18">
        <v>0</v>
      </c>
      <c r="RPJ292" s="18">
        <v>0</v>
      </c>
      <c r="RPK292" s="18">
        <v>0</v>
      </c>
      <c r="RPL292" s="18">
        <v>0</v>
      </c>
      <c r="RPM292" s="18">
        <v>0</v>
      </c>
      <c r="RPN292" s="18">
        <v>0</v>
      </c>
      <c r="RPO292" s="18">
        <v>0</v>
      </c>
      <c r="RPP292" s="18">
        <v>0</v>
      </c>
      <c r="RPQ292" s="18">
        <v>0</v>
      </c>
      <c r="RPR292" s="18">
        <v>0</v>
      </c>
      <c r="RPS292" s="18">
        <v>0</v>
      </c>
      <c r="RPT292" s="18">
        <v>0</v>
      </c>
      <c r="RPU292" s="18">
        <v>0</v>
      </c>
      <c r="RPV292" s="18">
        <v>0</v>
      </c>
      <c r="RPW292" s="18">
        <v>0</v>
      </c>
      <c r="RPX292" s="18">
        <v>0</v>
      </c>
      <c r="RPY292" s="18">
        <v>0</v>
      </c>
      <c r="RPZ292" s="18">
        <v>0</v>
      </c>
      <c r="RQA292" s="18">
        <v>0</v>
      </c>
      <c r="RQB292" s="18">
        <v>0</v>
      </c>
      <c r="RQC292" s="18">
        <v>0</v>
      </c>
      <c r="RQD292" s="18">
        <v>0</v>
      </c>
      <c r="RQE292" s="18">
        <v>0</v>
      </c>
      <c r="RQF292" s="18">
        <v>0</v>
      </c>
      <c r="RQG292" s="18">
        <v>0</v>
      </c>
      <c r="RQH292" s="18">
        <v>0</v>
      </c>
      <c r="RQI292" s="18">
        <v>0</v>
      </c>
      <c r="RQJ292" s="18">
        <v>0</v>
      </c>
      <c r="RQK292" s="18">
        <v>0</v>
      </c>
      <c r="RQL292" s="18">
        <v>0</v>
      </c>
      <c r="RQM292" s="18">
        <v>0</v>
      </c>
      <c r="RQN292" s="18">
        <v>0</v>
      </c>
      <c r="RQO292" s="18">
        <v>0</v>
      </c>
      <c r="RQP292" s="18">
        <v>0</v>
      </c>
      <c r="RQQ292" s="18">
        <v>0</v>
      </c>
      <c r="RQR292" s="18">
        <v>0</v>
      </c>
      <c r="RQS292" s="18">
        <v>0</v>
      </c>
      <c r="RQT292" s="18">
        <v>0</v>
      </c>
      <c r="RQU292" s="18">
        <v>0</v>
      </c>
      <c r="RQV292" s="18">
        <v>0</v>
      </c>
      <c r="RQW292" s="18">
        <v>0</v>
      </c>
      <c r="RQX292" s="18">
        <v>0</v>
      </c>
      <c r="RQY292" s="18">
        <v>0</v>
      </c>
      <c r="RQZ292" s="18">
        <v>0</v>
      </c>
      <c r="RRA292" s="18">
        <v>0</v>
      </c>
      <c r="RRB292" s="18">
        <v>0</v>
      </c>
      <c r="RRC292" s="18">
        <v>0</v>
      </c>
      <c r="RRD292" s="18">
        <v>0</v>
      </c>
      <c r="RRE292" s="18">
        <v>0</v>
      </c>
      <c r="RRF292" s="18">
        <v>0</v>
      </c>
      <c r="RRG292" s="18">
        <v>0</v>
      </c>
      <c r="RRH292" s="18">
        <v>0</v>
      </c>
      <c r="RRI292" s="18">
        <v>0</v>
      </c>
      <c r="RRJ292" s="18">
        <v>0</v>
      </c>
      <c r="RRK292" s="18">
        <v>0</v>
      </c>
      <c r="RRL292" s="18">
        <v>0</v>
      </c>
      <c r="RRM292" s="18">
        <v>0</v>
      </c>
      <c r="RRN292" s="18">
        <v>0</v>
      </c>
      <c r="RRO292" s="18">
        <v>0</v>
      </c>
      <c r="RRP292" s="18">
        <v>0</v>
      </c>
      <c r="RRQ292" s="18">
        <v>0</v>
      </c>
      <c r="RRR292" s="18">
        <v>0</v>
      </c>
      <c r="RRS292" s="18">
        <v>0</v>
      </c>
      <c r="RRT292" s="18">
        <v>0</v>
      </c>
      <c r="RRU292" s="18">
        <v>0</v>
      </c>
      <c r="RRV292" s="18">
        <v>0</v>
      </c>
      <c r="RRW292" s="18">
        <v>0</v>
      </c>
      <c r="RRX292" s="18">
        <v>0</v>
      </c>
      <c r="RRY292" s="18">
        <v>0</v>
      </c>
      <c r="RRZ292" s="18">
        <v>0</v>
      </c>
      <c r="RSA292" s="18">
        <v>0</v>
      </c>
      <c r="RSB292" s="18">
        <v>0</v>
      </c>
      <c r="RSC292" s="18">
        <v>0</v>
      </c>
      <c r="RSD292" s="18">
        <v>0</v>
      </c>
      <c r="RSE292" s="18">
        <v>0</v>
      </c>
      <c r="RSF292" s="18">
        <v>0</v>
      </c>
      <c r="RSG292" s="18">
        <v>0</v>
      </c>
      <c r="RSH292" s="18">
        <v>0</v>
      </c>
      <c r="RSI292" s="18">
        <v>0</v>
      </c>
      <c r="RSJ292" s="18">
        <v>0</v>
      </c>
      <c r="RSK292" s="18">
        <v>0</v>
      </c>
      <c r="RSL292" s="18">
        <v>0</v>
      </c>
      <c r="RSM292" s="18">
        <v>0</v>
      </c>
      <c r="RSN292" s="18">
        <v>0</v>
      </c>
      <c r="RSO292" s="18">
        <v>0</v>
      </c>
      <c r="RSP292" s="18">
        <v>0</v>
      </c>
      <c r="RSQ292" s="18">
        <v>0</v>
      </c>
      <c r="RSR292" s="18">
        <v>0</v>
      </c>
      <c r="RSS292" s="18">
        <v>0</v>
      </c>
      <c r="RST292" s="18">
        <v>0</v>
      </c>
      <c r="RSU292" s="18">
        <v>0</v>
      </c>
      <c r="RSV292" s="18">
        <v>0</v>
      </c>
      <c r="RSW292" s="18">
        <v>0</v>
      </c>
      <c r="RSX292" s="18">
        <v>0</v>
      </c>
      <c r="RSY292" s="18">
        <v>0</v>
      </c>
      <c r="RSZ292" s="18">
        <v>0</v>
      </c>
      <c r="RTA292" s="18">
        <v>0</v>
      </c>
      <c r="RTB292" s="18">
        <v>0</v>
      </c>
      <c r="RTC292" s="18">
        <v>0</v>
      </c>
      <c r="RTD292" s="18">
        <v>0</v>
      </c>
      <c r="RTE292" s="18">
        <v>0</v>
      </c>
      <c r="RTF292" s="18">
        <v>0</v>
      </c>
      <c r="RTG292" s="18">
        <v>0</v>
      </c>
      <c r="RTH292" s="18">
        <v>0</v>
      </c>
      <c r="RTI292" s="18">
        <v>0</v>
      </c>
      <c r="RTJ292" s="18">
        <v>0</v>
      </c>
      <c r="RTK292" s="18">
        <v>0</v>
      </c>
      <c r="RTL292" s="18">
        <v>0</v>
      </c>
      <c r="RTM292" s="18">
        <v>0</v>
      </c>
      <c r="RTN292" s="18">
        <v>0</v>
      </c>
      <c r="RTO292" s="18">
        <v>0</v>
      </c>
      <c r="RTP292" s="18">
        <v>0</v>
      </c>
      <c r="RTQ292" s="18">
        <v>0</v>
      </c>
      <c r="RTR292" s="18">
        <v>0</v>
      </c>
      <c r="RTS292" s="18">
        <v>0</v>
      </c>
      <c r="RTT292" s="18">
        <v>0</v>
      </c>
      <c r="RTU292" s="18">
        <v>0</v>
      </c>
      <c r="RTV292" s="18">
        <v>0</v>
      </c>
      <c r="RTW292" s="18">
        <v>0</v>
      </c>
      <c r="RTX292" s="18">
        <v>0</v>
      </c>
      <c r="RTY292" s="18">
        <v>0</v>
      </c>
      <c r="RTZ292" s="18">
        <v>0</v>
      </c>
      <c r="RUA292" s="18">
        <v>0</v>
      </c>
      <c r="RUB292" s="18">
        <v>0</v>
      </c>
      <c r="RUC292" s="18">
        <v>0</v>
      </c>
      <c r="RUD292" s="18">
        <v>0</v>
      </c>
      <c r="RUE292" s="18">
        <v>0</v>
      </c>
      <c r="RUF292" s="18">
        <v>0</v>
      </c>
      <c r="RUG292" s="18">
        <v>0</v>
      </c>
      <c r="RUH292" s="18">
        <v>0</v>
      </c>
      <c r="RUI292" s="18">
        <v>0</v>
      </c>
      <c r="RUJ292" s="18">
        <v>0</v>
      </c>
      <c r="RUK292" s="18">
        <v>0</v>
      </c>
      <c r="RUL292" s="18">
        <v>0</v>
      </c>
      <c r="RUM292" s="18">
        <v>0</v>
      </c>
      <c r="RUN292" s="18">
        <v>0</v>
      </c>
      <c r="RUO292" s="18">
        <v>0</v>
      </c>
      <c r="RUP292" s="18">
        <v>0</v>
      </c>
      <c r="RUQ292" s="18">
        <v>0</v>
      </c>
      <c r="RUR292" s="18">
        <v>0</v>
      </c>
      <c r="RUS292" s="18">
        <v>0</v>
      </c>
      <c r="RUT292" s="18">
        <v>0</v>
      </c>
      <c r="RUU292" s="18">
        <v>0</v>
      </c>
      <c r="RUV292" s="18">
        <v>0</v>
      </c>
      <c r="RUW292" s="18">
        <v>0</v>
      </c>
      <c r="RUX292" s="18">
        <v>0</v>
      </c>
      <c r="RUY292" s="18">
        <v>0</v>
      </c>
      <c r="RUZ292" s="18">
        <v>0</v>
      </c>
      <c r="RVA292" s="18">
        <v>0</v>
      </c>
      <c r="RVB292" s="18">
        <v>0</v>
      </c>
      <c r="RVC292" s="18">
        <v>0</v>
      </c>
      <c r="RVD292" s="18">
        <v>0</v>
      </c>
      <c r="RVE292" s="18">
        <v>0</v>
      </c>
      <c r="RVF292" s="18">
        <v>0</v>
      </c>
      <c r="RVG292" s="18">
        <v>0</v>
      </c>
      <c r="RVH292" s="18">
        <v>0</v>
      </c>
      <c r="RVI292" s="18">
        <v>0</v>
      </c>
      <c r="RVJ292" s="18">
        <v>0</v>
      </c>
      <c r="RVK292" s="18">
        <v>0</v>
      </c>
      <c r="RVL292" s="18">
        <v>0</v>
      </c>
      <c r="RVM292" s="18">
        <v>0</v>
      </c>
      <c r="RVN292" s="18">
        <v>0</v>
      </c>
      <c r="RVO292" s="18">
        <v>0</v>
      </c>
      <c r="RVP292" s="18">
        <v>0</v>
      </c>
      <c r="RVQ292" s="18">
        <v>0</v>
      </c>
      <c r="RVR292" s="18">
        <v>0</v>
      </c>
      <c r="RVS292" s="18">
        <v>0</v>
      </c>
      <c r="RVT292" s="18">
        <v>0</v>
      </c>
      <c r="RVU292" s="18">
        <v>0</v>
      </c>
      <c r="RVV292" s="18">
        <v>0</v>
      </c>
      <c r="RVW292" s="18">
        <v>0</v>
      </c>
      <c r="RVX292" s="18">
        <v>0</v>
      </c>
      <c r="RVY292" s="18">
        <v>0</v>
      </c>
      <c r="RVZ292" s="18">
        <v>0</v>
      </c>
      <c r="RWA292" s="18">
        <v>0</v>
      </c>
      <c r="RWB292" s="18">
        <v>0</v>
      </c>
      <c r="RWC292" s="18">
        <v>0</v>
      </c>
      <c r="RWD292" s="18">
        <v>0</v>
      </c>
      <c r="RWE292" s="18">
        <v>0</v>
      </c>
      <c r="RWF292" s="18">
        <v>0</v>
      </c>
      <c r="RWG292" s="18">
        <v>0</v>
      </c>
      <c r="RWH292" s="18">
        <v>0</v>
      </c>
      <c r="RWI292" s="18">
        <v>0</v>
      </c>
      <c r="RWJ292" s="18">
        <v>0</v>
      </c>
      <c r="RWK292" s="18">
        <v>0</v>
      </c>
      <c r="RWL292" s="18">
        <v>0</v>
      </c>
      <c r="RWM292" s="18">
        <v>0</v>
      </c>
      <c r="RWN292" s="18">
        <v>0</v>
      </c>
      <c r="RWO292" s="18">
        <v>0</v>
      </c>
      <c r="RWP292" s="18">
        <v>0</v>
      </c>
      <c r="RWQ292" s="18">
        <v>0</v>
      </c>
      <c r="RWR292" s="18">
        <v>0</v>
      </c>
      <c r="RWS292" s="18">
        <v>0</v>
      </c>
      <c r="RWT292" s="18">
        <v>0</v>
      </c>
      <c r="RWU292" s="18">
        <v>0</v>
      </c>
      <c r="RWV292" s="18">
        <v>0</v>
      </c>
      <c r="RWW292" s="18">
        <v>0</v>
      </c>
      <c r="RWX292" s="18">
        <v>0</v>
      </c>
      <c r="RWY292" s="18">
        <v>0</v>
      </c>
      <c r="RWZ292" s="18">
        <v>0</v>
      </c>
      <c r="RXA292" s="18">
        <v>0</v>
      </c>
      <c r="RXB292" s="18">
        <v>0</v>
      </c>
      <c r="RXC292" s="18">
        <v>0</v>
      </c>
      <c r="RXD292" s="18">
        <v>0</v>
      </c>
      <c r="RXE292" s="18">
        <v>0</v>
      </c>
      <c r="RXF292" s="18">
        <v>0</v>
      </c>
      <c r="RXG292" s="18">
        <v>0</v>
      </c>
      <c r="RXH292" s="18">
        <v>0</v>
      </c>
      <c r="RXI292" s="18">
        <v>0</v>
      </c>
      <c r="RXJ292" s="18">
        <v>0</v>
      </c>
      <c r="RXK292" s="18">
        <v>0</v>
      </c>
      <c r="RXL292" s="18">
        <v>0</v>
      </c>
      <c r="RXM292" s="18">
        <v>0</v>
      </c>
      <c r="RXN292" s="18">
        <v>0</v>
      </c>
      <c r="RXO292" s="18">
        <v>0</v>
      </c>
      <c r="RXP292" s="18">
        <v>0</v>
      </c>
      <c r="RXQ292" s="18">
        <v>0</v>
      </c>
      <c r="RXR292" s="18">
        <v>0</v>
      </c>
      <c r="RXS292" s="18">
        <v>0</v>
      </c>
      <c r="RXT292" s="18">
        <v>0</v>
      </c>
      <c r="RXU292" s="18">
        <v>0</v>
      </c>
      <c r="RXV292" s="18">
        <v>0</v>
      </c>
      <c r="RXW292" s="18">
        <v>0</v>
      </c>
      <c r="RXX292" s="18">
        <v>0</v>
      </c>
      <c r="RXY292" s="18">
        <v>0</v>
      </c>
      <c r="RXZ292" s="18">
        <v>0</v>
      </c>
      <c r="RYA292" s="18">
        <v>0</v>
      </c>
      <c r="RYB292" s="18">
        <v>0</v>
      </c>
      <c r="RYC292" s="18">
        <v>0</v>
      </c>
      <c r="RYD292" s="18">
        <v>0</v>
      </c>
      <c r="RYE292" s="18">
        <v>0</v>
      </c>
      <c r="RYF292" s="18">
        <v>0</v>
      </c>
      <c r="RYG292" s="18">
        <v>0</v>
      </c>
      <c r="RYH292" s="18">
        <v>0</v>
      </c>
      <c r="RYI292" s="18">
        <v>0</v>
      </c>
      <c r="RYJ292" s="18">
        <v>0</v>
      </c>
      <c r="RYK292" s="18">
        <v>0</v>
      </c>
      <c r="RYL292" s="18">
        <v>0</v>
      </c>
      <c r="RYM292" s="18">
        <v>0</v>
      </c>
      <c r="RYN292" s="18">
        <v>0</v>
      </c>
      <c r="RYO292" s="18">
        <v>0</v>
      </c>
      <c r="RYP292" s="18">
        <v>0</v>
      </c>
      <c r="RYQ292" s="18">
        <v>0</v>
      </c>
      <c r="RYR292" s="18">
        <v>0</v>
      </c>
      <c r="RYS292" s="18">
        <v>0</v>
      </c>
      <c r="RYT292" s="18">
        <v>0</v>
      </c>
      <c r="RYU292" s="18">
        <v>0</v>
      </c>
      <c r="RYV292" s="18">
        <v>0</v>
      </c>
      <c r="RYW292" s="18">
        <v>0</v>
      </c>
      <c r="RYX292" s="18">
        <v>0</v>
      </c>
      <c r="RYY292" s="18">
        <v>0</v>
      </c>
      <c r="RYZ292" s="18">
        <v>0</v>
      </c>
      <c r="RZA292" s="18">
        <v>0</v>
      </c>
      <c r="RZB292" s="18">
        <v>0</v>
      </c>
      <c r="RZC292" s="18">
        <v>0</v>
      </c>
      <c r="RZD292" s="18">
        <v>0</v>
      </c>
      <c r="RZE292" s="18">
        <v>0</v>
      </c>
      <c r="RZF292" s="18">
        <v>0</v>
      </c>
      <c r="RZG292" s="18">
        <v>0</v>
      </c>
      <c r="RZH292" s="18">
        <v>0</v>
      </c>
      <c r="RZI292" s="18">
        <v>0</v>
      </c>
      <c r="RZJ292" s="18">
        <v>0</v>
      </c>
      <c r="RZK292" s="18">
        <v>0</v>
      </c>
      <c r="RZL292" s="18">
        <v>0</v>
      </c>
      <c r="RZM292" s="18">
        <v>0</v>
      </c>
      <c r="RZN292" s="18">
        <v>0</v>
      </c>
      <c r="RZO292" s="18">
        <v>0</v>
      </c>
      <c r="RZP292" s="18">
        <v>0</v>
      </c>
      <c r="RZQ292" s="18">
        <v>0</v>
      </c>
      <c r="RZR292" s="18">
        <v>0</v>
      </c>
      <c r="RZS292" s="18">
        <v>0</v>
      </c>
      <c r="RZT292" s="18">
        <v>0</v>
      </c>
      <c r="RZU292" s="18">
        <v>0</v>
      </c>
      <c r="RZV292" s="18">
        <v>0</v>
      </c>
      <c r="RZW292" s="18">
        <v>0</v>
      </c>
      <c r="RZX292" s="18">
        <v>0</v>
      </c>
      <c r="RZY292" s="18">
        <v>0</v>
      </c>
      <c r="RZZ292" s="18">
        <v>0</v>
      </c>
      <c r="SAA292" s="18">
        <v>0</v>
      </c>
      <c r="SAB292" s="18">
        <v>0</v>
      </c>
      <c r="SAC292" s="18">
        <v>0</v>
      </c>
      <c r="SAD292" s="18">
        <v>0</v>
      </c>
      <c r="SAE292" s="18">
        <v>0</v>
      </c>
      <c r="SAF292" s="18">
        <v>0</v>
      </c>
      <c r="SAG292" s="18">
        <v>0</v>
      </c>
      <c r="SAH292" s="18">
        <v>0</v>
      </c>
      <c r="SAI292" s="18">
        <v>0</v>
      </c>
      <c r="SAJ292" s="18">
        <v>0</v>
      </c>
      <c r="SAK292" s="18">
        <v>0</v>
      </c>
      <c r="SAL292" s="18">
        <v>0</v>
      </c>
      <c r="SAM292" s="18">
        <v>0</v>
      </c>
      <c r="SAN292" s="18">
        <v>0</v>
      </c>
      <c r="SAO292" s="18">
        <v>0</v>
      </c>
      <c r="SAP292" s="18">
        <v>0</v>
      </c>
      <c r="SAQ292" s="18">
        <v>0</v>
      </c>
      <c r="SAR292" s="18">
        <v>0</v>
      </c>
      <c r="SAS292" s="18">
        <v>0</v>
      </c>
      <c r="SAT292" s="18">
        <v>0</v>
      </c>
      <c r="SAU292" s="18">
        <v>0</v>
      </c>
      <c r="SAV292" s="18">
        <v>0</v>
      </c>
      <c r="SAW292" s="18">
        <v>0</v>
      </c>
      <c r="SAX292" s="18">
        <v>0</v>
      </c>
      <c r="SAY292" s="18">
        <v>0</v>
      </c>
      <c r="SAZ292" s="18">
        <v>0</v>
      </c>
      <c r="SBA292" s="18">
        <v>0</v>
      </c>
      <c r="SBB292" s="18">
        <v>0</v>
      </c>
      <c r="SBC292" s="18">
        <v>0</v>
      </c>
      <c r="SBD292" s="18">
        <v>0</v>
      </c>
      <c r="SBE292" s="18">
        <v>0</v>
      </c>
      <c r="SBF292" s="18">
        <v>0</v>
      </c>
      <c r="SBG292" s="18">
        <v>0</v>
      </c>
      <c r="SBH292" s="18">
        <v>0</v>
      </c>
      <c r="SBI292" s="18">
        <v>0</v>
      </c>
      <c r="SBJ292" s="18">
        <v>0</v>
      </c>
      <c r="SBK292" s="18">
        <v>0</v>
      </c>
      <c r="SBL292" s="18">
        <v>0</v>
      </c>
      <c r="SBM292" s="18">
        <v>0</v>
      </c>
      <c r="SBN292" s="18">
        <v>0</v>
      </c>
      <c r="SBO292" s="18">
        <v>0</v>
      </c>
      <c r="SBP292" s="18">
        <v>0</v>
      </c>
      <c r="SBQ292" s="18">
        <v>0</v>
      </c>
      <c r="SBR292" s="18">
        <v>0</v>
      </c>
      <c r="SBS292" s="18">
        <v>0</v>
      </c>
      <c r="SBT292" s="18">
        <v>0</v>
      </c>
      <c r="SBU292" s="18">
        <v>0</v>
      </c>
      <c r="SBV292" s="18">
        <v>0</v>
      </c>
      <c r="SBW292" s="18">
        <v>0</v>
      </c>
      <c r="SBX292" s="18">
        <v>0</v>
      </c>
      <c r="SBY292" s="18">
        <v>0</v>
      </c>
      <c r="SBZ292" s="18">
        <v>0</v>
      </c>
      <c r="SCA292" s="18">
        <v>0</v>
      </c>
      <c r="SCB292" s="18">
        <v>0</v>
      </c>
      <c r="SCC292" s="18">
        <v>0</v>
      </c>
      <c r="SCD292" s="18">
        <v>0</v>
      </c>
      <c r="SCE292" s="18">
        <v>0</v>
      </c>
      <c r="SCF292" s="18">
        <v>0</v>
      </c>
      <c r="SCG292" s="18">
        <v>0</v>
      </c>
      <c r="SCH292" s="18">
        <v>0</v>
      </c>
      <c r="SCI292" s="18">
        <v>0</v>
      </c>
      <c r="SCJ292" s="18">
        <v>0</v>
      </c>
      <c r="SCK292" s="18">
        <v>0</v>
      </c>
      <c r="SCL292" s="18">
        <v>0</v>
      </c>
      <c r="SCM292" s="18">
        <v>0</v>
      </c>
      <c r="SCN292" s="18">
        <v>0</v>
      </c>
      <c r="SCO292" s="18">
        <v>0</v>
      </c>
      <c r="SCP292" s="18">
        <v>0</v>
      </c>
      <c r="SCQ292" s="18">
        <v>0</v>
      </c>
      <c r="SCR292" s="18">
        <v>0</v>
      </c>
      <c r="SCS292" s="18">
        <v>0</v>
      </c>
      <c r="SCT292" s="18">
        <v>0</v>
      </c>
      <c r="SCU292" s="18">
        <v>0</v>
      </c>
      <c r="SCV292" s="18">
        <v>0</v>
      </c>
      <c r="SCW292" s="18">
        <v>0</v>
      </c>
      <c r="SCX292" s="18">
        <v>0</v>
      </c>
      <c r="SCY292" s="18">
        <v>0</v>
      </c>
      <c r="SCZ292" s="18">
        <v>0</v>
      </c>
      <c r="SDA292" s="18">
        <v>0</v>
      </c>
      <c r="SDB292" s="18">
        <v>0</v>
      </c>
      <c r="SDC292" s="18">
        <v>0</v>
      </c>
      <c r="SDD292" s="18">
        <v>0</v>
      </c>
      <c r="SDE292" s="18">
        <v>0</v>
      </c>
      <c r="SDF292" s="18">
        <v>0</v>
      </c>
      <c r="SDG292" s="18">
        <v>0</v>
      </c>
      <c r="SDH292" s="18">
        <v>0</v>
      </c>
      <c r="SDI292" s="18">
        <v>0</v>
      </c>
      <c r="SDJ292" s="18">
        <v>0</v>
      </c>
      <c r="SDK292" s="18">
        <v>0</v>
      </c>
      <c r="SDL292" s="18">
        <v>0</v>
      </c>
      <c r="SDM292" s="18">
        <v>0</v>
      </c>
      <c r="SDN292" s="18">
        <v>0</v>
      </c>
      <c r="SDO292" s="18">
        <v>0</v>
      </c>
      <c r="SDP292" s="18">
        <v>0</v>
      </c>
      <c r="SDQ292" s="18">
        <v>0</v>
      </c>
      <c r="SDR292" s="18">
        <v>0</v>
      </c>
      <c r="SDS292" s="18">
        <v>0</v>
      </c>
      <c r="SDT292" s="18">
        <v>0</v>
      </c>
      <c r="SDU292" s="18">
        <v>0</v>
      </c>
      <c r="SDV292" s="18">
        <v>0</v>
      </c>
      <c r="SDW292" s="18">
        <v>0</v>
      </c>
      <c r="SDX292" s="18">
        <v>0</v>
      </c>
      <c r="SDY292" s="18">
        <v>0</v>
      </c>
      <c r="SDZ292" s="18">
        <v>0</v>
      </c>
      <c r="SEA292" s="18">
        <v>0</v>
      </c>
      <c r="SEB292" s="18">
        <v>0</v>
      </c>
      <c r="SEC292" s="18">
        <v>0</v>
      </c>
      <c r="SED292" s="18">
        <v>0</v>
      </c>
      <c r="SEE292" s="18">
        <v>0</v>
      </c>
      <c r="SEF292" s="18">
        <v>0</v>
      </c>
      <c r="SEG292" s="18">
        <v>0</v>
      </c>
      <c r="SEH292" s="18">
        <v>0</v>
      </c>
      <c r="SEI292" s="18">
        <v>0</v>
      </c>
      <c r="SEJ292" s="18">
        <v>0</v>
      </c>
      <c r="SEK292" s="18">
        <v>0</v>
      </c>
      <c r="SEL292" s="18">
        <v>0</v>
      </c>
      <c r="SEM292" s="18">
        <v>0</v>
      </c>
      <c r="SEN292" s="18">
        <v>0</v>
      </c>
      <c r="SEO292" s="18">
        <v>0</v>
      </c>
      <c r="SEP292" s="18">
        <v>0</v>
      </c>
      <c r="SEQ292" s="18">
        <v>0</v>
      </c>
      <c r="SER292" s="18">
        <v>0</v>
      </c>
      <c r="SES292" s="18">
        <v>0</v>
      </c>
      <c r="SET292" s="18">
        <v>0</v>
      </c>
      <c r="SEU292" s="18">
        <v>0</v>
      </c>
      <c r="SEV292" s="18">
        <v>0</v>
      </c>
      <c r="SEW292" s="18">
        <v>0</v>
      </c>
      <c r="SEX292" s="18">
        <v>0</v>
      </c>
      <c r="SEY292" s="18">
        <v>0</v>
      </c>
      <c r="SEZ292" s="18">
        <v>0</v>
      </c>
      <c r="SFA292" s="18">
        <v>0</v>
      </c>
      <c r="SFB292" s="18">
        <v>0</v>
      </c>
      <c r="SFC292" s="18">
        <v>0</v>
      </c>
      <c r="SFD292" s="18">
        <v>0</v>
      </c>
      <c r="SFE292" s="18">
        <v>0</v>
      </c>
      <c r="SFF292" s="18">
        <v>0</v>
      </c>
      <c r="SFG292" s="18">
        <v>0</v>
      </c>
      <c r="SFH292" s="18">
        <v>0</v>
      </c>
      <c r="SFI292" s="18">
        <v>0</v>
      </c>
      <c r="SFJ292" s="18">
        <v>0</v>
      </c>
      <c r="SFK292" s="18">
        <v>0</v>
      </c>
      <c r="SFL292" s="18">
        <v>0</v>
      </c>
      <c r="SFM292" s="18">
        <v>0</v>
      </c>
      <c r="SFN292" s="18">
        <v>0</v>
      </c>
      <c r="SFO292" s="18">
        <v>0</v>
      </c>
      <c r="SFP292" s="18">
        <v>0</v>
      </c>
      <c r="SFQ292" s="18">
        <v>0</v>
      </c>
      <c r="SFR292" s="18">
        <v>0</v>
      </c>
      <c r="SFS292" s="18">
        <v>0</v>
      </c>
      <c r="SFT292" s="18">
        <v>0</v>
      </c>
      <c r="SFU292" s="18">
        <v>0</v>
      </c>
      <c r="SFV292" s="18">
        <v>0</v>
      </c>
      <c r="SFW292" s="18">
        <v>0</v>
      </c>
      <c r="SFX292" s="18">
        <v>0</v>
      </c>
      <c r="SFY292" s="18">
        <v>0</v>
      </c>
      <c r="SFZ292" s="18">
        <v>0</v>
      </c>
      <c r="SGA292" s="18">
        <v>0</v>
      </c>
      <c r="SGB292" s="18">
        <v>0</v>
      </c>
      <c r="SGC292" s="18">
        <v>0</v>
      </c>
      <c r="SGD292" s="18">
        <v>0</v>
      </c>
      <c r="SGE292" s="18">
        <v>0</v>
      </c>
      <c r="SGF292" s="18">
        <v>0</v>
      </c>
      <c r="SGG292" s="18">
        <v>0</v>
      </c>
      <c r="SGH292" s="18">
        <v>0</v>
      </c>
      <c r="SGI292" s="18">
        <v>0</v>
      </c>
      <c r="SGJ292" s="18">
        <v>0</v>
      </c>
      <c r="SGK292" s="18">
        <v>0</v>
      </c>
      <c r="SGL292" s="18">
        <v>0</v>
      </c>
      <c r="SGM292" s="18">
        <v>0</v>
      </c>
      <c r="SGN292" s="18">
        <v>0</v>
      </c>
      <c r="SGO292" s="18">
        <v>0</v>
      </c>
      <c r="SGP292" s="18">
        <v>0</v>
      </c>
      <c r="SGQ292" s="18">
        <v>0</v>
      </c>
      <c r="SGR292" s="18">
        <v>0</v>
      </c>
      <c r="SGS292" s="18">
        <v>0</v>
      </c>
      <c r="SGT292" s="18">
        <v>0</v>
      </c>
      <c r="SGU292" s="18">
        <v>0</v>
      </c>
      <c r="SGV292" s="18">
        <v>0</v>
      </c>
      <c r="SGW292" s="18">
        <v>0</v>
      </c>
      <c r="SGX292" s="18">
        <v>0</v>
      </c>
      <c r="SGY292" s="18">
        <v>0</v>
      </c>
      <c r="SGZ292" s="18">
        <v>0</v>
      </c>
      <c r="SHA292" s="18">
        <v>0</v>
      </c>
      <c r="SHB292" s="18">
        <v>0</v>
      </c>
      <c r="SHC292" s="18">
        <v>0</v>
      </c>
      <c r="SHD292" s="18">
        <v>0</v>
      </c>
      <c r="SHE292" s="18">
        <v>0</v>
      </c>
      <c r="SHF292" s="18">
        <v>0</v>
      </c>
      <c r="SHG292" s="18">
        <v>0</v>
      </c>
      <c r="SHH292" s="18">
        <v>0</v>
      </c>
      <c r="SHI292" s="18">
        <v>0</v>
      </c>
      <c r="SHJ292" s="18">
        <v>0</v>
      </c>
      <c r="SHK292" s="18">
        <v>0</v>
      </c>
      <c r="SHL292" s="18">
        <v>0</v>
      </c>
      <c r="SHM292" s="18">
        <v>0</v>
      </c>
      <c r="SHN292" s="18">
        <v>0</v>
      </c>
      <c r="SHO292" s="18">
        <v>0</v>
      </c>
      <c r="SHP292" s="18">
        <v>0</v>
      </c>
      <c r="SHQ292" s="18">
        <v>0</v>
      </c>
      <c r="SHR292" s="18">
        <v>0</v>
      </c>
      <c r="SHS292" s="18">
        <v>0</v>
      </c>
      <c r="SHT292" s="18">
        <v>0</v>
      </c>
      <c r="SHU292" s="18">
        <v>0</v>
      </c>
      <c r="SHV292" s="18">
        <v>0</v>
      </c>
      <c r="SHW292" s="18">
        <v>0</v>
      </c>
      <c r="SHX292" s="18">
        <v>0</v>
      </c>
      <c r="SHY292" s="18">
        <v>0</v>
      </c>
      <c r="SHZ292" s="18">
        <v>0</v>
      </c>
      <c r="SIA292" s="18">
        <v>0</v>
      </c>
      <c r="SIB292" s="18">
        <v>0</v>
      </c>
      <c r="SIC292" s="18">
        <v>0</v>
      </c>
      <c r="SID292" s="18">
        <v>0</v>
      </c>
      <c r="SIE292" s="18">
        <v>0</v>
      </c>
      <c r="SIF292" s="18">
        <v>0</v>
      </c>
      <c r="SIG292" s="18">
        <v>0</v>
      </c>
      <c r="SIH292" s="18">
        <v>0</v>
      </c>
      <c r="SII292" s="18">
        <v>0</v>
      </c>
      <c r="SIJ292" s="18">
        <v>0</v>
      </c>
      <c r="SIK292" s="18">
        <v>0</v>
      </c>
      <c r="SIL292" s="18">
        <v>0</v>
      </c>
      <c r="SIM292" s="18">
        <v>0</v>
      </c>
      <c r="SIN292" s="18">
        <v>0</v>
      </c>
      <c r="SIO292" s="18">
        <v>0</v>
      </c>
      <c r="SIP292" s="18">
        <v>0</v>
      </c>
      <c r="SIQ292" s="18">
        <v>0</v>
      </c>
      <c r="SIR292" s="18">
        <v>0</v>
      </c>
      <c r="SIS292" s="18">
        <v>0</v>
      </c>
      <c r="SIT292" s="18">
        <v>0</v>
      </c>
      <c r="SIU292" s="18">
        <v>0</v>
      </c>
      <c r="SIV292" s="18">
        <v>0</v>
      </c>
      <c r="SIW292" s="18">
        <v>0</v>
      </c>
      <c r="SIX292" s="18">
        <v>0</v>
      </c>
      <c r="SIY292" s="18">
        <v>0</v>
      </c>
      <c r="SIZ292" s="18">
        <v>0</v>
      </c>
      <c r="SJA292" s="18">
        <v>0</v>
      </c>
      <c r="SJB292" s="18">
        <v>0</v>
      </c>
      <c r="SJC292" s="18">
        <v>0</v>
      </c>
      <c r="SJD292" s="18">
        <v>0</v>
      </c>
      <c r="SJE292" s="18">
        <v>0</v>
      </c>
      <c r="SJF292" s="18">
        <v>0</v>
      </c>
      <c r="SJG292" s="18">
        <v>0</v>
      </c>
      <c r="SJH292" s="18">
        <v>0</v>
      </c>
      <c r="SJI292" s="18">
        <v>0</v>
      </c>
      <c r="SJJ292" s="18">
        <v>0</v>
      </c>
      <c r="SJK292" s="18">
        <v>0</v>
      </c>
      <c r="SJL292" s="18">
        <v>0</v>
      </c>
      <c r="SJM292" s="18">
        <v>0</v>
      </c>
      <c r="SJN292" s="18">
        <v>0</v>
      </c>
      <c r="SJO292" s="18">
        <v>0</v>
      </c>
      <c r="SJP292" s="18">
        <v>0</v>
      </c>
      <c r="SJQ292" s="18">
        <v>0</v>
      </c>
      <c r="SJR292" s="18">
        <v>0</v>
      </c>
      <c r="SJS292" s="18">
        <v>0</v>
      </c>
      <c r="SJT292" s="18">
        <v>0</v>
      </c>
      <c r="SJU292" s="18">
        <v>0</v>
      </c>
      <c r="SJV292" s="18">
        <v>0</v>
      </c>
      <c r="SJW292" s="18">
        <v>0</v>
      </c>
      <c r="SJX292" s="18">
        <v>0</v>
      </c>
      <c r="SJY292" s="18">
        <v>0</v>
      </c>
      <c r="SJZ292" s="18">
        <v>0</v>
      </c>
      <c r="SKA292" s="18">
        <v>0</v>
      </c>
      <c r="SKB292" s="18">
        <v>0</v>
      </c>
      <c r="SKC292" s="18">
        <v>0</v>
      </c>
      <c r="SKD292" s="18">
        <v>0</v>
      </c>
      <c r="SKE292" s="18">
        <v>0</v>
      </c>
      <c r="SKF292" s="18">
        <v>0</v>
      </c>
      <c r="SKG292" s="18">
        <v>0</v>
      </c>
      <c r="SKH292" s="18">
        <v>0</v>
      </c>
      <c r="SKI292" s="18">
        <v>0</v>
      </c>
      <c r="SKJ292" s="18">
        <v>0</v>
      </c>
      <c r="SKK292" s="18">
        <v>0</v>
      </c>
      <c r="SKL292" s="18">
        <v>0</v>
      </c>
      <c r="SKM292" s="18">
        <v>0</v>
      </c>
      <c r="SKN292" s="18">
        <v>0</v>
      </c>
      <c r="SKO292" s="18">
        <v>0</v>
      </c>
      <c r="SKP292" s="18">
        <v>0</v>
      </c>
      <c r="SKQ292" s="18">
        <v>0</v>
      </c>
      <c r="SKR292" s="18">
        <v>0</v>
      </c>
      <c r="SKS292" s="18">
        <v>0</v>
      </c>
      <c r="SKT292" s="18">
        <v>0</v>
      </c>
      <c r="SKU292" s="18">
        <v>0</v>
      </c>
      <c r="SKV292" s="18">
        <v>0</v>
      </c>
      <c r="SKW292" s="18">
        <v>0</v>
      </c>
      <c r="SKX292" s="18">
        <v>0</v>
      </c>
      <c r="SKY292" s="18">
        <v>0</v>
      </c>
      <c r="SKZ292" s="18">
        <v>0</v>
      </c>
      <c r="SLA292" s="18">
        <v>0</v>
      </c>
      <c r="SLB292" s="18">
        <v>0</v>
      </c>
      <c r="SLC292" s="18">
        <v>0</v>
      </c>
      <c r="SLD292" s="18">
        <v>0</v>
      </c>
      <c r="SLE292" s="18">
        <v>0</v>
      </c>
      <c r="SLF292" s="18">
        <v>0</v>
      </c>
      <c r="SLG292" s="18">
        <v>0</v>
      </c>
      <c r="SLH292" s="18">
        <v>0</v>
      </c>
      <c r="SLI292" s="18">
        <v>0</v>
      </c>
      <c r="SLJ292" s="18">
        <v>0</v>
      </c>
      <c r="SLK292" s="18">
        <v>0</v>
      </c>
      <c r="SLL292" s="18">
        <v>0</v>
      </c>
      <c r="SLM292" s="18">
        <v>0</v>
      </c>
      <c r="SLN292" s="18">
        <v>0</v>
      </c>
      <c r="SLO292" s="18">
        <v>0</v>
      </c>
      <c r="SLP292" s="18">
        <v>0</v>
      </c>
      <c r="SLQ292" s="18">
        <v>0</v>
      </c>
      <c r="SLR292" s="18">
        <v>0</v>
      </c>
      <c r="SLS292" s="18">
        <v>0</v>
      </c>
      <c r="SLT292" s="18">
        <v>0</v>
      </c>
      <c r="SLU292" s="18">
        <v>0</v>
      </c>
      <c r="SLV292" s="18">
        <v>0</v>
      </c>
      <c r="SLW292" s="18">
        <v>0</v>
      </c>
      <c r="SLX292" s="18">
        <v>0</v>
      </c>
      <c r="SLY292" s="18">
        <v>0</v>
      </c>
      <c r="SLZ292" s="18">
        <v>0</v>
      </c>
      <c r="SMA292" s="18">
        <v>0</v>
      </c>
      <c r="SMB292" s="18">
        <v>0</v>
      </c>
      <c r="SMC292" s="18">
        <v>0</v>
      </c>
      <c r="SMD292" s="18">
        <v>0</v>
      </c>
      <c r="SME292" s="18">
        <v>0</v>
      </c>
      <c r="SMF292" s="18">
        <v>0</v>
      </c>
      <c r="SMG292" s="18">
        <v>0</v>
      </c>
      <c r="SMH292" s="18">
        <v>0</v>
      </c>
      <c r="SMI292" s="18">
        <v>0</v>
      </c>
      <c r="SMJ292" s="18">
        <v>0</v>
      </c>
      <c r="SMK292" s="18">
        <v>0</v>
      </c>
      <c r="SML292" s="18">
        <v>0</v>
      </c>
      <c r="SMM292" s="18">
        <v>0</v>
      </c>
      <c r="SMN292" s="18">
        <v>0</v>
      </c>
      <c r="SMO292" s="18">
        <v>0</v>
      </c>
      <c r="SMP292" s="18">
        <v>0</v>
      </c>
      <c r="SMQ292" s="18">
        <v>0</v>
      </c>
      <c r="SMR292" s="18">
        <v>0</v>
      </c>
      <c r="SMS292" s="18">
        <v>0</v>
      </c>
      <c r="SMT292" s="18">
        <v>0</v>
      </c>
      <c r="SMU292" s="18">
        <v>0</v>
      </c>
      <c r="SMV292" s="18">
        <v>0</v>
      </c>
      <c r="SMW292" s="18">
        <v>0</v>
      </c>
      <c r="SMX292" s="18">
        <v>0</v>
      </c>
      <c r="SMY292" s="18">
        <v>0</v>
      </c>
      <c r="SMZ292" s="18">
        <v>0</v>
      </c>
      <c r="SNA292" s="18">
        <v>0</v>
      </c>
      <c r="SNB292" s="18">
        <v>0</v>
      </c>
      <c r="SNC292" s="18">
        <v>0</v>
      </c>
      <c r="SND292" s="18">
        <v>0</v>
      </c>
      <c r="SNE292" s="18">
        <v>0</v>
      </c>
      <c r="SNF292" s="18">
        <v>0</v>
      </c>
      <c r="SNG292" s="18">
        <v>0</v>
      </c>
      <c r="SNH292" s="18">
        <v>0</v>
      </c>
      <c r="SNI292" s="18">
        <v>0</v>
      </c>
      <c r="SNJ292" s="18">
        <v>0</v>
      </c>
      <c r="SNK292" s="18">
        <v>0</v>
      </c>
      <c r="SNL292" s="18">
        <v>0</v>
      </c>
      <c r="SNM292" s="18">
        <v>0</v>
      </c>
      <c r="SNN292" s="18">
        <v>0</v>
      </c>
      <c r="SNO292" s="18">
        <v>0</v>
      </c>
      <c r="SNP292" s="18">
        <v>0</v>
      </c>
      <c r="SNQ292" s="18">
        <v>0</v>
      </c>
      <c r="SNR292" s="18">
        <v>0</v>
      </c>
      <c r="SNS292" s="18">
        <v>0</v>
      </c>
      <c r="SNT292" s="18">
        <v>0</v>
      </c>
      <c r="SNU292" s="18">
        <v>0</v>
      </c>
      <c r="SNV292" s="18">
        <v>0</v>
      </c>
      <c r="SNW292" s="18">
        <v>0</v>
      </c>
      <c r="SNX292" s="18">
        <v>0</v>
      </c>
      <c r="SNY292" s="18">
        <v>0</v>
      </c>
      <c r="SNZ292" s="18">
        <v>0</v>
      </c>
      <c r="SOA292" s="18">
        <v>0</v>
      </c>
      <c r="SOB292" s="18">
        <v>0</v>
      </c>
      <c r="SOC292" s="18">
        <v>0</v>
      </c>
      <c r="SOD292" s="18">
        <v>0</v>
      </c>
      <c r="SOE292" s="18">
        <v>0</v>
      </c>
      <c r="SOF292" s="18">
        <v>0</v>
      </c>
      <c r="SOG292" s="18">
        <v>0</v>
      </c>
      <c r="SOH292" s="18">
        <v>0</v>
      </c>
      <c r="SOI292" s="18">
        <v>0</v>
      </c>
      <c r="SOJ292" s="18">
        <v>0</v>
      </c>
      <c r="SOK292" s="18">
        <v>0</v>
      </c>
      <c r="SOL292" s="18">
        <v>0</v>
      </c>
      <c r="SOM292" s="18">
        <v>0</v>
      </c>
      <c r="SON292" s="18">
        <v>0</v>
      </c>
      <c r="SOO292" s="18">
        <v>0</v>
      </c>
      <c r="SOP292" s="18">
        <v>0</v>
      </c>
      <c r="SOQ292" s="18">
        <v>0</v>
      </c>
      <c r="SOR292" s="18">
        <v>0</v>
      </c>
      <c r="SOS292" s="18">
        <v>0</v>
      </c>
      <c r="SOT292" s="18">
        <v>0</v>
      </c>
      <c r="SOU292" s="18">
        <v>0</v>
      </c>
      <c r="SOV292" s="18">
        <v>0</v>
      </c>
      <c r="SOW292" s="18">
        <v>0</v>
      </c>
      <c r="SOX292" s="18">
        <v>0</v>
      </c>
      <c r="SOY292" s="18">
        <v>0</v>
      </c>
      <c r="SOZ292" s="18">
        <v>0</v>
      </c>
      <c r="SPA292" s="18">
        <v>0</v>
      </c>
      <c r="SPB292" s="18">
        <v>0</v>
      </c>
      <c r="SPC292" s="18">
        <v>0</v>
      </c>
      <c r="SPD292" s="18">
        <v>0</v>
      </c>
      <c r="SPE292" s="18">
        <v>0</v>
      </c>
      <c r="SPF292" s="18">
        <v>0</v>
      </c>
      <c r="SPG292" s="18">
        <v>0</v>
      </c>
      <c r="SPH292" s="18">
        <v>0</v>
      </c>
      <c r="SPI292" s="18">
        <v>0</v>
      </c>
      <c r="SPJ292" s="18">
        <v>0</v>
      </c>
      <c r="SPK292" s="18">
        <v>0</v>
      </c>
      <c r="SPL292" s="18">
        <v>0</v>
      </c>
      <c r="SPM292" s="18">
        <v>0</v>
      </c>
      <c r="SPN292" s="18">
        <v>0</v>
      </c>
      <c r="SPO292" s="18">
        <v>0</v>
      </c>
      <c r="SPP292" s="18">
        <v>0</v>
      </c>
      <c r="SPQ292" s="18">
        <v>0</v>
      </c>
      <c r="SPR292" s="18">
        <v>0</v>
      </c>
      <c r="SPS292" s="18">
        <v>0</v>
      </c>
      <c r="SPT292" s="18">
        <v>0</v>
      </c>
      <c r="SPU292" s="18">
        <v>0</v>
      </c>
      <c r="SPV292" s="18">
        <v>0</v>
      </c>
      <c r="SPW292" s="18">
        <v>0</v>
      </c>
      <c r="SPX292" s="18">
        <v>0</v>
      </c>
      <c r="SPY292" s="18">
        <v>0</v>
      </c>
      <c r="SPZ292" s="18">
        <v>0</v>
      </c>
      <c r="SQA292" s="18">
        <v>0</v>
      </c>
      <c r="SQB292" s="18">
        <v>0</v>
      </c>
      <c r="SQC292" s="18">
        <v>0</v>
      </c>
      <c r="SQD292" s="18">
        <v>0</v>
      </c>
      <c r="SQE292" s="18">
        <v>0</v>
      </c>
      <c r="SQF292" s="18">
        <v>0</v>
      </c>
      <c r="SQG292" s="18">
        <v>0</v>
      </c>
      <c r="SQH292" s="18">
        <v>0</v>
      </c>
      <c r="SQI292" s="18">
        <v>0</v>
      </c>
      <c r="SQJ292" s="18">
        <v>0</v>
      </c>
      <c r="SQK292" s="18">
        <v>0</v>
      </c>
      <c r="SQL292" s="18">
        <v>0</v>
      </c>
      <c r="SQM292" s="18">
        <v>0</v>
      </c>
      <c r="SQN292" s="18">
        <v>0</v>
      </c>
      <c r="SQO292" s="18">
        <v>0</v>
      </c>
      <c r="SQP292" s="18">
        <v>0</v>
      </c>
      <c r="SQQ292" s="18">
        <v>0</v>
      </c>
      <c r="SQR292" s="18">
        <v>0</v>
      </c>
      <c r="SQS292" s="18">
        <v>0</v>
      </c>
      <c r="SQT292" s="18">
        <v>0</v>
      </c>
      <c r="SQU292" s="18">
        <v>0</v>
      </c>
      <c r="SQV292" s="18">
        <v>0</v>
      </c>
      <c r="SQW292" s="18">
        <v>0</v>
      </c>
      <c r="SQX292" s="18">
        <v>0</v>
      </c>
      <c r="SQY292" s="18">
        <v>0</v>
      </c>
      <c r="SQZ292" s="18">
        <v>0</v>
      </c>
      <c r="SRA292" s="18">
        <v>0</v>
      </c>
      <c r="SRB292" s="18">
        <v>0</v>
      </c>
      <c r="SRC292" s="18">
        <v>0</v>
      </c>
      <c r="SRD292" s="18">
        <v>0</v>
      </c>
      <c r="SRE292" s="18">
        <v>0</v>
      </c>
      <c r="SRF292" s="18">
        <v>0</v>
      </c>
      <c r="SRG292" s="18">
        <v>0</v>
      </c>
      <c r="SRH292" s="18">
        <v>0</v>
      </c>
      <c r="SRI292" s="18">
        <v>0</v>
      </c>
      <c r="SRJ292" s="18">
        <v>0</v>
      </c>
      <c r="SRK292" s="18">
        <v>0</v>
      </c>
      <c r="SRL292" s="18">
        <v>0</v>
      </c>
      <c r="SRM292" s="18">
        <v>0</v>
      </c>
      <c r="SRN292" s="18">
        <v>0</v>
      </c>
      <c r="SRO292" s="18">
        <v>0</v>
      </c>
      <c r="SRP292" s="18">
        <v>0</v>
      </c>
      <c r="SRQ292" s="18">
        <v>0</v>
      </c>
      <c r="SRR292" s="18">
        <v>0</v>
      </c>
      <c r="SRS292" s="18">
        <v>0</v>
      </c>
      <c r="SRT292" s="18">
        <v>0</v>
      </c>
      <c r="SRU292" s="18">
        <v>0</v>
      </c>
      <c r="SRV292" s="18">
        <v>0</v>
      </c>
      <c r="SRW292" s="18">
        <v>0</v>
      </c>
      <c r="SRX292" s="18">
        <v>0</v>
      </c>
      <c r="SRY292" s="18">
        <v>0</v>
      </c>
      <c r="SRZ292" s="18">
        <v>0</v>
      </c>
      <c r="SSA292" s="18">
        <v>0</v>
      </c>
      <c r="SSB292" s="18">
        <v>0</v>
      </c>
      <c r="SSC292" s="18">
        <v>0</v>
      </c>
      <c r="SSD292" s="18">
        <v>0</v>
      </c>
      <c r="SSE292" s="18">
        <v>0</v>
      </c>
      <c r="SSF292" s="18">
        <v>0</v>
      </c>
      <c r="SSG292" s="18">
        <v>0</v>
      </c>
      <c r="SSH292" s="18">
        <v>0</v>
      </c>
      <c r="SSI292" s="18">
        <v>0</v>
      </c>
      <c r="SSJ292" s="18">
        <v>0</v>
      </c>
      <c r="SSK292" s="18">
        <v>0</v>
      </c>
      <c r="SSL292" s="18">
        <v>0</v>
      </c>
      <c r="SSM292" s="18">
        <v>0</v>
      </c>
      <c r="SSN292" s="18">
        <v>0</v>
      </c>
      <c r="SSO292" s="18">
        <v>0</v>
      </c>
      <c r="SSP292" s="18">
        <v>0</v>
      </c>
      <c r="SSQ292" s="18">
        <v>0</v>
      </c>
      <c r="SSR292" s="18">
        <v>0</v>
      </c>
      <c r="SSS292" s="18">
        <v>0</v>
      </c>
      <c r="SST292" s="18">
        <v>0</v>
      </c>
      <c r="SSU292" s="18">
        <v>0</v>
      </c>
      <c r="SSV292" s="18">
        <v>0</v>
      </c>
      <c r="SSW292" s="18">
        <v>0</v>
      </c>
      <c r="SSX292" s="18">
        <v>0</v>
      </c>
      <c r="SSY292" s="18">
        <v>0</v>
      </c>
      <c r="SSZ292" s="18">
        <v>0</v>
      </c>
      <c r="STA292" s="18">
        <v>0</v>
      </c>
      <c r="STB292" s="18">
        <v>0</v>
      </c>
      <c r="STC292" s="18">
        <v>0</v>
      </c>
      <c r="STD292" s="18">
        <v>0</v>
      </c>
      <c r="STE292" s="18">
        <v>0</v>
      </c>
      <c r="STF292" s="18">
        <v>0</v>
      </c>
      <c r="STG292" s="18">
        <v>0</v>
      </c>
      <c r="STH292" s="18">
        <v>0</v>
      </c>
      <c r="STI292" s="18">
        <v>0</v>
      </c>
      <c r="STJ292" s="18">
        <v>0</v>
      </c>
      <c r="STK292" s="18">
        <v>0</v>
      </c>
      <c r="STL292" s="18">
        <v>0</v>
      </c>
      <c r="STM292" s="18">
        <v>0</v>
      </c>
      <c r="STN292" s="18">
        <v>0</v>
      </c>
      <c r="STO292" s="18">
        <v>0</v>
      </c>
      <c r="STP292" s="18">
        <v>0</v>
      </c>
      <c r="STQ292" s="18">
        <v>0</v>
      </c>
      <c r="STR292" s="18">
        <v>0</v>
      </c>
      <c r="STS292" s="18">
        <v>0</v>
      </c>
      <c r="STT292" s="18">
        <v>0</v>
      </c>
      <c r="STU292" s="18">
        <v>0</v>
      </c>
      <c r="STV292" s="18">
        <v>0</v>
      </c>
      <c r="STW292" s="18">
        <v>0</v>
      </c>
      <c r="STX292" s="18">
        <v>0</v>
      </c>
      <c r="STY292" s="18">
        <v>0</v>
      </c>
      <c r="STZ292" s="18">
        <v>0</v>
      </c>
      <c r="SUA292" s="18">
        <v>0</v>
      </c>
      <c r="SUB292" s="18">
        <v>0</v>
      </c>
      <c r="SUC292" s="18">
        <v>0</v>
      </c>
      <c r="SUD292" s="18">
        <v>0</v>
      </c>
      <c r="SUE292" s="18">
        <v>0</v>
      </c>
      <c r="SUF292" s="18">
        <v>0</v>
      </c>
      <c r="SUG292" s="18">
        <v>0</v>
      </c>
      <c r="SUH292" s="18">
        <v>0</v>
      </c>
      <c r="SUI292" s="18">
        <v>0</v>
      </c>
      <c r="SUJ292" s="18">
        <v>0</v>
      </c>
      <c r="SUK292" s="18">
        <v>0</v>
      </c>
      <c r="SUL292" s="18">
        <v>0</v>
      </c>
      <c r="SUM292" s="18">
        <v>0</v>
      </c>
      <c r="SUN292" s="18">
        <v>0</v>
      </c>
      <c r="SUO292" s="18">
        <v>0</v>
      </c>
      <c r="SUP292" s="18">
        <v>0</v>
      </c>
      <c r="SUQ292" s="18">
        <v>0</v>
      </c>
      <c r="SUR292" s="18">
        <v>0</v>
      </c>
      <c r="SUS292" s="18">
        <v>0</v>
      </c>
      <c r="SUT292" s="18">
        <v>0</v>
      </c>
      <c r="SUU292" s="18">
        <v>0</v>
      </c>
      <c r="SUV292" s="18">
        <v>0</v>
      </c>
      <c r="SUW292" s="18">
        <v>0</v>
      </c>
      <c r="SUX292" s="18">
        <v>0</v>
      </c>
      <c r="SUY292" s="18">
        <v>0</v>
      </c>
      <c r="SUZ292" s="18">
        <v>0</v>
      </c>
      <c r="SVA292" s="18">
        <v>0</v>
      </c>
      <c r="SVB292" s="18">
        <v>0</v>
      </c>
      <c r="SVC292" s="18">
        <v>0</v>
      </c>
      <c r="SVD292" s="18">
        <v>0</v>
      </c>
      <c r="SVE292" s="18">
        <v>0</v>
      </c>
      <c r="SVF292" s="18">
        <v>0</v>
      </c>
      <c r="SVG292" s="18">
        <v>0</v>
      </c>
      <c r="SVH292" s="18">
        <v>0</v>
      </c>
      <c r="SVI292" s="18">
        <v>0</v>
      </c>
      <c r="SVJ292" s="18">
        <v>0</v>
      </c>
      <c r="SVK292" s="18">
        <v>0</v>
      </c>
      <c r="SVL292" s="18">
        <v>0</v>
      </c>
      <c r="SVM292" s="18">
        <v>0</v>
      </c>
      <c r="SVN292" s="18">
        <v>0</v>
      </c>
      <c r="SVO292" s="18">
        <v>0</v>
      </c>
      <c r="SVP292" s="18">
        <v>0</v>
      </c>
      <c r="SVQ292" s="18">
        <v>0</v>
      </c>
      <c r="SVR292" s="18">
        <v>0</v>
      </c>
      <c r="SVS292" s="18">
        <v>0</v>
      </c>
      <c r="SVT292" s="18">
        <v>0</v>
      </c>
      <c r="SVU292" s="18">
        <v>0</v>
      </c>
      <c r="SVV292" s="18">
        <v>0</v>
      </c>
      <c r="SVW292" s="18">
        <v>0</v>
      </c>
      <c r="SVX292" s="18">
        <v>0</v>
      </c>
      <c r="SVY292" s="18">
        <v>0</v>
      </c>
      <c r="SVZ292" s="18">
        <v>0</v>
      </c>
      <c r="SWA292" s="18">
        <v>0</v>
      </c>
      <c r="SWB292" s="18">
        <v>0</v>
      </c>
      <c r="SWC292" s="18">
        <v>0</v>
      </c>
      <c r="SWD292" s="18">
        <v>0</v>
      </c>
      <c r="SWE292" s="18">
        <v>0</v>
      </c>
      <c r="SWF292" s="18">
        <v>0</v>
      </c>
      <c r="SWG292" s="18">
        <v>0</v>
      </c>
      <c r="SWH292" s="18">
        <v>0</v>
      </c>
      <c r="SWI292" s="18">
        <v>0</v>
      </c>
      <c r="SWJ292" s="18">
        <v>0</v>
      </c>
      <c r="SWK292" s="18">
        <v>0</v>
      </c>
      <c r="SWL292" s="18">
        <v>0</v>
      </c>
      <c r="SWM292" s="18">
        <v>0</v>
      </c>
      <c r="SWN292" s="18">
        <v>0</v>
      </c>
      <c r="SWO292" s="18">
        <v>0</v>
      </c>
      <c r="SWP292" s="18">
        <v>0</v>
      </c>
      <c r="SWQ292" s="18">
        <v>0</v>
      </c>
      <c r="SWR292" s="18">
        <v>0</v>
      </c>
      <c r="SWS292" s="18">
        <v>0</v>
      </c>
      <c r="SWT292" s="18">
        <v>0</v>
      </c>
      <c r="SWU292" s="18">
        <v>0</v>
      </c>
      <c r="SWV292" s="18">
        <v>0</v>
      </c>
      <c r="SWW292" s="18">
        <v>0</v>
      </c>
      <c r="SWX292" s="18">
        <v>0</v>
      </c>
      <c r="SWY292" s="18">
        <v>0</v>
      </c>
      <c r="SWZ292" s="18">
        <v>0</v>
      </c>
      <c r="SXA292" s="18">
        <v>0</v>
      </c>
      <c r="SXB292" s="18">
        <v>0</v>
      </c>
      <c r="SXC292" s="18">
        <v>0</v>
      </c>
      <c r="SXD292" s="18">
        <v>0</v>
      </c>
      <c r="SXE292" s="18">
        <v>0</v>
      </c>
      <c r="SXF292" s="18">
        <v>0</v>
      </c>
      <c r="SXG292" s="18">
        <v>0</v>
      </c>
      <c r="SXH292" s="18">
        <v>0</v>
      </c>
      <c r="SXI292" s="18">
        <v>0</v>
      </c>
      <c r="SXJ292" s="18">
        <v>0</v>
      </c>
      <c r="SXK292" s="18">
        <v>0</v>
      </c>
      <c r="SXL292" s="18">
        <v>0</v>
      </c>
      <c r="SXM292" s="18">
        <v>0</v>
      </c>
      <c r="SXN292" s="18">
        <v>0</v>
      </c>
      <c r="SXO292" s="18">
        <v>0</v>
      </c>
      <c r="SXP292" s="18">
        <v>0</v>
      </c>
      <c r="SXQ292" s="18">
        <v>0</v>
      </c>
      <c r="SXR292" s="18">
        <v>0</v>
      </c>
      <c r="SXS292" s="18">
        <v>0</v>
      </c>
      <c r="SXT292" s="18">
        <v>0</v>
      </c>
      <c r="SXU292" s="18">
        <v>0</v>
      </c>
      <c r="SXV292" s="18">
        <v>0</v>
      </c>
      <c r="SXW292" s="18">
        <v>0</v>
      </c>
      <c r="SXX292" s="18">
        <v>0</v>
      </c>
      <c r="SXY292" s="18">
        <v>0</v>
      </c>
      <c r="SXZ292" s="18">
        <v>0</v>
      </c>
      <c r="SYA292" s="18">
        <v>0</v>
      </c>
      <c r="SYB292" s="18">
        <v>0</v>
      </c>
      <c r="SYC292" s="18">
        <v>0</v>
      </c>
      <c r="SYD292" s="18">
        <v>0</v>
      </c>
      <c r="SYE292" s="18">
        <v>0</v>
      </c>
      <c r="SYF292" s="18">
        <v>0</v>
      </c>
      <c r="SYG292" s="18">
        <v>0</v>
      </c>
      <c r="SYH292" s="18">
        <v>0</v>
      </c>
      <c r="SYI292" s="18">
        <v>0</v>
      </c>
      <c r="SYJ292" s="18">
        <v>0</v>
      </c>
      <c r="SYK292" s="18">
        <v>0</v>
      </c>
      <c r="SYL292" s="18">
        <v>0</v>
      </c>
      <c r="SYM292" s="18">
        <v>0</v>
      </c>
      <c r="SYN292" s="18">
        <v>0</v>
      </c>
      <c r="SYO292" s="18">
        <v>0</v>
      </c>
      <c r="SYP292" s="18">
        <v>0</v>
      </c>
      <c r="SYQ292" s="18">
        <v>0</v>
      </c>
      <c r="SYR292" s="18">
        <v>0</v>
      </c>
      <c r="SYS292" s="18">
        <v>0</v>
      </c>
      <c r="SYT292" s="18">
        <v>0</v>
      </c>
      <c r="SYU292" s="18">
        <v>0</v>
      </c>
      <c r="SYV292" s="18">
        <v>0</v>
      </c>
      <c r="SYW292" s="18">
        <v>0</v>
      </c>
      <c r="SYX292" s="18">
        <v>0</v>
      </c>
      <c r="SYY292" s="18">
        <v>0</v>
      </c>
      <c r="SYZ292" s="18">
        <v>0</v>
      </c>
      <c r="SZA292" s="18">
        <v>0</v>
      </c>
      <c r="SZB292" s="18">
        <v>0</v>
      </c>
      <c r="SZC292" s="18">
        <v>0</v>
      </c>
      <c r="SZD292" s="18">
        <v>0</v>
      </c>
      <c r="SZE292" s="18">
        <v>0</v>
      </c>
      <c r="SZF292" s="18">
        <v>0</v>
      </c>
      <c r="SZG292" s="18">
        <v>0</v>
      </c>
      <c r="SZH292" s="18">
        <v>0</v>
      </c>
      <c r="SZI292" s="18">
        <v>0</v>
      </c>
      <c r="SZJ292" s="18">
        <v>0</v>
      </c>
      <c r="SZK292" s="18">
        <v>0</v>
      </c>
      <c r="SZL292" s="18">
        <v>0</v>
      </c>
      <c r="SZM292" s="18">
        <v>0</v>
      </c>
      <c r="SZN292" s="18">
        <v>0</v>
      </c>
      <c r="SZO292" s="18">
        <v>0</v>
      </c>
      <c r="SZP292" s="18">
        <v>0</v>
      </c>
      <c r="SZQ292" s="18">
        <v>0</v>
      </c>
      <c r="SZR292" s="18">
        <v>0</v>
      </c>
      <c r="SZS292" s="18">
        <v>0</v>
      </c>
      <c r="SZT292" s="18">
        <v>0</v>
      </c>
      <c r="SZU292" s="18">
        <v>0</v>
      </c>
      <c r="SZV292" s="18">
        <v>0</v>
      </c>
      <c r="SZW292" s="18">
        <v>0</v>
      </c>
      <c r="SZX292" s="18">
        <v>0</v>
      </c>
      <c r="SZY292" s="18">
        <v>0</v>
      </c>
      <c r="SZZ292" s="18">
        <v>0</v>
      </c>
      <c r="TAA292" s="18">
        <v>0</v>
      </c>
      <c r="TAB292" s="18">
        <v>0</v>
      </c>
      <c r="TAC292" s="18">
        <v>0</v>
      </c>
      <c r="TAD292" s="18">
        <v>0</v>
      </c>
      <c r="TAE292" s="18">
        <v>0</v>
      </c>
      <c r="TAF292" s="18">
        <v>0</v>
      </c>
      <c r="TAG292" s="18">
        <v>0</v>
      </c>
      <c r="TAH292" s="18">
        <v>0</v>
      </c>
      <c r="TAI292" s="18">
        <v>0</v>
      </c>
      <c r="TAJ292" s="18">
        <v>0</v>
      </c>
      <c r="TAK292" s="18">
        <v>0</v>
      </c>
      <c r="TAL292" s="18">
        <v>0</v>
      </c>
      <c r="TAM292" s="18">
        <v>0</v>
      </c>
      <c r="TAN292" s="18">
        <v>0</v>
      </c>
      <c r="TAO292" s="18">
        <v>0</v>
      </c>
      <c r="TAP292" s="18">
        <v>0</v>
      </c>
      <c r="TAQ292" s="18">
        <v>0</v>
      </c>
      <c r="TAR292" s="18">
        <v>0</v>
      </c>
      <c r="TAS292" s="18">
        <v>0</v>
      </c>
      <c r="TAT292" s="18">
        <v>0</v>
      </c>
      <c r="TAU292" s="18">
        <v>0</v>
      </c>
      <c r="TAV292" s="18">
        <v>0</v>
      </c>
      <c r="TAW292" s="18">
        <v>0</v>
      </c>
      <c r="TAX292" s="18">
        <v>0</v>
      </c>
      <c r="TAY292" s="18">
        <v>0</v>
      </c>
      <c r="TAZ292" s="18">
        <v>0</v>
      </c>
      <c r="TBA292" s="18">
        <v>0</v>
      </c>
      <c r="TBB292" s="18">
        <v>0</v>
      </c>
      <c r="TBC292" s="18">
        <v>0</v>
      </c>
      <c r="TBD292" s="18">
        <v>0</v>
      </c>
      <c r="TBE292" s="18">
        <v>0</v>
      </c>
      <c r="TBF292" s="18">
        <v>0</v>
      </c>
      <c r="TBG292" s="18">
        <v>0</v>
      </c>
      <c r="TBH292" s="18">
        <v>0</v>
      </c>
      <c r="TBI292" s="18">
        <v>0</v>
      </c>
      <c r="TBJ292" s="18">
        <v>0</v>
      </c>
      <c r="TBK292" s="18">
        <v>0</v>
      </c>
      <c r="TBL292" s="18">
        <v>0</v>
      </c>
      <c r="TBM292" s="18">
        <v>0</v>
      </c>
      <c r="TBN292" s="18">
        <v>0</v>
      </c>
      <c r="TBO292" s="18">
        <v>0</v>
      </c>
      <c r="TBP292" s="18">
        <v>0</v>
      </c>
      <c r="TBQ292" s="18">
        <v>0</v>
      </c>
      <c r="TBR292" s="18">
        <v>0</v>
      </c>
      <c r="TBS292" s="18">
        <v>0</v>
      </c>
      <c r="TBT292" s="18">
        <v>0</v>
      </c>
      <c r="TBU292" s="18">
        <v>0</v>
      </c>
      <c r="TBV292" s="18">
        <v>0</v>
      </c>
      <c r="TBW292" s="18">
        <v>0</v>
      </c>
      <c r="TBX292" s="18">
        <v>0</v>
      </c>
      <c r="TBY292" s="18">
        <v>0</v>
      </c>
      <c r="TBZ292" s="18">
        <v>0</v>
      </c>
      <c r="TCA292" s="18">
        <v>0</v>
      </c>
      <c r="TCB292" s="18">
        <v>0</v>
      </c>
      <c r="TCC292" s="18">
        <v>0</v>
      </c>
      <c r="TCD292" s="18">
        <v>0</v>
      </c>
      <c r="TCE292" s="18">
        <v>0</v>
      </c>
      <c r="TCF292" s="18">
        <v>0</v>
      </c>
      <c r="TCG292" s="18">
        <v>0</v>
      </c>
      <c r="TCH292" s="18">
        <v>0</v>
      </c>
      <c r="TCI292" s="18">
        <v>0</v>
      </c>
      <c r="TCJ292" s="18">
        <v>0</v>
      </c>
      <c r="TCK292" s="18">
        <v>0</v>
      </c>
      <c r="TCL292" s="18">
        <v>0</v>
      </c>
      <c r="TCM292" s="18">
        <v>0</v>
      </c>
      <c r="TCN292" s="18">
        <v>0</v>
      </c>
      <c r="TCO292" s="18">
        <v>0</v>
      </c>
      <c r="TCP292" s="18">
        <v>0</v>
      </c>
      <c r="TCQ292" s="18">
        <v>0</v>
      </c>
      <c r="TCR292" s="18">
        <v>0</v>
      </c>
      <c r="TCS292" s="18">
        <v>0</v>
      </c>
      <c r="TCT292" s="18">
        <v>0</v>
      </c>
      <c r="TCU292" s="18">
        <v>0</v>
      </c>
      <c r="TCV292" s="18">
        <v>0</v>
      </c>
      <c r="TCW292" s="18">
        <v>0</v>
      </c>
      <c r="TCX292" s="18">
        <v>0</v>
      </c>
      <c r="TCY292" s="18">
        <v>0</v>
      </c>
      <c r="TCZ292" s="18">
        <v>0</v>
      </c>
      <c r="TDA292" s="18">
        <v>0</v>
      </c>
      <c r="TDB292" s="18">
        <v>0</v>
      </c>
      <c r="TDC292" s="18">
        <v>0</v>
      </c>
      <c r="TDD292" s="18">
        <v>0</v>
      </c>
      <c r="TDE292" s="18">
        <v>0</v>
      </c>
      <c r="TDF292" s="18">
        <v>0</v>
      </c>
      <c r="TDG292" s="18">
        <v>0</v>
      </c>
      <c r="TDH292" s="18">
        <v>0</v>
      </c>
      <c r="TDI292" s="18">
        <v>0</v>
      </c>
      <c r="TDJ292" s="18">
        <v>0</v>
      </c>
      <c r="TDK292" s="18">
        <v>0</v>
      </c>
      <c r="TDL292" s="18">
        <v>0</v>
      </c>
      <c r="TDM292" s="18">
        <v>0</v>
      </c>
      <c r="TDN292" s="18">
        <v>0</v>
      </c>
      <c r="TDO292" s="18">
        <v>0</v>
      </c>
      <c r="TDP292" s="18">
        <v>0</v>
      </c>
      <c r="TDQ292" s="18">
        <v>0</v>
      </c>
      <c r="TDR292" s="18">
        <v>0</v>
      </c>
      <c r="TDS292" s="18">
        <v>0</v>
      </c>
      <c r="TDT292" s="18">
        <v>0</v>
      </c>
      <c r="TDU292" s="18">
        <v>0</v>
      </c>
      <c r="TDV292" s="18">
        <v>0</v>
      </c>
      <c r="TDW292" s="18">
        <v>0</v>
      </c>
      <c r="TDX292" s="18">
        <v>0</v>
      </c>
      <c r="TDY292" s="18">
        <v>0</v>
      </c>
      <c r="TDZ292" s="18">
        <v>0</v>
      </c>
      <c r="TEA292" s="18">
        <v>0</v>
      </c>
      <c r="TEB292" s="18">
        <v>0</v>
      </c>
      <c r="TEC292" s="18">
        <v>0</v>
      </c>
      <c r="TED292" s="18">
        <v>0</v>
      </c>
      <c r="TEE292" s="18">
        <v>0</v>
      </c>
      <c r="TEF292" s="18">
        <v>0</v>
      </c>
      <c r="TEG292" s="18">
        <v>0</v>
      </c>
      <c r="TEH292" s="18">
        <v>0</v>
      </c>
      <c r="TEI292" s="18">
        <v>0</v>
      </c>
      <c r="TEJ292" s="18">
        <v>0</v>
      </c>
      <c r="TEK292" s="18">
        <v>0</v>
      </c>
      <c r="TEL292" s="18">
        <v>0</v>
      </c>
      <c r="TEM292" s="18">
        <v>0</v>
      </c>
      <c r="TEN292" s="18">
        <v>0</v>
      </c>
      <c r="TEO292" s="18">
        <v>0</v>
      </c>
      <c r="TEP292" s="18">
        <v>0</v>
      </c>
      <c r="TEQ292" s="18">
        <v>0</v>
      </c>
      <c r="TER292" s="18">
        <v>0</v>
      </c>
      <c r="TES292" s="18">
        <v>0</v>
      </c>
      <c r="TET292" s="18">
        <v>0</v>
      </c>
      <c r="TEU292" s="18">
        <v>0</v>
      </c>
      <c r="TEV292" s="18">
        <v>0</v>
      </c>
      <c r="TEW292" s="18">
        <v>0</v>
      </c>
      <c r="TEX292" s="18">
        <v>0</v>
      </c>
      <c r="TEY292" s="18">
        <v>0</v>
      </c>
      <c r="TEZ292" s="18">
        <v>0</v>
      </c>
      <c r="TFA292" s="18">
        <v>0</v>
      </c>
      <c r="TFB292" s="18">
        <v>0</v>
      </c>
      <c r="TFC292" s="18">
        <v>0</v>
      </c>
      <c r="TFD292" s="18">
        <v>0</v>
      </c>
      <c r="TFE292" s="18">
        <v>0</v>
      </c>
      <c r="TFF292" s="18">
        <v>0</v>
      </c>
      <c r="TFG292" s="18">
        <v>0</v>
      </c>
      <c r="TFH292" s="18">
        <v>0</v>
      </c>
      <c r="TFI292" s="18">
        <v>0</v>
      </c>
      <c r="TFJ292" s="18">
        <v>0</v>
      </c>
      <c r="TFK292" s="18">
        <v>0</v>
      </c>
      <c r="TFL292" s="18">
        <v>0</v>
      </c>
      <c r="TFM292" s="18">
        <v>0</v>
      </c>
      <c r="TFN292" s="18">
        <v>0</v>
      </c>
      <c r="TFO292" s="18">
        <v>0</v>
      </c>
      <c r="TFP292" s="18">
        <v>0</v>
      </c>
      <c r="TFQ292" s="18">
        <v>0</v>
      </c>
      <c r="TFR292" s="18">
        <v>0</v>
      </c>
      <c r="TFS292" s="18">
        <v>0</v>
      </c>
      <c r="TFT292" s="18">
        <v>0</v>
      </c>
      <c r="TFU292" s="18">
        <v>0</v>
      </c>
      <c r="TFV292" s="18">
        <v>0</v>
      </c>
      <c r="TFW292" s="18">
        <v>0</v>
      </c>
      <c r="TFX292" s="18">
        <v>0</v>
      </c>
      <c r="TFY292" s="18">
        <v>0</v>
      </c>
      <c r="TFZ292" s="18">
        <v>0</v>
      </c>
      <c r="TGA292" s="18">
        <v>0</v>
      </c>
      <c r="TGB292" s="18">
        <v>0</v>
      </c>
      <c r="TGC292" s="18">
        <v>0</v>
      </c>
      <c r="TGD292" s="18">
        <v>0</v>
      </c>
      <c r="TGE292" s="18">
        <v>0</v>
      </c>
      <c r="TGF292" s="18">
        <v>0</v>
      </c>
      <c r="TGG292" s="18">
        <v>0</v>
      </c>
      <c r="TGH292" s="18">
        <v>0</v>
      </c>
      <c r="TGI292" s="18">
        <v>0</v>
      </c>
      <c r="TGJ292" s="18">
        <v>0</v>
      </c>
      <c r="TGK292" s="18">
        <v>0</v>
      </c>
      <c r="TGL292" s="18">
        <v>0</v>
      </c>
      <c r="TGM292" s="18">
        <v>0</v>
      </c>
      <c r="TGN292" s="18">
        <v>0</v>
      </c>
      <c r="TGO292" s="18">
        <v>0</v>
      </c>
      <c r="TGP292" s="18">
        <v>0</v>
      </c>
      <c r="TGQ292" s="18">
        <v>0</v>
      </c>
      <c r="TGR292" s="18">
        <v>0</v>
      </c>
      <c r="TGS292" s="18">
        <v>0</v>
      </c>
      <c r="TGT292" s="18">
        <v>0</v>
      </c>
      <c r="TGU292" s="18">
        <v>0</v>
      </c>
      <c r="TGV292" s="18">
        <v>0</v>
      </c>
      <c r="TGW292" s="18">
        <v>0</v>
      </c>
      <c r="TGX292" s="18">
        <v>0</v>
      </c>
      <c r="TGY292" s="18">
        <v>0</v>
      </c>
      <c r="TGZ292" s="18">
        <v>0</v>
      </c>
      <c r="THA292" s="18">
        <v>0</v>
      </c>
      <c r="THB292" s="18">
        <v>0</v>
      </c>
      <c r="THC292" s="18">
        <v>0</v>
      </c>
      <c r="THD292" s="18">
        <v>0</v>
      </c>
      <c r="THE292" s="18">
        <v>0</v>
      </c>
      <c r="THF292" s="18">
        <v>0</v>
      </c>
      <c r="THG292" s="18">
        <v>0</v>
      </c>
      <c r="THH292" s="18">
        <v>0</v>
      </c>
      <c r="THI292" s="18">
        <v>0</v>
      </c>
      <c r="THJ292" s="18">
        <v>0</v>
      </c>
      <c r="THK292" s="18">
        <v>0</v>
      </c>
      <c r="THL292" s="18">
        <v>0</v>
      </c>
      <c r="THM292" s="18">
        <v>0</v>
      </c>
      <c r="THN292" s="18">
        <v>0</v>
      </c>
      <c r="THO292" s="18">
        <v>0</v>
      </c>
      <c r="THP292" s="18">
        <v>0</v>
      </c>
      <c r="THQ292" s="18">
        <v>0</v>
      </c>
      <c r="THR292" s="18">
        <v>0</v>
      </c>
      <c r="THS292" s="18">
        <v>0</v>
      </c>
      <c r="THT292" s="18">
        <v>0</v>
      </c>
      <c r="THU292" s="18">
        <v>0</v>
      </c>
      <c r="THV292" s="18">
        <v>0</v>
      </c>
      <c r="THW292" s="18">
        <v>0</v>
      </c>
      <c r="THX292" s="18">
        <v>0</v>
      </c>
      <c r="THY292" s="18">
        <v>0</v>
      </c>
      <c r="THZ292" s="18">
        <v>0</v>
      </c>
      <c r="TIA292" s="18">
        <v>0</v>
      </c>
      <c r="TIB292" s="18">
        <v>0</v>
      </c>
      <c r="TIC292" s="18">
        <v>0</v>
      </c>
      <c r="TID292" s="18">
        <v>0</v>
      </c>
      <c r="TIE292" s="18">
        <v>0</v>
      </c>
      <c r="TIF292" s="18">
        <v>0</v>
      </c>
      <c r="TIG292" s="18">
        <v>0</v>
      </c>
      <c r="TIH292" s="18">
        <v>0</v>
      </c>
      <c r="TII292" s="18">
        <v>0</v>
      </c>
      <c r="TIJ292" s="18">
        <v>0</v>
      </c>
      <c r="TIK292" s="18">
        <v>0</v>
      </c>
      <c r="TIL292" s="18">
        <v>0</v>
      </c>
      <c r="TIM292" s="18">
        <v>0</v>
      </c>
      <c r="TIN292" s="18">
        <v>0</v>
      </c>
      <c r="TIO292" s="18">
        <v>0</v>
      </c>
      <c r="TIP292" s="18">
        <v>0</v>
      </c>
      <c r="TIQ292" s="18">
        <v>0</v>
      </c>
      <c r="TIR292" s="18">
        <v>0</v>
      </c>
      <c r="TIS292" s="18">
        <v>0</v>
      </c>
      <c r="TIT292" s="18">
        <v>0</v>
      </c>
      <c r="TIU292" s="18">
        <v>0</v>
      </c>
      <c r="TIV292" s="18">
        <v>0</v>
      </c>
      <c r="TIW292" s="18">
        <v>0</v>
      </c>
      <c r="TIX292" s="18">
        <v>0</v>
      </c>
      <c r="TIY292" s="18">
        <v>0</v>
      </c>
      <c r="TIZ292" s="18">
        <v>0</v>
      </c>
      <c r="TJA292" s="18">
        <v>0</v>
      </c>
      <c r="TJB292" s="18">
        <v>0</v>
      </c>
      <c r="TJC292" s="18">
        <v>0</v>
      </c>
      <c r="TJD292" s="18">
        <v>0</v>
      </c>
      <c r="TJE292" s="18">
        <v>0</v>
      </c>
      <c r="TJF292" s="18">
        <v>0</v>
      </c>
      <c r="TJG292" s="18">
        <v>0</v>
      </c>
      <c r="TJH292" s="18">
        <v>0</v>
      </c>
      <c r="TJI292" s="18">
        <v>0</v>
      </c>
      <c r="TJJ292" s="18">
        <v>0</v>
      </c>
      <c r="TJK292" s="18">
        <v>0</v>
      </c>
      <c r="TJL292" s="18">
        <v>0</v>
      </c>
      <c r="TJM292" s="18">
        <v>0</v>
      </c>
      <c r="TJN292" s="18">
        <v>0</v>
      </c>
      <c r="TJO292" s="18">
        <v>0</v>
      </c>
      <c r="TJP292" s="18">
        <v>0</v>
      </c>
      <c r="TJQ292" s="18">
        <v>0</v>
      </c>
      <c r="TJR292" s="18">
        <v>0</v>
      </c>
      <c r="TJS292" s="18">
        <v>0</v>
      </c>
      <c r="TJT292" s="18">
        <v>0</v>
      </c>
      <c r="TJU292" s="18">
        <v>0</v>
      </c>
      <c r="TJV292" s="18">
        <v>0</v>
      </c>
      <c r="TJW292" s="18">
        <v>0</v>
      </c>
      <c r="TJX292" s="18">
        <v>0</v>
      </c>
      <c r="TJY292" s="18">
        <v>0</v>
      </c>
      <c r="TJZ292" s="18">
        <v>0</v>
      </c>
      <c r="TKA292" s="18">
        <v>0</v>
      </c>
      <c r="TKB292" s="18">
        <v>0</v>
      </c>
      <c r="TKC292" s="18">
        <v>0</v>
      </c>
      <c r="TKD292" s="18">
        <v>0</v>
      </c>
      <c r="TKE292" s="18">
        <v>0</v>
      </c>
      <c r="TKF292" s="18">
        <v>0</v>
      </c>
      <c r="TKG292" s="18">
        <v>0</v>
      </c>
      <c r="TKH292" s="18">
        <v>0</v>
      </c>
      <c r="TKI292" s="18">
        <v>0</v>
      </c>
      <c r="TKJ292" s="18">
        <v>0</v>
      </c>
      <c r="TKK292" s="18">
        <v>0</v>
      </c>
      <c r="TKL292" s="18">
        <v>0</v>
      </c>
      <c r="TKM292" s="18">
        <v>0</v>
      </c>
      <c r="TKN292" s="18">
        <v>0</v>
      </c>
      <c r="TKO292" s="18">
        <v>0</v>
      </c>
      <c r="TKP292" s="18">
        <v>0</v>
      </c>
      <c r="TKQ292" s="18">
        <v>0</v>
      </c>
      <c r="TKR292" s="18">
        <v>0</v>
      </c>
      <c r="TKS292" s="18">
        <v>0</v>
      </c>
      <c r="TKT292" s="18">
        <v>0</v>
      </c>
      <c r="TKU292" s="18">
        <v>0</v>
      </c>
      <c r="TKV292" s="18">
        <v>0</v>
      </c>
      <c r="TKW292" s="18">
        <v>0</v>
      </c>
      <c r="TKX292" s="18">
        <v>0</v>
      </c>
      <c r="TKY292" s="18">
        <v>0</v>
      </c>
      <c r="TKZ292" s="18">
        <v>0</v>
      </c>
      <c r="TLA292" s="18">
        <v>0</v>
      </c>
      <c r="TLB292" s="18">
        <v>0</v>
      </c>
      <c r="TLC292" s="18">
        <v>0</v>
      </c>
      <c r="TLD292" s="18">
        <v>0</v>
      </c>
      <c r="TLE292" s="18">
        <v>0</v>
      </c>
      <c r="TLF292" s="18">
        <v>0</v>
      </c>
      <c r="TLG292" s="18">
        <v>0</v>
      </c>
      <c r="TLH292" s="18">
        <v>0</v>
      </c>
      <c r="TLI292" s="18">
        <v>0</v>
      </c>
      <c r="TLJ292" s="18">
        <v>0</v>
      </c>
      <c r="TLK292" s="18">
        <v>0</v>
      </c>
      <c r="TLL292" s="18">
        <v>0</v>
      </c>
      <c r="TLM292" s="18">
        <v>0</v>
      </c>
      <c r="TLN292" s="18">
        <v>0</v>
      </c>
      <c r="TLO292" s="18">
        <v>0</v>
      </c>
      <c r="TLP292" s="18">
        <v>0</v>
      </c>
      <c r="TLQ292" s="18">
        <v>0</v>
      </c>
      <c r="TLR292" s="18">
        <v>0</v>
      </c>
      <c r="TLS292" s="18">
        <v>0</v>
      </c>
      <c r="TLT292" s="18">
        <v>0</v>
      </c>
      <c r="TLU292" s="18">
        <v>0</v>
      </c>
      <c r="TLV292" s="18">
        <v>0</v>
      </c>
      <c r="TLW292" s="18">
        <v>0</v>
      </c>
      <c r="TLX292" s="18">
        <v>0</v>
      </c>
      <c r="TLY292" s="18">
        <v>0</v>
      </c>
      <c r="TLZ292" s="18">
        <v>0</v>
      </c>
      <c r="TMA292" s="18">
        <v>0</v>
      </c>
      <c r="TMB292" s="18">
        <v>0</v>
      </c>
      <c r="TMC292" s="18">
        <v>0</v>
      </c>
      <c r="TMD292" s="18">
        <v>0</v>
      </c>
      <c r="TME292" s="18">
        <v>0</v>
      </c>
      <c r="TMF292" s="18">
        <v>0</v>
      </c>
      <c r="TMG292" s="18">
        <v>0</v>
      </c>
      <c r="TMH292" s="18">
        <v>0</v>
      </c>
      <c r="TMI292" s="18">
        <v>0</v>
      </c>
      <c r="TMJ292" s="18">
        <v>0</v>
      </c>
      <c r="TMK292" s="18">
        <v>0</v>
      </c>
      <c r="TML292" s="18">
        <v>0</v>
      </c>
      <c r="TMM292" s="18">
        <v>0</v>
      </c>
      <c r="TMN292" s="18">
        <v>0</v>
      </c>
      <c r="TMO292" s="18">
        <v>0</v>
      </c>
      <c r="TMP292" s="18">
        <v>0</v>
      </c>
      <c r="TMQ292" s="18">
        <v>0</v>
      </c>
      <c r="TMR292" s="18">
        <v>0</v>
      </c>
      <c r="TMS292" s="18">
        <v>0</v>
      </c>
      <c r="TMT292" s="18">
        <v>0</v>
      </c>
      <c r="TMU292" s="18">
        <v>0</v>
      </c>
      <c r="TMV292" s="18">
        <v>0</v>
      </c>
      <c r="TMW292" s="18">
        <v>0</v>
      </c>
      <c r="TMX292" s="18">
        <v>0</v>
      </c>
      <c r="TMY292" s="18">
        <v>0</v>
      </c>
      <c r="TMZ292" s="18">
        <v>0</v>
      </c>
      <c r="TNA292" s="18">
        <v>0</v>
      </c>
      <c r="TNB292" s="18">
        <v>0</v>
      </c>
      <c r="TNC292" s="18">
        <v>0</v>
      </c>
      <c r="TND292" s="18">
        <v>0</v>
      </c>
      <c r="TNE292" s="18">
        <v>0</v>
      </c>
      <c r="TNF292" s="18">
        <v>0</v>
      </c>
      <c r="TNG292" s="18">
        <v>0</v>
      </c>
      <c r="TNH292" s="18">
        <v>0</v>
      </c>
      <c r="TNI292" s="18">
        <v>0</v>
      </c>
      <c r="TNJ292" s="18">
        <v>0</v>
      </c>
      <c r="TNK292" s="18">
        <v>0</v>
      </c>
      <c r="TNL292" s="18">
        <v>0</v>
      </c>
      <c r="TNM292" s="18">
        <v>0</v>
      </c>
      <c r="TNN292" s="18">
        <v>0</v>
      </c>
      <c r="TNO292" s="18">
        <v>0</v>
      </c>
      <c r="TNP292" s="18">
        <v>0</v>
      </c>
      <c r="TNQ292" s="18">
        <v>0</v>
      </c>
      <c r="TNR292" s="18">
        <v>0</v>
      </c>
      <c r="TNS292" s="18">
        <v>0</v>
      </c>
      <c r="TNT292" s="18">
        <v>0</v>
      </c>
      <c r="TNU292" s="18">
        <v>0</v>
      </c>
      <c r="TNV292" s="18">
        <v>0</v>
      </c>
      <c r="TNW292" s="18">
        <v>0</v>
      </c>
      <c r="TNX292" s="18">
        <v>0</v>
      </c>
      <c r="TNY292" s="18">
        <v>0</v>
      </c>
      <c r="TNZ292" s="18">
        <v>0</v>
      </c>
      <c r="TOA292" s="18">
        <v>0</v>
      </c>
      <c r="TOB292" s="18">
        <v>0</v>
      </c>
      <c r="TOC292" s="18">
        <v>0</v>
      </c>
      <c r="TOD292" s="18">
        <v>0</v>
      </c>
      <c r="TOE292" s="18">
        <v>0</v>
      </c>
      <c r="TOF292" s="18">
        <v>0</v>
      </c>
      <c r="TOG292" s="18">
        <v>0</v>
      </c>
      <c r="TOH292" s="18">
        <v>0</v>
      </c>
      <c r="TOI292" s="18">
        <v>0</v>
      </c>
      <c r="TOJ292" s="18">
        <v>0</v>
      </c>
      <c r="TOK292" s="18">
        <v>0</v>
      </c>
      <c r="TOL292" s="18">
        <v>0</v>
      </c>
      <c r="TOM292" s="18">
        <v>0</v>
      </c>
      <c r="TON292" s="18">
        <v>0</v>
      </c>
      <c r="TOO292" s="18">
        <v>0</v>
      </c>
      <c r="TOP292" s="18">
        <v>0</v>
      </c>
      <c r="TOQ292" s="18">
        <v>0</v>
      </c>
      <c r="TOR292" s="18">
        <v>0</v>
      </c>
      <c r="TOS292" s="18">
        <v>0</v>
      </c>
      <c r="TOT292" s="18">
        <v>0</v>
      </c>
      <c r="TOU292" s="18">
        <v>0</v>
      </c>
      <c r="TOV292" s="18">
        <v>0</v>
      </c>
      <c r="TOW292" s="18">
        <v>0</v>
      </c>
      <c r="TOX292" s="18">
        <v>0</v>
      </c>
      <c r="TOY292" s="18">
        <v>0</v>
      </c>
      <c r="TOZ292" s="18">
        <v>0</v>
      </c>
      <c r="TPA292" s="18">
        <v>0</v>
      </c>
      <c r="TPB292" s="18">
        <v>0</v>
      </c>
      <c r="TPC292" s="18">
        <v>0</v>
      </c>
      <c r="TPD292" s="18">
        <v>0</v>
      </c>
      <c r="TPE292" s="18">
        <v>0</v>
      </c>
      <c r="TPF292" s="18">
        <v>0</v>
      </c>
      <c r="TPG292" s="18">
        <v>0</v>
      </c>
      <c r="TPH292" s="18">
        <v>0</v>
      </c>
      <c r="TPI292" s="18">
        <v>0</v>
      </c>
      <c r="TPJ292" s="18">
        <v>0</v>
      </c>
      <c r="TPK292" s="18">
        <v>0</v>
      </c>
      <c r="TPL292" s="18">
        <v>0</v>
      </c>
      <c r="TPM292" s="18">
        <v>0</v>
      </c>
      <c r="TPN292" s="18">
        <v>0</v>
      </c>
      <c r="TPO292" s="18">
        <v>0</v>
      </c>
      <c r="TPP292" s="18">
        <v>0</v>
      </c>
      <c r="TPQ292" s="18">
        <v>0</v>
      </c>
      <c r="TPR292" s="18">
        <v>0</v>
      </c>
      <c r="TPS292" s="18">
        <v>0</v>
      </c>
      <c r="TPT292" s="18">
        <v>0</v>
      </c>
      <c r="TPU292" s="18">
        <v>0</v>
      </c>
      <c r="TPV292" s="18">
        <v>0</v>
      </c>
      <c r="TPW292" s="18">
        <v>0</v>
      </c>
      <c r="TPX292" s="18">
        <v>0</v>
      </c>
      <c r="TPY292" s="18">
        <v>0</v>
      </c>
      <c r="TPZ292" s="18">
        <v>0</v>
      </c>
      <c r="TQA292" s="18">
        <v>0</v>
      </c>
      <c r="TQB292" s="18">
        <v>0</v>
      </c>
      <c r="TQC292" s="18">
        <v>0</v>
      </c>
      <c r="TQD292" s="18">
        <v>0</v>
      </c>
      <c r="TQE292" s="18">
        <v>0</v>
      </c>
      <c r="TQF292" s="18">
        <v>0</v>
      </c>
      <c r="TQG292" s="18">
        <v>0</v>
      </c>
      <c r="TQH292" s="18">
        <v>0</v>
      </c>
      <c r="TQI292" s="18">
        <v>0</v>
      </c>
      <c r="TQJ292" s="18">
        <v>0</v>
      </c>
      <c r="TQK292" s="18">
        <v>0</v>
      </c>
      <c r="TQL292" s="18">
        <v>0</v>
      </c>
      <c r="TQM292" s="18">
        <v>0</v>
      </c>
      <c r="TQN292" s="18">
        <v>0</v>
      </c>
      <c r="TQO292" s="18">
        <v>0</v>
      </c>
      <c r="TQP292" s="18">
        <v>0</v>
      </c>
      <c r="TQQ292" s="18">
        <v>0</v>
      </c>
      <c r="TQR292" s="18">
        <v>0</v>
      </c>
      <c r="TQS292" s="18">
        <v>0</v>
      </c>
      <c r="TQT292" s="18">
        <v>0</v>
      </c>
      <c r="TQU292" s="18">
        <v>0</v>
      </c>
      <c r="TQV292" s="18">
        <v>0</v>
      </c>
      <c r="TQW292" s="18">
        <v>0</v>
      </c>
      <c r="TQX292" s="18">
        <v>0</v>
      </c>
      <c r="TQY292" s="18">
        <v>0</v>
      </c>
      <c r="TQZ292" s="18">
        <v>0</v>
      </c>
      <c r="TRA292" s="18">
        <v>0</v>
      </c>
      <c r="TRB292" s="18">
        <v>0</v>
      </c>
      <c r="TRC292" s="18">
        <v>0</v>
      </c>
      <c r="TRD292" s="18">
        <v>0</v>
      </c>
      <c r="TRE292" s="18">
        <v>0</v>
      </c>
      <c r="TRF292" s="18">
        <v>0</v>
      </c>
      <c r="TRG292" s="18">
        <v>0</v>
      </c>
      <c r="TRH292" s="18">
        <v>0</v>
      </c>
      <c r="TRI292" s="18">
        <v>0</v>
      </c>
      <c r="TRJ292" s="18">
        <v>0</v>
      </c>
      <c r="TRK292" s="18">
        <v>0</v>
      </c>
      <c r="TRL292" s="18">
        <v>0</v>
      </c>
      <c r="TRM292" s="18">
        <v>0</v>
      </c>
      <c r="TRN292" s="18">
        <v>0</v>
      </c>
      <c r="TRO292" s="18">
        <v>0</v>
      </c>
      <c r="TRP292" s="18">
        <v>0</v>
      </c>
      <c r="TRQ292" s="18">
        <v>0</v>
      </c>
      <c r="TRR292" s="18">
        <v>0</v>
      </c>
      <c r="TRS292" s="18">
        <v>0</v>
      </c>
      <c r="TRT292" s="18">
        <v>0</v>
      </c>
      <c r="TRU292" s="18">
        <v>0</v>
      </c>
      <c r="TRV292" s="18">
        <v>0</v>
      </c>
      <c r="TRW292" s="18">
        <v>0</v>
      </c>
      <c r="TRX292" s="18">
        <v>0</v>
      </c>
      <c r="TRY292" s="18">
        <v>0</v>
      </c>
      <c r="TRZ292" s="18">
        <v>0</v>
      </c>
      <c r="TSA292" s="18">
        <v>0</v>
      </c>
      <c r="TSB292" s="18">
        <v>0</v>
      </c>
      <c r="TSC292" s="18">
        <v>0</v>
      </c>
      <c r="TSD292" s="18">
        <v>0</v>
      </c>
      <c r="TSE292" s="18">
        <v>0</v>
      </c>
      <c r="TSF292" s="18">
        <v>0</v>
      </c>
      <c r="TSG292" s="18">
        <v>0</v>
      </c>
      <c r="TSH292" s="18">
        <v>0</v>
      </c>
      <c r="TSI292" s="18">
        <v>0</v>
      </c>
      <c r="TSJ292" s="18">
        <v>0</v>
      </c>
      <c r="TSK292" s="18">
        <v>0</v>
      </c>
      <c r="TSL292" s="18">
        <v>0</v>
      </c>
      <c r="TSM292" s="18">
        <v>0</v>
      </c>
      <c r="TSN292" s="18">
        <v>0</v>
      </c>
      <c r="TSO292" s="18">
        <v>0</v>
      </c>
      <c r="TSP292" s="18">
        <v>0</v>
      </c>
      <c r="TSQ292" s="18">
        <v>0</v>
      </c>
      <c r="TSR292" s="18">
        <v>0</v>
      </c>
      <c r="TSS292" s="18">
        <v>0</v>
      </c>
      <c r="TST292" s="18">
        <v>0</v>
      </c>
      <c r="TSU292" s="18">
        <v>0</v>
      </c>
      <c r="TSV292" s="18">
        <v>0</v>
      </c>
      <c r="TSW292" s="18">
        <v>0</v>
      </c>
      <c r="TSX292" s="18">
        <v>0</v>
      </c>
      <c r="TSY292" s="18">
        <v>0</v>
      </c>
      <c r="TSZ292" s="18">
        <v>0</v>
      </c>
      <c r="TTA292" s="18">
        <v>0</v>
      </c>
      <c r="TTB292" s="18">
        <v>0</v>
      </c>
      <c r="TTC292" s="18">
        <v>0</v>
      </c>
      <c r="TTD292" s="18">
        <v>0</v>
      </c>
      <c r="TTE292" s="18">
        <v>0</v>
      </c>
      <c r="TTF292" s="18">
        <v>0</v>
      </c>
      <c r="TTG292" s="18">
        <v>0</v>
      </c>
      <c r="TTH292" s="18">
        <v>0</v>
      </c>
      <c r="TTI292" s="18">
        <v>0</v>
      </c>
      <c r="TTJ292" s="18">
        <v>0</v>
      </c>
      <c r="TTK292" s="18">
        <v>0</v>
      </c>
      <c r="TTL292" s="18">
        <v>0</v>
      </c>
      <c r="TTM292" s="18">
        <v>0</v>
      </c>
      <c r="TTN292" s="18">
        <v>0</v>
      </c>
      <c r="TTO292" s="18">
        <v>0</v>
      </c>
      <c r="TTP292" s="18">
        <v>0</v>
      </c>
      <c r="TTQ292" s="18">
        <v>0</v>
      </c>
      <c r="TTR292" s="18">
        <v>0</v>
      </c>
      <c r="TTS292" s="18">
        <v>0</v>
      </c>
      <c r="TTT292" s="18">
        <v>0</v>
      </c>
      <c r="TTU292" s="18">
        <v>0</v>
      </c>
      <c r="TTV292" s="18">
        <v>0</v>
      </c>
      <c r="TTW292" s="18">
        <v>0</v>
      </c>
      <c r="TTX292" s="18">
        <v>0</v>
      </c>
      <c r="TTY292" s="18">
        <v>0</v>
      </c>
      <c r="TTZ292" s="18">
        <v>0</v>
      </c>
      <c r="TUA292" s="18">
        <v>0</v>
      </c>
      <c r="TUB292" s="18">
        <v>0</v>
      </c>
      <c r="TUC292" s="18">
        <v>0</v>
      </c>
      <c r="TUD292" s="18">
        <v>0</v>
      </c>
      <c r="TUE292" s="18">
        <v>0</v>
      </c>
      <c r="TUF292" s="18">
        <v>0</v>
      </c>
      <c r="TUG292" s="18">
        <v>0</v>
      </c>
      <c r="TUH292" s="18">
        <v>0</v>
      </c>
      <c r="TUI292" s="18">
        <v>0</v>
      </c>
      <c r="TUJ292" s="18">
        <v>0</v>
      </c>
      <c r="TUK292" s="18">
        <v>0</v>
      </c>
      <c r="TUL292" s="18">
        <v>0</v>
      </c>
      <c r="TUM292" s="18">
        <v>0</v>
      </c>
      <c r="TUN292" s="18">
        <v>0</v>
      </c>
      <c r="TUO292" s="18">
        <v>0</v>
      </c>
      <c r="TUP292" s="18">
        <v>0</v>
      </c>
      <c r="TUQ292" s="18">
        <v>0</v>
      </c>
      <c r="TUR292" s="18">
        <v>0</v>
      </c>
      <c r="TUS292" s="18">
        <v>0</v>
      </c>
      <c r="TUT292" s="18">
        <v>0</v>
      </c>
      <c r="TUU292" s="18">
        <v>0</v>
      </c>
      <c r="TUV292" s="18">
        <v>0</v>
      </c>
      <c r="TUW292" s="18">
        <v>0</v>
      </c>
      <c r="TUX292" s="18">
        <v>0</v>
      </c>
      <c r="TUY292" s="18">
        <v>0</v>
      </c>
      <c r="TUZ292" s="18">
        <v>0</v>
      </c>
      <c r="TVA292" s="18">
        <v>0</v>
      </c>
      <c r="TVB292" s="18">
        <v>0</v>
      </c>
      <c r="TVC292" s="18">
        <v>0</v>
      </c>
      <c r="TVD292" s="18">
        <v>0</v>
      </c>
      <c r="TVE292" s="18">
        <v>0</v>
      </c>
      <c r="TVF292" s="18">
        <v>0</v>
      </c>
      <c r="TVG292" s="18">
        <v>0</v>
      </c>
      <c r="TVH292" s="18">
        <v>0</v>
      </c>
      <c r="TVI292" s="18">
        <v>0</v>
      </c>
      <c r="TVJ292" s="18">
        <v>0</v>
      </c>
      <c r="TVK292" s="18">
        <v>0</v>
      </c>
      <c r="TVL292" s="18">
        <v>0</v>
      </c>
      <c r="TVM292" s="18">
        <v>0</v>
      </c>
      <c r="TVN292" s="18">
        <v>0</v>
      </c>
      <c r="TVO292" s="18">
        <v>0</v>
      </c>
      <c r="TVP292" s="18">
        <v>0</v>
      </c>
      <c r="TVQ292" s="18">
        <v>0</v>
      </c>
      <c r="TVR292" s="18">
        <v>0</v>
      </c>
      <c r="TVS292" s="18">
        <v>0</v>
      </c>
      <c r="TVT292" s="18">
        <v>0</v>
      </c>
      <c r="TVU292" s="18">
        <v>0</v>
      </c>
      <c r="TVV292" s="18">
        <v>0</v>
      </c>
      <c r="TVW292" s="18">
        <v>0</v>
      </c>
      <c r="TVX292" s="18">
        <v>0</v>
      </c>
      <c r="TVY292" s="18">
        <v>0</v>
      </c>
      <c r="TVZ292" s="18">
        <v>0</v>
      </c>
      <c r="TWA292" s="18">
        <v>0</v>
      </c>
      <c r="TWB292" s="18">
        <v>0</v>
      </c>
      <c r="TWC292" s="18">
        <v>0</v>
      </c>
      <c r="TWD292" s="18">
        <v>0</v>
      </c>
      <c r="TWE292" s="18">
        <v>0</v>
      </c>
      <c r="TWF292" s="18">
        <v>0</v>
      </c>
      <c r="TWG292" s="18">
        <v>0</v>
      </c>
      <c r="TWH292" s="18">
        <v>0</v>
      </c>
      <c r="TWI292" s="18">
        <v>0</v>
      </c>
      <c r="TWJ292" s="18">
        <v>0</v>
      </c>
      <c r="TWK292" s="18">
        <v>0</v>
      </c>
      <c r="TWL292" s="18">
        <v>0</v>
      </c>
      <c r="TWM292" s="18">
        <v>0</v>
      </c>
      <c r="TWN292" s="18">
        <v>0</v>
      </c>
      <c r="TWO292" s="18">
        <v>0</v>
      </c>
      <c r="TWP292" s="18">
        <v>0</v>
      </c>
      <c r="TWQ292" s="18">
        <v>0</v>
      </c>
      <c r="TWR292" s="18">
        <v>0</v>
      </c>
      <c r="TWS292" s="18">
        <v>0</v>
      </c>
      <c r="TWT292" s="18">
        <v>0</v>
      </c>
      <c r="TWU292" s="18">
        <v>0</v>
      </c>
      <c r="TWV292" s="18">
        <v>0</v>
      </c>
      <c r="TWW292" s="18">
        <v>0</v>
      </c>
      <c r="TWX292" s="18">
        <v>0</v>
      </c>
      <c r="TWY292" s="18">
        <v>0</v>
      </c>
      <c r="TWZ292" s="18">
        <v>0</v>
      </c>
      <c r="TXA292" s="18">
        <v>0</v>
      </c>
      <c r="TXB292" s="18">
        <v>0</v>
      </c>
      <c r="TXC292" s="18">
        <v>0</v>
      </c>
      <c r="TXD292" s="18">
        <v>0</v>
      </c>
      <c r="TXE292" s="18">
        <v>0</v>
      </c>
      <c r="TXF292" s="18">
        <v>0</v>
      </c>
      <c r="TXG292" s="18">
        <v>0</v>
      </c>
      <c r="TXH292" s="18">
        <v>0</v>
      </c>
      <c r="TXI292" s="18">
        <v>0</v>
      </c>
      <c r="TXJ292" s="18">
        <v>0</v>
      </c>
      <c r="TXK292" s="18">
        <v>0</v>
      </c>
      <c r="TXL292" s="18">
        <v>0</v>
      </c>
      <c r="TXM292" s="18">
        <v>0</v>
      </c>
      <c r="TXN292" s="18">
        <v>0</v>
      </c>
      <c r="TXO292" s="18">
        <v>0</v>
      </c>
      <c r="TXP292" s="18">
        <v>0</v>
      </c>
      <c r="TXQ292" s="18">
        <v>0</v>
      </c>
      <c r="TXR292" s="18">
        <v>0</v>
      </c>
      <c r="TXS292" s="18">
        <v>0</v>
      </c>
      <c r="TXT292" s="18">
        <v>0</v>
      </c>
      <c r="TXU292" s="18">
        <v>0</v>
      </c>
      <c r="TXV292" s="18">
        <v>0</v>
      </c>
      <c r="TXW292" s="18">
        <v>0</v>
      </c>
      <c r="TXX292" s="18">
        <v>0</v>
      </c>
      <c r="TXY292" s="18">
        <v>0</v>
      </c>
      <c r="TXZ292" s="18">
        <v>0</v>
      </c>
      <c r="TYA292" s="18">
        <v>0</v>
      </c>
      <c r="TYB292" s="18">
        <v>0</v>
      </c>
      <c r="TYC292" s="18">
        <v>0</v>
      </c>
      <c r="TYD292" s="18">
        <v>0</v>
      </c>
      <c r="TYE292" s="18">
        <v>0</v>
      </c>
      <c r="TYF292" s="18">
        <v>0</v>
      </c>
      <c r="TYG292" s="18">
        <v>0</v>
      </c>
      <c r="TYH292" s="18">
        <v>0</v>
      </c>
      <c r="TYI292" s="18">
        <v>0</v>
      </c>
      <c r="TYJ292" s="18">
        <v>0</v>
      </c>
      <c r="TYK292" s="18">
        <v>0</v>
      </c>
      <c r="TYL292" s="18">
        <v>0</v>
      </c>
      <c r="TYM292" s="18">
        <v>0</v>
      </c>
      <c r="TYN292" s="18">
        <v>0</v>
      </c>
      <c r="TYO292" s="18">
        <v>0</v>
      </c>
      <c r="TYP292" s="18">
        <v>0</v>
      </c>
      <c r="TYQ292" s="18">
        <v>0</v>
      </c>
      <c r="TYR292" s="18">
        <v>0</v>
      </c>
      <c r="TYS292" s="18">
        <v>0</v>
      </c>
      <c r="TYT292" s="18">
        <v>0</v>
      </c>
      <c r="TYU292" s="18">
        <v>0</v>
      </c>
      <c r="TYV292" s="18">
        <v>0</v>
      </c>
      <c r="TYW292" s="18">
        <v>0</v>
      </c>
      <c r="TYX292" s="18">
        <v>0</v>
      </c>
      <c r="TYY292" s="18">
        <v>0</v>
      </c>
      <c r="TYZ292" s="18">
        <v>0</v>
      </c>
      <c r="TZA292" s="18">
        <v>0</v>
      </c>
      <c r="TZB292" s="18">
        <v>0</v>
      </c>
      <c r="TZC292" s="18">
        <v>0</v>
      </c>
      <c r="TZD292" s="18">
        <v>0</v>
      </c>
      <c r="TZE292" s="18">
        <v>0</v>
      </c>
      <c r="TZF292" s="18">
        <v>0</v>
      </c>
      <c r="TZG292" s="18">
        <v>0</v>
      </c>
      <c r="TZH292" s="18">
        <v>0</v>
      </c>
      <c r="TZI292" s="18">
        <v>0</v>
      </c>
      <c r="TZJ292" s="18">
        <v>0</v>
      </c>
      <c r="TZK292" s="18">
        <v>0</v>
      </c>
      <c r="TZL292" s="18">
        <v>0</v>
      </c>
      <c r="TZM292" s="18">
        <v>0</v>
      </c>
      <c r="TZN292" s="18">
        <v>0</v>
      </c>
      <c r="TZO292" s="18">
        <v>0</v>
      </c>
      <c r="TZP292" s="18">
        <v>0</v>
      </c>
      <c r="TZQ292" s="18">
        <v>0</v>
      </c>
      <c r="TZR292" s="18">
        <v>0</v>
      </c>
      <c r="TZS292" s="18">
        <v>0</v>
      </c>
      <c r="TZT292" s="18">
        <v>0</v>
      </c>
      <c r="TZU292" s="18">
        <v>0</v>
      </c>
      <c r="TZV292" s="18">
        <v>0</v>
      </c>
      <c r="TZW292" s="18">
        <v>0</v>
      </c>
      <c r="TZX292" s="18">
        <v>0</v>
      </c>
      <c r="TZY292" s="18">
        <v>0</v>
      </c>
      <c r="TZZ292" s="18">
        <v>0</v>
      </c>
      <c r="UAA292" s="18">
        <v>0</v>
      </c>
      <c r="UAB292" s="18">
        <v>0</v>
      </c>
      <c r="UAC292" s="18">
        <v>0</v>
      </c>
      <c r="UAD292" s="18">
        <v>0</v>
      </c>
      <c r="UAE292" s="18">
        <v>0</v>
      </c>
      <c r="UAF292" s="18">
        <v>0</v>
      </c>
      <c r="UAG292" s="18">
        <v>0</v>
      </c>
      <c r="UAH292" s="18">
        <v>0</v>
      </c>
      <c r="UAI292" s="18">
        <v>0</v>
      </c>
      <c r="UAJ292" s="18">
        <v>0</v>
      </c>
      <c r="UAK292" s="18">
        <v>0</v>
      </c>
      <c r="UAL292" s="18">
        <v>0</v>
      </c>
      <c r="UAM292" s="18">
        <v>0</v>
      </c>
      <c r="UAN292" s="18">
        <v>0</v>
      </c>
      <c r="UAO292" s="18">
        <v>0</v>
      </c>
      <c r="UAP292" s="18">
        <v>0</v>
      </c>
      <c r="UAQ292" s="18">
        <v>0</v>
      </c>
      <c r="UAR292" s="18">
        <v>0</v>
      </c>
      <c r="UAS292" s="18">
        <v>0</v>
      </c>
      <c r="UAT292" s="18">
        <v>0</v>
      </c>
      <c r="UAU292" s="18">
        <v>0</v>
      </c>
      <c r="UAV292" s="18">
        <v>0</v>
      </c>
      <c r="UAW292" s="18">
        <v>0</v>
      </c>
      <c r="UAX292" s="18">
        <v>0</v>
      </c>
      <c r="UAY292" s="18">
        <v>0</v>
      </c>
      <c r="UAZ292" s="18">
        <v>0</v>
      </c>
      <c r="UBA292" s="18">
        <v>0</v>
      </c>
      <c r="UBB292" s="18">
        <v>0</v>
      </c>
      <c r="UBC292" s="18">
        <v>0</v>
      </c>
      <c r="UBD292" s="18">
        <v>0</v>
      </c>
      <c r="UBE292" s="18">
        <v>0</v>
      </c>
      <c r="UBF292" s="18">
        <v>0</v>
      </c>
      <c r="UBG292" s="18">
        <v>0</v>
      </c>
      <c r="UBH292" s="18">
        <v>0</v>
      </c>
      <c r="UBI292" s="18">
        <v>0</v>
      </c>
      <c r="UBJ292" s="18">
        <v>0</v>
      </c>
      <c r="UBK292" s="18">
        <v>0</v>
      </c>
      <c r="UBL292" s="18">
        <v>0</v>
      </c>
      <c r="UBM292" s="18">
        <v>0</v>
      </c>
      <c r="UBN292" s="18">
        <v>0</v>
      </c>
      <c r="UBO292" s="18">
        <v>0</v>
      </c>
      <c r="UBP292" s="18">
        <v>0</v>
      </c>
      <c r="UBQ292" s="18">
        <v>0</v>
      </c>
      <c r="UBR292" s="18">
        <v>0</v>
      </c>
      <c r="UBS292" s="18">
        <v>0</v>
      </c>
      <c r="UBT292" s="18">
        <v>0</v>
      </c>
      <c r="UBU292" s="18">
        <v>0</v>
      </c>
      <c r="UBV292" s="18">
        <v>0</v>
      </c>
      <c r="UBW292" s="18">
        <v>0</v>
      </c>
      <c r="UBX292" s="18">
        <v>0</v>
      </c>
      <c r="UBY292" s="18">
        <v>0</v>
      </c>
      <c r="UBZ292" s="18">
        <v>0</v>
      </c>
      <c r="UCA292" s="18">
        <v>0</v>
      </c>
      <c r="UCB292" s="18">
        <v>0</v>
      </c>
      <c r="UCC292" s="18">
        <v>0</v>
      </c>
      <c r="UCD292" s="18">
        <v>0</v>
      </c>
      <c r="UCE292" s="18">
        <v>0</v>
      </c>
      <c r="UCF292" s="18">
        <v>0</v>
      </c>
      <c r="UCG292" s="18">
        <v>0</v>
      </c>
      <c r="UCH292" s="18">
        <v>0</v>
      </c>
      <c r="UCI292" s="18">
        <v>0</v>
      </c>
      <c r="UCJ292" s="18">
        <v>0</v>
      </c>
      <c r="UCK292" s="18">
        <v>0</v>
      </c>
      <c r="UCL292" s="18">
        <v>0</v>
      </c>
      <c r="UCM292" s="18">
        <v>0</v>
      </c>
      <c r="UCN292" s="18">
        <v>0</v>
      </c>
      <c r="UCO292" s="18">
        <v>0</v>
      </c>
      <c r="UCP292" s="18">
        <v>0</v>
      </c>
      <c r="UCQ292" s="18">
        <v>0</v>
      </c>
      <c r="UCR292" s="18">
        <v>0</v>
      </c>
      <c r="UCS292" s="18">
        <v>0</v>
      </c>
      <c r="UCT292" s="18">
        <v>0</v>
      </c>
      <c r="UCU292" s="18">
        <v>0</v>
      </c>
      <c r="UCV292" s="18">
        <v>0</v>
      </c>
      <c r="UCW292" s="18">
        <v>0</v>
      </c>
      <c r="UCX292" s="18">
        <v>0</v>
      </c>
      <c r="UCY292" s="18">
        <v>0</v>
      </c>
      <c r="UCZ292" s="18">
        <v>0</v>
      </c>
      <c r="UDA292" s="18">
        <v>0</v>
      </c>
      <c r="UDB292" s="18">
        <v>0</v>
      </c>
      <c r="UDC292" s="18">
        <v>0</v>
      </c>
      <c r="UDD292" s="18">
        <v>0</v>
      </c>
      <c r="UDE292" s="18">
        <v>0</v>
      </c>
      <c r="UDF292" s="18">
        <v>0</v>
      </c>
      <c r="UDG292" s="18">
        <v>0</v>
      </c>
      <c r="UDH292" s="18">
        <v>0</v>
      </c>
      <c r="UDI292" s="18">
        <v>0</v>
      </c>
      <c r="UDJ292" s="18">
        <v>0</v>
      </c>
      <c r="UDK292" s="18">
        <v>0</v>
      </c>
      <c r="UDL292" s="18">
        <v>0</v>
      </c>
      <c r="UDM292" s="18">
        <v>0</v>
      </c>
      <c r="UDN292" s="18">
        <v>0</v>
      </c>
      <c r="UDO292" s="18">
        <v>0</v>
      </c>
      <c r="UDP292" s="18">
        <v>0</v>
      </c>
      <c r="UDQ292" s="18">
        <v>0</v>
      </c>
      <c r="UDR292" s="18">
        <v>0</v>
      </c>
      <c r="UDS292" s="18">
        <v>0</v>
      </c>
      <c r="UDT292" s="18">
        <v>0</v>
      </c>
      <c r="UDU292" s="18">
        <v>0</v>
      </c>
      <c r="UDV292" s="18">
        <v>0</v>
      </c>
      <c r="UDW292" s="18">
        <v>0</v>
      </c>
      <c r="UDX292" s="18">
        <v>0</v>
      </c>
      <c r="UDY292" s="18">
        <v>0</v>
      </c>
      <c r="UDZ292" s="18">
        <v>0</v>
      </c>
      <c r="UEA292" s="18">
        <v>0</v>
      </c>
      <c r="UEB292" s="18">
        <v>0</v>
      </c>
      <c r="UEC292" s="18">
        <v>0</v>
      </c>
      <c r="UED292" s="18">
        <v>0</v>
      </c>
      <c r="UEE292" s="18">
        <v>0</v>
      </c>
      <c r="UEF292" s="18">
        <v>0</v>
      </c>
      <c r="UEG292" s="18">
        <v>0</v>
      </c>
      <c r="UEH292" s="18">
        <v>0</v>
      </c>
      <c r="UEI292" s="18">
        <v>0</v>
      </c>
      <c r="UEJ292" s="18">
        <v>0</v>
      </c>
      <c r="UEK292" s="18">
        <v>0</v>
      </c>
      <c r="UEL292" s="18">
        <v>0</v>
      </c>
      <c r="UEM292" s="18">
        <v>0</v>
      </c>
      <c r="UEN292" s="18">
        <v>0</v>
      </c>
      <c r="UEO292" s="18">
        <v>0</v>
      </c>
      <c r="UEP292" s="18">
        <v>0</v>
      </c>
      <c r="UEQ292" s="18">
        <v>0</v>
      </c>
      <c r="UER292" s="18">
        <v>0</v>
      </c>
      <c r="UES292" s="18">
        <v>0</v>
      </c>
      <c r="UET292" s="18">
        <v>0</v>
      </c>
      <c r="UEU292" s="18">
        <v>0</v>
      </c>
      <c r="UEV292" s="18">
        <v>0</v>
      </c>
      <c r="UEW292" s="18">
        <v>0</v>
      </c>
      <c r="UEX292" s="18">
        <v>0</v>
      </c>
      <c r="UEY292" s="18">
        <v>0</v>
      </c>
      <c r="UEZ292" s="18">
        <v>0</v>
      </c>
      <c r="UFA292" s="18">
        <v>0</v>
      </c>
      <c r="UFB292" s="18">
        <v>0</v>
      </c>
      <c r="UFC292" s="18">
        <v>0</v>
      </c>
      <c r="UFD292" s="18">
        <v>0</v>
      </c>
      <c r="UFE292" s="18">
        <v>0</v>
      </c>
      <c r="UFF292" s="18">
        <v>0</v>
      </c>
      <c r="UFG292" s="18">
        <v>0</v>
      </c>
      <c r="UFH292" s="18">
        <v>0</v>
      </c>
      <c r="UFI292" s="18">
        <v>0</v>
      </c>
      <c r="UFJ292" s="18">
        <v>0</v>
      </c>
      <c r="UFK292" s="18">
        <v>0</v>
      </c>
      <c r="UFL292" s="18">
        <v>0</v>
      </c>
      <c r="UFM292" s="18">
        <v>0</v>
      </c>
      <c r="UFN292" s="18">
        <v>0</v>
      </c>
      <c r="UFO292" s="18">
        <v>0</v>
      </c>
      <c r="UFP292" s="18">
        <v>0</v>
      </c>
      <c r="UFQ292" s="18">
        <v>0</v>
      </c>
      <c r="UFR292" s="18">
        <v>0</v>
      </c>
      <c r="UFS292" s="18">
        <v>0</v>
      </c>
      <c r="UFT292" s="18">
        <v>0</v>
      </c>
      <c r="UFU292" s="18">
        <v>0</v>
      </c>
      <c r="UFV292" s="18">
        <v>0</v>
      </c>
      <c r="UFW292" s="18">
        <v>0</v>
      </c>
      <c r="UFX292" s="18">
        <v>0</v>
      </c>
      <c r="UFY292" s="18">
        <v>0</v>
      </c>
      <c r="UFZ292" s="18">
        <v>0</v>
      </c>
      <c r="UGA292" s="18">
        <v>0</v>
      </c>
      <c r="UGB292" s="18">
        <v>0</v>
      </c>
      <c r="UGC292" s="18">
        <v>0</v>
      </c>
      <c r="UGD292" s="18">
        <v>0</v>
      </c>
      <c r="UGE292" s="18">
        <v>0</v>
      </c>
      <c r="UGF292" s="18">
        <v>0</v>
      </c>
      <c r="UGG292" s="18">
        <v>0</v>
      </c>
      <c r="UGH292" s="18">
        <v>0</v>
      </c>
      <c r="UGI292" s="18">
        <v>0</v>
      </c>
      <c r="UGJ292" s="18">
        <v>0</v>
      </c>
      <c r="UGK292" s="18">
        <v>0</v>
      </c>
      <c r="UGL292" s="18">
        <v>0</v>
      </c>
      <c r="UGM292" s="18">
        <v>0</v>
      </c>
      <c r="UGN292" s="18">
        <v>0</v>
      </c>
      <c r="UGO292" s="18">
        <v>0</v>
      </c>
      <c r="UGP292" s="18">
        <v>0</v>
      </c>
      <c r="UGQ292" s="18">
        <v>0</v>
      </c>
      <c r="UGR292" s="18">
        <v>0</v>
      </c>
      <c r="UGS292" s="18">
        <v>0</v>
      </c>
      <c r="UGT292" s="18">
        <v>0</v>
      </c>
      <c r="UGU292" s="18">
        <v>0</v>
      </c>
      <c r="UGV292" s="18">
        <v>0</v>
      </c>
      <c r="UGW292" s="18">
        <v>0</v>
      </c>
      <c r="UGX292" s="18">
        <v>0</v>
      </c>
      <c r="UGY292" s="18">
        <v>0</v>
      </c>
      <c r="UGZ292" s="18">
        <v>0</v>
      </c>
      <c r="UHA292" s="18">
        <v>0</v>
      </c>
      <c r="UHB292" s="18">
        <v>0</v>
      </c>
      <c r="UHC292" s="18">
        <v>0</v>
      </c>
      <c r="UHD292" s="18">
        <v>0</v>
      </c>
      <c r="UHE292" s="18">
        <v>0</v>
      </c>
      <c r="UHF292" s="18">
        <v>0</v>
      </c>
      <c r="UHG292" s="18">
        <v>0</v>
      </c>
      <c r="UHH292" s="18">
        <v>0</v>
      </c>
      <c r="UHI292" s="18">
        <v>0</v>
      </c>
      <c r="UHJ292" s="18">
        <v>0</v>
      </c>
      <c r="UHK292" s="18">
        <v>0</v>
      </c>
      <c r="UHL292" s="18">
        <v>0</v>
      </c>
      <c r="UHM292" s="18">
        <v>0</v>
      </c>
      <c r="UHN292" s="18">
        <v>0</v>
      </c>
      <c r="UHO292" s="18">
        <v>0</v>
      </c>
      <c r="UHP292" s="18">
        <v>0</v>
      </c>
      <c r="UHQ292" s="18">
        <v>0</v>
      </c>
      <c r="UHR292" s="18">
        <v>0</v>
      </c>
      <c r="UHS292" s="18">
        <v>0</v>
      </c>
      <c r="UHT292" s="18">
        <v>0</v>
      </c>
      <c r="UHU292" s="18">
        <v>0</v>
      </c>
      <c r="UHV292" s="18">
        <v>0</v>
      </c>
      <c r="UHW292" s="18">
        <v>0</v>
      </c>
      <c r="UHX292" s="18">
        <v>0</v>
      </c>
      <c r="UHY292" s="18">
        <v>0</v>
      </c>
      <c r="UHZ292" s="18">
        <v>0</v>
      </c>
      <c r="UIA292" s="18">
        <v>0</v>
      </c>
      <c r="UIB292" s="18">
        <v>0</v>
      </c>
      <c r="UIC292" s="18">
        <v>0</v>
      </c>
      <c r="UID292" s="18">
        <v>0</v>
      </c>
      <c r="UIE292" s="18">
        <v>0</v>
      </c>
      <c r="UIF292" s="18">
        <v>0</v>
      </c>
      <c r="UIG292" s="18">
        <v>0</v>
      </c>
      <c r="UIH292" s="18">
        <v>0</v>
      </c>
      <c r="UII292" s="18">
        <v>0</v>
      </c>
      <c r="UIJ292" s="18">
        <v>0</v>
      </c>
      <c r="UIK292" s="18">
        <v>0</v>
      </c>
      <c r="UIL292" s="18">
        <v>0</v>
      </c>
      <c r="UIM292" s="18">
        <v>0</v>
      </c>
      <c r="UIN292" s="18">
        <v>0</v>
      </c>
      <c r="UIO292" s="18">
        <v>0</v>
      </c>
      <c r="UIP292" s="18">
        <v>0</v>
      </c>
      <c r="UIQ292" s="18">
        <v>0</v>
      </c>
      <c r="UIR292" s="18">
        <v>0</v>
      </c>
      <c r="UIS292" s="18">
        <v>0</v>
      </c>
      <c r="UIT292" s="18">
        <v>0</v>
      </c>
      <c r="UIU292" s="18">
        <v>0</v>
      </c>
      <c r="UIV292" s="18">
        <v>0</v>
      </c>
      <c r="UIW292" s="18">
        <v>0</v>
      </c>
      <c r="UIX292" s="18">
        <v>0</v>
      </c>
      <c r="UIY292" s="18">
        <v>0</v>
      </c>
      <c r="UIZ292" s="18">
        <v>0</v>
      </c>
      <c r="UJA292" s="18">
        <v>0</v>
      </c>
      <c r="UJB292" s="18">
        <v>0</v>
      </c>
      <c r="UJC292" s="18">
        <v>0</v>
      </c>
      <c r="UJD292" s="18">
        <v>0</v>
      </c>
      <c r="UJE292" s="18">
        <v>0</v>
      </c>
      <c r="UJF292" s="18">
        <v>0</v>
      </c>
      <c r="UJG292" s="18">
        <v>0</v>
      </c>
      <c r="UJH292" s="18">
        <v>0</v>
      </c>
      <c r="UJI292" s="18">
        <v>0</v>
      </c>
      <c r="UJJ292" s="18">
        <v>0</v>
      </c>
      <c r="UJK292" s="18">
        <v>0</v>
      </c>
      <c r="UJL292" s="18">
        <v>0</v>
      </c>
      <c r="UJM292" s="18">
        <v>0</v>
      </c>
      <c r="UJN292" s="18">
        <v>0</v>
      </c>
      <c r="UJO292" s="18">
        <v>0</v>
      </c>
      <c r="UJP292" s="18">
        <v>0</v>
      </c>
      <c r="UJQ292" s="18">
        <v>0</v>
      </c>
      <c r="UJR292" s="18">
        <v>0</v>
      </c>
      <c r="UJS292" s="18">
        <v>0</v>
      </c>
      <c r="UJT292" s="18">
        <v>0</v>
      </c>
      <c r="UJU292" s="18">
        <v>0</v>
      </c>
      <c r="UJV292" s="18">
        <v>0</v>
      </c>
      <c r="UJW292" s="18">
        <v>0</v>
      </c>
      <c r="UJX292" s="18">
        <v>0</v>
      </c>
      <c r="UJY292" s="18">
        <v>0</v>
      </c>
      <c r="UJZ292" s="18">
        <v>0</v>
      </c>
      <c r="UKA292" s="18">
        <v>0</v>
      </c>
      <c r="UKB292" s="18">
        <v>0</v>
      </c>
      <c r="UKC292" s="18">
        <v>0</v>
      </c>
      <c r="UKD292" s="18">
        <v>0</v>
      </c>
      <c r="UKE292" s="18">
        <v>0</v>
      </c>
      <c r="UKF292" s="18">
        <v>0</v>
      </c>
      <c r="UKG292" s="18">
        <v>0</v>
      </c>
      <c r="UKH292" s="18">
        <v>0</v>
      </c>
      <c r="UKI292" s="18">
        <v>0</v>
      </c>
      <c r="UKJ292" s="18">
        <v>0</v>
      </c>
      <c r="UKK292" s="18">
        <v>0</v>
      </c>
      <c r="UKL292" s="18">
        <v>0</v>
      </c>
      <c r="UKM292" s="18">
        <v>0</v>
      </c>
      <c r="UKN292" s="18">
        <v>0</v>
      </c>
      <c r="UKO292" s="18">
        <v>0</v>
      </c>
      <c r="UKP292" s="18">
        <v>0</v>
      </c>
      <c r="UKQ292" s="18">
        <v>0</v>
      </c>
      <c r="UKR292" s="18">
        <v>0</v>
      </c>
      <c r="UKS292" s="18">
        <v>0</v>
      </c>
      <c r="UKT292" s="18">
        <v>0</v>
      </c>
      <c r="UKU292" s="18">
        <v>0</v>
      </c>
      <c r="UKV292" s="18">
        <v>0</v>
      </c>
      <c r="UKW292" s="18">
        <v>0</v>
      </c>
      <c r="UKX292" s="18">
        <v>0</v>
      </c>
      <c r="UKY292" s="18">
        <v>0</v>
      </c>
      <c r="UKZ292" s="18">
        <v>0</v>
      </c>
      <c r="ULA292" s="18">
        <v>0</v>
      </c>
      <c r="ULB292" s="18">
        <v>0</v>
      </c>
      <c r="ULC292" s="18">
        <v>0</v>
      </c>
      <c r="ULD292" s="18">
        <v>0</v>
      </c>
      <c r="ULE292" s="18">
        <v>0</v>
      </c>
      <c r="ULF292" s="18">
        <v>0</v>
      </c>
      <c r="ULG292" s="18">
        <v>0</v>
      </c>
      <c r="ULH292" s="18">
        <v>0</v>
      </c>
      <c r="ULI292" s="18">
        <v>0</v>
      </c>
      <c r="ULJ292" s="18">
        <v>0</v>
      </c>
      <c r="ULK292" s="18">
        <v>0</v>
      </c>
      <c r="ULL292" s="18">
        <v>0</v>
      </c>
      <c r="ULM292" s="18">
        <v>0</v>
      </c>
      <c r="ULN292" s="18">
        <v>0</v>
      </c>
      <c r="ULO292" s="18">
        <v>0</v>
      </c>
      <c r="ULP292" s="18">
        <v>0</v>
      </c>
      <c r="ULQ292" s="18">
        <v>0</v>
      </c>
      <c r="ULR292" s="18">
        <v>0</v>
      </c>
      <c r="ULS292" s="18">
        <v>0</v>
      </c>
      <c r="ULT292" s="18">
        <v>0</v>
      </c>
      <c r="ULU292" s="18">
        <v>0</v>
      </c>
      <c r="ULV292" s="18">
        <v>0</v>
      </c>
      <c r="ULW292" s="18">
        <v>0</v>
      </c>
      <c r="ULX292" s="18">
        <v>0</v>
      </c>
      <c r="ULY292" s="18">
        <v>0</v>
      </c>
      <c r="ULZ292" s="18">
        <v>0</v>
      </c>
      <c r="UMA292" s="18">
        <v>0</v>
      </c>
      <c r="UMB292" s="18">
        <v>0</v>
      </c>
      <c r="UMC292" s="18">
        <v>0</v>
      </c>
      <c r="UMD292" s="18">
        <v>0</v>
      </c>
      <c r="UME292" s="18">
        <v>0</v>
      </c>
      <c r="UMF292" s="18">
        <v>0</v>
      </c>
      <c r="UMG292" s="18">
        <v>0</v>
      </c>
      <c r="UMH292" s="18">
        <v>0</v>
      </c>
      <c r="UMI292" s="18">
        <v>0</v>
      </c>
      <c r="UMJ292" s="18">
        <v>0</v>
      </c>
      <c r="UMK292" s="18">
        <v>0</v>
      </c>
      <c r="UML292" s="18">
        <v>0</v>
      </c>
      <c r="UMM292" s="18">
        <v>0</v>
      </c>
      <c r="UMN292" s="18">
        <v>0</v>
      </c>
      <c r="UMO292" s="18">
        <v>0</v>
      </c>
      <c r="UMP292" s="18">
        <v>0</v>
      </c>
      <c r="UMQ292" s="18">
        <v>0</v>
      </c>
      <c r="UMR292" s="18">
        <v>0</v>
      </c>
      <c r="UMS292" s="18">
        <v>0</v>
      </c>
      <c r="UMT292" s="18">
        <v>0</v>
      </c>
      <c r="UMU292" s="18">
        <v>0</v>
      </c>
      <c r="UMV292" s="18">
        <v>0</v>
      </c>
      <c r="UMW292" s="18">
        <v>0</v>
      </c>
      <c r="UMX292" s="18">
        <v>0</v>
      </c>
      <c r="UMY292" s="18">
        <v>0</v>
      </c>
      <c r="UMZ292" s="18">
        <v>0</v>
      </c>
      <c r="UNA292" s="18">
        <v>0</v>
      </c>
      <c r="UNB292" s="18">
        <v>0</v>
      </c>
      <c r="UNC292" s="18">
        <v>0</v>
      </c>
      <c r="UND292" s="18">
        <v>0</v>
      </c>
      <c r="UNE292" s="18">
        <v>0</v>
      </c>
      <c r="UNF292" s="18">
        <v>0</v>
      </c>
      <c r="UNG292" s="18">
        <v>0</v>
      </c>
      <c r="UNH292" s="18">
        <v>0</v>
      </c>
      <c r="UNI292" s="18">
        <v>0</v>
      </c>
      <c r="UNJ292" s="18">
        <v>0</v>
      </c>
      <c r="UNK292" s="18">
        <v>0</v>
      </c>
      <c r="UNL292" s="18">
        <v>0</v>
      </c>
      <c r="UNM292" s="18">
        <v>0</v>
      </c>
      <c r="UNN292" s="18">
        <v>0</v>
      </c>
      <c r="UNO292" s="18">
        <v>0</v>
      </c>
      <c r="UNP292" s="18">
        <v>0</v>
      </c>
      <c r="UNQ292" s="18">
        <v>0</v>
      </c>
      <c r="UNR292" s="18">
        <v>0</v>
      </c>
      <c r="UNS292" s="18">
        <v>0</v>
      </c>
      <c r="UNT292" s="18">
        <v>0</v>
      </c>
      <c r="UNU292" s="18">
        <v>0</v>
      </c>
      <c r="UNV292" s="18">
        <v>0</v>
      </c>
      <c r="UNW292" s="18">
        <v>0</v>
      </c>
      <c r="UNX292" s="18">
        <v>0</v>
      </c>
      <c r="UNY292" s="18">
        <v>0</v>
      </c>
      <c r="UNZ292" s="18">
        <v>0</v>
      </c>
      <c r="UOA292" s="18">
        <v>0</v>
      </c>
      <c r="UOB292" s="18">
        <v>0</v>
      </c>
      <c r="UOC292" s="18">
        <v>0</v>
      </c>
      <c r="UOD292" s="18">
        <v>0</v>
      </c>
      <c r="UOE292" s="18">
        <v>0</v>
      </c>
      <c r="UOF292" s="18">
        <v>0</v>
      </c>
      <c r="UOG292" s="18">
        <v>0</v>
      </c>
      <c r="UOH292" s="18">
        <v>0</v>
      </c>
      <c r="UOI292" s="18">
        <v>0</v>
      </c>
      <c r="UOJ292" s="18">
        <v>0</v>
      </c>
      <c r="UOK292" s="18">
        <v>0</v>
      </c>
      <c r="UOL292" s="18">
        <v>0</v>
      </c>
      <c r="UOM292" s="18">
        <v>0</v>
      </c>
      <c r="UON292" s="18">
        <v>0</v>
      </c>
      <c r="UOO292" s="18">
        <v>0</v>
      </c>
      <c r="UOP292" s="18">
        <v>0</v>
      </c>
      <c r="UOQ292" s="18">
        <v>0</v>
      </c>
      <c r="UOR292" s="18">
        <v>0</v>
      </c>
      <c r="UOS292" s="18">
        <v>0</v>
      </c>
      <c r="UOT292" s="18">
        <v>0</v>
      </c>
      <c r="UOU292" s="18">
        <v>0</v>
      </c>
      <c r="UOV292" s="18">
        <v>0</v>
      </c>
      <c r="UOW292" s="18">
        <v>0</v>
      </c>
      <c r="UOX292" s="18">
        <v>0</v>
      </c>
      <c r="UOY292" s="18">
        <v>0</v>
      </c>
      <c r="UOZ292" s="18">
        <v>0</v>
      </c>
      <c r="UPA292" s="18">
        <v>0</v>
      </c>
      <c r="UPB292" s="18">
        <v>0</v>
      </c>
      <c r="UPC292" s="18">
        <v>0</v>
      </c>
      <c r="UPD292" s="18">
        <v>0</v>
      </c>
      <c r="UPE292" s="18">
        <v>0</v>
      </c>
      <c r="UPF292" s="18">
        <v>0</v>
      </c>
      <c r="UPG292" s="18">
        <v>0</v>
      </c>
      <c r="UPH292" s="18">
        <v>0</v>
      </c>
      <c r="UPI292" s="18">
        <v>0</v>
      </c>
      <c r="UPJ292" s="18">
        <v>0</v>
      </c>
      <c r="UPK292" s="18">
        <v>0</v>
      </c>
      <c r="UPL292" s="18">
        <v>0</v>
      </c>
      <c r="UPM292" s="18">
        <v>0</v>
      </c>
      <c r="UPN292" s="18">
        <v>0</v>
      </c>
      <c r="UPO292" s="18">
        <v>0</v>
      </c>
      <c r="UPP292" s="18">
        <v>0</v>
      </c>
      <c r="UPQ292" s="18">
        <v>0</v>
      </c>
      <c r="UPR292" s="18">
        <v>0</v>
      </c>
      <c r="UPS292" s="18">
        <v>0</v>
      </c>
      <c r="UPT292" s="18">
        <v>0</v>
      </c>
      <c r="UPU292" s="18">
        <v>0</v>
      </c>
      <c r="UPV292" s="18">
        <v>0</v>
      </c>
      <c r="UPW292" s="18">
        <v>0</v>
      </c>
      <c r="UPX292" s="18">
        <v>0</v>
      </c>
      <c r="UPY292" s="18">
        <v>0</v>
      </c>
      <c r="UPZ292" s="18">
        <v>0</v>
      </c>
      <c r="UQA292" s="18">
        <v>0</v>
      </c>
      <c r="UQB292" s="18">
        <v>0</v>
      </c>
      <c r="UQC292" s="18">
        <v>0</v>
      </c>
      <c r="UQD292" s="18">
        <v>0</v>
      </c>
      <c r="UQE292" s="18">
        <v>0</v>
      </c>
      <c r="UQF292" s="18">
        <v>0</v>
      </c>
      <c r="UQG292" s="18">
        <v>0</v>
      </c>
      <c r="UQH292" s="18">
        <v>0</v>
      </c>
      <c r="UQI292" s="18">
        <v>0</v>
      </c>
      <c r="UQJ292" s="18">
        <v>0</v>
      </c>
      <c r="UQK292" s="18">
        <v>0</v>
      </c>
      <c r="UQL292" s="18">
        <v>0</v>
      </c>
      <c r="UQM292" s="18">
        <v>0</v>
      </c>
      <c r="UQN292" s="18">
        <v>0</v>
      </c>
      <c r="UQO292" s="18">
        <v>0</v>
      </c>
      <c r="UQP292" s="18">
        <v>0</v>
      </c>
      <c r="UQQ292" s="18">
        <v>0</v>
      </c>
      <c r="UQR292" s="18">
        <v>0</v>
      </c>
      <c r="UQS292" s="18">
        <v>0</v>
      </c>
      <c r="UQT292" s="18">
        <v>0</v>
      </c>
      <c r="UQU292" s="18">
        <v>0</v>
      </c>
      <c r="UQV292" s="18">
        <v>0</v>
      </c>
      <c r="UQW292" s="18">
        <v>0</v>
      </c>
      <c r="UQX292" s="18">
        <v>0</v>
      </c>
      <c r="UQY292" s="18">
        <v>0</v>
      </c>
      <c r="UQZ292" s="18">
        <v>0</v>
      </c>
      <c r="URA292" s="18">
        <v>0</v>
      </c>
      <c r="URB292" s="18">
        <v>0</v>
      </c>
      <c r="URC292" s="18">
        <v>0</v>
      </c>
      <c r="URD292" s="18">
        <v>0</v>
      </c>
      <c r="URE292" s="18">
        <v>0</v>
      </c>
      <c r="URF292" s="18">
        <v>0</v>
      </c>
      <c r="URG292" s="18">
        <v>0</v>
      </c>
      <c r="URH292" s="18">
        <v>0</v>
      </c>
      <c r="URI292" s="18">
        <v>0</v>
      </c>
      <c r="URJ292" s="18">
        <v>0</v>
      </c>
      <c r="URK292" s="18">
        <v>0</v>
      </c>
      <c r="URL292" s="18">
        <v>0</v>
      </c>
      <c r="URM292" s="18">
        <v>0</v>
      </c>
      <c r="URN292" s="18">
        <v>0</v>
      </c>
      <c r="URO292" s="18">
        <v>0</v>
      </c>
      <c r="URP292" s="18">
        <v>0</v>
      </c>
      <c r="URQ292" s="18">
        <v>0</v>
      </c>
      <c r="URR292" s="18">
        <v>0</v>
      </c>
      <c r="URS292" s="18">
        <v>0</v>
      </c>
      <c r="URT292" s="18">
        <v>0</v>
      </c>
      <c r="URU292" s="18">
        <v>0</v>
      </c>
      <c r="URV292" s="18">
        <v>0</v>
      </c>
      <c r="URW292" s="18">
        <v>0</v>
      </c>
      <c r="URX292" s="18">
        <v>0</v>
      </c>
      <c r="URY292" s="18">
        <v>0</v>
      </c>
      <c r="URZ292" s="18">
        <v>0</v>
      </c>
      <c r="USA292" s="18">
        <v>0</v>
      </c>
      <c r="USB292" s="18">
        <v>0</v>
      </c>
      <c r="USC292" s="18">
        <v>0</v>
      </c>
      <c r="USD292" s="18">
        <v>0</v>
      </c>
      <c r="USE292" s="18">
        <v>0</v>
      </c>
      <c r="USF292" s="18">
        <v>0</v>
      </c>
      <c r="USG292" s="18">
        <v>0</v>
      </c>
      <c r="USH292" s="18">
        <v>0</v>
      </c>
      <c r="USI292" s="18">
        <v>0</v>
      </c>
      <c r="USJ292" s="18">
        <v>0</v>
      </c>
      <c r="USK292" s="18">
        <v>0</v>
      </c>
      <c r="USL292" s="18">
        <v>0</v>
      </c>
      <c r="USM292" s="18">
        <v>0</v>
      </c>
      <c r="USN292" s="18">
        <v>0</v>
      </c>
      <c r="USO292" s="18">
        <v>0</v>
      </c>
      <c r="USP292" s="18">
        <v>0</v>
      </c>
      <c r="USQ292" s="18">
        <v>0</v>
      </c>
      <c r="USR292" s="18">
        <v>0</v>
      </c>
      <c r="USS292" s="18">
        <v>0</v>
      </c>
      <c r="UST292" s="18">
        <v>0</v>
      </c>
      <c r="USU292" s="18">
        <v>0</v>
      </c>
      <c r="USV292" s="18">
        <v>0</v>
      </c>
      <c r="USW292" s="18">
        <v>0</v>
      </c>
      <c r="USX292" s="18">
        <v>0</v>
      </c>
      <c r="USY292" s="18">
        <v>0</v>
      </c>
      <c r="USZ292" s="18">
        <v>0</v>
      </c>
      <c r="UTA292" s="18">
        <v>0</v>
      </c>
      <c r="UTB292" s="18">
        <v>0</v>
      </c>
      <c r="UTC292" s="18">
        <v>0</v>
      </c>
      <c r="UTD292" s="18">
        <v>0</v>
      </c>
      <c r="UTE292" s="18">
        <v>0</v>
      </c>
      <c r="UTF292" s="18">
        <v>0</v>
      </c>
      <c r="UTG292" s="18">
        <v>0</v>
      </c>
      <c r="UTH292" s="18">
        <v>0</v>
      </c>
      <c r="UTI292" s="18">
        <v>0</v>
      </c>
      <c r="UTJ292" s="18">
        <v>0</v>
      </c>
      <c r="UTK292" s="18">
        <v>0</v>
      </c>
      <c r="UTL292" s="18">
        <v>0</v>
      </c>
      <c r="UTM292" s="18">
        <v>0</v>
      </c>
      <c r="UTN292" s="18">
        <v>0</v>
      </c>
      <c r="UTO292" s="18">
        <v>0</v>
      </c>
      <c r="UTP292" s="18">
        <v>0</v>
      </c>
      <c r="UTQ292" s="18">
        <v>0</v>
      </c>
      <c r="UTR292" s="18">
        <v>0</v>
      </c>
      <c r="UTS292" s="18">
        <v>0</v>
      </c>
      <c r="UTT292" s="18">
        <v>0</v>
      </c>
      <c r="UTU292" s="18">
        <v>0</v>
      </c>
      <c r="UTV292" s="18">
        <v>0</v>
      </c>
      <c r="UTW292" s="18">
        <v>0</v>
      </c>
      <c r="UTX292" s="18">
        <v>0</v>
      </c>
      <c r="UTY292" s="18">
        <v>0</v>
      </c>
      <c r="UTZ292" s="18">
        <v>0</v>
      </c>
      <c r="UUA292" s="18">
        <v>0</v>
      </c>
      <c r="UUB292" s="18">
        <v>0</v>
      </c>
      <c r="UUC292" s="18">
        <v>0</v>
      </c>
      <c r="UUD292" s="18">
        <v>0</v>
      </c>
      <c r="UUE292" s="18">
        <v>0</v>
      </c>
      <c r="UUF292" s="18">
        <v>0</v>
      </c>
      <c r="UUG292" s="18">
        <v>0</v>
      </c>
      <c r="UUH292" s="18">
        <v>0</v>
      </c>
      <c r="UUI292" s="18">
        <v>0</v>
      </c>
      <c r="UUJ292" s="18">
        <v>0</v>
      </c>
      <c r="UUK292" s="18">
        <v>0</v>
      </c>
      <c r="UUL292" s="18">
        <v>0</v>
      </c>
      <c r="UUM292" s="18">
        <v>0</v>
      </c>
      <c r="UUN292" s="18">
        <v>0</v>
      </c>
      <c r="UUO292" s="18">
        <v>0</v>
      </c>
      <c r="UUP292" s="18">
        <v>0</v>
      </c>
      <c r="UUQ292" s="18">
        <v>0</v>
      </c>
      <c r="UUR292" s="18">
        <v>0</v>
      </c>
      <c r="UUS292" s="18">
        <v>0</v>
      </c>
      <c r="UUT292" s="18">
        <v>0</v>
      </c>
      <c r="UUU292" s="18">
        <v>0</v>
      </c>
      <c r="UUV292" s="18">
        <v>0</v>
      </c>
      <c r="UUW292" s="18">
        <v>0</v>
      </c>
      <c r="UUX292" s="18">
        <v>0</v>
      </c>
      <c r="UUY292" s="18">
        <v>0</v>
      </c>
      <c r="UUZ292" s="18">
        <v>0</v>
      </c>
      <c r="UVA292" s="18">
        <v>0</v>
      </c>
      <c r="UVB292" s="18">
        <v>0</v>
      </c>
      <c r="UVC292" s="18">
        <v>0</v>
      </c>
      <c r="UVD292" s="18">
        <v>0</v>
      </c>
      <c r="UVE292" s="18">
        <v>0</v>
      </c>
      <c r="UVF292" s="18">
        <v>0</v>
      </c>
      <c r="UVG292" s="18">
        <v>0</v>
      </c>
      <c r="UVH292" s="18">
        <v>0</v>
      </c>
      <c r="UVI292" s="18">
        <v>0</v>
      </c>
      <c r="UVJ292" s="18">
        <v>0</v>
      </c>
      <c r="UVK292" s="18">
        <v>0</v>
      </c>
      <c r="UVL292" s="18">
        <v>0</v>
      </c>
      <c r="UVM292" s="18">
        <v>0</v>
      </c>
      <c r="UVN292" s="18">
        <v>0</v>
      </c>
      <c r="UVO292" s="18">
        <v>0</v>
      </c>
      <c r="UVP292" s="18">
        <v>0</v>
      </c>
      <c r="UVQ292" s="18">
        <v>0</v>
      </c>
      <c r="UVR292" s="18">
        <v>0</v>
      </c>
      <c r="UVS292" s="18">
        <v>0</v>
      </c>
      <c r="UVT292" s="18">
        <v>0</v>
      </c>
      <c r="UVU292" s="18">
        <v>0</v>
      </c>
      <c r="UVV292" s="18">
        <v>0</v>
      </c>
      <c r="UVW292" s="18">
        <v>0</v>
      </c>
      <c r="UVX292" s="18">
        <v>0</v>
      </c>
      <c r="UVY292" s="18">
        <v>0</v>
      </c>
      <c r="UVZ292" s="18">
        <v>0</v>
      </c>
      <c r="UWA292" s="18">
        <v>0</v>
      </c>
      <c r="UWB292" s="18">
        <v>0</v>
      </c>
      <c r="UWC292" s="18">
        <v>0</v>
      </c>
      <c r="UWD292" s="18">
        <v>0</v>
      </c>
      <c r="UWE292" s="18">
        <v>0</v>
      </c>
      <c r="UWF292" s="18">
        <v>0</v>
      </c>
      <c r="UWG292" s="18">
        <v>0</v>
      </c>
      <c r="UWH292" s="18">
        <v>0</v>
      </c>
      <c r="UWI292" s="18">
        <v>0</v>
      </c>
      <c r="UWJ292" s="18">
        <v>0</v>
      </c>
      <c r="UWK292" s="18">
        <v>0</v>
      </c>
      <c r="UWL292" s="18">
        <v>0</v>
      </c>
      <c r="UWM292" s="18">
        <v>0</v>
      </c>
      <c r="UWN292" s="18">
        <v>0</v>
      </c>
      <c r="UWO292" s="18">
        <v>0</v>
      </c>
      <c r="UWP292" s="18">
        <v>0</v>
      </c>
      <c r="UWQ292" s="18">
        <v>0</v>
      </c>
      <c r="UWR292" s="18">
        <v>0</v>
      </c>
      <c r="UWS292" s="18">
        <v>0</v>
      </c>
      <c r="UWT292" s="18">
        <v>0</v>
      </c>
      <c r="UWU292" s="18">
        <v>0</v>
      </c>
      <c r="UWV292" s="18">
        <v>0</v>
      </c>
      <c r="UWW292" s="18">
        <v>0</v>
      </c>
      <c r="UWX292" s="18">
        <v>0</v>
      </c>
      <c r="UWY292" s="18">
        <v>0</v>
      </c>
      <c r="UWZ292" s="18">
        <v>0</v>
      </c>
      <c r="UXA292" s="18">
        <v>0</v>
      </c>
      <c r="UXB292" s="18">
        <v>0</v>
      </c>
      <c r="UXC292" s="18">
        <v>0</v>
      </c>
      <c r="UXD292" s="18">
        <v>0</v>
      </c>
      <c r="UXE292" s="18">
        <v>0</v>
      </c>
      <c r="UXF292" s="18">
        <v>0</v>
      </c>
      <c r="UXG292" s="18">
        <v>0</v>
      </c>
      <c r="UXH292" s="18">
        <v>0</v>
      </c>
      <c r="UXI292" s="18">
        <v>0</v>
      </c>
      <c r="UXJ292" s="18">
        <v>0</v>
      </c>
      <c r="UXK292" s="18">
        <v>0</v>
      </c>
      <c r="UXL292" s="18">
        <v>0</v>
      </c>
      <c r="UXM292" s="18">
        <v>0</v>
      </c>
      <c r="UXN292" s="18">
        <v>0</v>
      </c>
      <c r="UXO292" s="18">
        <v>0</v>
      </c>
      <c r="UXP292" s="18">
        <v>0</v>
      </c>
      <c r="UXQ292" s="18">
        <v>0</v>
      </c>
      <c r="UXR292" s="18">
        <v>0</v>
      </c>
      <c r="UXS292" s="18">
        <v>0</v>
      </c>
      <c r="UXT292" s="18">
        <v>0</v>
      </c>
      <c r="UXU292" s="18">
        <v>0</v>
      </c>
      <c r="UXV292" s="18">
        <v>0</v>
      </c>
      <c r="UXW292" s="18">
        <v>0</v>
      </c>
      <c r="UXX292" s="18">
        <v>0</v>
      </c>
      <c r="UXY292" s="18">
        <v>0</v>
      </c>
      <c r="UXZ292" s="18">
        <v>0</v>
      </c>
      <c r="UYA292" s="18">
        <v>0</v>
      </c>
      <c r="UYB292" s="18">
        <v>0</v>
      </c>
      <c r="UYC292" s="18">
        <v>0</v>
      </c>
      <c r="UYD292" s="18">
        <v>0</v>
      </c>
      <c r="UYE292" s="18">
        <v>0</v>
      </c>
      <c r="UYF292" s="18">
        <v>0</v>
      </c>
      <c r="UYG292" s="18">
        <v>0</v>
      </c>
      <c r="UYH292" s="18">
        <v>0</v>
      </c>
      <c r="UYI292" s="18">
        <v>0</v>
      </c>
      <c r="UYJ292" s="18">
        <v>0</v>
      </c>
      <c r="UYK292" s="18">
        <v>0</v>
      </c>
      <c r="UYL292" s="18">
        <v>0</v>
      </c>
      <c r="UYM292" s="18">
        <v>0</v>
      </c>
      <c r="UYN292" s="18">
        <v>0</v>
      </c>
      <c r="UYO292" s="18">
        <v>0</v>
      </c>
      <c r="UYP292" s="18">
        <v>0</v>
      </c>
      <c r="UYQ292" s="18">
        <v>0</v>
      </c>
      <c r="UYR292" s="18">
        <v>0</v>
      </c>
      <c r="UYS292" s="18">
        <v>0</v>
      </c>
      <c r="UYT292" s="18">
        <v>0</v>
      </c>
      <c r="UYU292" s="18">
        <v>0</v>
      </c>
      <c r="UYV292" s="18">
        <v>0</v>
      </c>
      <c r="UYW292" s="18">
        <v>0</v>
      </c>
      <c r="UYX292" s="18">
        <v>0</v>
      </c>
      <c r="UYY292" s="18">
        <v>0</v>
      </c>
      <c r="UYZ292" s="18">
        <v>0</v>
      </c>
      <c r="UZA292" s="18">
        <v>0</v>
      </c>
      <c r="UZB292" s="18">
        <v>0</v>
      </c>
      <c r="UZC292" s="18">
        <v>0</v>
      </c>
      <c r="UZD292" s="18">
        <v>0</v>
      </c>
      <c r="UZE292" s="18">
        <v>0</v>
      </c>
      <c r="UZF292" s="18">
        <v>0</v>
      </c>
      <c r="UZG292" s="18">
        <v>0</v>
      </c>
      <c r="UZH292" s="18">
        <v>0</v>
      </c>
      <c r="UZI292" s="18">
        <v>0</v>
      </c>
      <c r="UZJ292" s="18">
        <v>0</v>
      </c>
      <c r="UZK292" s="18">
        <v>0</v>
      </c>
      <c r="UZL292" s="18">
        <v>0</v>
      </c>
      <c r="UZM292" s="18">
        <v>0</v>
      </c>
      <c r="UZN292" s="18">
        <v>0</v>
      </c>
      <c r="UZO292" s="18">
        <v>0</v>
      </c>
      <c r="UZP292" s="18">
        <v>0</v>
      </c>
      <c r="UZQ292" s="18">
        <v>0</v>
      </c>
      <c r="UZR292" s="18">
        <v>0</v>
      </c>
      <c r="UZS292" s="18">
        <v>0</v>
      </c>
      <c r="UZT292" s="18">
        <v>0</v>
      </c>
      <c r="UZU292" s="18">
        <v>0</v>
      </c>
      <c r="UZV292" s="18">
        <v>0</v>
      </c>
      <c r="UZW292" s="18">
        <v>0</v>
      </c>
      <c r="UZX292" s="18">
        <v>0</v>
      </c>
      <c r="UZY292" s="18">
        <v>0</v>
      </c>
      <c r="UZZ292" s="18">
        <v>0</v>
      </c>
      <c r="VAA292" s="18">
        <v>0</v>
      </c>
      <c r="VAB292" s="18">
        <v>0</v>
      </c>
      <c r="VAC292" s="18">
        <v>0</v>
      </c>
      <c r="VAD292" s="18">
        <v>0</v>
      </c>
      <c r="VAE292" s="18">
        <v>0</v>
      </c>
      <c r="VAF292" s="18">
        <v>0</v>
      </c>
      <c r="VAG292" s="18">
        <v>0</v>
      </c>
      <c r="VAH292" s="18">
        <v>0</v>
      </c>
      <c r="VAI292" s="18">
        <v>0</v>
      </c>
      <c r="VAJ292" s="18">
        <v>0</v>
      </c>
      <c r="VAK292" s="18">
        <v>0</v>
      </c>
      <c r="VAL292" s="18">
        <v>0</v>
      </c>
      <c r="VAM292" s="18">
        <v>0</v>
      </c>
      <c r="VAN292" s="18">
        <v>0</v>
      </c>
      <c r="VAO292" s="18">
        <v>0</v>
      </c>
      <c r="VAP292" s="18">
        <v>0</v>
      </c>
      <c r="VAQ292" s="18">
        <v>0</v>
      </c>
      <c r="VAR292" s="18">
        <v>0</v>
      </c>
      <c r="VAS292" s="18">
        <v>0</v>
      </c>
      <c r="VAT292" s="18">
        <v>0</v>
      </c>
      <c r="VAU292" s="18">
        <v>0</v>
      </c>
      <c r="VAV292" s="18">
        <v>0</v>
      </c>
      <c r="VAW292" s="18">
        <v>0</v>
      </c>
      <c r="VAX292" s="18">
        <v>0</v>
      </c>
      <c r="VAY292" s="18">
        <v>0</v>
      </c>
      <c r="VAZ292" s="18">
        <v>0</v>
      </c>
      <c r="VBA292" s="18">
        <v>0</v>
      </c>
      <c r="VBB292" s="18">
        <v>0</v>
      </c>
      <c r="VBC292" s="18">
        <v>0</v>
      </c>
      <c r="VBD292" s="18">
        <v>0</v>
      </c>
      <c r="VBE292" s="18">
        <v>0</v>
      </c>
      <c r="VBF292" s="18">
        <v>0</v>
      </c>
      <c r="VBG292" s="18">
        <v>0</v>
      </c>
      <c r="VBH292" s="18">
        <v>0</v>
      </c>
      <c r="VBI292" s="18">
        <v>0</v>
      </c>
      <c r="VBJ292" s="18">
        <v>0</v>
      </c>
      <c r="VBK292" s="18">
        <v>0</v>
      </c>
      <c r="VBL292" s="18">
        <v>0</v>
      </c>
      <c r="VBM292" s="18">
        <v>0</v>
      </c>
      <c r="VBN292" s="18">
        <v>0</v>
      </c>
      <c r="VBO292" s="18">
        <v>0</v>
      </c>
      <c r="VBP292" s="18">
        <v>0</v>
      </c>
      <c r="VBQ292" s="18">
        <v>0</v>
      </c>
      <c r="VBR292" s="18">
        <v>0</v>
      </c>
      <c r="VBS292" s="18">
        <v>0</v>
      </c>
      <c r="VBT292" s="18">
        <v>0</v>
      </c>
      <c r="VBU292" s="18">
        <v>0</v>
      </c>
      <c r="VBV292" s="18">
        <v>0</v>
      </c>
      <c r="VBW292" s="18">
        <v>0</v>
      </c>
      <c r="VBX292" s="18">
        <v>0</v>
      </c>
      <c r="VBY292" s="18">
        <v>0</v>
      </c>
      <c r="VBZ292" s="18">
        <v>0</v>
      </c>
      <c r="VCA292" s="18">
        <v>0</v>
      </c>
      <c r="VCB292" s="18">
        <v>0</v>
      </c>
      <c r="VCC292" s="18">
        <v>0</v>
      </c>
      <c r="VCD292" s="18">
        <v>0</v>
      </c>
      <c r="VCE292" s="18">
        <v>0</v>
      </c>
      <c r="VCF292" s="18">
        <v>0</v>
      </c>
      <c r="VCG292" s="18">
        <v>0</v>
      </c>
      <c r="VCH292" s="18">
        <v>0</v>
      </c>
      <c r="VCI292" s="18">
        <v>0</v>
      </c>
      <c r="VCJ292" s="18">
        <v>0</v>
      </c>
      <c r="VCK292" s="18">
        <v>0</v>
      </c>
      <c r="VCL292" s="18">
        <v>0</v>
      </c>
      <c r="VCM292" s="18">
        <v>0</v>
      </c>
      <c r="VCN292" s="18">
        <v>0</v>
      </c>
      <c r="VCO292" s="18">
        <v>0</v>
      </c>
      <c r="VCP292" s="18">
        <v>0</v>
      </c>
      <c r="VCQ292" s="18">
        <v>0</v>
      </c>
      <c r="VCR292" s="18">
        <v>0</v>
      </c>
      <c r="VCS292" s="18">
        <v>0</v>
      </c>
      <c r="VCT292" s="18">
        <v>0</v>
      </c>
      <c r="VCU292" s="18">
        <v>0</v>
      </c>
      <c r="VCV292" s="18">
        <v>0</v>
      </c>
      <c r="VCW292" s="18">
        <v>0</v>
      </c>
      <c r="VCX292" s="18">
        <v>0</v>
      </c>
      <c r="VCY292" s="18">
        <v>0</v>
      </c>
      <c r="VCZ292" s="18">
        <v>0</v>
      </c>
      <c r="VDA292" s="18">
        <v>0</v>
      </c>
      <c r="VDB292" s="18">
        <v>0</v>
      </c>
      <c r="VDC292" s="18">
        <v>0</v>
      </c>
      <c r="VDD292" s="18">
        <v>0</v>
      </c>
      <c r="VDE292" s="18">
        <v>0</v>
      </c>
      <c r="VDF292" s="18">
        <v>0</v>
      </c>
      <c r="VDG292" s="18">
        <v>0</v>
      </c>
      <c r="VDH292" s="18">
        <v>0</v>
      </c>
      <c r="VDI292" s="18">
        <v>0</v>
      </c>
      <c r="VDJ292" s="18">
        <v>0</v>
      </c>
      <c r="VDK292" s="18">
        <v>0</v>
      </c>
      <c r="VDL292" s="18">
        <v>0</v>
      </c>
      <c r="VDM292" s="18">
        <v>0</v>
      </c>
      <c r="VDN292" s="18">
        <v>0</v>
      </c>
      <c r="VDO292" s="18">
        <v>0</v>
      </c>
      <c r="VDP292" s="18">
        <v>0</v>
      </c>
      <c r="VDQ292" s="18">
        <v>0</v>
      </c>
      <c r="VDR292" s="18">
        <v>0</v>
      </c>
      <c r="VDS292" s="18">
        <v>0</v>
      </c>
      <c r="VDT292" s="18">
        <v>0</v>
      </c>
      <c r="VDU292" s="18">
        <v>0</v>
      </c>
      <c r="VDV292" s="18">
        <v>0</v>
      </c>
      <c r="VDW292" s="18">
        <v>0</v>
      </c>
      <c r="VDX292" s="18">
        <v>0</v>
      </c>
      <c r="VDY292" s="18">
        <v>0</v>
      </c>
      <c r="VDZ292" s="18">
        <v>0</v>
      </c>
      <c r="VEA292" s="18">
        <v>0</v>
      </c>
      <c r="VEB292" s="18">
        <v>0</v>
      </c>
      <c r="VEC292" s="18">
        <v>0</v>
      </c>
      <c r="VED292" s="18">
        <v>0</v>
      </c>
      <c r="VEE292" s="18">
        <v>0</v>
      </c>
      <c r="VEF292" s="18">
        <v>0</v>
      </c>
      <c r="VEG292" s="18">
        <v>0</v>
      </c>
      <c r="VEH292" s="18">
        <v>0</v>
      </c>
      <c r="VEI292" s="18">
        <v>0</v>
      </c>
      <c r="VEJ292" s="18">
        <v>0</v>
      </c>
      <c r="VEK292" s="18">
        <v>0</v>
      </c>
      <c r="VEL292" s="18">
        <v>0</v>
      </c>
      <c r="VEM292" s="18">
        <v>0</v>
      </c>
      <c r="VEN292" s="18">
        <v>0</v>
      </c>
      <c r="VEO292" s="18">
        <v>0</v>
      </c>
      <c r="VEP292" s="18">
        <v>0</v>
      </c>
      <c r="VEQ292" s="18">
        <v>0</v>
      </c>
      <c r="VER292" s="18">
        <v>0</v>
      </c>
      <c r="VES292" s="18">
        <v>0</v>
      </c>
      <c r="VET292" s="18">
        <v>0</v>
      </c>
      <c r="VEU292" s="18">
        <v>0</v>
      </c>
      <c r="VEV292" s="18">
        <v>0</v>
      </c>
      <c r="VEW292" s="18">
        <v>0</v>
      </c>
      <c r="VEX292" s="18">
        <v>0</v>
      </c>
      <c r="VEY292" s="18">
        <v>0</v>
      </c>
      <c r="VEZ292" s="18">
        <v>0</v>
      </c>
      <c r="VFA292" s="18">
        <v>0</v>
      </c>
      <c r="VFB292" s="18">
        <v>0</v>
      </c>
      <c r="VFC292" s="18">
        <v>0</v>
      </c>
      <c r="VFD292" s="18">
        <v>0</v>
      </c>
      <c r="VFE292" s="18">
        <v>0</v>
      </c>
      <c r="VFF292" s="18">
        <v>0</v>
      </c>
      <c r="VFG292" s="18">
        <v>0</v>
      </c>
      <c r="VFH292" s="18">
        <v>0</v>
      </c>
      <c r="VFI292" s="18">
        <v>0</v>
      </c>
      <c r="VFJ292" s="18">
        <v>0</v>
      </c>
      <c r="VFK292" s="18">
        <v>0</v>
      </c>
      <c r="VFL292" s="18">
        <v>0</v>
      </c>
      <c r="VFM292" s="18">
        <v>0</v>
      </c>
      <c r="VFN292" s="18">
        <v>0</v>
      </c>
      <c r="VFO292" s="18">
        <v>0</v>
      </c>
      <c r="VFP292" s="18">
        <v>0</v>
      </c>
      <c r="VFQ292" s="18">
        <v>0</v>
      </c>
      <c r="VFR292" s="18">
        <v>0</v>
      </c>
      <c r="VFS292" s="18">
        <v>0</v>
      </c>
      <c r="VFT292" s="18">
        <v>0</v>
      </c>
      <c r="VFU292" s="18">
        <v>0</v>
      </c>
      <c r="VFV292" s="18">
        <v>0</v>
      </c>
      <c r="VFW292" s="18">
        <v>0</v>
      </c>
      <c r="VFX292" s="18">
        <v>0</v>
      </c>
      <c r="VFY292" s="18">
        <v>0</v>
      </c>
      <c r="VFZ292" s="18">
        <v>0</v>
      </c>
      <c r="VGA292" s="18">
        <v>0</v>
      </c>
      <c r="VGB292" s="18">
        <v>0</v>
      </c>
      <c r="VGC292" s="18">
        <v>0</v>
      </c>
      <c r="VGD292" s="18">
        <v>0</v>
      </c>
      <c r="VGE292" s="18">
        <v>0</v>
      </c>
      <c r="VGF292" s="18">
        <v>0</v>
      </c>
      <c r="VGG292" s="18">
        <v>0</v>
      </c>
      <c r="VGH292" s="18">
        <v>0</v>
      </c>
      <c r="VGI292" s="18">
        <v>0</v>
      </c>
      <c r="VGJ292" s="18">
        <v>0</v>
      </c>
      <c r="VGK292" s="18">
        <v>0</v>
      </c>
      <c r="VGL292" s="18">
        <v>0</v>
      </c>
      <c r="VGM292" s="18">
        <v>0</v>
      </c>
      <c r="VGN292" s="18">
        <v>0</v>
      </c>
      <c r="VGO292" s="18">
        <v>0</v>
      </c>
      <c r="VGP292" s="18">
        <v>0</v>
      </c>
      <c r="VGQ292" s="18">
        <v>0</v>
      </c>
      <c r="VGR292" s="18">
        <v>0</v>
      </c>
      <c r="VGS292" s="18">
        <v>0</v>
      </c>
      <c r="VGT292" s="18">
        <v>0</v>
      </c>
      <c r="VGU292" s="18">
        <v>0</v>
      </c>
      <c r="VGV292" s="18">
        <v>0</v>
      </c>
      <c r="VGW292" s="18">
        <v>0</v>
      </c>
      <c r="VGX292" s="18">
        <v>0</v>
      </c>
      <c r="VGY292" s="18">
        <v>0</v>
      </c>
      <c r="VGZ292" s="18">
        <v>0</v>
      </c>
      <c r="VHA292" s="18">
        <v>0</v>
      </c>
      <c r="VHB292" s="18">
        <v>0</v>
      </c>
      <c r="VHC292" s="18">
        <v>0</v>
      </c>
      <c r="VHD292" s="18">
        <v>0</v>
      </c>
      <c r="VHE292" s="18">
        <v>0</v>
      </c>
      <c r="VHF292" s="18">
        <v>0</v>
      </c>
      <c r="VHG292" s="18">
        <v>0</v>
      </c>
      <c r="VHH292" s="18">
        <v>0</v>
      </c>
      <c r="VHI292" s="18">
        <v>0</v>
      </c>
      <c r="VHJ292" s="18">
        <v>0</v>
      </c>
      <c r="VHK292" s="18">
        <v>0</v>
      </c>
      <c r="VHL292" s="18">
        <v>0</v>
      </c>
      <c r="VHM292" s="18">
        <v>0</v>
      </c>
      <c r="VHN292" s="18">
        <v>0</v>
      </c>
      <c r="VHO292" s="18">
        <v>0</v>
      </c>
      <c r="VHP292" s="18">
        <v>0</v>
      </c>
      <c r="VHQ292" s="18">
        <v>0</v>
      </c>
      <c r="VHR292" s="18">
        <v>0</v>
      </c>
      <c r="VHS292" s="18">
        <v>0</v>
      </c>
      <c r="VHT292" s="18">
        <v>0</v>
      </c>
      <c r="VHU292" s="18">
        <v>0</v>
      </c>
      <c r="VHV292" s="18">
        <v>0</v>
      </c>
      <c r="VHW292" s="18">
        <v>0</v>
      </c>
      <c r="VHX292" s="18">
        <v>0</v>
      </c>
      <c r="VHY292" s="18">
        <v>0</v>
      </c>
      <c r="VHZ292" s="18">
        <v>0</v>
      </c>
      <c r="VIA292" s="18">
        <v>0</v>
      </c>
      <c r="VIB292" s="18">
        <v>0</v>
      </c>
      <c r="VIC292" s="18">
        <v>0</v>
      </c>
      <c r="VID292" s="18">
        <v>0</v>
      </c>
      <c r="VIE292" s="18">
        <v>0</v>
      </c>
      <c r="VIF292" s="18">
        <v>0</v>
      </c>
      <c r="VIG292" s="18">
        <v>0</v>
      </c>
      <c r="VIH292" s="18">
        <v>0</v>
      </c>
      <c r="VII292" s="18">
        <v>0</v>
      </c>
      <c r="VIJ292" s="18">
        <v>0</v>
      </c>
      <c r="VIK292" s="18">
        <v>0</v>
      </c>
      <c r="VIL292" s="18">
        <v>0</v>
      </c>
      <c r="VIM292" s="18">
        <v>0</v>
      </c>
      <c r="VIN292" s="18">
        <v>0</v>
      </c>
      <c r="VIO292" s="18">
        <v>0</v>
      </c>
      <c r="VIP292" s="18">
        <v>0</v>
      </c>
      <c r="VIQ292" s="18">
        <v>0</v>
      </c>
      <c r="VIR292" s="18">
        <v>0</v>
      </c>
      <c r="VIS292" s="18">
        <v>0</v>
      </c>
      <c r="VIT292" s="18">
        <v>0</v>
      </c>
      <c r="VIU292" s="18">
        <v>0</v>
      </c>
      <c r="VIV292" s="18">
        <v>0</v>
      </c>
      <c r="VIW292" s="18">
        <v>0</v>
      </c>
      <c r="VIX292" s="18">
        <v>0</v>
      </c>
      <c r="VIY292" s="18">
        <v>0</v>
      </c>
      <c r="VIZ292" s="18">
        <v>0</v>
      </c>
      <c r="VJA292" s="18">
        <v>0</v>
      </c>
      <c r="VJB292" s="18">
        <v>0</v>
      </c>
      <c r="VJC292" s="18">
        <v>0</v>
      </c>
      <c r="VJD292" s="18">
        <v>0</v>
      </c>
      <c r="VJE292" s="18">
        <v>0</v>
      </c>
      <c r="VJF292" s="18">
        <v>0</v>
      </c>
      <c r="VJG292" s="18">
        <v>0</v>
      </c>
      <c r="VJH292" s="18">
        <v>0</v>
      </c>
      <c r="VJI292" s="18">
        <v>0</v>
      </c>
      <c r="VJJ292" s="18">
        <v>0</v>
      </c>
      <c r="VJK292" s="18">
        <v>0</v>
      </c>
      <c r="VJL292" s="18">
        <v>0</v>
      </c>
      <c r="VJM292" s="18">
        <v>0</v>
      </c>
      <c r="VJN292" s="18">
        <v>0</v>
      </c>
      <c r="VJO292" s="18">
        <v>0</v>
      </c>
      <c r="VJP292" s="18">
        <v>0</v>
      </c>
      <c r="VJQ292" s="18">
        <v>0</v>
      </c>
      <c r="VJR292" s="18">
        <v>0</v>
      </c>
      <c r="VJS292" s="18">
        <v>0</v>
      </c>
      <c r="VJT292" s="18">
        <v>0</v>
      </c>
      <c r="VJU292" s="18">
        <v>0</v>
      </c>
      <c r="VJV292" s="18">
        <v>0</v>
      </c>
      <c r="VJW292" s="18">
        <v>0</v>
      </c>
      <c r="VJX292" s="18">
        <v>0</v>
      </c>
      <c r="VJY292" s="18">
        <v>0</v>
      </c>
      <c r="VJZ292" s="18">
        <v>0</v>
      </c>
      <c r="VKA292" s="18">
        <v>0</v>
      </c>
      <c r="VKB292" s="18">
        <v>0</v>
      </c>
      <c r="VKC292" s="18">
        <v>0</v>
      </c>
      <c r="VKD292" s="18">
        <v>0</v>
      </c>
      <c r="VKE292" s="18">
        <v>0</v>
      </c>
      <c r="VKF292" s="18">
        <v>0</v>
      </c>
      <c r="VKG292" s="18">
        <v>0</v>
      </c>
      <c r="VKH292" s="18">
        <v>0</v>
      </c>
      <c r="VKI292" s="18">
        <v>0</v>
      </c>
      <c r="VKJ292" s="18">
        <v>0</v>
      </c>
      <c r="VKK292" s="18">
        <v>0</v>
      </c>
      <c r="VKL292" s="18">
        <v>0</v>
      </c>
      <c r="VKM292" s="18">
        <v>0</v>
      </c>
      <c r="VKN292" s="18">
        <v>0</v>
      </c>
      <c r="VKO292" s="18">
        <v>0</v>
      </c>
      <c r="VKP292" s="18">
        <v>0</v>
      </c>
      <c r="VKQ292" s="18">
        <v>0</v>
      </c>
      <c r="VKR292" s="18">
        <v>0</v>
      </c>
      <c r="VKS292" s="18">
        <v>0</v>
      </c>
      <c r="VKT292" s="18">
        <v>0</v>
      </c>
      <c r="VKU292" s="18">
        <v>0</v>
      </c>
      <c r="VKV292" s="18">
        <v>0</v>
      </c>
      <c r="VKW292" s="18">
        <v>0</v>
      </c>
      <c r="VKX292" s="18">
        <v>0</v>
      </c>
      <c r="VKY292" s="18">
        <v>0</v>
      </c>
      <c r="VKZ292" s="18">
        <v>0</v>
      </c>
      <c r="VLA292" s="18">
        <v>0</v>
      </c>
      <c r="VLB292" s="18">
        <v>0</v>
      </c>
      <c r="VLC292" s="18">
        <v>0</v>
      </c>
      <c r="VLD292" s="18">
        <v>0</v>
      </c>
      <c r="VLE292" s="18">
        <v>0</v>
      </c>
      <c r="VLF292" s="18">
        <v>0</v>
      </c>
      <c r="VLG292" s="18">
        <v>0</v>
      </c>
      <c r="VLH292" s="18">
        <v>0</v>
      </c>
      <c r="VLI292" s="18">
        <v>0</v>
      </c>
      <c r="VLJ292" s="18">
        <v>0</v>
      </c>
      <c r="VLK292" s="18">
        <v>0</v>
      </c>
      <c r="VLL292" s="18">
        <v>0</v>
      </c>
      <c r="VLM292" s="18">
        <v>0</v>
      </c>
      <c r="VLN292" s="18">
        <v>0</v>
      </c>
      <c r="VLO292" s="18">
        <v>0</v>
      </c>
      <c r="VLP292" s="18">
        <v>0</v>
      </c>
      <c r="VLQ292" s="18">
        <v>0</v>
      </c>
      <c r="VLR292" s="18">
        <v>0</v>
      </c>
      <c r="VLS292" s="18">
        <v>0</v>
      </c>
      <c r="VLT292" s="18">
        <v>0</v>
      </c>
      <c r="VLU292" s="18">
        <v>0</v>
      </c>
      <c r="VLV292" s="18">
        <v>0</v>
      </c>
      <c r="VLW292" s="18">
        <v>0</v>
      </c>
      <c r="VLX292" s="18">
        <v>0</v>
      </c>
      <c r="VLY292" s="18">
        <v>0</v>
      </c>
      <c r="VLZ292" s="18">
        <v>0</v>
      </c>
      <c r="VMA292" s="18">
        <v>0</v>
      </c>
      <c r="VMB292" s="18">
        <v>0</v>
      </c>
      <c r="VMC292" s="18">
        <v>0</v>
      </c>
      <c r="VMD292" s="18">
        <v>0</v>
      </c>
      <c r="VME292" s="18">
        <v>0</v>
      </c>
      <c r="VMF292" s="18">
        <v>0</v>
      </c>
      <c r="VMG292" s="18">
        <v>0</v>
      </c>
      <c r="VMH292" s="18">
        <v>0</v>
      </c>
      <c r="VMI292" s="18">
        <v>0</v>
      </c>
      <c r="VMJ292" s="18">
        <v>0</v>
      </c>
      <c r="VMK292" s="18">
        <v>0</v>
      </c>
      <c r="VML292" s="18">
        <v>0</v>
      </c>
      <c r="VMM292" s="18">
        <v>0</v>
      </c>
      <c r="VMN292" s="18">
        <v>0</v>
      </c>
      <c r="VMO292" s="18">
        <v>0</v>
      </c>
      <c r="VMP292" s="18">
        <v>0</v>
      </c>
      <c r="VMQ292" s="18">
        <v>0</v>
      </c>
      <c r="VMR292" s="18">
        <v>0</v>
      </c>
      <c r="VMS292" s="18">
        <v>0</v>
      </c>
      <c r="VMT292" s="18">
        <v>0</v>
      </c>
      <c r="VMU292" s="18">
        <v>0</v>
      </c>
      <c r="VMV292" s="18">
        <v>0</v>
      </c>
      <c r="VMW292" s="18">
        <v>0</v>
      </c>
      <c r="VMX292" s="18">
        <v>0</v>
      </c>
      <c r="VMY292" s="18">
        <v>0</v>
      </c>
      <c r="VMZ292" s="18">
        <v>0</v>
      </c>
      <c r="VNA292" s="18">
        <v>0</v>
      </c>
      <c r="VNB292" s="18">
        <v>0</v>
      </c>
      <c r="VNC292" s="18">
        <v>0</v>
      </c>
      <c r="VND292" s="18">
        <v>0</v>
      </c>
      <c r="VNE292" s="18">
        <v>0</v>
      </c>
      <c r="VNF292" s="18">
        <v>0</v>
      </c>
      <c r="VNG292" s="18">
        <v>0</v>
      </c>
      <c r="VNH292" s="18">
        <v>0</v>
      </c>
      <c r="VNI292" s="18">
        <v>0</v>
      </c>
      <c r="VNJ292" s="18">
        <v>0</v>
      </c>
      <c r="VNK292" s="18">
        <v>0</v>
      </c>
      <c r="VNL292" s="18">
        <v>0</v>
      </c>
      <c r="VNM292" s="18">
        <v>0</v>
      </c>
      <c r="VNN292" s="18">
        <v>0</v>
      </c>
      <c r="VNO292" s="18">
        <v>0</v>
      </c>
      <c r="VNP292" s="18">
        <v>0</v>
      </c>
      <c r="VNQ292" s="18">
        <v>0</v>
      </c>
      <c r="VNR292" s="18">
        <v>0</v>
      </c>
      <c r="VNS292" s="18">
        <v>0</v>
      </c>
      <c r="VNT292" s="18">
        <v>0</v>
      </c>
      <c r="VNU292" s="18">
        <v>0</v>
      </c>
      <c r="VNV292" s="18">
        <v>0</v>
      </c>
      <c r="VNW292" s="18">
        <v>0</v>
      </c>
      <c r="VNX292" s="18">
        <v>0</v>
      </c>
      <c r="VNY292" s="18">
        <v>0</v>
      </c>
      <c r="VNZ292" s="18">
        <v>0</v>
      </c>
      <c r="VOA292" s="18">
        <v>0</v>
      </c>
      <c r="VOB292" s="18">
        <v>0</v>
      </c>
      <c r="VOC292" s="18">
        <v>0</v>
      </c>
      <c r="VOD292" s="18">
        <v>0</v>
      </c>
      <c r="VOE292" s="18">
        <v>0</v>
      </c>
      <c r="VOF292" s="18">
        <v>0</v>
      </c>
      <c r="VOG292" s="18">
        <v>0</v>
      </c>
      <c r="VOH292" s="18">
        <v>0</v>
      </c>
      <c r="VOI292" s="18">
        <v>0</v>
      </c>
      <c r="VOJ292" s="18">
        <v>0</v>
      </c>
      <c r="VOK292" s="18">
        <v>0</v>
      </c>
      <c r="VOL292" s="18">
        <v>0</v>
      </c>
      <c r="VOM292" s="18">
        <v>0</v>
      </c>
      <c r="VON292" s="18">
        <v>0</v>
      </c>
      <c r="VOO292" s="18">
        <v>0</v>
      </c>
      <c r="VOP292" s="18">
        <v>0</v>
      </c>
      <c r="VOQ292" s="18">
        <v>0</v>
      </c>
      <c r="VOR292" s="18">
        <v>0</v>
      </c>
      <c r="VOS292" s="18">
        <v>0</v>
      </c>
      <c r="VOT292" s="18">
        <v>0</v>
      </c>
      <c r="VOU292" s="18">
        <v>0</v>
      </c>
      <c r="VOV292" s="18">
        <v>0</v>
      </c>
      <c r="VOW292" s="18">
        <v>0</v>
      </c>
      <c r="VOX292" s="18">
        <v>0</v>
      </c>
      <c r="VOY292" s="18">
        <v>0</v>
      </c>
      <c r="VOZ292" s="18">
        <v>0</v>
      </c>
      <c r="VPA292" s="18">
        <v>0</v>
      </c>
      <c r="VPB292" s="18">
        <v>0</v>
      </c>
      <c r="VPC292" s="18">
        <v>0</v>
      </c>
      <c r="VPD292" s="18">
        <v>0</v>
      </c>
      <c r="VPE292" s="18">
        <v>0</v>
      </c>
      <c r="VPF292" s="18">
        <v>0</v>
      </c>
      <c r="VPG292" s="18">
        <v>0</v>
      </c>
      <c r="VPH292" s="18">
        <v>0</v>
      </c>
      <c r="VPI292" s="18">
        <v>0</v>
      </c>
      <c r="VPJ292" s="18">
        <v>0</v>
      </c>
      <c r="VPK292" s="18">
        <v>0</v>
      </c>
      <c r="VPL292" s="18">
        <v>0</v>
      </c>
      <c r="VPM292" s="18">
        <v>0</v>
      </c>
      <c r="VPN292" s="18">
        <v>0</v>
      </c>
      <c r="VPO292" s="18">
        <v>0</v>
      </c>
      <c r="VPP292" s="18">
        <v>0</v>
      </c>
      <c r="VPQ292" s="18">
        <v>0</v>
      </c>
      <c r="VPR292" s="18">
        <v>0</v>
      </c>
      <c r="VPS292" s="18">
        <v>0</v>
      </c>
      <c r="VPT292" s="18">
        <v>0</v>
      </c>
      <c r="VPU292" s="18">
        <v>0</v>
      </c>
      <c r="VPV292" s="18">
        <v>0</v>
      </c>
      <c r="VPW292" s="18">
        <v>0</v>
      </c>
      <c r="VPX292" s="18">
        <v>0</v>
      </c>
      <c r="VPY292" s="18">
        <v>0</v>
      </c>
      <c r="VPZ292" s="18">
        <v>0</v>
      </c>
      <c r="VQA292" s="18">
        <v>0</v>
      </c>
      <c r="VQB292" s="18">
        <v>0</v>
      </c>
      <c r="VQC292" s="18">
        <v>0</v>
      </c>
      <c r="VQD292" s="18">
        <v>0</v>
      </c>
      <c r="VQE292" s="18">
        <v>0</v>
      </c>
      <c r="VQF292" s="18">
        <v>0</v>
      </c>
      <c r="VQG292" s="18">
        <v>0</v>
      </c>
      <c r="VQH292" s="18">
        <v>0</v>
      </c>
      <c r="VQI292" s="18">
        <v>0</v>
      </c>
      <c r="VQJ292" s="18">
        <v>0</v>
      </c>
      <c r="VQK292" s="18">
        <v>0</v>
      </c>
      <c r="VQL292" s="18">
        <v>0</v>
      </c>
      <c r="VQM292" s="18">
        <v>0</v>
      </c>
      <c r="VQN292" s="18">
        <v>0</v>
      </c>
      <c r="VQO292" s="18">
        <v>0</v>
      </c>
      <c r="VQP292" s="18">
        <v>0</v>
      </c>
      <c r="VQQ292" s="18">
        <v>0</v>
      </c>
      <c r="VQR292" s="18">
        <v>0</v>
      </c>
      <c r="VQS292" s="18">
        <v>0</v>
      </c>
      <c r="VQT292" s="18">
        <v>0</v>
      </c>
      <c r="VQU292" s="18">
        <v>0</v>
      </c>
      <c r="VQV292" s="18">
        <v>0</v>
      </c>
      <c r="VQW292" s="18">
        <v>0</v>
      </c>
      <c r="VQX292" s="18">
        <v>0</v>
      </c>
      <c r="VQY292" s="18">
        <v>0</v>
      </c>
      <c r="VQZ292" s="18">
        <v>0</v>
      </c>
      <c r="VRA292" s="18">
        <v>0</v>
      </c>
      <c r="VRB292" s="18">
        <v>0</v>
      </c>
      <c r="VRC292" s="18">
        <v>0</v>
      </c>
      <c r="VRD292" s="18">
        <v>0</v>
      </c>
      <c r="VRE292" s="18">
        <v>0</v>
      </c>
      <c r="VRF292" s="18">
        <v>0</v>
      </c>
      <c r="VRG292" s="18">
        <v>0</v>
      </c>
      <c r="VRH292" s="18">
        <v>0</v>
      </c>
      <c r="VRI292" s="18">
        <v>0</v>
      </c>
      <c r="VRJ292" s="18">
        <v>0</v>
      </c>
      <c r="VRK292" s="18">
        <v>0</v>
      </c>
      <c r="VRL292" s="18">
        <v>0</v>
      </c>
      <c r="VRM292" s="18">
        <v>0</v>
      </c>
      <c r="VRN292" s="18">
        <v>0</v>
      </c>
      <c r="VRO292" s="18">
        <v>0</v>
      </c>
      <c r="VRP292" s="18">
        <v>0</v>
      </c>
      <c r="VRQ292" s="18">
        <v>0</v>
      </c>
      <c r="VRR292" s="18">
        <v>0</v>
      </c>
      <c r="VRS292" s="18">
        <v>0</v>
      </c>
      <c r="VRT292" s="18">
        <v>0</v>
      </c>
      <c r="VRU292" s="18">
        <v>0</v>
      </c>
      <c r="VRV292" s="18">
        <v>0</v>
      </c>
      <c r="VRW292" s="18">
        <v>0</v>
      </c>
      <c r="VRX292" s="18">
        <v>0</v>
      </c>
      <c r="VRY292" s="18">
        <v>0</v>
      </c>
      <c r="VRZ292" s="18">
        <v>0</v>
      </c>
      <c r="VSA292" s="18">
        <v>0</v>
      </c>
      <c r="VSB292" s="18">
        <v>0</v>
      </c>
      <c r="VSC292" s="18">
        <v>0</v>
      </c>
      <c r="VSD292" s="18">
        <v>0</v>
      </c>
      <c r="VSE292" s="18">
        <v>0</v>
      </c>
      <c r="VSF292" s="18">
        <v>0</v>
      </c>
      <c r="VSG292" s="18">
        <v>0</v>
      </c>
      <c r="VSH292" s="18">
        <v>0</v>
      </c>
      <c r="VSI292" s="18">
        <v>0</v>
      </c>
      <c r="VSJ292" s="18">
        <v>0</v>
      </c>
      <c r="VSK292" s="18">
        <v>0</v>
      </c>
      <c r="VSL292" s="18">
        <v>0</v>
      </c>
      <c r="VSM292" s="18">
        <v>0</v>
      </c>
      <c r="VSN292" s="18">
        <v>0</v>
      </c>
      <c r="VSO292" s="18">
        <v>0</v>
      </c>
      <c r="VSP292" s="18">
        <v>0</v>
      </c>
      <c r="VSQ292" s="18">
        <v>0</v>
      </c>
      <c r="VSR292" s="18">
        <v>0</v>
      </c>
      <c r="VSS292" s="18">
        <v>0</v>
      </c>
      <c r="VST292" s="18">
        <v>0</v>
      </c>
      <c r="VSU292" s="18">
        <v>0</v>
      </c>
      <c r="VSV292" s="18">
        <v>0</v>
      </c>
      <c r="VSW292" s="18">
        <v>0</v>
      </c>
      <c r="VSX292" s="18">
        <v>0</v>
      </c>
      <c r="VSY292" s="18">
        <v>0</v>
      </c>
      <c r="VSZ292" s="18">
        <v>0</v>
      </c>
      <c r="VTA292" s="18">
        <v>0</v>
      </c>
      <c r="VTB292" s="18">
        <v>0</v>
      </c>
      <c r="VTC292" s="18">
        <v>0</v>
      </c>
      <c r="VTD292" s="18">
        <v>0</v>
      </c>
      <c r="VTE292" s="18">
        <v>0</v>
      </c>
      <c r="VTF292" s="18">
        <v>0</v>
      </c>
      <c r="VTG292" s="18">
        <v>0</v>
      </c>
      <c r="VTH292" s="18">
        <v>0</v>
      </c>
      <c r="VTI292" s="18">
        <v>0</v>
      </c>
      <c r="VTJ292" s="18">
        <v>0</v>
      </c>
      <c r="VTK292" s="18">
        <v>0</v>
      </c>
      <c r="VTL292" s="18">
        <v>0</v>
      </c>
      <c r="VTM292" s="18">
        <v>0</v>
      </c>
      <c r="VTN292" s="18">
        <v>0</v>
      </c>
      <c r="VTO292" s="18">
        <v>0</v>
      </c>
      <c r="VTP292" s="18">
        <v>0</v>
      </c>
      <c r="VTQ292" s="18">
        <v>0</v>
      </c>
      <c r="VTR292" s="18">
        <v>0</v>
      </c>
      <c r="VTS292" s="18">
        <v>0</v>
      </c>
      <c r="VTT292" s="18">
        <v>0</v>
      </c>
      <c r="VTU292" s="18">
        <v>0</v>
      </c>
      <c r="VTV292" s="18">
        <v>0</v>
      </c>
      <c r="VTW292" s="18">
        <v>0</v>
      </c>
      <c r="VTX292" s="18">
        <v>0</v>
      </c>
      <c r="VTY292" s="18">
        <v>0</v>
      </c>
      <c r="VTZ292" s="18">
        <v>0</v>
      </c>
      <c r="VUA292" s="18">
        <v>0</v>
      </c>
      <c r="VUB292" s="18">
        <v>0</v>
      </c>
      <c r="VUC292" s="18">
        <v>0</v>
      </c>
      <c r="VUD292" s="18">
        <v>0</v>
      </c>
      <c r="VUE292" s="18">
        <v>0</v>
      </c>
      <c r="VUF292" s="18">
        <v>0</v>
      </c>
      <c r="VUG292" s="18">
        <v>0</v>
      </c>
      <c r="VUH292" s="18">
        <v>0</v>
      </c>
      <c r="VUI292" s="18">
        <v>0</v>
      </c>
      <c r="VUJ292" s="18">
        <v>0</v>
      </c>
      <c r="VUK292" s="18">
        <v>0</v>
      </c>
      <c r="VUL292" s="18">
        <v>0</v>
      </c>
      <c r="VUM292" s="18">
        <v>0</v>
      </c>
      <c r="VUN292" s="18">
        <v>0</v>
      </c>
      <c r="VUO292" s="18">
        <v>0</v>
      </c>
      <c r="VUP292" s="18">
        <v>0</v>
      </c>
      <c r="VUQ292" s="18">
        <v>0</v>
      </c>
      <c r="VUR292" s="18">
        <v>0</v>
      </c>
      <c r="VUS292" s="18">
        <v>0</v>
      </c>
      <c r="VUT292" s="18">
        <v>0</v>
      </c>
      <c r="VUU292" s="18">
        <v>0</v>
      </c>
      <c r="VUV292" s="18">
        <v>0</v>
      </c>
      <c r="VUW292" s="18">
        <v>0</v>
      </c>
      <c r="VUX292" s="18">
        <v>0</v>
      </c>
      <c r="VUY292" s="18">
        <v>0</v>
      </c>
      <c r="VUZ292" s="18">
        <v>0</v>
      </c>
      <c r="VVA292" s="18">
        <v>0</v>
      </c>
      <c r="VVB292" s="18">
        <v>0</v>
      </c>
      <c r="VVC292" s="18">
        <v>0</v>
      </c>
      <c r="VVD292" s="18">
        <v>0</v>
      </c>
      <c r="VVE292" s="18">
        <v>0</v>
      </c>
      <c r="VVF292" s="18">
        <v>0</v>
      </c>
      <c r="VVG292" s="18">
        <v>0</v>
      </c>
      <c r="VVH292" s="18">
        <v>0</v>
      </c>
      <c r="VVI292" s="18">
        <v>0</v>
      </c>
      <c r="VVJ292" s="18">
        <v>0</v>
      </c>
      <c r="VVK292" s="18">
        <v>0</v>
      </c>
      <c r="VVL292" s="18">
        <v>0</v>
      </c>
      <c r="VVM292" s="18">
        <v>0</v>
      </c>
      <c r="VVN292" s="18">
        <v>0</v>
      </c>
      <c r="VVO292" s="18">
        <v>0</v>
      </c>
      <c r="VVP292" s="18">
        <v>0</v>
      </c>
      <c r="VVQ292" s="18">
        <v>0</v>
      </c>
      <c r="VVR292" s="18">
        <v>0</v>
      </c>
      <c r="VVS292" s="18">
        <v>0</v>
      </c>
      <c r="VVT292" s="18">
        <v>0</v>
      </c>
      <c r="VVU292" s="18">
        <v>0</v>
      </c>
      <c r="VVV292" s="18">
        <v>0</v>
      </c>
      <c r="VVW292" s="18">
        <v>0</v>
      </c>
      <c r="VVX292" s="18">
        <v>0</v>
      </c>
      <c r="VVY292" s="18">
        <v>0</v>
      </c>
      <c r="VVZ292" s="18">
        <v>0</v>
      </c>
      <c r="VWA292" s="18">
        <v>0</v>
      </c>
      <c r="VWB292" s="18">
        <v>0</v>
      </c>
      <c r="VWC292" s="18">
        <v>0</v>
      </c>
      <c r="VWD292" s="18">
        <v>0</v>
      </c>
      <c r="VWE292" s="18">
        <v>0</v>
      </c>
      <c r="VWF292" s="18">
        <v>0</v>
      </c>
      <c r="VWG292" s="18">
        <v>0</v>
      </c>
      <c r="VWH292" s="18">
        <v>0</v>
      </c>
      <c r="VWI292" s="18">
        <v>0</v>
      </c>
      <c r="VWJ292" s="18">
        <v>0</v>
      </c>
      <c r="VWK292" s="18">
        <v>0</v>
      </c>
      <c r="VWL292" s="18">
        <v>0</v>
      </c>
      <c r="VWM292" s="18">
        <v>0</v>
      </c>
      <c r="VWN292" s="18">
        <v>0</v>
      </c>
      <c r="VWO292" s="18">
        <v>0</v>
      </c>
      <c r="VWP292" s="18">
        <v>0</v>
      </c>
      <c r="VWQ292" s="18">
        <v>0</v>
      </c>
      <c r="VWR292" s="18">
        <v>0</v>
      </c>
      <c r="VWS292" s="18">
        <v>0</v>
      </c>
      <c r="VWT292" s="18">
        <v>0</v>
      </c>
      <c r="VWU292" s="18">
        <v>0</v>
      </c>
      <c r="VWV292" s="18">
        <v>0</v>
      </c>
      <c r="VWW292" s="18">
        <v>0</v>
      </c>
      <c r="VWX292" s="18">
        <v>0</v>
      </c>
      <c r="VWY292" s="18">
        <v>0</v>
      </c>
      <c r="VWZ292" s="18">
        <v>0</v>
      </c>
      <c r="VXA292" s="18">
        <v>0</v>
      </c>
      <c r="VXB292" s="18">
        <v>0</v>
      </c>
      <c r="VXC292" s="18">
        <v>0</v>
      </c>
      <c r="VXD292" s="18">
        <v>0</v>
      </c>
      <c r="VXE292" s="18">
        <v>0</v>
      </c>
      <c r="VXF292" s="18">
        <v>0</v>
      </c>
      <c r="VXG292" s="18">
        <v>0</v>
      </c>
      <c r="VXH292" s="18">
        <v>0</v>
      </c>
      <c r="VXI292" s="18">
        <v>0</v>
      </c>
      <c r="VXJ292" s="18">
        <v>0</v>
      </c>
      <c r="VXK292" s="18">
        <v>0</v>
      </c>
      <c r="VXL292" s="18">
        <v>0</v>
      </c>
      <c r="VXM292" s="18">
        <v>0</v>
      </c>
      <c r="VXN292" s="18">
        <v>0</v>
      </c>
      <c r="VXO292" s="18">
        <v>0</v>
      </c>
      <c r="VXP292" s="18">
        <v>0</v>
      </c>
      <c r="VXQ292" s="18">
        <v>0</v>
      </c>
      <c r="VXR292" s="18">
        <v>0</v>
      </c>
      <c r="VXS292" s="18">
        <v>0</v>
      </c>
      <c r="VXT292" s="18">
        <v>0</v>
      </c>
      <c r="VXU292" s="18">
        <v>0</v>
      </c>
      <c r="VXV292" s="18">
        <v>0</v>
      </c>
      <c r="VXW292" s="18">
        <v>0</v>
      </c>
      <c r="VXX292" s="18">
        <v>0</v>
      </c>
      <c r="VXY292" s="18">
        <v>0</v>
      </c>
      <c r="VXZ292" s="18">
        <v>0</v>
      </c>
      <c r="VYA292" s="18">
        <v>0</v>
      </c>
      <c r="VYB292" s="18">
        <v>0</v>
      </c>
      <c r="VYC292" s="18">
        <v>0</v>
      </c>
      <c r="VYD292" s="18">
        <v>0</v>
      </c>
      <c r="VYE292" s="18">
        <v>0</v>
      </c>
      <c r="VYF292" s="18">
        <v>0</v>
      </c>
      <c r="VYG292" s="18">
        <v>0</v>
      </c>
      <c r="VYH292" s="18">
        <v>0</v>
      </c>
      <c r="VYI292" s="18">
        <v>0</v>
      </c>
      <c r="VYJ292" s="18">
        <v>0</v>
      </c>
      <c r="VYK292" s="18">
        <v>0</v>
      </c>
      <c r="VYL292" s="18">
        <v>0</v>
      </c>
      <c r="VYM292" s="18">
        <v>0</v>
      </c>
      <c r="VYN292" s="18">
        <v>0</v>
      </c>
      <c r="VYO292" s="18">
        <v>0</v>
      </c>
      <c r="VYP292" s="18">
        <v>0</v>
      </c>
      <c r="VYQ292" s="18">
        <v>0</v>
      </c>
      <c r="VYR292" s="18">
        <v>0</v>
      </c>
      <c r="VYS292" s="18">
        <v>0</v>
      </c>
      <c r="VYT292" s="18">
        <v>0</v>
      </c>
      <c r="VYU292" s="18">
        <v>0</v>
      </c>
      <c r="VYV292" s="18">
        <v>0</v>
      </c>
      <c r="VYW292" s="18">
        <v>0</v>
      </c>
      <c r="VYX292" s="18">
        <v>0</v>
      </c>
      <c r="VYY292" s="18">
        <v>0</v>
      </c>
      <c r="VYZ292" s="18">
        <v>0</v>
      </c>
      <c r="VZA292" s="18">
        <v>0</v>
      </c>
      <c r="VZB292" s="18">
        <v>0</v>
      </c>
      <c r="VZC292" s="18">
        <v>0</v>
      </c>
      <c r="VZD292" s="18">
        <v>0</v>
      </c>
      <c r="VZE292" s="18">
        <v>0</v>
      </c>
      <c r="VZF292" s="18">
        <v>0</v>
      </c>
      <c r="VZG292" s="18">
        <v>0</v>
      </c>
      <c r="VZH292" s="18">
        <v>0</v>
      </c>
      <c r="VZI292" s="18">
        <v>0</v>
      </c>
      <c r="VZJ292" s="18">
        <v>0</v>
      </c>
      <c r="VZK292" s="18">
        <v>0</v>
      </c>
      <c r="VZL292" s="18">
        <v>0</v>
      </c>
      <c r="VZM292" s="18">
        <v>0</v>
      </c>
      <c r="VZN292" s="18">
        <v>0</v>
      </c>
      <c r="VZO292" s="18">
        <v>0</v>
      </c>
      <c r="VZP292" s="18">
        <v>0</v>
      </c>
      <c r="VZQ292" s="18">
        <v>0</v>
      </c>
      <c r="VZR292" s="18">
        <v>0</v>
      </c>
      <c r="VZS292" s="18">
        <v>0</v>
      </c>
      <c r="VZT292" s="18">
        <v>0</v>
      </c>
      <c r="VZU292" s="18">
        <v>0</v>
      </c>
      <c r="VZV292" s="18">
        <v>0</v>
      </c>
      <c r="VZW292" s="18">
        <v>0</v>
      </c>
      <c r="VZX292" s="18">
        <v>0</v>
      </c>
      <c r="VZY292" s="18">
        <v>0</v>
      </c>
      <c r="VZZ292" s="18">
        <v>0</v>
      </c>
      <c r="WAA292" s="18">
        <v>0</v>
      </c>
      <c r="WAB292" s="18">
        <v>0</v>
      </c>
      <c r="WAC292" s="18">
        <v>0</v>
      </c>
      <c r="WAD292" s="18">
        <v>0</v>
      </c>
      <c r="WAE292" s="18">
        <v>0</v>
      </c>
      <c r="WAF292" s="18">
        <v>0</v>
      </c>
      <c r="WAG292" s="18">
        <v>0</v>
      </c>
      <c r="WAH292" s="18">
        <v>0</v>
      </c>
      <c r="WAI292" s="18">
        <v>0</v>
      </c>
      <c r="WAJ292" s="18">
        <v>0</v>
      </c>
      <c r="WAK292" s="18">
        <v>0</v>
      </c>
      <c r="WAL292" s="18">
        <v>0</v>
      </c>
      <c r="WAM292" s="18">
        <v>0</v>
      </c>
      <c r="WAN292" s="18">
        <v>0</v>
      </c>
      <c r="WAO292" s="18">
        <v>0</v>
      </c>
      <c r="WAP292" s="18">
        <v>0</v>
      </c>
      <c r="WAQ292" s="18">
        <v>0</v>
      </c>
      <c r="WAR292" s="18">
        <v>0</v>
      </c>
      <c r="WAS292" s="18">
        <v>0</v>
      </c>
      <c r="WAT292" s="18">
        <v>0</v>
      </c>
      <c r="WAU292" s="18">
        <v>0</v>
      </c>
      <c r="WAV292" s="18">
        <v>0</v>
      </c>
      <c r="WAW292" s="18">
        <v>0</v>
      </c>
      <c r="WAX292" s="18">
        <v>0</v>
      </c>
      <c r="WAY292" s="18">
        <v>0</v>
      </c>
      <c r="WAZ292" s="18">
        <v>0</v>
      </c>
      <c r="WBA292" s="18">
        <v>0</v>
      </c>
      <c r="WBB292" s="18">
        <v>0</v>
      </c>
      <c r="WBC292" s="18">
        <v>0</v>
      </c>
      <c r="WBD292" s="18">
        <v>0</v>
      </c>
      <c r="WBE292" s="18">
        <v>0</v>
      </c>
      <c r="WBF292" s="18">
        <v>0</v>
      </c>
      <c r="WBG292" s="18">
        <v>0</v>
      </c>
      <c r="WBH292" s="18">
        <v>0</v>
      </c>
      <c r="WBI292" s="18">
        <v>0</v>
      </c>
      <c r="WBJ292" s="18">
        <v>0</v>
      </c>
      <c r="WBK292" s="18">
        <v>0</v>
      </c>
      <c r="WBL292" s="18">
        <v>0</v>
      </c>
      <c r="WBM292" s="18">
        <v>0</v>
      </c>
      <c r="WBN292" s="18">
        <v>0</v>
      </c>
      <c r="WBO292" s="18">
        <v>0</v>
      </c>
      <c r="WBP292" s="18">
        <v>0</v>
      </c>
      <c r="WBQ292" s="18">
        <v>0</v>
      </c>
      <c r="WBR292" s="18">
        <v>0</v>
      </c>
      <c r="WBS292" s="18">
        <v>0</v>
      </c>
      <c r="WBT292" s="18">
        <v>0</v>
      </c>
      <c r="WBU292" s="18">
        <v>0</v>
      </c>
      <c r="WBV292" s="18">
        <v>0</v>
      </c>
      <c r="WBW292" s="18">
        <v>0</v>
      </c>
      <c r="WBX292" s="18">
        <v>0</v>
      </c>
      <c r="WBY292" s="18">
        <v>0</v>
      </c>
      <c r="WBZ292" s="18">
        <v>0</v>
      </c>
      <c r="WCA292" s="18">
        <v>0</v>
      </c>
      <c r="WCB292" s="18">
        <v>0</v>
      </c>
      <c r="WCC292" s="18">
        <v>0</v>
      </c>
      <c r="WCD292" s="18">
        <v>0</v>
      </c>
      <c r="WCE292" s="18">
        <v>0</v>
      </c>
      <c r="WCF292" s="18">
        <v>0</v>
      </c>
      <c r="WCG292" s="18">
        <v>0</v>
      </c>
      <c r="WCH292" s="18">
        <v>0</v>
      </c>
      <c r="WCI292" s="18">
        <v>0</v>
      </c>
      <c r="WCJ292" s="18">
        <v>0</v>
      </c>
      <c r="WCK292" s="18">
        <v>0</v>
      </c>
      <c r="WCL292" s="18">
        <v>0</v>
      </c>
      <c r="WCM292" s="18">
        <v>0</v>
      </c>
      <c r="WCN292" s="18">
        <v>0</v>
      </c>
      <c r="WCO292" s="18">
        <v>0</v>
      </c>
      <c r="WCP292" s="18">
        <v>0</v>
      </c>
      <c r="WCQ292" s="18">
        <v>0</v>
      </c>
      <c r="WCR292" s="18">
        <v>0</v>
      </c>
      <c r="WCS292" s="18">
        <v>0</v>
      </c>
      <c r="WCT292" s="18">
        <v>0</v>
      </c>
      <c r="WCU292" s="18">
        <v>0</v>
      </c>
      <c r="WCV292" s="18">
        <v>0</v>
      </c>
      <c r="WCW292" s="18">
        <v>0</v>
      </c>
      <c r="WCX292" s="18">
        <v>0</v>
      </c>
      <c r="WCY292" s="18">
        <v>0</v>
      </c>
      <c r="WCZ292" s="18">
        <v>0</v>
      </c>
      <c r="WDA292" s="18">
        <v>0</v>
      </c>
      <c r="WDB292" s="18">
        <v>0</v>
      </c>
      <c r="WDC292" s="18">
        <v>0</v>
      </c>
      <c r="WDD292" s="18">
        <v>0</v>
      </c>
      <c r="WDE292" s="18">
        <v>0</v>
      </c>
      <c r="WDF292" s="18">
        <v>0</v>
      </c>
      <c r="WDG292" s="18">
        <v>0</v>
      </c>
      <c r="WDH292" s="18">
        <v>0</v>
      </c>
      <c r="WDI292" s="18">
        <v>0</v>
      </c>
      <c r="WDJ292" s="18">
        <v>0</v>
      </c>
      <c r="WDK292" s="18">
        <v>0</v>
      </c>
      <c r="WDL292" s="18">
        <v>0</v>
      </c>
      <c r="WDM292" s="18">
        <v>0</v>
      </c>
      <c r="WDN292" s="18">
        <v>0</v>
      </c>
      <c r="WDO292" s="18">
        <v>0</v>
      </c>
      <c r="WDP292" s="18">
        <v>0</v>
      </c>
      <c r="WDQ292" s="18">
        <v>0</v>
      </c>
      <c r="WDR292" s="18">
        <v>0</v>
      </c>
      <c r="WDS292" s="18">
        <v>0</v>
      </c>
      <c r="WDT292" s="18">
        <v>0</v>
      </c>
      <c r="WDU292" s="18">
        <v>0</v>
      </c>
      <c r="WDV292" s="18">
        <v>0</v>
      </c>
      <c r="WDW292" s="18">
        <v>0</v>
      </c>
      <c r="WDX292" s="18">
        <v>0</v>
      </c>
      <c r="WDY292" s="18">
        <v>0</v>
      </c>
      <c r="WDZ292" s="18">
        <v>0</v>
      </c>
      <c r="WEA292" s="18">
        <v>0</v>
      </c>
      <c r="WEB292" s="18">
        <v>0</v>
      </c>
      <c r="WEC292" s="18">
        <v>0</v>
      </c>
      <c r="WED292" s="18">
        <v>0</v>
      </c>
      <c r="WEE292" s="18">
        <v>0</v>
      </c>
      <c r="WEF292" s="18">
        <v>0</v>
      </c>
      <c r="WEG292" s="18">
        <v>0</v>
      </c>
      <c r="WEH292" s="18">
        <v>0</v>
      </c>
      <c r="WEI292" s="18">
        <v>0</v>
      </c>
      <c r="WEJ292" s="18">
        <v>0</v>
      </c>
      <c r="WEK292" s="18">
        <v>0</v>
      </c>
      <c r="WEL292" s="18">
        <v>0</v>
      </c>
      <c r="WEM292" s="18">
        <v>0</v>
      </c>
      <c r="WEN292" s="18">
        <v>0</v>
      </c>
      <c r="WEO292" s="18">
        <v>0</v>
      </c>
      <c r="WEP292" s="18">
        <v>0</v>
      </c>
      <c r="WEQ292" s="18">
        <v>0</v>
      </c>
      <c r="WER292" s="18">
        <v>0</v>
      </c>
      <c r="WES292" s="18">
        <v>0</v>
      </c>
      <c r="WET292" s="18">
        <v>0</v>
      </c>
      <c r="WEU292" s="18">
        <v>0</v>
      </c>
      <c r="WEV292" s="18">
        <v>0</v>
      </c>
      <c r="WEW292" s="18">
        <v>0</v>
      </c>
      <c r="WEX292" s="18">
        <v>0</v>
      </c>
      <c r="WEY292" s="18">
        <v>0</v>
      </c>
      <c r="WEZ292" s="18">
        <v>0</v>
      </c>
      <c r="WFA292" s="18">
        <v>0</v>
      </c>
      <c r="WFB292" s="18">
        <v>0</v>
      </c>
      <c r="WFC292" s="18">
        <v>0</v>
      </c>
      <c r="WFD292" s="18">
        <v>0</v>
      </c>
      <c r="WFE292" s="18">
        <v>0</v>
      </c>
      <c r="WFF292" s="18">
        <v>0</v>
      </c>
      <c r="WFG292" s="18">
        <v>0</v>
      </c>
      <c r="WFH292" s="18">
        <v>0</v>
      </c>
      <c r="WFI292" s="18">
        <v>0</v>
      </c>
      <c r="WFJ292" s="18">
        <v>0</v>
      </c>
      <c r="WFK292" s="18">
        <v>0</v>
      </c>
      <c r="WFL292" s="18">
        <v>0</v>
      </c>
      <c r="WFM292" s="18">
        <v>0</v>
      </c>
      <c r="WFN292" s="18">
        <v>0</v>
      </c>
      <c r="WFO292" s="18">
        <v>0</v>
      </c>
      <c r="WFP292" s="18">
        <v>0</v>
      </c>
      <c r="WFQ292" s="18">
        <v>0</v>
      </c>
      <c r="WFR292" s="18">
        <v>0</v>
      </c>
      <c r="WFS292" s="18">
        <v>0</v>
      </c>
      <c r="WFT292" s="18">
        <v>0</v>
      </c>
      <c r="WFU292" s="18">
        <v>0</v>
      </c>
      <c r="WFV292" s="18">
        <v>0</v>
      </c>
      <c r="WFW292" s="18">
        <v>0</v>
      </c>
      <c r="WFX292" s="18">
        <v>0</v>
      </c>
      <c r="WFY292" s="18">
        <v>0</v>
      </c>
      <c r="WFZ292" s="18">
        <v>0</v>
      </c>
      <c r="WGA292" s="18">
        <v>0</v>
      </c>
      <c r="WGB292" s="18">
        <v>0</v>
      </c>
      <c r="WGC292" s="18">
        <v>0</v>
      </c>
      <c r="WGD292" s="18">
        <v>0</v>
      </c>
      <c r="WGE292" s="18">
        <v>0</v>
      </c>
      <c r="WGF292" s="18">
        <v>0</v>
      </c>
      <c r="WGG292" s="18">
        <v>0</v>
      </c>
      <c r="WGH292" s="18">
        <v>0</v>
      </c>
      <c r="WGI292" s="18">
        <v>0</v>
      </c>
      <c r="WGJ292" s="18">
        <v>0</v>
      </c>
      <c r="WGK292" s="18">
        <v>0</v>
      </c>
      <c r="WGL292" s="18">
        <v>0</v>
      </c>
      <c r="WGM292" s="18">
        <v>0</v>
      </c>
      <c r="WGN292" s="18">
        <v>0</v>
      </c>
      <c r="WGO292" s="18">
        <v>0</v>
      </c>
      <c r="WGP292" s="18">
        <v>0</v>
      </c>
      <c r="WGQ292" s="18">
        <v>0</v>
      </c>
      <c r="WGR292" s="18">
        <v>0</v>
      </c>
      <c r="WGS292" s="18">
        <v>0</v>
      </c>
      <c r="WGT292" s="18">
        <v>0</v>
      </c>
      <c r="WGU292" s="18">
        <v>0</v>
      </c>
      <c r="WGV292" s="18">
        <v>0</v>
      </c>
      <c r="WGW292" s="18">
        <v>0</v>
      </c>
      <c r="WGX292" s="18">
        <v>0</v>
      </c>
      <c r="WGY292" s="18">
        <v>0</v>
      </c>
      <c r="WGZ292" s="18">
        <v>0</v>
      </c>
      <c r="WHA292" s="18">
        <v>0</v>
      </c>
      <c r="WHB292" s="18">
        <v>0</v>
      </c>
      <c r="WHC292" s="18">
        <v>0</v>
      </c>
      <c r="WHD292" s="18">
        <v>0</v>
      </c>
      <c r="WHE292" s="18">
        <v>0</v>
      </c>
      <c r="WHF292" s="18">
        <v>0</v>
      </c>
      <c r="WHG292" s="18">
        <v>0</v>
      </c>
      <c r="WHH292" s="18">
        <v>0</v>
      </c>
      <c r="WHI292" s="18">
        <v>0</v>
      </c>
      <c r="WHJ292" s="18">
        <v>0</v>
      </c>
      <c r="WHK292" s="18">
        <v>0</v>
      </c>
      <c r="WHL292" s="18">
        <v>0</v>
      </c>
      <c r="WHM292" s="18">
        <v>0</v>
      </c>
      <c r="WHN292" s="18">
        <v>0</v>
      </c>
      <c r="WHO292" s="18">
        <v>0</v>
      </c>
      <c r="WHP292" s="18">
        <v>0</v>
      </c>
      <c r="WHQ292" s="18">
        <v>0</v>
      </c>
      <c r="WHR292" s="18">
        <v>0</v>
      </c>
      <c r="WHS292" s="18">
        <v>0</v>
      </c>
      <c r="WHT292" s="18">
        <v>0</v>
      </c>
      <c r="WHU292" s="18">
        <v>0</v>
      </c>
      <c r="WHV292" s="18">
        <v>0</v>
      </c>
      <c r="WHW292" s="18">
        <v>0</v>
      </c>
      <c r="WHX292" s="18">
        <v>0</v>
      </c>
      <c r="WHY292" s="18">
        <v>0</v>
      </c>
      <c r="WHZ292" s="18">
        <v>0</v>
      </c>
      <c r="WIA292" s="18">
        <v>0</v>
      </c>
      <c r="WIB292" s="18">
        <v>0</v>
      </c>
      <c r="WIC292" s="18">
        <v>0</v>
      </c>
      <c r="WID292" s="18">
        <v>0</v>
      </c>
      <c r="WIE292" s="18">
        <v>0</v>
      </c>
      <c r="WIF292" s="18">
        <v>0</v>
      </c>
      <c r="WIG292" s="18">
        <v>0</v>
      </c>
      <c r="WIH292" s="18">
        <v>0</v>
      </c>
      <c r="WII292" s="18">
        <v>0</v>
      </c>
      <c r="WIJ292" s="18">
        <v>0</v>
      </c>
      <c r="WIK292" s="18">
        <v>0</v>
      </c>
      <c r="WIL292" s="18">
        <v>0</v>
      </c>
      <c r="WIM292" s="18">
        <v>0</v>
      </c>
      <c r="WIN292" s="18">
        <v>0</v>
      </c>
      <c r="WIO292" s="18">
        <v>0</v>
      </c>
      <c r="WIP292" s="18">
        <v>0</v>
      </c>
      <c r="WIQ292" s="18">
        <v>0</v>
      </c>
      <c r="WIR292" s="18">
        <v>0</v>
      </c>
      <c r="WIS292" s="18">
        <v>0</v>
      </c>
      <c r="WIT292" s="18">
        <v>0</v>
      </c>
      <c r="WIU292" s="18">
        <v>0</v>
      </c>
      <c r="WIV292" s="18">
        <v>0</v>
      </c>
      <c r="WIW292" s="18">
        <v>0</v>
      </c>
      <c r="WIX292" s="18">
        <v>0</v>
      </c>
      <c r="WIY292" s="18">
        <v>0</v>
      </c>
      <c r="WIZ292" s="18">
        <v>0</v>
      </c>
      <c r="WJA292" s="18">
        <v>0</v>
      </c>
      <c r="WJB292" s="18">
        <v>0</v>
      </c>
      <c r="WJC292" s="18">
        <v>0</v>
      </c>
      <c r="WJD292" s="18">
        <v>0</v>
      </c>
      <c r="WJE292" s="18">
        <v>0</v>
      </c>
      <c r="WJF292" s="18">
        <v>0</v>
      </c>
      <c r="WJG292" s="18">
        <v>0</v>
      </c>
      <c r="WJH292" s="18">
        <v>0</v>
      </c>
      <c r="WJI292" s="18">
        <v>0</v>
      </c>
      <c r="WJJ292" s="18">
        <v>0</v>
      </c>
      <c r="WJK292" s="18">
        <v>0</v>
      </c>
      <c r="WJL292" s="18">
        <v>0</v>
      </c>
      <c r="WJM292" s="18">
        <v>0</v>
      </c>
      <c r="WJN292" s="18">
        <v>0</v>
      </c>
      <c r="WJO292" s="18">
        <v>0</v>
      </c>
      <c r="WJP292" s="18">
        <v>0</v>
      </c>
      <c r="WJQ292" s="18">
        <v>0</v>
      </c>
      <c r="WJR292" s="18">
        <v>0</v>
      </c>
      <c r="WJS292" s="18">
        <v>0</v>
      </c>
      <c r="WJT292" s="18">
        <v>0</v>
      </c>
      <c r="WJU292" s="18">
        <v>0</v>
      </c>
      <c r="WJV292" s="18">
        <v>0</v>
      </c>
      <c r="WJW292" s="18">
        <v>0</v>
      </c>
      <c r="WJX292" s="18">
        <v>0</v>
      </c>
      <c r="WJY292" s="18">
        <v>0</v>
      </c>
      <c r="WJZ292" s="18">
        <v>0</v>
      </c>
      <c r="WKA292" s="18">
        <v>0</v>
      </c>
      <c r="WKB292" s="18">
        <v>0</v>
      </c>
      <c r="WKC292" s="18">
        <v>0</v>
      </c>
      <c r="WKD292" s="18">
        <v>0</v>
      </c>
      <c r="WKE292" s="18">
        <v>0</v>
      </c>
      <c r="WKF292" s="18">
        <v>0</v>
      </c>
      <c r="WKG292" s="18">
        <v>0</v>
      </c>
      <c r="WKH292" s="18">
        <v>0</v>
      </c>
      <c r="WKI292" s="18">
        <v>0</v>
      </c>
      <c r="WKJ292" s="18">
        <v>0</v>
      </c>
      <c r="WKK292" s="18">
        <v>0</v>
      </c>
      <c r="WKL292" s="18">
        <v>0</v>
      </c>
      <c r="WKM292" s="18">
        <v>0</v>
      </c>
      <c r="WKN292" s="18">
        <v>0</v>
      </c>
      <c r="WKO292" s="18">
        <v>0</v>
      </c>
      <c r="WKP292" s="18">
        <v>0</v>
      </c>
      <c r="WKQ292" s="18">
        <v>0</v>
      </c>
      <c r="WKR292" s="18">
        <v>0</v>
      </c>
      <c r="WKS292" s="18">
        <v>0</v>
      </c>
      <c r="WKT292" s="18">
        <v>0</v>
      </c>
      <c r="WKU292" s="18">
        <v>0</v>
      </c>
      <c r="WKV292" s="18">
        <v>0</v>
      </c>
      <c r="WKW292" s="18">
        <v>0</v>
      </c>
      <c r="WKX292" s="18">
        <v>0</v>
      </c>
      <c r="WKY292" s="18">
        <v>0</v>
      </c>
      <c r="WKZ292" s="18">
        <v>0</v>
      </c>
      <c r="WLA292" s="18">
        <v>0</v>
      </c>
      <c r="WLB292" s="18">
        <v>0</v>
      </c>
      <c r="WLC292" s="18">
        <v>0</v>
      </c>
      <c r="WLD292" s="18">
        <v>0</v>
      </c>
      <c r="WLE292" s="18">
        <v>0</v>
      </c>
      <c r="WLF292" s="18">
        <v>0</v>
      </c>
      <c r="WLG292" s="18">
        <v>0</v>
      </c>
      <c r="WLH292" s="18">
        <v>0</v>
      </c>
      <c r="WLI292" s="18">
        <v>0</v>
      </c>
      <c r="WLJ292" s="18">
        <v>0</v>
      </c>
      <c r="WLK292" s="18">
        <v>0</v>
      </c>
      <c r="WLL292" s="18">
        <v>0</v>
      </c>
      <c r="WLM292" s="18">
        <v>0</v>
      </c>
      <c r="WLN292" s="18">
        <v>0</v>
      </c>
      <c r="WLO292" s="18">
        <v>0</v>
      </c>
      <c r="WLP292" s="18">
        <v>0</v>
      </c>
      <c r="WLQ292" s="18">
        <v>0</v>
      </c>
      <c r="WLR292" s="18">
        <v>0</v>
      </c>
      <c r="WLS292" s="18">
        <v>0</v>
      </c>
      <c r="WLT292" s="18">
        <v>0</v>
      </c>
      <c r="WLU292" s="18">
        <v>0</v>
      </c>
      <c r="WLV292" s="18">
        <v>0</v>
      </c>
      <c r="WLW292" s="18">
        <v>0</v>
      </c>
      <c r="WLX292" s="18">
        <v>0</v>
      </c>
      <c r="WLY292" s="18">
        <v>0</v>
      </c>
      <c r="WLZ292" s="18">
        <v>0</v>
      </c>
      <c r="WMA292" s="18">
        <v>0</v>
      </c>
      <c r="WMB292" s="18">
        <v>0</v>
      </c>
      <c r="WMC292" s="18">
        <v>0</v>
      </c>
      <c r="WMD292" s="18">
        <v>0</v>
      </c>
      <c r="WME292" s="18">
        <v>0</v>
      </c>
      <c r="WMF292" s="18">
        <v>0</v>
      </c>
      <c r="WMG292" s="18">
        <v>0</v>
      </c>
      <c r="WMH292" s="18">
        <v>0</v>
      </c>
      <c r="WMI292" s="18">
        <v>0</v>
      </c>
      <c r="WMJ292" s="18">
        <v>0</v>
      </c>
      <c r="WMK292" s="18">
        <v>0</v>
      </c>
      <c r="WML292" s="18">
        <v>0</v>
      </c>
      <c r="WMM292" s="18">
        <v>0</v>
      </c>
      <c r="WMN292" s="18">
        <v>0</v>
      </c>
      <c r="WMO292" s="18">
        <v>0</v>
      </c>
      <c r="WMP292" s="18">
        <v>0</v>
      </c>
      <c r="WMQ292" s="18">
        <v>0</v>
      </c>
      <c r="WMR292" s="18">
        <v>0</v>
      </c>
      <c r="WMS292" s="18">
        <v>0</v>
      </c>
      <c r="WMT292" s="18">
        <v>0</v>
      </c>
      <c r="WMU292" s="18">
        <v>0</v>
      </c>
      <c r="WMV292" s="18">
        <v>0</v>
      </c>
      <c r="WMW292" s="18">
        <v>0</v>
      </c>
      <c r="WMX292" s="18">
        <v>0</v>
      </c>
      <c r="WMY292" s="18">
        <v>0</v>
      </c>
      <c r="WMZ292" s="18">
        <v>0</v>
      </c>
      <c r="WNA292" s="18">
        <v>0</v>
      </c>
      <c r="WNB292" s="18">
        <v>0</v>
      </c>
      <c r="WNC292" s="18">
        <v>0</v>
      </c>
      <c r="WND292" s="18">
        <v>0</v>
      </c>
      <c r="WNE292" s="18">
        <v>0</v>
      </c>
      <c r="WNF292" s="18">
        <v>0</v>
      </c>
      <c r="WNG292" s="18">
        <v>0</v>
      </c>
      <c r="WNH292" s="18">
        <v>0</v>
      </c>
      <c r="WNI292" s="18">
        <v>0</v>
      </c>
      <c r="WNJ292" s="18">
        <v>0</v>
      </c>
      <c r="WNK292" s="18">
        <v>0</v>
      </c>
      <c r="WNL292" s="18">
        <v>0</v>
      </c>
      <c r="WNM292" s="18">
        <v>0</v>
      </c>
      <c r="WNN292" s="18">
        <v>0</v>
      </c>
      <c r="WNO292" s="18">
        <v>0</v>
      </c>
      <c r="WNP292" s="18">
        <v>0</v>
      </c>
      <c r="WNQ292" s="18">
        <v>0</v>
      </c>
      <c r="WNR292" s="18">
        <v>0</v>
      </c>
      <c r="WNS292" s="18">
        <v>0</v>
      </c>
      <c r="WNT292" s="18">
        <v>0</v>
      </c>
      <c r="WNU292" s="18">
        <v>0</v>
      </c>
      <c r="WNV292" s="18">
        <v>0</v>
      </c>
      <c r="WNW292" s="18">
        <v>0</v>
      </c>
      <c r="WNX292" s="18">
        <v>0</v>
      </c>
      <c r="WNY292" s="18">
        <v>0</v>
      </c>
      <c r="WNZ292" s="18">
        <v>0</v>
      </c>
      <c r="WOA292" s="18">
        <v>0</v>
      </c>
      <c r="WOB292" s="18">
        <v>0</v>
      </c>
      <c r="WOC292" s="18">
        <v>0</v>
      </c>
      <c r="WOD292" s="18">
        <v>0</v>
      </c>
      <c r="WOE292" s="18">
        <v>0</v>
      </c>
      <c r="WOF292" s="18">
        <v>0</v>
      </c>
      <c r="WOG292" s="18">
        <v>0</v>
      </c>
      <c r="WOH292" s="18">
        <v>0</v>
      </c>
      <c r="WOI292" s="18">
        <v>0</v>
      </c>
      <c r="WOJ292" s="18">
        <v>0</v>
      </c>
      <c r="WOK292" s="18">
        <v>0</v>
      </c>
      <c r="WOL292" s="18">
        <v>0</v>
      </c>
      <c r="WOM292" s="18">
        <v>0</v>
      </c>
      <c r="WON292" s="18">
        <v>0</v>
      </c>
      <c r="WOO292" s="18">
        <v>0</v>
      </c>
      <c r="WOP292" s="18">
        <v>0</v>
      </c>
      <c r="WOQ292" s="18">
        <v>0</v>
      </c>
      <c r="WOR292" s="18">
        <v>0</v>
      </c>
      <c r="WOS292" s="18">
        <v>0</v>
      </c>
      <c r="WOT292" s="18">
        <v>0</v>
      </c>
      <c r="WOU292" s="18">
        <v>0</v>
      </c>
      <c r="WOV292" s="18">
        <v>0</v>
      </c>
      <c r="WOW292" s="18">
        <v>0</v>
      </c>
      <c r="WOX292" s="18">
        <v>0</v>
      </c>
      <c r="WOY292" s="18">
        <v>0</v>
      </c>
      <c r="WOZ292" s="18">
        <v>0</v>
      </c>
      <c r="WPA292" s="18">
        <v>0</v>
      </c>
      <c r="WPB292" s="18">
        <v>0</v>
      </c>
      <c r="WPC292" s="18">
        <v>0</v>
      </c>
      <c r="WPD292" s="18">
        <v>0</v>
      </c>
      <c r="WPE292" s="18">
        <v>0</v>
      </c>
      <c r="WPF292" s="18">
        <v>0</v>
      </c>
      <c r="WPG292" s="18">
        <v>0</v>
      </c>
      <c r="WPH292" s="18">
        <v>0</v>
      </c>
      <c r="WPI292" s="18">
        <v>0</v>
      </c>
      <c r="WPJ292" s="18">
        <v>0</v>
      </c>
      <c r="WPK292" s="18">
        <v>0</v>
      </c>
      <c r="WPL292" s="18">
        <v>0</v>
      </c>
      <c r="WPM292" s="18">
        <v>0</v>
      </c>
      <c r="WPN292" s="18">
        <v>0</v>
      </c>
      <c r="WPO292" s="18">
        <v>0</v>
      </c>
      <c r="WPP292" s="18">
        <v>0</v>
      </c>
      <c r="WPQ292" s="18">
        <v>0</v>
      </c>
      <c r="WPR292" s="18">
        <v>0</v>
      </c>
      <c r="WPS292" s="18">
        <v>0</v>
      </c>
      <c r="WPT292" s="18">
        <v>0</v>
      </c>
      <c r="WPU292" s="18">
        <v>0</v>
      </c>
      <c r="WPV292" s="18">
        <v>0</v>
      </c>
      <c r="WPW292" s="18">
        <v>0</v>
      </c>
      <c r="WPX292" s="18">
        <v>0</v>
      </c>
      <c r="WPY292" s="18">
        <v>0</v>
      </c>
      <c r="WPZ292" s="18">
        <v>0</v>
      </c>
      <c r="WQA292" s="18">
        <v>0</v>
      </c>
      <c r="WQB292" s="18">
        <v>0</v>
      </c>
      <c r="WQC292" s="18">
        <v>0</v>
      </c>
      <c r="WQD292" s="18">
        <v>0</v>
      </c>
      <c r="WQE292" s="18">
        <v>0</v>
      </c>
      <c r="WQF292" s="18">
        <v>0</v>
      </c>
      <c r="WQG292" s="18">
        <v>0</v>
      </c>
      <c r="WQH292" s="18">
        <v>0</v>
      </c>
      <c r="WQI292" s="18">
        <v>0</v>
      </c>
      <c r="WQJ292" s="18">
        <v>0</v>
      </c>
      <c r="WQK292" s="18">
        <v>0</v>
      </c>
      <c r="WQL292" s="18">
        <v>0</v>
      </c>
      <c r="WQM292" s="18">
        <v>0</v>
      </c>
      <c r="WQN292" s="18">
        <v>0</v>
      </c>
      <c r="WQO292" s="18">
        <v>0</v>
      </c>
      <c r="WQP292" s="18">
        <v>0</v>
      </c>
      <c r="WQQ292" s="18">
        <v>0</v>
      </c>
      <c r="WQR292" s="18">
        <v>0</v>
      </c>
      <c r="WQS292" s="18">
        <v>0</v>
      </c>
      <c r="WQT292" s="18">
        <v>0</v>
      </c>
      <c r="WQU292" s="18">
        <v>0</v>
      </c>
      <c r="WQV292" s="18">
        <v>0</v>
      </c>
      <c r="WQW292" s="18">
        <v>0</v>
      </c>
      <c r="WQX292" s="18">
        <v>0</v>
      </c>
      <c r="WQY292" s="18">
        <v>0</v>
      </c>
      <c r="WQZ292" s="18">
        <v>0</v>
      </c>
      <c r="WRA292" s="18">
        <v>0</v>
      </c>
      <c r="WRB292" s="18">
        <v>0</v>
      </c>
      <c r="WRC292" s="18">
        <v>0</v>
      </c>
      <c r="WRD292" s="18">
        <v>0</v>
      </c>
      <c r="WRE292" s="18">
        <v>0</v>
      </c>
      <c r="WRF292" s="18">
        <v>0</v>
      </c>
      <c r="WRG292" s="18">
        <v>0</v>
      </c>
      <c r="WRH292" s="18">
        <v>0</v>
      </c>
      <c r="WRI292" s="18">
        <v>0</v>
      </c>
      <c r="WRJ292" s="18">
        <v>0</v>
      </c>
      <c r="WRK292" s="18">
        <v>0</v>
      </c>
      <c r="WRL292" s="18">
        <v>0</v>
      </c>
      <c r="WRM292" s="18">
        <v>0</v>
      </c>
      <c r="WRN292" s="18">
        <v>0</v>
      </c>
      <c r="WRO292" s="18">
        <v>0</v>
      </c>
      <c r="WRP292" s="18">
        <v>0</v>
      </c>
      <c r="WRQ292" s="18">
        <v>0</v>
      </c>
      <c r="WRR292" s="18">
        <v>0</v>
      </c>
      <c r="WRS292" s="18">
        <v>0</v>
      </c>
      <c r="WRT292" s="18">
        <v>0</v>
      </c>
      <c r="WRU292" s="18">
        <v>0</v>
      </c>
      <c r="WRV292" s="18">
        <v>0</v>
      </c>
      <c r="WRW292" s="18">
        <v>0</v>
      </c>
      <c r="WRX292" s="18">
        <v>0</v>
      </c>
      <c r="WRY292" s="18">
        <v>0</v>
      </c>
      <c r="WRZ292" s="18">
        <v>0</v>
      </c>
      <c r="WSA292" s="18">
        <v>0</v>
      </c>
      <c r="WSB292" s="18">
        <v>0</v>
      </c>
      <c r="WSC292" s="18">
        <v>0</v>
      </c>
      <c r="WSD292" s="18">
        <v>0</v>
      </c>
      <c r="WSE292" s="18">
        <v>0</v>
      </c>
      <c r="WSF292" s="18">
        <v>0</v>
      </c>
      <c r="WSG292" s="18">
        <v>0</v>
      </c>
      <c r="WSH292" s="18">
        <v>0</v>
      </c>
      <c r="WSI292" s="18">
        <v>0</v>
      </c>
      <c r="WSJ292" s="18">
        <v>0</v>
      </c>
      <c r="WSK292" s="18">
        <v>0</v>
      </c>
      <c r="WSL292" s="18">
        <v>0</v>
      </c>
      <c r="WSM292" s="18">
        <v>0</v>
      </c>
      <c r="WSN292" s="18">
        <v>0</v>
      </c>
      <c r="WSO292" s="18">
        <v>0</v>
      </c>
      <c r="WSP292" s="18">
        <v>0</v>
      </c>
      <c r="WSQ292" s="18">
        <v>0</v>
      </c>
      <c r="WSR292" s="18">
        <v>0</v>
      </c>
      <c r="WSS292" s="18">
        <v>0</v>
      </c>
      <c r="WST292" s="18">
        <v>0</v>
      </c>
      <c r="WSU292" s="18">
        <v>0</v>
      </c>
      <c r="WSV292" s="18">
        <v>0</v>
      </c>
      <c r="WSW292" s="18">
        <v>0</v>
      </c>
      <c r="WSX292" s="18">
        <v>0</v>
      </c>
      <c r="WSY292" s="18">
        <v>0</v>
      </c>
      <c r="WSZ292" s="18">
        <v>0</v>
      </c>
      <c r="WTA292" s="18">
        <v>0</v>
      </c>
      <c r="WTB292" s="18">
        <v>0</v>
      </c>
      <c r="WTC292" s="18">
        <v>0</v>
      </c>
      <c r="WTD292" s="18">
        <v>0</v>
      </c>
      <c r="WTE292" s="18">
        <v>0</v>
      </c>
      <c r="WTF292" s="18">
        <v>0</v>
      </c>
      <c r="WTG292" s="18">
        <v>0</v>
      </c>
      <c r="WTH292" s="18">
        <v>0</v>
      </c>
      <c r="WTI292" s="18">
        <v>0</v>
      </c>
      <c r="WTJ292" s="18">
        <v>0</v>
      </c>
      <c r="WTK292" s="18">
        <v>0</v>
      </c>
      <c r="WTL292" s="18">
        <v>0</v>
      </c>
      <c r="WTM292" s="18">
        <v>0</v>
      </c>
      <c r="WTN292" s="18">
        <v>0</v>
      </c>
      <c r="WTO292" s="18">
        <v>0</v>
      </c>
      <c r="WTP292" s="18">
        <v>0</v>
      </c>
      <c r="WTQ292" s="18">
        <v>0</v>
      </c>
      <c r="WTR292" s="18">
        <v>0</v>
      </c>
      <c r="WTS292" s="18">
        <v>0</v>
      </c>
      <c r="WTT292" s="18">
        <v>0</v>
      </c>
      <c r="WTU292" s="18">
        <v>0</v>
      </c>
      <c r="WTV292" s="18">
        <v>0</v>
      </c>
      <c r="WTW292" s="18">
        <v>0</v>
      </c>
      <c r="WTX292" s="18">
        <v>0</v>
      </c>
      <c r="WTY292" s="18">
        <v>0</v>
      </c>
      <c r="WTZ292" s="18">
        <v>0</v>
      </c>
      <c r="WUA292" s="18">
        <v>0</v>
      </c>
      <c r="WUB292" s="18">
        <v>0</v>
      </c>
      <c r="WUC292" s="18">
        <v>0</v>
      </c>
      <c r="WUD292" s="18">
        <v>0</v>
      </c>
      <c r="WUE292" s="18">
        <v>0</v>
      </c>
      <c r="WUF292" s="18">
        <v>0</v>
      </c>
      <c r="WUG292" s="18">
        <v>0</v>
      </c>
      <c r="WUH292" s="18">
        <v>0</v>
      </c>
      <c r="WUI292" s="18">
        <v>0</v>
      </c>
      <c r="WUJ292" s="18">
        <v>0</v>
      </c>
      <c r="WUK292" s="18">
        <v>0</v>
      </c>
      <c r="WUL292" s="18">
        <v>0</v>
      </c>
      <c r="WUM292" s="18">
        <v>0</v>
      </c>
      <c r="WUN292" s="18">
        <v>0</v>
      </c>
      <c r="WUO292" s="18">
        <v>0</v>
      </c>
      <c r="WUP292" s="18">
        <v>0</v>
      </c>
      <c r="WUQ292" s="18">
        <v>0</v>
      </c>
      <c r="WUR292" s="18">
        <v>0</v>
      </c>
      <c r="WUS292" s="18">
        <v>0</v>
      </c>
      <c r="WUT292" s="18">
        <v>0</v>
      </c>
      <c r="WUU292" s="18">
        <v>0</v>
      </c>
      <c r="WUV292" s="18">
        <v>0</v>
      </c>
      <c r="WUW292" s="18">
        <v>0</v>
      </c>
      <c r="WUX292" s="18">
        <v>0</v>
      </c>
      <c r="WUY292" s="18">
        <v>0</v>
      </c>
      <c r="WUZ292" s="18">
        <v>0</v>
      </c>
      <c r="WVA292" s="18">
        <v>0</v>
      </c>
      <c r="WVB292" s="18">
        <v>0</v>
      </c>
      <c r="WVC292" s="18">
        <v>0</v>
      </c>
      <c r="WVD292" s="18">
        <v>0</v>
      </c>
      <c r="WVE292" s="18">
        <v>0</v>
      </c>
      <c r="WVF292" s="18">
        <v>0</v>
      </c>
      <c r="WVG292" s="18">
        <v>0</v>
      </c>
      <c r="WVH292" s="18">
        <v>0</v>
      </c>
      <c r="WVI292" s="18">
        <v>0</v>
      </c>
      <c r="WVJ292" s="18">
        <v>0</v>
      </c>
      <c r="WVK292" s="18">
        <v>0</v>
      </c>
      <c r="WVL292" s="18">
        <v>0</v>
      </c>
      <c r="WVM292" s="18">
        <v>0</v>
      </c>
      <c r="WVN292" s="18">
        <v>0</v>
      </c>
      <c r="WVO292" s="18">
        <v>0</v>
      </c>
      <c r="WVP292" s="18">
        <v>0</v>
      </c>
      <c r="WVQ292" s="18">
        <v>0</v>
      </c>
      <c r="WVR292" s="18">
        <v>0</v>
      </c>
      <c r="WVS292" s="18">
        <v>0</v>
      </c>
      <c r="WVT292" s="18">
        <v>0</v>
      </c>
      <c r="WVU292" s="18">
        <v>0</v>
      </c>
      <c r="WVV292" s="18">
        <v>0</v>
      </c>
      <c r="WVW292" s="18">
        <v>0</v>
      </c>
      <c r="WVX292" s="18">
        <v>0</v>
      </c>
      <c r="WVY292" s="18">
        <v>0</v>
      </c>
      <c r="WVZ292" s="18">
        <v>0</v>
      </c>
      <c r="WWA292" s="18">
        <v>0</v>
      </c>
      <c r="WWB292" s="18">
        <v>0</v>
      </c>
      <c r="WWC292" s="18">
        <v>0</v>
      </c>
      <c r="WWD292" s="18">
        <v>0</v>
      </c>
      <c r="WWE292" s="18">
        <v>0</v>
      </c>
      <c r="WWF292" s="18">
        <v>0</v>
      </c>
      <c r="WWG292" s="18">
        <v>0</v>
      </c>
      <c r="WWH292" s="18">
        <v>0</v>
      </c>
      <c r="WWI292" s="18">
        <v>0</v>
      </c>
      <c r="WWJ292" s="18">
        <v>0</v>
      </c>
      <c r="WWK292" s="18">
        <v>0</v>
      </c>
      <c r="WWL292" s="18">
        <v>0</v>
      </c>
      <c r="WWM292" s="18">
        <v>0</v>
      </c>
      <c r="WWN292" s="18">
        <v>0</v>
      </c>
      <c r="WWO292" s="18">
        <v>0</v>
      </c>
      <c r="WWP292" s="18">
        <v>0</v>
      </c>
      <c r="WWQ292" s="18">
        <v>0</v>
      </c>
      <c r="WWR292" s="18">
        <v>0</v>
      </c>
      <c r="WWS292" s="18">
        <v>0</v>
      </c>
      <c r="WWT292" s="18">
        <v>0</v>
      </c>
      <c r="WWU292" s="18">
        <v>0</v>
      </c>
      <c r="WWV292" s="18">
        <v>0</v>
      </c>
      <c r="WWW292" s="18">
        <v>0</v>
      </c>
      <c r="WWX292" s="18">
        <v>0</v>
      </c>
      <c r="WWY292" s="18">
        <v>0</v>
      </c>
      <c r="WWZ292" s="18">
        <v>0</v>
      </c>
      <c r="WXA292" s="18">
        <v>0</v>
      </c>
      <c r="WXB292" s="18">
        <v>0</v>
      </c>
      <c r="WXC292" s="18">
        <v>0</v>
      </c>
      <c r="WXD292" s="18">
        <v>0</v>
      </c>
      <c r="WXE292" s="18">
        <v>0</v>
      </c>
      <c r="WXF292" s="18">
        <v>0</v>
      </c>
      <c r="WXG292" s="18">
        <v>0</v>
      </c>
      <c r="WXH292" s="18">
        <v>0</v>
      </c>
      <c r="WXI292" s="18">
        <v>0</v>
      </c>
      <c r="WXJ292" s="18">
        <v>0</v>
      </c>
      <c r="WXK292" s="18">
        <v>0</v>
      </c>
      <c r="WXL292" s="18">
        <v>0</v>
      </c>
      <c r="WXM292" s="18">
        <v>0</v>
      </c>
      <c r="WXN292" s="18">
        <v>0</v>
      </c>
      <c r="WXO292" s="18">
        <v>0</v>
      </c>
      <c r="WXP292" s="18">
        <v>0</v>
      </c>
      <c r="WXQ292" s="18">
        <v>0</v>
      </c>
      <c r="WXR292" s="18">
        <v>0</v>
      </c>
      <c r="WXS292" s="18">
        <v>0</v>
      </c>
      <c r="WXT292" s="18">
        <v>0</v>
      </c>
      <c r="WXU292" s="18">
        <v>0</v>
      </c>
      <c r="WXV292" s="18">
        <v>0</v>
      </c>
      <c r="WXW292" s="18">
        <v>0</v>
      </c>
      <c r="WXX292" s="18">
        <v>0</v>
      </c>
      <c r="WXY292" s="18">
        <v>0</v>
      </c>
      <c r="WXZ292" s="18">
        <v>0</v>
      </c>
      <c r="WYA292" s="18">
        <v>0</v>
      </c>
      <c r="WYB292" s="18">
        <v>0</v>
      </c>
      <c r="WYC292" s="18">
        <v>0</v>
      </c>
      <c r="WYD292" s="18">
        <v>0</v>
      </c>
      <c r="WYE292" s="18">
        <v>0</v>
      </c>
      <c r="WYF292" s="18">
        <v>0</v>
      </c>
      <c r="WYG292" s="18">
        <v>0</v>
      </c>
      <c r="WYH292" s="18">
        <v>0</v>
      </c>
      <c r="WYI292" s="18">
        <v>0</v>
      </c>
      <c r="WYJ292" s="18">
        <v>0</v>
      </c>
      <c r="WYK292" s="18">
        <v>0</v>
      </c>
      <c r="WYL292" s="18">
        <v>0</v>
      </c>
      <c r="WYM292" s="18">
        <v>0</v>
      </c>
      <c r="WYN292" s="18">
        <v>0</v>
      </c>
      <c r="WYO292" s="18">
        <v>0</v>
      </c>
      <c r="WYP292" s="18">
        <v>0</v>
      </c>
      <c r="WYQ292" s="18">
        <v>0</v>
      </c>
      <c r="WYR292" s="18">
        <v>0</v>
      </c>
      <c r="WYS292" s="18">
        <v>0</v>
      </c>
      <c r="WYT292" s="18">
        <v>0</v>
      </c>
      <c r="WYU292" s="18">
        <v>0</v>
      </c>
      <c r="WYV292" s="18">
        <v>0</v>
      </c>
      <c r="WYW292" s="18">
        <v>0</v>
      </c>
      <c r="WYX292" s="18">
        <v>0</v>
      </c>
      <c r="WYY292" s="18">
        <v>0</v>
      </c>
      <c r="WYZ292" s="18">
        <v>0</v>
      </c>
      <c r="WZA292" s="18">
        <v>0</v>
      </c>
      <c r="WZB292" s="18">
        <v>0</v>
      </c>
      <c r="WZC292" s="18">
        <v>0</v>
      </c>
      <c r="WZD292" s="18">
        <v>0</v>
      </c>
      <c r="WZE292" s="18">
        <v>0</v>
      </c>
      <c r="WZF292" s="18">
        <v>0</v>
      </c>
      <c r="WZG292" s="18">
        <v>0</v>
      </c>
      <c r="WZH292" s="18">
        <v>0</v>
      </c>
      <c r="WZI292" s="18">
        <v>0</v>
      </c>
      <c r="WZJ292" s="18">
        <v>0</v>
      </c>
      <c r="WZK292" s="18">
        <v>0</v>
      </c>
      <c r="WZL292" s="18">
        <v>0</v>
      </c>
      <c r="WZM292" s="18">
        <v>0</v>
      </c>
      <c r="WZN292" s="18">
        <v>0</v>
      </c>
      <c r="WZO292" s="18">
        <v>0</v>
      </c>
      <c r="WZP292" s="18">
        <v>0</v>
      </c>
      <c r="WZQ292" s="18">
        <v>0</v>
      </c>
      <c r="WZR292" s="18">
        <v>0</v>
      </c>
      <c r="WZS292" s="18">
        <v>0</v>
      </c>
      <c r="WZT292" s="18">
        <v>0</v>
      </c>
      <c r="WZU292" s="18">
        <v>0</v>
      </c>
      <c r="WZV292" s="18">
        <v>0</v>
      </c>
      <c r="WZW292" s="18">
        <v>0</v>
      </c>
      <c r="WZX292" s="18">
        <v>0</v>
      </c>
      <c r="WZY292" s="18">
        <v>0</v>
      </c>
      <c r="WZZ292" s="18">
        <v>0</v>
      </c>
      <c r="XAA292" s="18">
        <v>0</v>
      </c>
      <c r="XAB292" s="18">
        <v>0</v>
      </c>
      <c r="XAC292" s="18">
        <v>0</v>
      </c>
      <c r="XAD292" s="18">
        <v>0</v>
      </c>
      <c r="XAE292" s="18">
        <v>0</v>
      </c>
      <c r="XAF292" s="18">
        <v>0</v>
      </c>
      <c r="XAG292" s="18">
        <v>0</v>
      </c>
      <c r="XAH292" s="18">
        <v>0</v>
      </c>
      <c r="XAI292" s="18">
        <v>0</v>
      </c>
      <c r="XAJ292" s="18">
        <v>0</v>
      </c>
      <c r="XAK292" s="18">
        <v>0</v>
      </c>
      <c r="XAL292" s="18">
        <v>0</v>
      </c>
      <c r="XAM292" s="18">
        <v>0</v>
      </c>
      <c r="XAN292" s="18">
        <v>0</v>
      </c>
      <c r="XAO292" s="18">
        <v>0</v>
      </c>
      <c r="XAP292" s="18">
        <v>0</v>
      </c>
      <c r="XAQ292" s="18">
        <v>0</v>
      </c>
      <c r="XAR292" s="18">
        <v>0</v>
      </c>
      <c r="XAS292" s="18">
        <v>0</v>
      </c>
      <c r="XAT292" s="18">
        <v>0</v>
      </c>
      <c r="XAU292" s="18">
        <v>0</v>
      </c>
      <c r="XAV292" s="18">
        <v>0</v>
      </c>
      <c r="XAW292" s="18">
        <v>0</v>
      </c>
      <c r="XAX292" s="18">
        <v>0</v>
      </c>
      <c r="XAY292" s="18">
        <v>0</v>
      </c>
      <c r="XAZ292" s="18">
        <v>0</v>
      </c>
      <c r="XBA292" s="18">
        <v>0</v>
      </c>
      <c r="XBB292" s="18">
        <v>0</v>
      </c>
      <c r="XBC292" s="18">
        <v>0</v>
      </c>
      <c r="XBD292" s="18">
        <v>0</v>
      </c>
      <c r="XBE292" s="18">
        <v>0</v>
      </c>
      <c r="XBF292" s="18">
        <v>0</v>
      </c>
      <c r="XBG292" s="18">
        <v>0</v>
      </c>
      <c r="XBH292" s="18">
        <v>0</v>
      </c>
      <c r="XBI292" s="18">
        <v>0</v>
      </c>
      <c r="XBJ292" s="18">
        <v>0</v>
      </c>
      <c r="XBK292" s="18">
        <v>0</v>
      </c>
      <c r="XBL292" s="18">
        <v>0</v>
      </c>
      <c r="XBM292" s="18">
        <v>0</v>
      </c>
      <c r="XBN292" s="18">
        <v>0</v>
      </c>
      <c r="XBO292" s="18">
        <v>0</v>
      </c>
      <c r="XBP292" s="18">
        <v>0</v>
      </c>
      <c r="XBQ292" s="18">
        <v>0</v>
      </c>
      <c r="XBR292" s="18">
        <v>0</v>
      </c>
      <c r="XBS292" s="18">
        <v>0</v>
      </c>
      <c r="XBT292" s="18">
        <v>0</v>
      </c>
      <c r="XBU292" s="18">
        <v>0</v>
      </c>
      <c r="XBV292" s="18">
        <v>0</v>
      </c>
      <c r="XBW292" s="18">
        <v>0</v>
      </c>
      <c r="XBX292" s="18">
        <v>0</v>
      </c>
      <c r="XBY292" s="18">
        <v>0</v>
      </c>
      <c r="XBZ292" s="18">
        <v>0</v>
      </c>
      <c r="XCA292" s="18">
        <v>0</v>
      </c>
      <c r="XCB292" s="18">
        <v>0</v>
      </c>
      <c r="XCC292" s="18">
        <v>0</v>
      </c>
      <c r="XCD292" s="18">
        <v>0</v>
      </c>
      <c r="XCE292" s="18">
        <v>0</v>
      </c>
      <c r="XCF292" s="18">
        <v>0</v>
      </c>
      <c r="XCG292" s="18">
        <v>0</v>
      </c>
      <c r="XCH292" s="18">
        <v>0</v>
      </c>
      <c r="XCI292" s="18">
        <v>0</v>
      </c>
      <c r="XCJ292" s="18">
        <v>0</v>
      </c>
      <c r="XCK292" s="18">
        <v>0</v>
      </c>
      <c r="XCL292" s="18">
        <v>0</v>
      </c>
      <c r="XCM292" s="18">
        <v>0</v>
      </c>
      <c r="XCN292" s="18">
        <v>0</v>
      </c>
      <c r="XCO292" s="18">
        <v>0</v>
      </c>
      <c r="XCP292" s="18">
        <v>0</v>
      </c>
      <c r="XCQ292" s="18">
        <v>0</v>
      </c>
      <c r="XCR292" s="18">
        <v>0</v>
      </c>
      <c r="XCS292" s="18">
        <v>0</v>
      </c>
      <c r="XCT292" s="18">
        <v>0</v>
      </c>
      <c r="XCU292" s="18">
        <v>0</v>
      </c>
      <c r="XCV292" s="18">
        <v>0</v>
      </c>
      <c r="XCW292" s="18">
        <v>0</v>
      </c>
      <c r="XCX292" s="18">
        <v>0</v>
      </c>
      <c r="XCY292" s="18">
        <v>0</v>
      </c>
      <c r="XCZ292" s="18">
        <v>0</v>
      </c>
      <c r="XDA292" s="18">
        <v>0</v>
      </c>
      <c r="XDB292" s="18">
        <v>0</v>
      </c>
      <c r="XDC292" s="18">
        <v>0</v>
      </c>
      <c r="XDD292" s="18">
        <v>0</v>
      </c>
      <c r="XDE292" s="18">
        <v>0</v>
      </c>
      <c r="XDF292" s="18">
        <v>0</v>
      </c>
      <c r="XDG292" s="18">
        <v>0</v>
      </c>
      <c r="XDH292" s="18">
        <v>0</v>
      </c>
      <c r="XDI292" s="18">
        <v>0</v>
      </c>
      <c r="XDJ292" s="18">
        <v>0</v>
      </c>
      <c r="XDK292" s="18">
        <v>0</v>
      </c>
      <c r="XDL292" s="18">
        <v>0</v>
      </c>
      <c r="XDM292" s="18">
        <v>0</v>
      </c>
      <c r="XDN292" s="18">
        <v>0</v>
      </c>
      <c r="XDO292" s="18">
        <v>0</v>
      </c>
      <c r="XDP292" s="18">
        <v>0</v>
      </c>
      <c r="XDQ292" s="18">
        <v>0</v>
      </c>
      <c r="XDR292" s="18">
        <v>0</v>
      </c>
      <c r="XDS292" s="18">
        <v>0</v>
      </c>
      <c r="XDT292" s="18">
        <v>0</v>
      </c>
      <c r="XDU292" s="18">
        <v>0</v>
      </c>
      <c r="XDV292" s="18">
        <v>0</v>
      </c>
      <c r="XDW292" s="18">
        <v>0</v>
      </c>
      <c r="XDX292" s="18">
        <v>0</v>
      </c>
      <c r="XDY292" s="18">
        <v>0</v>
      </c>
      <c r="XDZ292" s="18">
        <v>0</v>
      </c>
      <c r="XEA292" s="18">
        <v>0</v>
      </c>
      <c r="XEB292" s="18">
        <v>0</v>
      </c>
      <c r="XEC292" s="18">
        <v>0</v>
      </c>
      <c r="XED292" s="18">
        <v>0</v>
      </c>
      <c r="XEE292" s="18">
        <v>0</v>
      </c>
      <c r="XEF292" s="18">
        <v>0</v>
      </c>
      <c r="XEG292" s="18">
        <v>0</v>
      </c>
      <c r="XEH292" s="18">
        <v>0</v>
      </c>
      <c r="XEI292" s="18">
        <v>0</v>
      </c>
      <c r="XEJ292" s="18">
        <v>0</v>
      </c>
      <c r="XEK292" s="18">
        <v>0</v>
      </c>
      <c r="XEL292" s="18">
        <v>0</v>
      </c>
      <c r="XEM292" s="18">
        <v>0</v>
      </c>
      <c r="XEN292" s="18">
        <v>0</v>
      </c>
      <c r="XEO292" s="18">
        <v>0</v>
      </c>
      <c r="XEP292" s="18">
        <v>0</v>
      </c>
      <c r="XEQ292" s="18">
        <v>0</v>
      </c>
      <c r="XER292" s="18">
        <v>0</v>
      </c>
      <c r="XES292" s="18">
        <v>0</v>
      </c>
      <c r="XET292" s="18">
        <v>0</v>
      </c>
      <c r="XEU292" s="18">
        <v>0</v>
      </c>
      <c r="XEV292" s="18">
        <v>0</v>
      </c>
      <c r="XEW292" s="18">
        <v>0</v>
      </c>
      <c r="XEX292" s="18">
        <v>0</v>
      </c>
      <c r="XEY292" s="18">
        <v>0</v>
      </c>
    </row>
  </sheetData>
  <mergeCells count="12">
    <mergeCell ref="A1:K1"/>
    <mergeCell ref="N3:N5"/>
    <mergeCell ref="O3:O5"/>
    <mergeCell ref="P3:P5"/>
    <mergeCell ref="Q3:Q5"/>
    <mergeCell ref="R3:R5"/>
    <mergeCell ref="S3:S5"/>
    <mergeCell ref="A2:B2"/>
    <mergeCell ref="C2:D2"/>
    <mergeCell ref="A3:B3"/>
    <mergeCell ref="C3:D3"/>
    <mergeCell ref="M3:M5"/>
  </mergeCells>
  <conditionalFormatting sqref="K6:K8 K10:K14 K16:K17">
    <cfRule type="expression" dxfId="57" priority="76">
      <formula>K6="Em andamento"</formula>
    </cfRule>
  </conditionalFormatting>
  <conditionalFormatting sqref="A6:A8 A10:A14 A16:A17">
    <cfRule type="expression" dxfId="56" priority="62">
      <formula>A6="Saída"</formula>
    </cfRule>
    <cfRule type="expression" dxfId="55" priority="63">
      <formula>A6="Entrada"</formula>
    </cfRule>
  </conditionalFormatting>
  <conditionalFormatting sqref="J6:J7">
    <cfRule type="expression" dxfId="54" priority="60">
      <formula>J6&lt;0</formula>
    </cfRule>
    <cfRule type="expression" dxfId="53" priority="61">
      <formula>J6&gt;0</formula>
    </cfRule>
  </conditionalFormatting>
  <conditionalFormatting sqref="K6:K8 K10:K14 K16:K17">
    <cfRule type="expression" dxfId="52" priority="59">
      <formula>K6="Finalizado"</formula>
    </cfRule>
  </conditionalFormatting>
  <conditionalFormatting sqref="J6">
    <cfRule type="expression" dxfId="51" priority="58">
      <formula>K6=""</formula>
    </cfRule>
  </conditionalFormatting>
  <conditionalFormatting sqref="J7">
    <cfRule type="expression" dxfId="50" priority="57">
      <formula>K7=""</formula>
    </cfRule>
  </conditionalFormatting>
  <conditionalFormatting sqref="J8">
    <cfRule type="expression" dxfId="49" priority="55">
      <formula>J8&lt;0</formula>
    </cfRule>
    <cfRule type="expression" dxfId="48" priority="56">
      <formula>J8&gt;0</formula>
    </cfRule>
  </conditionalFormatting>
  <conditionalFormatting sqref="J8">
    <cfRule type="expression" dxfId="47" priority="54">
      <formula>K8=""</formula>
    </cfRule>
  </conditionalFormatting>
  <conditionalFormatting sqref="J10:J13">
    <cfRule type="expression" dxfId="46" priority="50">
      <formula>J10&lt;0</formula>
    </cfRule>
    <cfRule type="expression" dxfId="45" priority="51">
      <formula>J10&gt;0</formula>
    </cfRule>
  </conditionalFormatting>
  <conditionalFormatting sqref="J10 J12">
    <cfRule type="expression" dxfId="44" priority="48">
      <formula>K10=""</formula>
    </cfRule>
  </conditionalFormatting>
  <conditionalFormatting sqref="J13 J11">
    <cfRule type="expression" dxfId="43" priority="47">
      <formula>K11=""</formula>
    </cfRule>
  </conditionalFormatting>
  <conditionalFormatting sqref="J14">
    <cfRule type="expression" dxfId="42" priority="45">
      <formula>J14&lt;0</formula>
    </cfRule>
    <cfRule type="expression" dxfId="41" priority="46">
      <formula>J14&gt;0</formula>
    </cfRule>
  </conditionalFormatting>
  <conditionalFormatting sqref="J14">
    <cfRule type="expression" dxfId="40" priority="44">
      <formula>K14=""</formula>
    </cfRule>
  </conditionalFormatting>
  <conditionalFormatting sqref="H3 G3">
    <cfRule type="expression" dxfId="39" priority="43">
      <formula>$H$3&gt;0</formula>
    </cfRule>
  </conditionalFormatting>
  <conditionalFormatting sqref="J16">
    <cfRule type="expression" dxfId="38" priority="37">
      <formula>J16&lt;0</formula>
    </cfRule>
    <cfRule type="expression" dxfId="37" priority="38">
      <formula>J16&gt;0</formula>
    </cfRule>
  </conditionalFormatting>
  <conditionalFormatting sqref="J16">
    <cfRule type="expression" dxfId="36" priority="35">
      <formula>K16=""</formula>
    </cfRule>
  </conditionalFormatting>
  <conditionalFormatting sqref="J17">
    <cfRule type="expression" dxfId="35" priority="32">
      <formula>J17&lt;0</formula>
    </cfRule>
    <cfRule type="expression" dxfId="34" priority="33">
      <formula>J17&gt;0</formula>
    </cfRule>
  </conditionalFormatting>
  <conditionalFormatting sqref="J17">
    <cfRule type="expression" dxfId="33" priority="31">
      <formula>K17=""</formula>
    </cfRule>
  </conditionalFormatting>
  <conditionalFormatting sqref="K19:K25">
    <cfRule type="expression" dxfId="32" priority="30">
      <formula>K19="Em andamento"</formula>
    </cfRule>
  </conditionalFormatting>
  <conditionalFormatting sqref="A19:A25">
    <cfRule type="expression" dxfId="31" priority="28">
      <formula>A19="Saída"</formula>
    </cfRule>
    <cfRule type="expression" dxfId="30" priority="29">
      <formula>A19="Entrada"</formula>
    </cfRule>
  </conditionalFormatting>
  <conditionalFormatting sqref="J19:J24">
    <cfRule type="expression" dxfId="29" priority="26">
      <formula>J19&lt;0</formula>
    </cfRule>
    <cfRule type="expression" dxfId="28" priority="27">
      <formula>J19&gt;0</formula>
    </cfRule>
  </conditionalFormatting>
  <conditionalFormatting sqref="K19:K25">
    <cfRule type="expression" dxfId="27" priority="25">
      <formula>K19="Finalizado"</formula>
    </cfRule>
  </conditionalFormatting>
  <conditionalFormatting sqref="J19 J21 J23">
    <cfRule type="expression" dxfId="26" priority="24">
      <formula>K19=""</formula>
    </cfRule>
  </conditionalFormatting>
  <conditionalFormatting sqref="J24 J22 J20">
    <cfRule type="expression" dxfId="25" priority="23">
      <formula>K20=""</formula>
    </cfRule>
  </conditionalFormatting>
  <conditionalFormatting sqref="J25">
    <cfRule type="expression" dxfId="24" priority="21">
      <formula>J25&lt;0</formula>
    </cfRule>
    <cfRule type="expression" dxfId="23" priority="22">
      <formula>J25&gt;0</formula>
    </cfRule>
  </conditionalFormatting>
  <conditionalFormatting sqref="J25">
    <cfRule type="expression" dxfId="22" priority="20">
      <formula>K25=""</formula>
    </cfRule>
  </conditionalFormatting>
  <conditionalFormatting sqref="K35:K291">
    <cfRule type="expression" dxfId="21" priority="19">
      <formula>K35="Em andamento"</formula>
    </cfRule>
  </conditionalFormatting>
  <conditionalFormatting sqref="A35:A291">
    <cfRule type="expression" dxfId="20" priority="17">
      <formula>A35="Saída"</formula>
    </cfRule>
    <cfRule type="expression" dxfId="19" priority="18">
      <formula>A35="Entrada"</formula>
    </cfRule>
  </conditionalFormatting>
  <conditionalFormatting sqref="J35:J291">
    <cfRule type="expression" dxfId="18" priority="15">
      <formula>J35&lt;0</formula>
    </cfRule>
    <cfRule type="expression" dxfId="17" priority="16">
      <formula>J35&gt;0</formula>
    </cfRule>
  </conditionalFormatting>
  <conditionalFormatting sqref="K35:K291">
    <cfRule type="expression" dxfId="16" priority="14">
      <formula>K35="Finalizado"</formula>
    </cfRule>
  </conditionalFormatting>
  <conditionalFormatting sqref="J35 J37 J39 J41 J43 J45 J47 J49 J51 J53 J55 J57 J59 J61 J63 J65 J67 J69 J71 J73 J75 J77 J79 J81 J83 J85 J87 J89 J91 J93 J95 J97 J99 J101 J103 J105 J107 J109 J111 J113 J115 J117 J119 J121 J123 J125 J127 J129 J131 J133 J135 J137 J139 J141 J143 J145 J147 J149 J151 J153 J155 J157 J159 J161 J163 J165 J167 J169 J171 J173 J175 J177 J179 J181 J183 J185 J187 J189 J191 J193 J195 J197 J199 J201 J203 J205 J207 J209 J211 J213 J215 J217 J219 J221 J223 J225 J227 J229 J231 J233 J235 J237 J239 J241 J243 J245 J247 J249 J251 J253 J255 J257 J259 J261 J263 J265 J267 J269 J271 J273 J275 J277 J279 J281 J283 J285 J287 J289 J291">
    <cfRule type="expression" dxfId="15" priority="13">
      <formula>K35=""</formula>
    </cfRule>
  </conditionalFormatting>
  <conditionalFormatting sqref="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cfRule type="expression" dxfId="14" priority="12">
      <formula>K36=""</formula>
    </cfRule>
  </conditionalFormatting>
  <conditionalFormatting sqref="G3:H3">
    <cfRule type="expression" dxfId="13" priority="42">
      <formula>$H$3&lt;0</formula>
    </cfRule>
  </conditionalFormatting>
  <conditionalFormatting sqref="K27:K33">
    <cfRule type="expression" dxfId="12" priority="11">
      <formula>K27="Em andamento"</formula>
    </cfRule>
  </conditionalFormatting>
  <conditionalFormatting sqref="A27:A33">
    <cfRule type="expression" dxfId="11" priority="9">
      <formula>A27="Saída"</formula>
    </cfRule>
    <cfRule type="expression" dxfId="10" priority="10">
      <formula>A27="Entrada"</formula>
    </cfRule>
  </conditionalFormatting>
  <conditionalFormatting sqref="J27:J32">
    <cfRule type="expression" dxfId="9" priority="7">
      <formula>J27&lt;0</formula>
    </cfRule>
    <cfRule type="expression" dxfId="8" priority="8">
      <formula>J27&gt;0</formula>
    </cfRule>
  </conditionalFormatting>
  <conditionalFormatting sqref="K27:K33">
    <cfRule type="expression" dxfId="7" priority="6">
      <formula>K27="Finalizado"</formula>
    </cfRule>
  </conditionalFormatting>
  <conditionalFormatting sqref="J27 J29 J31">
    <cfRule type="expression" dxfId="6" priority="5">
      <formula>K27=""</formula>
    </cfRule>
  </conditionalFormatting>
  <conditionalFormatting sqref="J32 J30 J28">
    <cfRule type="expression" dxfId="5" priority="4">
      <formula>K28=""</formula>
    </cfRule>
  </conditionalFormatting>
  <conditionalFormatting sqref="J33">
    <cfRule type="expression" dxfId="4" priority="2">
      <formula>J33&lt;0</formula>
    </cfRule>
    <cfRule type="expression" dxfId="3" priority="3">
      <formula>J33&gt;0</formula>
    </cfRule>
  </conditionalFormatting>
  <conditionalFormatting sqref="J33">
    <cfRule type="expression" dxfId="2" priority="1">
      <formula>K33=""</formula>
    </cfRule>
  </conditionalFormatting>
  <dataValidations count="2">
    <dataValidation type="list" allowBlank="1" showInputMessage="1" showErrorMessage="1" sqref="K6:K8 K10:K14 K19:K25 K16:K17 K27:K33" xr:uid="{C8E840EE-3BAA-4475-BFBA-627833184C61}">
      <formula1>"Em andamento, Finalizado"</formula1>
    </dataValidation>
    <dataValidation type="list" allowBlank="1" showInputMessage="1" showErrorMessage="1" sqref="A6:A8 A10:A14 A19:A25 A16:A17 A27:A33" xr:uid="{EF7C2CCE-6A0B-4D82-8F98-212413F7C5FD}">
      <formula1>"Entrada, Saída"</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87C87-4D0C-4804-B870-337A47435645}">
  <sheetPr codeName="Planilha4"/>
  <dimension ref="A1:AB887"/>
  <sheetViews>
    <sheetView workbookViewId="0">
      <selection activeCell="P6" sqref="P6"/>
    </sheetView>
  </sheetViews>
  <sheetFormatPr defaultRowHeight="15" x14ac:dyDescent="0.25"/>
  <cols>
    <col min="2" max="2" width="5.7109375" bestFit="1" customWidth="1"/>
    <col min="3" max="3" width="28" bestFit="1" customWidth="1"/>
    <col min="4" max="4" width="15.28515625" bestFit="1" customWidth="1"/>
    <col min="5" max="5" width="11.85546875" bestFit="1" customWidth="1"/>
    <col min="6" max="6" width="8.85546875" bestFit="1" customWidth="1"/>
    <col min="7" max="7" width="9.42578125" bestFit="1" customWidth="1"/>
    <col min="8" max="8" width="10" bestFit="1" customWidth="1"/>
    <col min="9" max="9" width="17.85546875" bestFit="1" customWidth="1"/>
    <col min="10" max="10" width="14.7109375" bestFit="1" customWidth="1"/>
    <col min="11" max="11" width="11.5703125" bestFit="1" customWidth="1"/>
    <col min="12" max="12" width="13.85546875" bestFit="1" customWidth="1"/>
    <col min="14" max="14" width="8.140625" bestFit="1" customWidth="1"/>
    <col min="15" max="15" width="2.85546875" bestFit="1" customWidth="1"/>
    <col min="16" max="16" width="81.140625" bestFit="1" customWidth="1"/>
    <col min="17" max="17" width="11.28515625" bestFit="1" customWidth="1"/>
    <col min="18" max="18" width="9.28515625" bestFit="1" customWidth="1"/>
    <col min="19" max="19" width="5.7109375" bestFit="1" customWidth="1"/>
    <col min="20" max="20" width="26.5703125" bestFit="1" customWidth="1"/>
    <col min="21" max="21" width="18.85546875" bestFit="1" customWidth="1"/>
    <col min="22" max="22" width="64" bestFit="1" customWidth="1"/>
    <col min="23" max="23" width="11.5703125" bestFit="1" customWidth="1"/>
    <col min="24" max="24" width="10.5703125" bestFit="1" customWidth="1"/>
    <col min="25" max="25" width="8" bestFit="1" customWidth="1"/>
    <col min="26" max="26" width="6.42578125" bestFit="1" customWidth="1"/>
    <col min="27" max="27" width="7.85546875" bestFit="1" customWidth="1"/>
  </cols>
  <sheetData>
    <row r="1" spans="1:19" x14ac:dyDescent="0.25">
      <c r="P1" s="10" t="s">
        <v>168</v>
      </c>
    </row>
    <row r="2" spans="1:19" ht="30" customHeight="1" x14ac:dyDescent="0.25">
      <c r="A2" s="4"/>
      <c r="B2" s="3" t="s">
        <v>5</v>
      </c>
      <c r="C2" s="3" t="s">
        <v>18</v>
      </c>
      <c r="D2" s="3" t="s">
        <v>19</v>
      </c>
      <c r="E2" s="3" t="s">
        <v>20</v>
      </c>
      <c r="F2" s="3" t="s">
        <v>21</v>
      </c>
      <c r="G2" s="3" t="s">
        <v>22</v>
      </c>
      <c r="H2" s="3" t="s">
        <v>23</v>
      </c>
      <c r="I2" s="3" t="s">
        <v>24</v>
      </c>
      <c r="J2" s="3" t="s">
        <v>25</v>
      </c>
      <c r="K2" s="3" t="s">
        <v>26</v>
      </c>
      <c r="L2" s="3" t="s">
        <v>27</v>
      </c>
      <c r="P2" s="93"/>
      <c r="Q2" s="94"/>
    </row>
    <row r="3" spans="1:19" x14ac:dyDescent="0.25">
      <c r="A3" s="321"/>
      <c r="B3" s="322">
        <v>1</v>
      </c>
      <c r="C3" s="270" t="s">
        <v>28</v>
      </c>
      <c r="D3" s="323" t="s">
        <v>473</v>
      </c>
      <c r="E3" s="322" t="s">
        <v>474</v>
      </c>
      <c r="F3" s="324">
        <v>1.6999999999999999E-3</v>
      </c>
      <c r="G3" s="324">
        <v>-4.5400000000000003E-2</v>
      </c>
      <c r="H3" s="324">
        <v>-6.8900000000000003E-2</v>
      </c>
      <c r="I3" s="322"/>
      <c r="J3" s="322"/>
      <c r="K3" s="329" t="s">
        <v>475</v>
      </c>
      <c r="L3" s="322" t="s">
        <v>476</v>
      </c>
      <c r="P3" s="95" t="s">
        <v>169</v>
      </c>
      <c r="Q3" s="11" t="s">
        <v>286</v>
      </c>
      <c r="R3" s="11" t="s">
        <v>170</v>
      </c>
      <c r="S3" s="12" t="s">
        <v>287</v>
      </c>
    </row>
    <row r="4" spans="1:19" x14ac:dyDescent="0.25">
      <c r="A4" s="321"/>
      <c r="B4" s="322"/>
      <c r="C4" s="270" t="s">
        <v>4</v>
      </c>
      <c r="D4" s="323"/>
      <c r="E4" s="322"/>
      <c r="F4" s="324"/>
      <c r="G4" s="324"/>
      <c r="H4" s="324"/>
      <c r="I4" s="322"/>
      <c r="J4" s="322"/>
      <c r="K4" s="329"/>
      <c r="L4" s="322"/>
      <c r="P4" s="96" t="s">
        <v>288</v>
      </c>
    </row>
    <row r="5" spans="1:19" x14ac:dyDescent="0.25">
      <c r="A5" s="321"/>
      <c r="B5" s="322"/>
      <c r="C5" s="5" t="s">
        <v>29</v>
      </c>
      <c r="D5" s="323"/>
      <c r="E5" s="322"/>
      <c r="F5" s="324"/>
      <c r="G5" s="324"/>
      <c r="H5" s="324"/>
      <c r="I5" s="322"/>
      <c r="J5" s="322"/>
      <c r="K5" s="329"/>
      <c r="L5" s="322"/>
      <c r="P5" s="97" t="s">
        <v>789</v>
      </c>
    </row>
    <row r="6" spans="1:19" x14ac:dyDescent="0.25">
      <c r="A6" s="321"/>
      <c r="B6" s="322">
        <v>2</v>
      </c>
      <c r="C6" s="270" t="s">
        <v>30</v>
      </c>
      <c r="D6" s="323" t="s">
        <v>477</v>
      </c>
      <c r="E6" s="322" t="s">
        <v>478</v>
      </c>
      <c r="F6" s="324">
        <v>-5.9999999999999995E-4</v>
      </c>
      <c r="G6" s="324">
        <v>-6.0600000000000001E-2</v>
      </c>
      <c r="H6" s="324">
        <v>-5.8000000000000003E-2</v>
      </c>
      <c r="I6" s="322"/>
      <c r="J6" s="322"/>
      <c r="K6" s="329" t="s">
        <v>479</v>
      </c>
      <c r="L6" s="322" t="s">
        <v>431</v>
      </c>
      <c r="N6" s="60" t="str">
        <f>LEFT(P5,5)</f>
        <v xml:space="preserve">5,29 </v>
      </c>
      <c r="P6" s="14" t="s">
        <v>289</v>
      </c>
    </row>
    <row r="7" spans="1:19" x14ac:dyDescent="0.25">
      <c r="A7" s="321"/>
      <c r="B7" s="322"/>
      <c r="C7" s="270" t="s">
        <v>7</v>
      </c>
      <c r="D7" s="323"/>
      <c r="E7" s="322"/>
      <c r="F7" s="324"/>
      <c r="G7" s="324"/>
      <c r="H7" s="324"/>
      <c r="I7" s="322"/>
      <c r="J7" s="322"/>
      <c r="K7" s="329"/>
      <c r="L7" s="322"/>
      <c r="P7" s="15" t="s">
        <v>330</v>
      </c>
    </row>
    <row r="8" spans="1:19" ht="42.75" x14ac:dyDescent="0.25">
      <c r="A8" s="321"/>
      <c r="B8" s="322"/>
      <c r="C8" s="5" t="s">
        <v>29</v>
      </c>
      <c r="D8" s="323"/>
      <c r="E8" s="322"/>
      <c r="F8" s="324"/>
      <c r="G8" s="324"/>
      <c r="H8" s="324"/>
      <c r="I8" s="322"/>
      <c r="J8" s="322"/>
      <c r="K8" s="329"/>
      <c r="L8" s="322"/>
      <c r="P8" s="99" t="s">
        <v>429</v>
      </c>
    </row>
    <row r="9" spans="1:19" ht="28.5" customHeight="1" x14ac:dyDescent="0.25">
      <c r="A9" s="321"/>
      <c r="B9" s="322">
        <v>3</v>
      </c>
      <c r="C9" s="270" t="s">
        <v>31</v>
      </c>
      <c r="D9" s="323" t="s">
        <v>33</v>
      </c>
      <c r="E9" s="322" t="s">
        <v>480</v>
      </c>
      <c r="F9" s="324">
        <v>1.6999999999999999E-3</v>
      </c>
      <c r="G9" s="324">
        <v>3.7000000000000002E-3</v>
      </c>
      <c r="H9" s="324">
        <v>1.6000000000000001E-3</v>
      </c>
      <c r="I9" s="322"/>
      <c r="J9" s="322"/>
      <c r="K9" s="329" t="s">
        <v>481</v>
      </c>
      <c r="L9" s="322" t="s">
        <v>482</v>
      </c>
      <c r="P9" s="15" t="s">
        <v>392</v>
      </c>
    </row>
    <row r="10" spans="1:19" ht="28.5" x14ac:dyDescent="0.25">
      <c r="A10" s="321"/>
      <c r="B10" s="322"/>
      <c r="C10" s="270" t="s">
        <v>8</v>
      </c>
      <c r="D10" s="323"/>
      <c r="E10" s="322"/>
      <c r="F10" s="324"/>
      <c r="G10" s="324"/>
      <c r="H10" s="324"/>
      <c r="I10" s="322"/>
      <c r="J10" s="322"/>
      <c r="K10" s="329"/>
      <c r="L10" s="322"/>
      <c r="P10" s="99" t="s">
        <v>790</v>
      </c>
    </row>
    <row r="11" spans="1:19" ht="28.5" customHeight="1" x14ac:dyDescent="0.25">
      <c r="A11" s="321"/>
      <c r="B11" s="322"/>
      <c r="C11" s="6" t="s">
        <v>32</v>
      </c>
      <c r="D11" s="323"/>
      <c r="E11" s="322"/>
      <c r="F11" s="324"/>
      <c r="G11" s="324"/>
      <c r="H11" s="324"/>
      <c r="I11" s="322"/>
      <c r="J11" s="322"/>
      <c r="K11" s="329"/>
      <c r="L11" s="322"/>
      <c r="P11" s="98" t="s">
        <v>791</v>
      </c>
    </row>
    <row r="12" spans="1:19" ht="30" x14ac:dyDescent="0.25">
      <c r="A12" s="321"/>
      <c r="B12" s="322">
        <v>4</v>
      </c>
      <c r="C12" s="270" t="s">
        <v>35</v>
      </c>
      <c r="D12" s="323" t="s">
        <v>483</v>
      </c>
      <c r="E12" s="322" t="s">
        <v>484</v>
      </c>
      <c r="F12" s="324">
        <v>3.8999999999999998E-3</v>
      </c>
      <c r="G12" s="324">
        <v>-6.4299999999999996E-2</v>
      </c>
      <c r="H12" s="324">
        <v>-5.5599999999999997E-2</v>
      </c>
      <c r="I12" s="322"/>
      <c r="J12" s="322"/>
      <c r="K12" s="329" t="s">
        <v>485</v>
      </c>
      <c r="L12" s="322" t="s">
        <v>486</v>
      </c>
      <c r="P12" s="13" t="s">
        <v>792</v>
      </c>
    </row>
    <row r="13" spans="1:19" ht="30" x14ac:dyDescent="0.25">
      <c r="A13" s="321"/>
      <c r="B13" s="322"/>
      <c r="C13" s="270" t="s">
        <v>10</v>
      </c>
      <c r="D13" s="323"/>
      <c r="E13" s="322"/>
      <c r="F13" s="324"/>
      <c r="G13" s="324"/>
      <c r="H13" s="324"/>
      <c r="I13" s="322"/>
      <c r="J13" s="322"/>
      <c r="K13" s="329"/>
      <c r="L13" s="322"/>
      <c r="P13" s="13" t="s">
        <v>793</v>
      </c>
    </row>
    <row r="14" spans="1:19" ht="30" x14ac:dyDescent="0.25">
      <c r="A14" s="321"/>
      <c r="B14" s="322"/>
      <c r="C14" s="6" t="s">
        <v>32</v>
      </c>
      <c r="D14" s="323"/>
      <c r="E14" s="322"/>
      <c r="F14" s="324"/>
      <c r="G14" s="324"/>
      <c r="H14" s="324"/>
      <c r="I14" s="322"/>
      <c r="J14" s="322"/>
      <c r="K14" s="329"/>
      <c r="L14" s="322"/>
      <c r="P14" s="13" t="s">
        <v>794</v>
      </c>
    </row>
    <row r="15" spans="1:19" x14ac:dyDescent="0.25">
      <c r="A15" s="321"/>
      <c r="B15" s="322">
        <v>5</v>
      </c>
      <c r="C15" s="270" t="s">
        <v>34</v>
      </c>
      <c r="D15" s="323" t="s">
        <v>33</v>
      </c>
      <c r="E15" s="322" t="s">
        <v>487</v>
      </c>
      <c r="F15" s="324">
        <v>2.0999999999999999E-3</v>
      </c>
      <c r="G15" s="324">
        <v>3.3999999999999998E-3</v>
      </c>
      <c r="H15" s="324">
        <v>1.1000000000000001E-3</v>
      </c>
      <c r="I15" s="322"/>
      <c r="J15" s="322"/>
      <c r="K15" s="329" t="s">
        <v>488</v>
      </c>
      <c r="L15" s="322" t="s">
        <v>489</v>
      </c>
      <c r="P15" s="15" t="s">
        <v>408</v>
      </c>
    </row>
    <row r="16" spans="1:19" ht="42.75" customHeight="1" x14ac:dyDescent="0.25">
      <c r="A16" s="321"/>
      <c r="B16" s="322"/>
      <c r="C16" s="270" t="s">
        <v>9</v>
      </c>
      <c r="D16" s="323"/>
      <c r="E16" s="322"/>
      <c r="F16" s="324"/>
      <c r="G16" s="324"/>
      <c r="H16" s="324"/>
      <c r="I16" s="322"/>
      <c r="J16" s="322"/>
      <c r="K16" s="329"/>
      <c r="L16" s="322"/>
      <c r="P16" s="99" t="s">
        <v>463</v>
      </c>
    </row>
    <row r="17" spans="1:17" x14ac:dyDescent="0.25">
      <c r="A17" s="321"/>
      <c r="B17" s="322"/>
      <c r="C17" s="6" t="s">
        <v>32</v>
      </c>
      <c r="D17" s="323"/>
      <c r="E17" s="322"/>
      <c r="F17" s="324"/>
      <c r="G17" s="324"/>
      <c r="H17" s="324"/>
      <c r="I17" s="322"/>
      <c r="J17" s="322"/>
      <c r="K17" s="329"/>
      <c r="L17" s="322"/>
      <c r="P17" s="15" t="s">
        <v>322</v>
      </c>
    </row>
    <row r="18" spans="1:17" ht="28.5" customHeight="1" x14ac:dyDescent="0.25">
      <c r="A18" s="321"/>
      <c r="B18" s="322">
        <v>6</v>
      </c>
      <c r="C18" s="270" t="s">
        <v>37</v>
      </c>
      <c r="D18" s="323" t="s">
        <v>432</v>
      </c>
      <c r="E18" s="322" t="s">
        <v>490</v>
      </c>
      <c r="F18" s="324">
        <v>2.7000000000000001E-3</v>
      </c>
      <c r="G18" s="324">
        <v>-3.1699999999999999E-2</v>
      </c>
      <c r="H18" s="324">
        <v>-6.2100000000000002E-2</v>
      </c>
      <c r="I18" s="322"/>
      <c r="J18" s="322"/>
      <c r="K18" s="329" t="s">
        <v>491</v>
      </c>
      <c r="L18" s="322" t="s">
        <v>413</v>
      </c>
      <c r="P18" s="99" t="s">
        <v>375</v>
      </c>
    </row>
    <row r="19" spans="1:17" x14ac:dyDescent="0.25">
      <c r="A19" s="321"/>
      <c r="B19" s="322"/>
      <c r="C19" s="270" t="s">
        <v>12</v>
      </c>
      <c r="D19" s="323"/>
      <c r="E19" s="322"/>
      <c r="F19" s="324"/>
      <c r="G19" s="324"/>
      <c r="H19" s="324"/>
      <c r="I19" s="322"/>
      <c r="J19" s="322"/>
      <c r="K19" s="329"/>
      <c r="L19" s="322"/>
      <c r="P19" s="15" t="s">
        <v>403</v>
      </c>
    </row>
    <row r="20" spans="1:17" ht="28.5" customHeight="1" x14ac:dyDescent="0.25">
      <c r="A20" s="321"/>
      <c r="B20" s="322"/>
      <c r="C20" s="6" t="s">
        <v>32</v>
      </c>
      <c r="D20" s="323"/>
      <c r="E20" s="322"/>
      <c r="F20" s="324"/>
      <c r="G20" s="324"/>
      <c r="H20" s="324"/>
      <c r="I20" s="322"/>
      <c r="J20" s="322"/>
      <c r="K20" s="329"/>
      <c r="L20" s="322"/>
      <c r="P20" s="99" t="s">
        <v>795</v>
      </c>
    </row>
    <row r="21" spans="1:17" x14ac:dyDescent="0.25">
      <c r="A21" s="321"/>
      <c r="B21" s="322">
        <v>7</v>
      </c>
      <c r="C21" s="270" t="s">
        <v>38</v>
      </c>
      <c r="D21" s="323" t="s">
        <v>33</v>
      </c>
      <c r="E21" s="322" t="s">
        <v>492</v>
      </c>
      <c r="F21" s="324">
        <v>1.8E-3</v>
      </c>
      <c r="G21" s="324">
        <v>3.7000000000000002E-3</v>
      </c>
      <c r="H21" s="324">
        <v>1.9E-3</v>
      </c>
      <c r="I21" s="322"/>
      <c r="J21" s="322"/>
      <c r="K21" s="329" t="s">
        <v>493</v>
      </c>
      <c r="L21" s="322" t="s">
        <v>494</v>
      </c>
      <c r="P21" s="15" t="s">
        <v>468</v>
      </c>
    </row>
    <row r="22" spans="1:17" ht="28.5" customHeight="1" x14ac:dyDescent="0.25">
      <c r="A22" s="321"/>
      <c r="B22" s="322"/>
      <c r="C22" s="270" t="s">
        <v>13</v>
      </c>
      <c r="D22" s="323"/>
      <c r="E22" s="322"/>
      <c r="F22" s="324"/>
      <c r="G22" s="324"/>
      <c r="H22" s="324"/>
      <c r="I22" s="322"/>
      <c r="J22" s="322"/>
      <c r="K22" s="329"/>
      <c r="L22" s="322"/>
      <c r="P22" s="99" t="s">
        <v>469</v>
      </c>
    </row>
    <row r="23" spans="1:17" x14ac:dyDescent="0.25">
      <c r="A23" s="321"/>
      <c r="B23" s="322"/>
      <c r="C23" s="6" t="s">
        <v>32</v>
      </c>
      <c r="D23" s="323"/>
      <c r="E23" s="322"/>
      <c r="F23" s="324"/>
      <c r="G23" s="324"/>
      <c r="H23" s="324"/>
      <c r="I23" s="322"/>
      <c r="J23" s="322"/>
      <c r="K23" s="329"/>
      <c r="L23" s="322"/>
      <c r="P23" s="15" t="s">
        <v>796</v>
      </c>
    </row>
    <row r="24" spans="1:17" ht="28.5" customHeight="1" x14ac:dyDescent="0.25">
      <c r="A24" s="321"/>
      <c r="B24" s="322">
        <v>8</v>
      </c>
      <c r="C24" s="270" t="s">
        <v>36</v>
      </c>
      <c r="D24" s="323" t="s">
        <v>495</v>
      </c>
      <c r="E24" s="322" t="s">
        <v>496</v>
      </c>
      <c r="F24" s="324">
        <v>-1E-3</v>
      </c>
      <c r="G24" s="324">
        <v>-8.2900000000000001E-2</v>
      </c>
      <c r="H24" s="324">
        <v>-9.4600000000000004E-2</v>
      </c>
      <c r="I24" s="322"/>
      <c r="J24" s="322"/>
      <c r="K24" s="327" t="s">
        <v>497</v>
      </c>
      <c r="L24" s="322" t="s">
        <v>361</v>
      </c>
      <c r="P24" s="99" t="s">
        <v>797</v>
      </c>
    </row>
    <row r="25" spans="1:17" x14ac:dyDescent="0.25">
      <c r="A25" s="321"/>
      <c r="B25" s="322"/>
      <c r="C25" s="270" t="s">
        <v>11</v>
      </c>
      <c r="D25" s="323"/>
      <c r="E25" s="322"/>
      <c r="F25" s="324"/>
      <c r="G25" s="324"/>
      <c r="H25" s="324"/>
      <c r="I25" s="322"/>
      <c r="J25" s="322"/>
      <c r="K25" s="327"/>
      <c r="L25" s="322"/>
      <c r="P25" s="15" t="s">
        <v>466</v>
      </c>
    </row>
    <row r="26" spans="1:17" ht="28.5" customHeight="1" x14ac:dyDescent="0.25">
      <c r="A26" s="321"/>
      <c r="B26" s="322"/>
      <c r="C26" s="6" t="s">
        <v>32</v>
      </c>
      <c r="D26" s="323"/>
      <c r="E26" s="322"/>
      <c r="F26" s="324"/>
      <c r="G26" s="324"/>
      <c r="H26" s="324"/>
      <c r="I26" s="322"/>
      <c r="J26" s="322"/>
      <c r="K26" s="327"/>
      <c r="L26" s="322"/>
      <c r="P26" s="99" t="s">
        <v>467</v>
      </c>
    </row>
    <row r="27" spans="1:17" x14ac:dyDescent="0.25">
      <c r="A27" s="321"/>
      <c r="B27" s="322">
        <v>9</v>
      </c>
      <c r="C27" s="270" t="s">
        <v>60</v>
      </c>
      <c r="D27" s="323" t="s">
        <v>498</v>
      </c>
      <c r="E27" s="322" t="s">
        <v>499</v>
      </c>
      <c r="F27" s="324">
        <v>1.8800000000000001E-2</v>
      </c>
      <c r="G27" s="324">
        <v>-2.1100000000000001E-2</v>
      </c>
      <c r="H27" s="324">
        <v>6.4500000000000002E-2</v>
      </c>
      <c r="I27" s="322"/>
      <c r="J27" s="322"/>
      <c r="K27" s="329" t="s">
        <v>500</v>
      </c>
      <c r="L27" s="322" t="s">
        <v>433</v>
      </c>
      <c r="P27" s="15" t="s">
        <v>464</v>
      </c>
    </row>
    <row r="28" spans="1:17" ht="42.75" customHeight="1" x14ac:dyDescent="0.25">
      <c r="A28" s="321"/>
      <c r="B28" s="322"/>
      <c r="C28" s="270" t="s">
        <v>61</v>
      </c>
      <c r="D28" s="323"/>
      <c r="E28" s="322"/>
      <c r="F28" s="324"/>
      <c r="G28" s="324"/>
      <c r="H28" s="324"/>
      <c r="I28" s="322"/>
      <c r="J28" s="322"/>
      <c r="K28" s="329"/>
      <c r="L28" s="322"/>
      <c r="P28" s="99" t="s">
        <v>465</v>
      </c>
    </row>
    <row r="29" spans="1:17" x14ac:dyDescent="0.25">
      <c r="A29" s="321"/>
      <c r="B29" s="322"/>
      <c r="C29" s="6" t="s">
        <v>32</v>
      </c>
      <c r="D29" s="323"/>
      <c r="E29" s="322"/>
      <c r="F29" s="324"/>
      <c r="G29" s="324"/>
      <c r="H29" s="324"/>
      <c r="I29" s="322"/>
      <c r="J29" s="322"/>
      <c r="K29" s="329"/>
      <c r="L29" s="322"/>
      <c r="P29" s="98" t="s">
        <v>171</v>
      </c>
    </row>
    <row r="30" spans="1:17" x14ac:dyDescent="0.25">
      <c r="A30" s="321"/>
      <c r="B30" s="322">
        <v>10</v>
      </c>
      <c r="C30" s="270" t="s">
        <v>40</v>
      </c>
      <c r="D30" s="323" t="s">
        <v>501</v>
      </c>
      <c r="E30" s="322" t="s">
        <v>499</v>
      </c>
      <c r="F30" s="324">
        <v>1E-4</v>
      </c>
      <c r="G30" s="324">
        <v>-9.6299999999999997E-2</v>
      </c>
      <c r="H30" s="324">
        <v>-0.1041</v>
      </c>
      <c r="I30" s="322"/>
      <c r="J30" s="322"/>
      <c r="K30" s="329" t="s">
        <v>417</v>
      </c>
      <c r="L30" s="322" t="s">
        <v>502</v>
      </c>
      <c r="P30" s="17" t="s">
        <v>332</v>
      </c>
      <c r="Q30" s="16" t="s">
        <v>172</v>
      </c>
    </row>
    <row r="31" spans="1:17" x14ac:dyDescent="0.25">
      <c r="A31" s="321"/>
      <c r="B31" s="322"/>
      <c r="C31" s="270" t="s">
        <v>15</v>
      </c>
      <c r="D31" s="323"/>
      <c r="E31" s="322"/>
      <c r="F31" s="324"/>
      <c r="G31" s="324"/>
      <c r="H31" s="324"/>
      <c r="I31" s="322"/>
      <c r="J31" s="322"/>
      <c r="K31" s="329"/>
      <c r="L31" s="322"/>
      <c r="P31" s="17" t="s">
        <v>409</v>
      </c>
      <c r="Q31" s="16" t="s">
        <v>172</v>
      </c>
    </row>
    <row r="32" spans="1:17" x14ac:dyDescent="0.25">
      <c r="A32" s="321"/>
      <c r="B32" s="322"/>
      <c r="C32" s="6" t="s">
        <v>32</v>
      </c>
      <c r="D32" s="323"/>
      <c r="E32" s="322"/>
      <c r="F32" s="324"/>
      <c r="G32" s="324"/>
      <c r="H32" s="324"/>
      <c r="I32" s="322"/>
      <c r="J32" s="322"/>
      <c r="K32" s="329"/>
      <c r="L32" s="322"/>
      <c r="P32" s="17" t="s">
        <v>331</v>
      </c>
      <c r="Q32" s="16" t="s">
        <v>172</v>
      </c>
    </row>
    <row r="33" spans="1:18" x14ac:dyDescent="0.25">
      <c r="A33" s="321"/>
      <c r="B33" s="322">
        <v>11</v>
      </c>
      <c r="C33" s="270" t="s">
        <v>72</v>
      </c>
      <c r="D33" s="323" t="s">
        <v>503</v>
      </c>
      <c r="E33" s="322" t="s">
        <v>504</v>
      </c>
      <c r="F33" s="324">
        <v>1.2800000000000001E-2</v>
      </c>
      <c r="G33" s="324">
        <v>-0.1148</v>
      </c>
      <c r="H33" s="324">
        <v>5.1999999999999998E-3</v>
      </c>
      <c r="I33" s="322"/>
      <c r="J33" s="322"/>
      <c r="K33" s="326" t="s">
        <v>505</v>
      </c>
      <c r="L33" s="322" t="s">
        <v>394</v>
      </c>
      <c r="P33" s="17" t="s">
        <v>393</v>
      </c>
      <c r="Q33" s="16" t="s">
        <v>172</v>
      </c>
    </row>
    <row r="34" spans="1:18" x14ac:dyDescent="0.25">
      <c r="A34" s="321"/>
      <c r="B34" s="322"/>
      <c r="C34" s="270" t="s">
        <v>73</v>
      </c>
      <c r="D34" s="323"/>
      <c r="E34" s="322"/>
      <c r="F34" s="324"/>
      <c r="G34" s="324"/>
      <c r="H34" s="324"/>
      <c r="I34" s="322"/>
      <c r="J34" s="322"/>
      <c r="K34" s="326"/>
      <c r="L34" s="322"/>
      <c r="P34" s="17" t="s">
        <v>470</v>
      </c>
      <c r="Q34" s="16" t="s">
        <v>172</v>
      </c>
    </row>
    <row r="35" spans="1:18" x14ac:dyDescent="0.25">
      <c r="A35" s="328"/>
      <c r="B35" s="328"/>
      <c r="C35" s="328"/>
      <c r="D35" s="328"/>
      <c r="E35" s="328"/>
      <c r="F35" s="328"/>
      <c r="G35" s="328"/>
      <c r="H35" s="328"/>
      <c r="I35" s="328"/>
      <c r="J35" s="328"/>
      <c r="K35" s="328"/>
      <c r="L35" s="328"/>
      <c r="P35" s="17" t="s">
        <v>798</v>
      </c>
      <c r="Q35" s="16" t="s">
        <v>172</v>
      </c>
    </row>
    <row r="36" spans="1:18" x14ac:dyDescent="0.25">
      <c r="A36" s="321"/>
      <c r="B36" s="322">
        <v>12</v>
      </c>
      <c r="C36" s="270" t="s">
        <v>47</v>
      </c>
      <c r="D36" s="323" t="s">
        <v>506</v>
      </c>
      <c r="E36" s="322" t="s">
        <v>507</v>
      </c>
      <c r="F36" s="324">
        <v>1.9E-3</v>
      </c>
      <c r="G36" s="324">
        <v>-6.0299999999999999E-2</v>
      </c>
      <c r="H36" s="324">
        <v>-5.62E-2</v>
      </c>
      <c r="I36" s="322"/>
      <c r="J36" s="322"/>
      <c r="K36" s="326" t="s">
        <v>508</v>
      </c>
      <c r="L36" s="322" t="s">
        <v>509</v>
      </c>
      <c r="P36" s="17" t="s">
        <v>799</v>
      </c>
      <c r="Q36" s="16" t="s">
        <v>172</v>
      </c>
    </row>
    <row r="37" spans="1:18" x14ac:dyDescent="0.25">
      <c r="A37" s="321"/>
      <c r="B37" s="322"/>
      <c r="C37" s="270" t="s">
        <v>48</v>
      </c>
      <c r="D37" s="323"/>
      <c r="E37" s="322"/>
      <c r="F37" s="324"/>
      <c r="G37" s="324"/>
      <c r="H37" s="324"/>
      <c r="I37" s="322"/>
      <c r="J37" s="322"/>
      <c r="K37" s="326"/>
      <c r="L37" s="322"/>
      <c r="P37" s="17" t="s">
        <v>430</v>
      </c>
      <c r="Q37" s="16" t="s">
        <v>172</v>
      </c>
    </row>
    <row r="38" spans="1:18" x14ac:dyDescent="0.25">
      <c r="A38" s="321"/>
      <c r="B38" s="322">
        <v>13</v>
      </c>
      <c r="C38" s="270" t="s">
        <v>39</v>
      </c>
      <c r="D38" s="323" t="s">
        <v>510</v>
      </c>
      <c r="E38" s="322" t="s">
        <v>511</v>
      </c>
      <c r="F38" s="324">
        <v>3.7000000000000002E-3</v>
      </c>
      <c r="G38" s="324">
        <v>-0.1103</v>
      </c>
      <c r="H38" s="324">
        <v>-0.1497</v>
      </c>
      <c r="I38" s="322"/>
      <c r="J38" s="322"/>
      <c r="K38" s="327" t="s">
        <v>512</v>
      </c>
      <c r="L38" s="322" t="s">
        <v>513</v>
      </c>
      <c r="P38" s="13" t="s">
        <v>173</v>
      </c>
    </row>
    <row r="39" spans="1:18" x14ac:dyDescent="0.25">
      <c r="A39" s="321"/>
      <c r="B39" s="322"/>
      <c r="C39" s="270" t="s">
        <v>14</v>
      </c>
      <c r="D39" s="323"/>
      <c r="E39" s="322"/>
      <c r="F39" s="324"/>
      <c r="G39" s="324"/>
      <c r="H39" s="324"/>
      <c r="I39" s="322"/>
      <c r="J39" s="322"/>
      <c r="K39" s="327"/>
      <c r="L39" s="322"/>
      <c r="P39" s="7"/>
    </row>
    <row r="40" spans="1:18" x14ac:dyDescent="0.25">
      <c r="A40" s="321"/>
      <c r="B40" s="322"/>
      <c r="C40" s="6" t="s">
        <v>32</v>
      </c>
      <c r="D40" s="323"/>
      <c r="E40" s="322"/>
      <c r="F40" s="324"/>
      <c r="G40" s="324"/>
      <c r="H40" s="324"/>
      <c r="I40" s="322"/>
      <c r="J40" s="322"/>
      <c r="K40" s="327"/>
      <c r="L40" s="322"/>
      <c r="P40" s="10" t="s">
        <v>800</v>
      </c>
    </row>
    <row r="41" spans="1:18" x14ac:dyDescent="0.25">
      <c r="A41" s="321"/>
      <c r="B41" s="322">
        <v>14</v>
      </c>
      <c r="C41" s="270" t="s">
        <v>41</v>
      </c>
      <c r="D41" s="323" t="s">
        <v>514</v>
      </c>
      <c r="E41" s="322" t="s">
        <v>515</v>
      </c>
      <c r="F41" s="324">
        <v>1.1000000000000001E-3</v>
      </c>
      <c r="G41" s="324">
        <v>-8.3599999999999994E-2</v>
      </c>
      <c r="H41" s="324">
        <v>-4.48E-2</v>
      </c>
      <c r="I41" s="322"/>
      <c r="J41" s="322"/>
      <c r="K41" s="327" t="s">
        <v>516</v>
      </c>
      <c r="L41" s="322" t="s">
        <v>415</v>
      </c>
      <c r="P41" s="10" t="s">
        <v>174</v>
      </c>
    </row>
    <row r="42" spans="1:18" x14ac:dyDescent="0.25">
      <c r="A42" s="321"/>
      <c r="B42" s="322"/>
      <c r="C42" s="270" t="s">
        <v>42</v>
      </c>
      <c r="D42" s="323"/>
      <c r="E42" s="322"/>
      <c r="F42" s="324"/>
      <c r="G42" s="324"/>
      <c r="H42" s="324"/>
      <c r="I42" s="322"/>
      <c r="J42" s="322"/>
      <c r="K42" s="327"/>
      <c r="L42" s="322"/>
      <c r="P42" s="9" t="s">
        <v>290</v>
      </c>
      <c r="Q42" s="9" t="s">
        <v>175</v>
      </c>
      <c r="R42" s="9" t="s">
        <v>176</v>
      </c>
    </row>
    <row r="43" spans="1:18" x14ac:dyDescent="0.25">
      <c r="A43" s="321"/>
      <c r="B43" s="322"/>
      <c r="C43" s="6" t="s">
        <v>32</v>
      </c>
      <c r="D43" s="323"/>
      <c r="E43" s="322"/>
      <c r="F43" s="324"/>
      <c r="G43" s="324"/>
      <c r="H43" s="324"/>
      <c r="I43" s="322"/>
      <c r="J43" s="322"/>
      <c r="K43" s="327"/>
      <c r="L43" s="322"/>
    </row>
    <row r="44" spans="1:18" x14ac:dyDescent="0.25">
      <c r="A44" s="321"/>
      <c r="B44" s="322">
        <v>15</v>
      </c>
      <c r="C44" s="270" t="s">
        <v>53</v>
      </c>
      <c r="D44" s="323" t="s">
        <v>517</v>
      </c>
      <c r="E44" s="322" t="s">
        <v>518</v>
      </c>
      <c r="F44" s="324">
        <v>1.37E-2</v>
      </c>
      <c r="G44" s="324">
        <v>-9.7600000000000006E-2</v>
      </c>
      <c r="H44" s="324">
        <v>1.6E-2</v>
      </c>
      <c r="I44" s="322"/>
      <c r="J44" s="322"/>
      <c r="K44" s="327" t="s">
        <v>519</v>
      </c>
      <c r="L44" s="322" t="s">
        <v>323</v>
      </c>
    </row>
    <row r="45" spans="1:18" x14ac:dyDescent="0.25">
      <c r="A45" s="321"/>
      <c r="B45" s="322"/>
      <c r="C45" s="270" t="s">
        <v>54</v>
      </c>
      <c r="D45" s="323"/>
      <c r="E45" s="322"/>
      <c r="F45" s="324"/>
      <c r="G45" s="324"/>
      <c r="H45" s="324"/>
      <c r="I45" s="322"/>
      <c r="J45" s="322"/>
      <c r="K45" s="327"/>
      <c r="L45" s="322"/>
    </row>
    <row r="46" spans="1:18" x14ac:dyDescent="0.25">
      <c r="A46" s="321"/>
      <c r="B46" s="322">
        <v>16</v>
      </c>
      <c r="C46" s="270" t="s">
        <v>58</v>
      </c>
      <c r="D46" s="323" t="s">
        <v>520</v>
      </c>
      <c r="E46" s="322" t="s">
        <v>521</v>
      </c>
      <c r="F46" s="324">
        <v>-2.2000000000000001E-3</v>
      </c>
      <c r="G46" s="324">
        <v>-6.9599999999999995E-2</v>
      </c>
      <c r="H46" s="324">
        <v>-6.7900000000000002E-2</v>
      </c>
      <c r="I46" s="322"/>
      <c r="J46" s="322"/>
      <c r="K46" s="327" t="s">
        <v>522</v>
      </c>
      <c r="L46" s="322" t="s">
        <v>523</v>
      </c>
    </row>
    <row r="47" spans="1:18" x14ac:dyDescent="0.25">
      <c r="A47" s="321"/>
      <c r="B47" s="322"/>
      <c r="C47" s="270" t="s">
        <v>59</v>
      </c>
      <c r="D47" s="323"/>
      <c r="E47" s="322"/>
      <c r="F47" s="324"/>
      <c r="G47" s="324"/>
      <c r="H47" s="324"/>
      <c r="I47" s="322"/>
      <c r="J47" s="322"/>
      <c r="K47" s="327"/>
      <c r="L47" s="322"/>
    </row>
    <row r="48" spans="1:18" x14ac:dyDescent="0.25">
      <c r="A48" s="321"/>
      <c r="B48" s="322"/>
      <c r="C48" s="6" t="s">
        <v>32</v>
      </c>
      <c r="D48" s="323"/>
      <c r="E48" s="322"/>
      <c r="F48" s="324"/>
      <c r="G48" s="324"/>
      <c r="H48" s="324"/>
      <c r="I48" s="322"/>
      <c r="J48" s="322"/>
      <c r="K48" s="327"/>
      <c r="L48" s="322"/>
    </row>
    <row r="49" spans="1:12" x14ac:dyDescent="0.25">
      <c r="A49" s="321"/>
      <c r="B49" s="322">
        <v>17</v>
      </c>
      <c r="C49" s="270" t="s">
        <v>45</v>
      </c>
      <c r="D49" s="323" t="s">
        <v>524</v>
      </c>
      <c r="E49" s="322" t="s">
        <v>525</v>
      </c>
      <c r="F49" s="324">
        <v>8.0000000000000004E-4</v>
      </c>
      <c r="G49" s="324">
        <v>-6.13E-2</v>
      </c>
      <c r="H49" s="324">
        <v>-1.7399999999999999E-2</v>
      </c>
      <c r="I49" s="322"/>
      <c r="J49" s="322"/>
      <c r="K49" s="327" t="s">
        <v>526</v>
      </c>
      <c r="L49" s="322" t="s">
        <v>527</v>
      </c>
    </row>
    <row r="50" spans="1:12" x14ac:dyDescent="0.25">
      <c r="A50" s="321"/>
      <c r="B50" s="322"/>
      <c r="C50" s="270" t="s">
        <v>46</v>
      </c>
      <c r="D50" s="323"/>
      <c r="E50" s="322"/>
      <c r="F50" s="324"/>
      <c r="G50" s="324"/>
      <c r="H50" s="324"/>
      <c r="I50" s="322"/>
      <c r="J50" s="322"/>
      <c r="K50" s="327"/>
      <c r="L50" s="322"/>
    </row>
    <row r="51" spans="1:12" x14ac:dyDescent="0.25">
      <c r="A51" s="321"/>
      <c r="B51" s="322"/>
      <c r="C51" s="6" t="s">
        <v>32</v>
      </c>
      <c r="D51" s="323"/>
      <c r="E51" s="322"/>
      <c r="F51" s="324"/>
      <c r="G51" s="324"/>
      <c r="H51" s="324"/>
      <c r="I51" s="322"/>
      <c r="J51" s="322"/>
      <c r="K51" s="327"/>
      <c r="L51" s="322"/>
    </row>
    <row r="52" spans="1:12" x14ac:dyDescent="0.25">
      <c r="A52" s="321"/>
      <c r="B52" s="322">
        <v>18</v>
      </c>
      <c r="C52" s="270" t="s">
        <v>49</v>
      </c>
      <c r="D52" s="323" t="s">
        <v>528</v>
      </c>
      <c r="E52" s="322" t="s">
        <v>529</v>
      </c>
      <c r="F52" s="324">
        <v>-2.5000000000000001E-3</v>
      </c>
      <c r="G52" s="324">
        <v>-0.11409999999999999</v>
      </c>
      <c r="H52" s="324">
        <v>-0.15759999999999999</v>
      </c>
      <c r="I52" s="322"/>
      <c r="J52" s="322"/>
      <c r="K52" s="327" t="s">
        <v>530</v>
      </c>
      <c r="L52" s="322" t="s">
        <v>531</v>
      </c>
    </row>
    <row r="53" spans="1:12" x14ac:dyDescent="0.25">
      <c r="A53" s="321"/>
      <c r="B53" s="322"/>
      <c r="C53" s="270" t="s">
        <v>50</v>
      </c>
      <c r="D53" s="323"/>
      <c r="E53" s="322"/>
      <c r="F53" s="324"/>
      <c r="G53" s="324"/>
      <c r="H53" s="324"/>
      <c r="I53" s="322"/>
      <c r="J53" s="322"/>
      <c r="K53" s="327"/>
      <c r="L53" s="322"/>
    </row>
    <row r="54" spans="1:12" x14ac:dyDescent="0.25">
      <c r="A54" s="321"/>
      <c r="B54" s="322">
        <v>19</v>
      </c>
      <c r="C54" s="270" t="s">
        <v>51</v>
      </c>
      <c r="D54" s="323" t="s">
        <v>33</v>
      </c>
      <c r="E54" s="322" t="s">
        <v>532</v>
      </c>
      <c r="F54" s="324">
        <v>2.3E-3</v>
      </c>
      <c r="G54" s="324">
        <v>2.8E-3</v>
      </c>
      <c r="H54" s="324">
        <v>1.8E-3</v>
      </c>
      <c r="I54" s="322"/>
      <c r="J54" s="322"/>
      <c r="K54" s="327" t="s">
        <v>533</v>
      </c>
      <c r="L54" s="322" t="s">
        <v>534</v>
      </c>
    </row>
    <row r="55" spans="1:12" x14ac:dyDescent="0.25">
      <c r="A55" s="321"/>
      <c r="B55" s="322"/>
      <c r="C55" s="270" t="s">
        <v>52</v>
      </c>
      <c r="D55" s="323"/>
      <c r="E55" s="322"/>
      <c r="F55" s="324"/>
      <c r="G55" s="324"/>
      <c r="H55" s="324"/>
      <c r="I55" s="322"/>
      <c r="J55" s="322"/>
      <c r="K55" s="327"/>
      <c r="L55" s="322"/>
    </row>
    <row r="56" spans="1:12" x14ac:dyDescent="0.25">
      <c r="A56" s="321"/>
      <c r="B56" s="322"/>
      <c r="C56" s="6" t="s">
        <v>32</v>
      </c>
      <c r="D56" s="323"/>
      <c r="E56" s="322"/>
      <c r="F56" s="324"/>
      <c r="G56" s="324"/>
      <c r="H56" s="324"/>
      <c r="I56" s="322"/>
      <c r="J56" s="322"/>
      <c r="K56" s="327"/>
      <c r="L56" s="322"/>
    </row>
    <row r="57" spans="1:12" x14ac:dyDescent="0.25">
      <c r="A57" s="321"/>
      <c r="B57" s="322">
        <v>20</v>
      </c>
      <c r="C57" s="270" t="s">
        <v>84</v>
      </c>
      <c r="D57" s="323" t="s">
        <v>535</v>
      </c>
      <c r="E57" s="322" t="s">
        <v>536</v>
      </c>
      <c r="F57" s="322" t="s">
        <v>414</v>
      </c>
      <c r="G57" s="324">
        <v>-7.4700000000000003E-2</v>
      </c>
      <c r="H57" s="324">
        <v>-0.1125</v>
      </c>
      <c r="I57" s="322"/>
      <c r="J57" s="322"/>
      <c r="K57" s="327" t="s">
        <v>537</v>
      </c>
      <c r="L57" s="322" t="s">
        <v>319</v>
      </c>
    </row>
    <row r="58" spans="1:12" x14ac:dyDescent="0.25">
      <c r="A58" s="321"/>
      <c r="B58" s="322"/>
      <c r="C58" s="270" t="s">
        <v>85</v>
      </c>
      <c r="D58" s="323"/>
      <c r="E58" s="322"/>
      <c r="F58" s="322"/>
      <c r="G58" s="324"/>
      <c r="H58" s="324"/>
      <c r="I58" s="322"/>
      <c r="J58" s="322"/>
      <c r="K58" s="327"/>
      <c r="L58" s="322"/>
    </row>
    <row r="59" spans="1:12" x14ac:dyDescent="0.25">
      <c r="A59" s="321"/>
      <c r="B59" s="322"/>
      <c r="C59" s="6" t="s">
        <v>32</v>
      </c>
      <c r="D59" s="323"/>
      <c r="E59" s="322"/>
      <c r="F59" s="322"/>
      <c r="G59" s="324"/>
      <c r="H59" s="324"/>
      <c r="I59" s="322"/>
      <c r="J59" s="322"/>
      <c r="K59" s="327"/>
      <c r="L59" s="322"/>
    </row>
    <row r="60" spans="1:12" x14ac:dyDescent="0.25">
      <c r="A60" s="321"/>
      <c r="B60" s="322">
        <v>21</v>
      </c>
      <c r="C60" s="270" t="s">
        <v>76</v>
      </c>
      <c r="D60" s="323" t="s">
        <v>538</v>
      </c>
      <c r="E60" s="322" t="s">
        <v>539</v>
      </c>
      <c r="F60" s="324">
        <v>5.0000000000000001E-4</v>
      </c>
      <c r="G60" s="324">
        <v>-0.1048</v>
      </c>
      <c r="H60" s="324">
        <v>-5.91E-2</v>
      </c>
      <c r="I60" s="322"/>
      <c r="J60" s="322"/>
      <c r="K60" s="327" t="s">
        <v>540</v>
      </c>
      <c r="L60" s="322" t="s">
        <v>78</v>
      </c>
    </row>
    <row r="61" spans="1:12" x14ac:dyDescent="0.25">
      <c r="A61" s="321"/>
      <c r="B61" s="322"/>
      <c r="C61" s="270" t="s">
        <v>77</v>
      </c>
      <c r="D61" s="323"/>
      <c r="E61" s="322"/>
      <c r="F61" s="324"/>
      <c r="G61" s="324"/>
      <c r="H61" s="324"/>
      <c r="I61" s="322"/>
      <c r="J61" s="322"/>
      <c r="K61" s="327"/>
      <c r="L61" s="322"/>
    </row>
    <row r="62" spans="1:12" x14ac:dyDescent="0.25">
      <c r="A62" s="321"/>
      <c r="B62" s="322"/>
      <c r="C62" s="6" t="s">
        <v>32</v>
      </c>
      <c r="D62" s="323"/>
      <c r="E62" s="322"/>
      <c r="F62" s="324"/>
      <c r="G62" s="324"/>
      <c r="H62" s="324"/>
      <c r="I62" s="322"/>
      <c r="J62" s="322"/>
      <c r="K62" s="327"/>
      <c r="L62" s="322"/>
    </row>
    <row r="63" spans="1:12" x14ac:dyDescent="0.25">
      <c r="A63" s="321"/>
      <c r="B63" s="322">
        <v>22</v>
      </c>
      <c r="C63" s="270" t="s">
        <v>43</v>
      </c>
      <c r="D63" s="323" t="s">
        <v>541</v>
      </c>
      <c r="E63" s="322" t="s">
        <v>542</v>
      </c>
      <c r="F63" s="324">
        <v>1.1000000000000001E-3</v>
      </c>
      <c r="G63" s="324">
        <v>-4.7300000000000002E-2</v>
      </c>
      <c r="H63" s="324">
        <v>-6.7100000000000007E-2</v>
      </c>
      <c r="I63" s="322"/>
      <c r="J63" s="322"/>
      <c r="K63" s="327" t="s">
        <v>543</v>
      </c>
      <c r="L63" s="322">
        <v>176.37200000000001</v>
      </c>
    </row>
    <row r="64" spans="1:12" x14ac:dyDescent="0.25">
      <c r="A64" s="321"/>
      <c r="B64" s="322"/>
      <c r="C64" s="270" t="s">
        <v>44</v>
      </c>
      <c r="D64" s="323"/>
      <c r="E64" s="322"/>
      <c r="F64" s="324"/>
      <c r="G64" s="324"/>
      <c r="H64" s="324"/>
      <c r="I64" s="322"/>
      <c r="J64" s="322"/>
      <c r="K64" s="327"/>
      <c r="L64" s="322"/>
    </row>
    <row r="65" spans="1:12" x14ac:dyDescent="0.25">
      <c r="A65" s="321"/>
      <c r="B65" s="322"/>
      <c r="C65" s="6" t="s">
        <v>32</v>
      </c>
      <c r="D65" s="323"/>
      <c r="E65" s="322"/>
      <c r="F65" s="324"/>
      <c r="G65" s="324"/>
      <c r="H65" s="324"/>
      <c r="I65" s="322"/>
      <c r="J65" s="322"/>
      <c r="K65" s="327"/>
      <c r="L65" s="322"/>
    </row>
    <row r="66" spans="1:12" x14ac:dyDescent="0.25">
      <c r="A66" s="321"/>
      <c r="B66" s="322">
        <v>23</v>
      </c>
      <c r="C66" s="270" t="s">
        <v>70</v>
      </c>
      <c r="D66" s="323" t="s">
        <v>544</v>
      </c>
      <c r="E66" s="322" t="s">
        <v>545</v>
      </c>
      <c r="F66" s="324">
        <v>2.7000000000000001E-3</v>
      </c>
      <c r="G66" s="324">
        <v>-2.6700000000000002E-2</v>
      </c>
      <c r="H66" s="324">
        <v>-1.1900000000000001E-2</v>
      </c>
      <c r="I66" s="322"/>
      <c r="J66" s="322"/>
      <c r="K66" s="329" t="s">
        <v>437</v>
      </c>
      <c r="L66" s="322" t="s">
        <v>324</v>
      </c>
    </row>
    <row r="67" spans="1:12" x14ac:dyDescent="0.25">
      <c r="A67" s="321"/>
      <c r="B67" s="322"/>
      <c r="C67" s="270" t="s">
        <v>71</v>
      </c>
      <c r="D67" s="323"/>
      <c r="E67" s="322"/>
      <c r="F67" s="324"/>
      <c r="G67" s="324"/>
      <c r="H67" s="324"/>
      <c r="I67" s="322"/>
      <c r="J67" s="322"/>
      <c r="K67" s="329"/>
      <c r="L67" s="322"/>
    </row>
    <row r="68" spans="1:12" x14ac:dyDescent="0.25">
      <c r="A68" s="321"/>
      <c r="B68" s="322"/>
      <c r="C68" s="6" t="s">
        <v>32</v>
      </c>
      <c r="D68" s="323"/>
      <c r="E68" s="322"/>
      <c r="F68" s="324"/>
      <c r="G68" s="324"/>
      <c r="H68" s="324"/>
      <c r="I68" s="322"/>
      <c r="J68" s="322"/>
      <c r="K68" s="329"/>
      <c r="L68" s="322"/>
    </row>
    <row r="69" spans="1:12" x14ac:dyDescent="0.25">
      <c r="A69" s="321"/>
      <c r="B69" s="322">
        <v>24</v>
      </c>
      <c r="C69" s="270" t="s">
        <v>395</v>
      </c>
      <c r="D69" s="323" t="s">
        <v>546</v>
      </c>
      <c r="E69" s="322" t="s">
        <v>547</v>
      </c>
      <c r="F69" s="324">
        <v>-1.2500000000000001E-2</v>
      </c>
      <c r="G69" s="324">
        <v>-5.8299999999999998E-2</v>
      </c>
      <c r="H69" s="324">
        <v>-8.5999999999999993E-2</v>
      </c>
      <c r="I69" s="322"/>
      <c r="J69" s="322"/>
      <c r="K69" s="326" t="s">
        <v>548</v>
      </c>
      <c r="L69" s="322" t="s">
        <v>363</v>
      </c>
    </row>
    <row r="70" spans="1:12" x14ac:dyDescent="0.25">
      <c r="A70" s="321"/>
      <c r="B70" s="322"/>
      <c r="C70" s="270" t="s">
        <v>362</v>
      </c>
      <c r="D70" s="323"/>
      <c r="E70" s="322"/>
      <c r="F70" s="324"/>
      <c r="G70" s="324"/>
      <c r="H70" s="324"/>
      <c r="I70" s="322"/>
      <c r="J70" s="322"/>
      <c r="K70" s="326"/>
      <c r="L70" s="322"/>
    </row>
    <row r="71" spans="1:12" x14ac:dyDescent="0.25">
      <c r="A71" s="321"/>
      <c r="B71" s="322">
        <v>26</v>
      </c>
      <c r="C71" s="270" t="s">
        <v>74</v>
      </c>
      <c r="D71" s="323" t="s">
        <v>549</v>
      </c>
      <c r="E71" s="322" t="s">
        <v>550</v>
      </c>
      <c r="F71" s="324">
        <v>2.7000000000000001E-3</v>
      </c>
      <c r="G71" s="324">
        <v>-7.7899999999999997E-2</v>
      </c>
      <c r="H71" s="324">
        <v>-6.4899999999999999E-2</v>
      </c>
      <c r="I71" s="322"/>
      <c r="J71" s="322"/>
      <c r="K71" s="327" t="s">
        <v>551</v>
      </c>
      <c r="L71" s="322" t="s">
        <v>552</v>
      </c>
    </row>
    <row r="72" spans="1:12" x14ac:dyDescent="0.25">
      <c r="A72" s="321"/>
      <c r="B72" s="322"/>
      <c r="C72" s="270" t="s">
        <v>75</v>
      </c>
      <c r="D72" s="323"/>
      <c r="E72" s="322"/>
      <c r="F72" s="324"/>
      <c r="G72" s="324"/>
      <c r="H72" s="324"/>
      <c r="I72" s="322"/>
      <c r="J72" s="322"/>
      <c r="K72" s="327"/>
      <c r="L72" s="322"/>
    </row>
    <row r="73" spans="1:12" x14ac:dyDescent="0.25">
      <c r="A73" s="321"/>
      <c r="B73" s="322"/>
      <c r="C73" s="6" t="s">
        <v>32</v>
      </c>
      <c r="D73" s="323"/>
      <c r="E73" s="322"/>
      <c r="F73" s="324"/>
      <c r="G73" s="324"/>
      <c r="H73" s="324"/>
      <c r="I73" s="322"/>
      <c r="J73" s="322"/>
      <c r="K73" s="327"/>
      <c r="L73" s="322"/>
    </row>
    <row r="74" spans="1:12" x14ac:dyDescent="0.25">
      <c r="A74" s="321"/>
      <c r="B74" s="322">
        <v>27</v>
      </c>
      <c r="C74" s="270" t="s">
        <v>68</v>
      </c>
      <c r="D74" s="323" t="s">
        <v>553</v>
      </c>
      <c r="E74" s="322" t="s">
        <v>554</v>
      </c>
      <c r="F74" s="324">
        <v>3.3E-3</v>
      </c>
      <c r="G74" s="324">
        <v>-8.3599999999999994E-2</v>
      </c>
      <c r="H74" s="324">
        <v>-0.1133</v>
      </c>
      <c r="I74" s="322"/>
      <c r="J74" s="322"/>
      <c r="K74" s="327" t="s">
        <v>555</v>
      </c>
      <c r="L74" s="322" t="s">
        <v>298</v>
      </c>
    </row>
    <row r="75" spans="1:12" x14ac:dyDescent="0.25">
      <c r="A75" s="321"/>
      <c r="B75" s="322"/>
      <c r="C75" s="270" t="s">
        <v>69</v>
      </c>
      <c r="D75" s="323"/>
      <c r="E75" s="322"/>
      <c r="F75" s="324"/>
      <c r="G75" s="324"/>
      <c r="H75" s="324"/>
      <c r="I75" s="322"/>
      <c r="J75" s="322"/>
      <c r="K75" s="327"/>
      <c r="L75" s="322"/>
    </row>
    <row r="76" spans="1:12" x14ac:dyDescent="0.25">
      <c r="A76" s="321"/>
      <c r="B76" s="322">
        <v>28</v>
      </c>
      <c r="C76" s="270" t="s">
        <v>64</v>
      </c>
      <c r="D76" s="323" t="s">
        <v>556</v>
      </c>
      <c r="E76" s="322" t="s">
        <v>557</v>
      </c>
      <c r="F76" s="324">
        <v>2.2700000000000001E-2</v>
      </c>
      <c r="G76" s="324">
        <v>-2.06E-2</v>
      </c>
      <c r="H76" s="324">
        <v>-5.8200000000000002E-2</v>
      </c>
      <c r="I76" s="322"/>
      <c r="J76" s="322"/>
      <c r="K76" s="327" t="s">
        <v>558</v>
      </c>
      <c r="L76" s="322" t="s">
        <v>559</v>
      </c>
    </row>
    <row r="77" spans="1:12" x14ac:dyDescent="0.25">
      <c r="A77" s="321"/>
      <c r="B77" s="322"/>
      <c r="C77" s="270" t="s">
        <v>65</v>
      </c>
      <c r="D77" s="323"/>
      <c r="E77" s="322"/>
      <c r="F77" s="324"/>
      <c r="G77" s="324"/>
      <c r="H77" s="324"/>
      <c r="I77" s="322"/>
      <c r="J77" s="322"/>
      <c r="K77" s="327"/>
      <c r="L77" s="322"/>
    </row>
    <row r="78" spans="1:12" x14ac:dyDescent="0.25">
      <c r="A78" s="321"/>
      <c r="B78" s="322"/>
      <c r="C78" s="6" t="s">
        <v>32</v>
      </c>
      <c r="D78" s="323"/>
      <c r="E78" s="322"/>
      <c r="F78" s="324"/>
      <c r="G78" s="324"/>
      <c r="H78" s="324"/>
      <c r="I78" s="322"/>
      <c r="J78" s="322"/>
      <c r="K78" s="327"/>
      <c r="L78" s="322"/>
    </row>
    <row r="79" spans="1:12" x14ac:dyDescent="0.25">
      <c r="A79" s="321"/>
      <c r="B79" s="322">
        <v>29</v>
      </c>
      <c r="C79" s="270" t="s">
        <v>299</v>
      </c>
      <c r="D79" s="323" t="s">
        <v>560</v>
      </c>
      <c r="E79" s="322" t="s">
        <v>561</v>
      </c>
      <c r="F79" s="324">
        <v>1E-4</v>
      </c>
      <c r="G79" s="324">
        <v>2.5999999999999999E-3</v>
      </c>
      <c r="H79" s="324">
        <v>0.219</v>
      </c>
      <c r="I79" s="322"/>
      <c r="J79" s="322"/>
      <c r="K79" s="327" t="s">
        <v>562</v>
      </c>
      <c r="L79" s="322" t="s">
        <v>563</v>
      </c>
    </row>
    <row r="80" spans="1:12" x14ac:dyDescent="0.25">
      <c r="A80" s="321"/>
      <c r="B80" s="322"/>
      <c r="C80" s="270" t="s">
        <v>300</v>
      </c>
      <c r="D80" s="323"/>
      <c r="E80" s="322"/>
      <c r="F80" s="324"/>
      <c r="G80" s="324"/>
      <c r="H80" s="324"/>
      <c r="I80" s="322"/>
      <c r="J80" s="322"/>
      <c r="K80" s="327"/>
      <c r="L80" s="322"/>
    </row>
    <row r="81" spans="1:12" x14ac:dyDescent="0.25">
      <c r="A81" s="321"/>
      <c r="B81" s="322">
        <v>30</v>
      </c>
      <c r="C81" s="270" t="s">
        <v>66</v>
      </c>
      <c r="D81" s="323" t="s">
        <v>564</v>
      </c>
      <c r="E81" s="322" t="s">
        <v>565</v>
      </c>
      <c r="F81" s="324">
        <v>2.3E-3</v>
      </c>
      <c r="G81" s="324">
        <v>-5.8000000000000003E-2</v>
      </c>
      <c r="H81" s="324">
        <v>-6.7500000000000004E-2</v>
      </c>
      <c r="I81" s="322"/>
      <c r="J81" s="322"/>
      <c r="K81" s="327" t="s">
        <v>566</v>
      </c>
      <c r="L81" s="322" t="s">
        <v>567</v>
      </c>
    </row>
    <row r="82" spans="1:12" x14ac:dyDescent="0.25">
      <c r="A82" s="321"/>
      <c r="B82" s="322"/>
      <c r="C82" s="270" t="s">
        <v>67</v>
      </c>
      <c r="D82" s="323"/>
      <c r="E82" s="322"/>
      <c r="F82" s="324"/>
      <c r="G82" s="324"/>
      <c r="H82" s="324"/>
      <c r="I82" s="322"/>
      <c r="J82" s="322"/>
      <c r="K82" s="327"/>
      <c r="L82" s="322"/>
    </row>
    <row r="83" spans="1:12" x14ac:dyDescent="0.25">
      <c r="A83" s="321"/>
      <c r="B83" s="322"/>
      <c r="C83" s="6" t="s">
        <v>32</v>
      </c>
      <c r="D83" s="323"/>
      <c r="E83" s="322"/>
      <c r="F83" s="324"/>
      <c r="G83" s="324"/>
      <c r="H83" s="324"/>
      <c r="I83" s="322"/>
      <c r="J83" s="322"/>
      <c r="K83" s="327"/>
      <c r="L83" s="322"/>
    </row>
    <row r="84" spans="1:12" x14ac:dyDescent="0.25">
      <c r="A84" s="321"/>
      <c r="B84" s="322">
        <v>31</v>
      </c>
      <c r="C84" s="270" t="s">
        <v>366</v>
      </c>
      <c r="D84" s="323" t="s">
        <v>568</v>
      </c>
      <c r="E84" s="322" t="s">
        <v>569</v>
      </c>
      <c r="F84" s="324">
        <v>-1.1599999999999999E-2</v>
      </c>
      <c r="G84" s="324">
        <v>-0.12690000000000001</v>
      </c>
      <c r="H84" s="324">
        <v>-0.23730000000000001</v>
      </c>
      <c r="I84" s="322"/>
      <c r="J84" s="322"/>
      <c r="K84" s="327" t="s">
        <v>570</v>
      </c>
      <c r="L84" s="322" t="s">
        <v>571</v>
      </c>
    </row>
    <row r="85" spans="1:12" x14ac:dyDescent="0.25">
      <c r="A85" s="321"/>
      <c r="B85" s="322"/>
      <c r="C85" s="270" t="s">
        <v>367</v>
      </c>
      <c r="D85" s="323"/>
      <c r="E85" s="322"/>
      <c r="F85" s="324"/>
      <c r="G85" s="324"/>
      <c r="H85" s="324"/>
      <c r="I85" s="322"/>
      <c r="J85" s="322"/>
      <c r="K85" s="327"/>
      <c r="L85" s="322"/>
    </row>
    <row r="86" spans="1:12" x14ac:dyDescent="0.25">
      <c r="A86" s="321"/>
      <c r="B86" s="322">
        <v>32</v>
      </c>
      <c r="C86" s="270" t="s">
        <v>55</v>
      </c>
      <c r="D86" s="323" t="s">
        <v>572</v>
      </c>
      <c r="E86" s="322" t="s">
        <v>573</v>
      </c>
      <c r="F86" s="324">
        <v>-1.9E-3</v>
      </c>
      <c r="G86" s="324">
        <v>-8.0699999999999994E-2</v>
      </c>
      <c r="H86" s="324">
        <v>-3.8100000000000002E-2</v>
      </c>
      <c r="I86" s="322"/>
      <c r="J86" s="322"/>
      <c r="K86" s="326" t="s">
        <v>574</v>
      </c>
      <c r="L86" s="322" t="s">
        <v>57</v>
      </c>
    </row>
    <row r="87" spans="1:12" x14ac:dyDescent="0.25">
      <c r="A87" s="321"/>
      <c r="B87" s="322"/>
      <c r="C87" s="270" t="s">
        <v>56</v>
      </c>
      <c r="D87" s="323"/>
      <c r="E87" s="322"/>
      <c r="F87" s="324"/>
      <c r="G87" s="324"/>
      <c r="H87" s="324"/>
      <c r="I87" s="322"/>
      <c r="J87" s="322"/>
      <c r="K87" s="326"/>
      <c r="L87" s="322"/>
    </row>
    <row r="88" spans="1:12" x14ac:dyDescent="0.25">
      <c r="A88" s="321"/>
      <c r="B88" s="322">
        <v>33</v>
      </c>
      <c r="C88" s="270" t="s">
        <v>62</v>
      </c>
      <c r="D88" s="323" t="s">
        <v>575</v>
      </c>
      <c r="E88" s="322" t="s">
        <v>434</v>
      </c>
      <c r="F88" s="324">
        <v>-1.4E-3</v>
      </c>
      <c r="G88" s="324">
        <v>-0.14050000000000001</v>
      </c>
      <c r="H88" s="324">
        <v>-7.9200000000000007E-2</v>
      </c>
      <c r="I88" s="322"/>
      <c r="J88" s="322"/>
      <c r="K88" s="327" t="s">
        <v>576</v>
      </c>
      <c r="L88" s="322" t="s">
        <v>577</v>
      </c>
    </row>
    <row r="89" spans="1:12" x14ac:dyDescent="0.25">
      <c r="A89" s="321"/>
      <c r="B89" s="322"/>
      <c r="C89" s="270" t="s">
        <v>63</v>
      </c>
      <c r="D89" s="323"/>
      <c r="E89" s="322"/>
      <c r="F89" s="324"/>
      <c r="G89" s="324"/>
      <c r="H89" s="324"/>
      <c r="I89" s="322"/>
      <c r="J89" s="322"/>
      <c r="K89" s="327"/>
      <c r="L89" s="322"/>
    </row>
    <row r="90" spans="1:12" x14ac:dyDescent="0.25">
      <c r="A90" s="321"/>
      <c r="B90" s="322">
        <v>34</v>
      </c>
      <c r="C90" s="270" t="s">
        <v>88</v>
      </c>
      <c r="D90" s="323" t="s">
        <v>578</v>
      </c>
      <c r="E90" s="322" t="s">
        <v>579</v>
      </c>
      <c r="F90" s="324">
        <v>9.1000000000000004E-3</v>
      </c>
      <c r="G90" s="324">
        <v>-1.01E-2</v>
      </c>
      <c r="H90" s="324">
        <v>0.1013</v>
      </c>
      <c r="I90" s="322"/>
      <c r="J90" s="322"/>
      <c r="K90" s="327" t="s">
        <v>580</v>
      </c>
      <c r="L90" s="322" t="s">
        <v>435</v>
      </c>
    </row>
    <row r="91" spans="1:12" x14ac:dyDescent="0.25">
      <c r="A91" s="321"/>
      <c r="B91" s="322"/>
      <c r="C91" s="270" t="s">
        <v>89</v>
      </c>
      <c r="D91" s="323"/>
      <c r="E91" s="322"/>
      <c r="F91" s="324"/>
      <c r="G91" s="324"/>
      <c r="H91" s="324"/>
      <c r="I91" s="322"/>
      <c r="J91" s="322"/>
      <c r="K91" s="327"/>
      <c r="L91" s="322"/>
    </row>
    <row r="92" spans="1:12" x14ac:dyDescent="0.25">
      <c r="A92" s="321"/>
      <c r="B92" s="322">
        <v>35</v>
      </c>
      <c r="C92" s="270" t="s">
        <v>141</v>
      </c>
      <c r="D92" s="323" t="s">
        <v>581</v>
      </c>
      <c r="E92" s="322" t="s">
        <v>582</v>
      </c>
      <c r="F92" s="324">
        <v>2.8E-3</v>
      </c>
      <c r="G92" s="324">
        <v>-5.9299999999999999E-2</v>
      </c>
      <c r="H92" s="324">
        <v>-8.9899999999999994E-2</v>
      </c>
      <c r="I92" s="322"/>
      <c r="J92" s="322"/>
      <c r="K92" s="326" t="s">
        <v>583</v>
      </c>
      <c r="L92" s="322" t="s">
        <v>364</v>
      </c>
    </row>
    <row r="93" spans="1:12" x14ac:dyDescent="0.25">
      <c r="A93" s="321"/>
      <c r="B93" s="322"/>
      <c r="C93" s="270" t="s">
        <v>142</v>
      </c>
      <c r="D93" s="323"/>
      <c r="E93" s="322"/>
      <c r="F93" s="324"/>
      <c r="G93" s="324"/>
      <c r="H93" s="324"/>
      <c r="I93" s="322"/>
      <c r="J93" s="322"/>
      <c r="K93" s="326"/>
      <c r="L93" s="322"/>
    </row>
    <row r="94" spans="1:12" x14ac:dyDescent="0.25">
      <c r="A94" s="321"/>
      <c r="B94" s="322">
        <v>36</v>
      </c>
      <c r="C94" s="270" t="s">
        <v>101</v>
      </c>
      <c r="D94" s="323" t="s">
        <v>584</v>
      </c>
      <c r="E94" s="322" t="s">
        <v>491</v>
      </c>
      <c r="F94" s="324">
        <v>1.4E-3</v>
      </c>
      <c r="G94" s="324">
        <v>-0.12139999999999999</v>
      </c>
      <c r="H94" s="324">
        <v>-0.1193</v>
      </c>
      <c r="I94" s="322"/>
      <c r="J94" s="322"/>
      <c r="K94" s="327" t="s">
        <v>585</v>
      </c>
      <c r="L94" s="322" t="s">
        <v>586</v>
      </c>
    </row>
    <row r="95" spans="1:12" x14ac:dyDescent="0.25">
      <c r="A95" s="321"/>
      <c r="B95" s="322"/>
      <c r="C95" s="270" t="s">
        <v>102</v>
      </c>
      <c r="D95" s="323"/>
      <c r="E95" s="322"/>
      <c r="F95" s="324"/>
      <c r="G95" s="324"/>
      <c r="H95" s="324"/>
      <c r="I95" s="322"/>
      <c r="J95" s="322"/>
      <c r="K95" s="327"/>
      <c r="L95" s="322"/>
    </row>
    <row r="96" spans="1:12" x14ac:dyDescent="0.25">
      <c r="A96" s="321"/>
      <c r="B96" s="322"/>
      <c r="C96" s="6" t="s">
        <v>32</v>
      </c>
      <c r="D96" s="323"/>
      <c r="E96" s="322"/>
      <c r="F96" s="324"/>
      <c r="G96" s="324"/>
      <c r="H96" s="324"/>
      <c r="I96" s="322"/>
      <c r="J96" s="322"/>
      <c r="K96" s="327"/>
      <c r="L96" s="322"/>
    </row>
    <row r="97" spans="1:12" x14ac:dyDescent="0.25">
      <c r="A97" s="321"/>
      <c r="B97" s="322">
        <v>37</v>
      </c>
      <c r="C97" s="270" t="s">
        <v>90</v>
      </c>
      <c r="D97" s="323" t="s">
        <v>587</v>
      </c>
      <c r="E97" s="322" t="s">
        <v>491</v>
      </c>
      <c r="F97" s="324">
        <v>-1E-3</v>
      </c>
      <c r="G97" s="324">
        <v>-0.1177</v>
      </c>
      <c r="H97" s="324">
        <v>-0.13700000000000001</v>
      </c>
      <c r="I97" s="322"/>
      <c r="J97" s="322"/>
      <c r="K97" s="327" t="s">
        <v>588</v>
      </c>
      <c r="L97" s="322" t="s">
        <v>396</v>
      </c>
    </row>
    <row r="98" spans="1:12" x14ac:dyDescent="0.25">
      <c r="A98" s="321"/>
      <c r="B98" s="322"/>
      <c r="C98" s="270" t="s">
        <v>91</v>
      </c>
      <c r="D98" s="323"/>
      <c r="E98" s="322"/>
      <c r="F98" s="324"/>
      <c r="G98" s="324"/>
      <c r="H98" s="324"/>
      <c r="I98" s="322"/>
      <c r="J98" s="322"/>
      <c r="K98" s="327"/>
      <c r="L98" s="322"/>
    </row>
    <row r="99" spans="1:12" x14ac:dyDescent="0.25">
      <c r="A99" s="321"/>
      <c r="B99" s="322">
        <v>38</v>
      </c>
      <c r="C99" s="270" t="s">
        <v>79</v>
      </c>
      <c r="D99" s="323" t="s">
        <v>446</v>
      </c>
      <c r="E99" s="322" t="s">
        <v>589</v>
      </c>
      <c r="F99" s="324">
        <v>-5.1999999999999998E-3</v>
      </c>
      <c r="G99" s="324">
        <v>-0.1135</v>
      </c>
      <c r="H99" s="324">
        <v>-1.03E-2</v>
      </c>
      <c r="I99" s="322"/>
      <c r="J99" s="322"/>
      <c r="K99" s="327" t="s">
        <v>590</v>
      </c>
      <c r="L99" s="322" t="s">
        <v>591</v>
      </c>
    </row>
    <row r="100" spans="1:12" x14ac:dyDescent="0.25">
      <c r="A100" s="321"/>
      <c r="B100" s="322"/>
      <c r="C100" s="270" t="s">
        <v>80</v>
      </c>
      <c r="D100" s="323"/>
      <c r="E100" s="322"/>
      <c r="F100" s="324"/>
      <c r="G100" s="324"/>
      <c r="H100" s="324"/>
      <c r="I100" s="322"/>
      <c r="J100" s="322"/>
      <c r="K100" s="327"/>
      <c r="L100" s="322"/>
    </row>
    <row r="101" spans="1:12" x14ac:dyDescent="0.25">
      <c r="A101" s="321"/>
      <c r="B101" s="322">
        <v>39</v>
      </c>
      <c r="C101" s="270" t="s">
        <v>86</v>
      </c>
      <c r="D101" s="323" t="s">
        <v>592</v>
      </c>
      <c r="E101" s="322" t="s">
        <v>593</v>
      </c>
      <c r="F101" s="324">
        <v>-5.9999999999999995E-4</v>
      </c>
      <c r="G101" s="324">
        <v>-9.6100000000000005E-2</v>
      </c>
      <c r="H101" s="324">
        <v>-3.3399999999999999E-2</v>
      </c>
      <c r="I101" s="322"/>
      <c r="J101" s="322"/>
      <c r="K101" s="327" t="s">
        <v>594</v>
      </c>
      <c r="L101" s="322" t="s">
        <v>177</v>
      </c>
    </row>
    <row r="102" spans="1:12" x14ac:dyDescent="0.25">
      <c r="A102" s="321"/>
      <c r="B102" s="322"/>
      <c r="C102" s="270" t="s">
        <v>87</v>
      </c>
      <c r="D102" s="323"/>
      <c r="E102" s="322"/>
      <c r="F102" s="324"/>
      <c r="G102" s="324"/>
      <c r="H102" s="324"/>
      <c r="I102" s="322"/>
      <c r="J102" s="322"/>
      <c r="K102" s="327"/>
      <c r="L102" s="322"/>
    </row>
    <row r="103" spans="1:12" x14ac:dyDescent="0.25">
      <c r="A103" s="321"/>
      <c r="B103" s="322"/>
      <c r="C103" s="6" t="s">
        <v>32</v>
      </c>
      <c r="D103" s="323"/>
      <c r="E103" s="322"/>
      <c r="F103" s="324"/>
      <c r="G103" s="324"/>
      <c r="H103" s="324"/>
      <c r="I103" s="322"/>
      <c r="J103" s="322"/>
      <c r="K103" s="327"/>
      <c r="L103" s="322"/>
    </row>
    <row r="104" spans="1:12" x14ac:dyDescent="0.25">
      <c r="A104" s="321"/>
      <c r="B104" s="322">
        <v>40</v>
      </c>
      <c r="C104" s="270" t="s">
        <v>92</v>
      </c>
      <c r="D104" s="323" t="s">
        <v>595</v>
      </c>
      <c r="E104" s="322" t="s">
        <v>596</v>
      </c>
      <c r="F104" s="324">
        <v>-1.6999999999999999E-3</v>
      </c>
      <c r="G104" s="324">
        <v>-0.11310000000000001</v>
      </c>
      <c r="H104" s="324">
        <v>-0.123</v>
      </c>
      <c r="I104" s="322"/>
      <c r="J104" s="322"/>
      <c r="K104" s="326" t="s">
        <v>597</v>
      </c>
      <c r="L104" s="322" t="s">
        <v>598</v>
      </c>
    </row>
    <row r="105" spans="1:12" x14ac:dyDescent="0.25">
      <c r="A105" s="321"/>
      <c r="B105" s="322"/>
      <c r="C105" s="270" t="s">
        <v>93</v>
      </c>
      <c r="D105" s="323"/>
      <c r="E105" s="322"/>
      <c r="F105" s="324"/>
      <c r="G105" s="324"/>
      <c r="H105" s="324"/>
      <c r="I105" s="322"/>
      <c r="J105" s="322"/>
      <c r="K105" s="326"/>
      <c r="L105" s="322"/>
    </row>
    <row r="106" spans="1:12" x14ac:dyDescent="0.25">
      <c r="A106" s="321"/>
      <c r="B106" s="322">
        <v>41</v>
      </c>
      <c r="C106" s="270" t="s">
        <v>113</v>
      </c>
      <c r="D106" s="323" t="s">
        <v>599</v>
      </c>
      <c r="E106" s="322" t="s">
        <v>600</v>
      </c>
      <c r="F106" s="324">
        <v>-8.3999999999999995E-3</v>
      </c>
      <c r="G106" s="324">
        <v>-0.1847</v>
      </c>
      <c r="H106" s="324">
        <v>0.56920000000000004</v>
      </c>
      <c r="I106" s="322"/>
      <c r="J106" s="322"/>
      <c r="K106" s="327" t="s">
        <v>601</v>
      </c>
      <c r="L106" s="322" t="s">
        <v>440</v>
      </c>
    </row>
    <row r="107" spans="1:12" x14ac:dyDescent="0.25">
      <c r="A107" s="321"/>
      <c r="B107" s="322"/>
      <c r="C107" s="270" t="s">
        <v>114</v>
      </c>
      <c r="D107" s="323"/>
      <c r="E107" s="322"/>
      <c r="F107" s="324"/>
      <c r="G107" s="324"/>
      <c r="H107" s="324"/>
      <c r="I107" s="322"/>
      <c r="J107" s="322"/>
      <c r="K107" s="327"/>
      <c r="L107" s="322"/>
    </row>
    <row r="108" spans="1:12" x14ac:dyDescent="0.25">
      <c r="A108" s="321"/>
      <c r="B108" s="322">
        <v>42</v>
      </c>
      <c r="C108" s="270" t="s">
        <v>99</v>
      </c>
      <c r="D108" s="323" t="s">
        <v>436</v>
      </c>
      <c r="E108" s="322" t="s">
        <v>602</v>
      </c>
      <c r="F108" s="324">
        <v>-5.5999999999999999E-3</v>
      </c>
      <c r="G108" s="324">
        <v>-0.14929999999999999</v>
      </c>
      <c r="H108" s="324">
        <v>-2.92E-2</v>
      </c>
      <c r="I108" s="322"/>
      <c r="J108" s="322"/>
      <c r="K108" s="327" t="s">
        <v>603</v>
      </c>
      <c r="L108" s="322" t="s">
        <v>438</v>
      </c>
    </row>
    <row r="109" spans="1:12" x14ac:dyDescent="0.25">
      <c r="A109" s="321"/>
      <c r="B109" s="322"/>
      <c r="C109" s="270" t="s">
        <v>100</v>
      </c>
      <c r="D109" s="323"/>
      <c r="E109" s="322"/>
      <c r="F109" s="324"/>
      <c r="G109" s="324"/>
      <c r="H109" s="324"/>
      <c r="I109" s="322"/>
      <c r="J109" s="322"/>
      <c r="K109" s="327"/>
      <c r="L109" s="322"/>
    </row>
    <row r="110" spans="1:12" x14ac:dyDescent="0.25">
      <c r="A110" s="321"/>
      <c r="B110" s="322">
        <v>43</v>
      </c>
      <c r="C110" s="270" t="s">
        <v>137</v>
      </c>
      <c r="D110" s="323" t="s">
        <v>460</v>
      </c>
      <c r="E110" s="322" t="s">
        <v>604</v>
      </c>
      <c r="F110" s="324">
        <v>-1.6999999999999999E-3</v>
      </c>
      <c r="G110" s="324">
        <v>-0.13880000000000001</v>
      </c>
      <c r="H110" s="324">
        <v>-0.251</v>
      </c>
      <c r="I110" s="322"/>
      <c r="J110" s="322"/>
      <c r="K110" s="327" t="s">
        <v>605</v>
      </c>
      <c r="L110" s="322" t="s">
        <v>132</v>
      </c>
    </row>
    <row r="111" spans="1:12" x14ac:dyDescent="0.25">
      <c r="A111" s="321"/>
      <c r="B111" s="322"/>
      <c r="C111" s="270" t="s">
        <v>138</v>
      </c>
      <c r="D111" s="323"/>
      <c r="E111" s="322"/>
      <c r="F111" s="324"/>
      <c r="G111" s="324"/>
      <c r="H111" s="324"/>
      <c r="I111" s="322"/>
      <c r="J111" s="322"/>
      <c r="K111" s="327"/>
      <c r="L111" s="322"/>
    </row>
    <row r="112" spans="1:12" x14ac:dyDescent="0.25">
      <c r="A112" s="321"/>
      <c r="B112" s="322">
        <v>44</v>
      </c>
      <c r="C112" s="270" t="s">
        <v>107</v>
      </c>
      <c r="D112" s="323" t="s">
        <v>606</v>
      </c>
      <c r="E112" s="322" t="s">
        <v>416</v>
      </c>
      <c r="F112" s="324">
        <v>-9.1999999999999998E-3</v>
      </c>
      <c r="G112" s="324">
        <v>-0.11890000000000001</v>
      </c>
      <c r="H112" s="324">
        <v>-0.14349999999999999</v>
      </c>
      <c r="I112" s="322"/>
      <c r="J112" s="322"/>
      <c r="K112" s="327" t="s">
        <v>607</v>
      </c>
      <c r="L112" s="322" t="s">
        <v>365</v>
      </c>
    </row>
    <row r="113" spans="1:12" x14ac:dyDescent="0.25">
      <c r="A113" s="321"/>
      <c r="B113" s="322"/>
      <c r="C113" s="270" t="s">
        <v>108</v>
      </c>
      <c r="D113" s="323"/>
      <c r="E113" s="322"/>
      <c r="F113" s="324"/>
      <c r="G113" s="324"/>
      <c r="H113" s="324"/>
      <c r="I113" s="322"/>
      <c r="J113" s="322"/>
      <c r="K113" s="327"/>
      <c r="L113" s="322"/>
    </row>
    <row r="114" spans="1:12" x14ac:dyDescent="0.25">
      <c r="A114" s="321"/>
      <c r="B114" s="322">
        <v>45</v>
      </c>
      <c r="C114" s="270" t="s">
        <v>97</v>
      </c>
      <c r="D114" s="323" t="s">
        <v>608</v>
      </c>
      <c r="E114" s="322" t="s">
        <v>609</v>
      </c>
      <c r="F114" s="324">
        <v>-1.49E-2</v>
      </c>
      <c r="G114" s="324">
        <v>-0.18099999999999999</v>
      </c>
      <c r="H114" s="324">
        <v>-9.4700000000000006E-2</v>
      </c>
      <c r="I114" s="322"/>
      <c r="J114" s="322"/>
      <c r="K114" s="327" t="s">
        <v>610</v>
      </c>
      <c r="L114" s="322" t="s">
        <v>611</v>
      </c>
    </row>
    <row r="115" spans="1:12" x14ac:dyDescent="0.25">
      <c r="A115" s="321"/>
      <c r="B115" s="322"/>
      <c r="C115" s="270" t="s">
        <v>98</v>
      </c>
      <c r="D115" s="323"/>
      <c r="E115" s="322"/>
      <c r="F115" s="324"/>
      <c r="G115" s="324"/>
      <c r="H115" s="324"/>
      <c r="I115" s="322"/>
      <c r="J115" s="322"/>
      <c r="K115" s="327"/>
      <c r="L115" s="322"/>
    </row>
    <row r="116" spans="1:12" x14ac:dyDescent="0.25">
      <c r="A116" s="321"/>
      <c r="B116" s="322">
        <v>46</v>
      </c>
      <c r="C116" s="270" t="s">
        <v>111</v>
      </c>
      <c r="D116" s="323" t="s">
        <v>612</v>
      </c>
      <c r="E116" s="322" t="s">
        <v>613</v>
      </c>
      <c r="F116" s="324">
        <v>3.0999999999999999E-3</v>
      </c>
      <c r="G116" s="324">
        <v>-3.2000000000000001E-2</v>
      </c>
      <c r="H116" s="324">
        <v>-1.6400000000000001E-2</v>
      </c>
      <c r="I116" s="322"/>
      <c r="J116" s="322"/>
      <c r="K116" s="327" t="s">
        <v>614</v>
      </c>
      <c r="L116" s="322" t="s">
        <v>381</v>
      </c>
    </row>
    <row r="117" spans="1:12" x14ac:dyDescent="0.25">
      <c r="A117" s="321"/>
      <c r="B117" s="322"/>
      <c r="C117" s="270" t="s">
        <v>112</v>
      </c>
      <c r="D117" s="323"/>
      <c r="E117" s="322"/>
      <c r="F117" s="324"/>
      <c r="G117" s="324"/>
      <c r="H117" s="324"/>
      <c r="I117" s="322"/>
      <c r="J117" s="322"/>
      <c r="K117" s="327"/>
      <c r="L117" s="322"/>
    </row>
    <row r="118" spans="1:12" x14ac:dyDescent="0.25">
      <c r="A118" s="321"/>
      <c r="B118" s="322"/>
      <c r="C118" s="6" t="s">
        <v>32</v>
      </c>
      <c r="D118" s="323"/>
      <c r="E118" s="322"/>
      <c r="F118" s="324"/>
      <c r="G118" s="324"/>
      <c r="H118" s="324"/>
      <c r="I118" s="322"/>
      <c r="J118" s="322"/>
      <c r="K118" s="327"/>
      <c r="L118" s="322"/>
    </row>
    <row r="119" spans="1:12" x14ac:dyDescent="0.25">
      <c r="A119" s="321"/>
      <c r="B119" s="322">
        <v>47</v>
      </c>
      <c r="C119" s="270" t="s">
        <v>105</v>
      </c>
      <c r="D119" s="323" t="s">
        <v>615</v>
      </c>
      <c r="E119" s="322" t="s">
        <v>441</v>
      </c>
      <c r="F119" s="324">
        <v>-2.7000000000000001E-3</v>
      </c>
      <c r="G119" s="324">
        <v>-0.10340000000000001</v>
      </c>
      <c r="H119" s="324">
        <v>-0.1198</v>
      </c>
      <c r="I119" s="322"/>
      <c r="J119" s="322"/>
      <c r="K119" s="327" t="s">
        <v>616</v>
      </c>
      <c r="L119" s="322" t="s">
        <v>439</v>
      </c>
    </row>
    <row r="120" spans="1:12" x14ac:dyDescent="0.25">
      <c r="A120" s="321"/>
      <c r="B120" s="322"/>
      <c r="C120" s="270" t="s">
        <v>106</v>
      </c>
      <c r="D120" s="323"/>
      <c r="E120" s="322"/>
      <c r="F120" s="324"/>
      <c r="G120" s="324"/>
      <c r="H120" s="324"/>
      <c r="I120" s="322"/>
      <c r="J120" s="322"/>
      <c r="K120" s="327"/>
      <c r="L120" s="322"/>
    </row>
    <row r="121" spans="1:12" x14ac:dyDescent="0.25">
      <c r="A121" s="321"/>
      <c r="B121" s="322"/>
      <c r="C121" s="6" t="s">
        <v>32</v>
      </c>
      <c r="D121" s="323"/>
      <c r="E121" s="322"/>
      <c r="F121" s="324"/>
      <c r="G121" s="324"/>
      <c r="H121" s="324"/>
      <c r="I121" s="322"/>
      <c r="J121" s="322"/>
      <c r="K121" s="327"/>
      <c r="L121" s="322"/>
    </row>
    <row r="122" spans="1:12" x14ac:dyDescent="0.25">
      <c r="A122" s="321"/>
      <c r="B122" s="322">
        <v>48</v>
      </c>
      <c r="C122" s="270" t="s">
        <v>404</v>
      </c>
      <c r="D122" s="323" t="s">
        <v>617</v>
      </c>
      <c r="E122" s="322" t="s">
        <v>485</v>
      </c>
      <c r="F122" s="324">
        <v>2.8999999999999998E-3</v>
      </c>
      <c r="G122" s="324">
        <v>-8.3500000000000005E-2</v>
      </c>
      <c r="H122" s="324">
        <v>-5.9499999999999997E-2</v>
      </c>
      <c r="I122" s="322"/>
      <c r="J122" s="322"/>
      <c r="K122" s="326" t="s">
        <v>618</v>
      </c>
      <c r="L122" s="322" t="s">
        <v>619</v>
      </c>
    </row>
    <row r="123" spans="1:12" x14ac:dyDescent="0.25">
      <c r="A123" s="321"/>
      <c r="B123" s="322"/>
      <c r="C123" s="270" t="s">
        <v>94</v>
      </c>
      <c r="D123" s="323"/>
      <c r="E123" s="322"/>
      <c r="F123" s="324"/>
      <c r="G123" s="324"/>
      <c r="H123" s="324"/>
      <c r="I123" s="322"/>
      <c r="J123" s="322"/>
      <c r="K123" s="326"/>
      <c r="L123" s="322"/>
    </row>
    <row r="124" spans="1:12" x14ac:dyDescent="0.25">
      <c r="A124" s="321"/>
      <c r="B124" s="322">
        <v>49</v>
      </c>
      <c r="C124" s="270" t="s">
        <v>81</v>
      </c>
      <c r="D124" s="323" t="s">
        <v>620</v>
      </c>
      <c r="E124" s="322" t="s">
        <v>621</v>
      </c>
      <c r="F124" s="324">
        <v>8.9999999999999998E-4</v>
      </c>
      <c r="G124" s="324">
        <v>-0.1062</v>
      </c>
      <c r="H124" s="324">
        <v>-8.3900000000000002E-2</v>
      </c>
      <c r="I124" s="322"/>
      <c r="J124" s="322"/>
      <c r="K124" s="326" t="s">
        <v>622</v>
      </c>
      <c r="L124" s="322" t="s">
        <v>83</v>
      </c>
    </row>
    <row r="125" spans="1:12" x14ac:dyDescent="0.25">
      <c r="A125" s="321"/>
      <c r="B125" s="322"/>
      <c r="C125" s="270" t="s">
        <v>82</v>
      </c>
      <c r="D125" s="323"/>
      <c r="E125" s="322"/>
      <c r="F125" s="324"/>
      <c r="G125" s="324"/>
      <c r="H125" s="324"/>
      <c r="I125" s="322"/>
      <c r="J125" s="322"/>
      <c r="K125" s="326"/>
      <c r="L125" s="322"/>
    </row>
    <row r="126" spans="1:12" x14ac:dyDescent="0.25">
      <c r="A126" s="321"/>
      <c r="B126" s="322">
        <v>50</v>
      </c>
      <c r="C126" s="270" t="s">
        <v>115</v>
      </c>
      <c r="D126" s="323" t="s">
        <v>623</v>
      </c>
      <c r="E126" s="322" t="s">
        <v>624</v>
      </c>
      <c r="F126" s="324">
        <v>-6.1000000000000004E-3</v>
      </c>
      <c r="G126" s="324">
        <v>-9.1800000000000007E-2</v>
      </c>
      <c r="H126" s="324">
        <v>-2.4400000000000002E-2</v>
      </c>
      <c r="I126" s="322"/>
      <c r="J126" s="322"/>
      <c r="K126" s="326" t="s">
        <v>625</v>
      </c>
      <c r="L126" s="322" t="s">
        <v>117</v>
      </c>
    </row>
    <row r="127" spans="1:12" x14ac:dyDescent="0.25">
      <c r="A127" s="321"/>
      <c r="B127" s="322"/>
      <c r="C127" s="270" t="s">
        <v>116</v>
      </c>
      <c r="D127" s="323"/>
      <c r="E127" s="322"/>
      <c r="F127" s="324"/>
      <c r="G127" s="324"/>
      <c r="H127" s="324"/>
      <c r="I127" s="322"/>
      <c r="J127" s="322"/>
      <c r="K127" s="326"/>
      <c r="L127" s="322"/>
    </row>
    <row r="128" spans="1:12" x14ac:dyDescent="0.25">
      <c r="A128" s="321"/>
      <c r="B128" s="322"/>
      <c r="C128" s="6" t="s">
        <v>32</v>
      </c>
      <c r="D128" s="323"/>
      <c r="E128" s="322"/>
      <c r="F128" s="324"/>
      <c r="G128" s="324"/>
      <c r="H128" s="324"/>
      <c r="I128" s="322"/>
      <c r="J128" s="322"/>
      <c r="K128" s="326"/>
      <c r="L128" s="322"/>
    </row>
    <row r="129" spans="1:12" x14ac:dyDescent="0.25">
      <c r="A129" s="321"/>
      <c r="B129" s="322">
        <v>51</v>
      </c>
      <c r="C129" s="270" t="s">
        <v>353</v>
      </c>
      <c r="D129" s="323" t="s">
        <v>626</v>
      </c>
      <c r="E129" s="322" t="s">
        <v>627</v>
      </c>
      <c r="F129" s="324">
        <v>0.1017</v>
      </c>
      <c r="G129" s="324">
        <v>0.26450000000000001</v>
      </c>
      <c r="H129" s="324">
        <v>0.31669999999999998</v>
      </c>
      <c r="I129" s="322"/>
      <c r="J129" s="322"/>
      <c r="K129" s="326" t="s">
        <v>628</v>
      </c>
      <c r="L129" s="322" t="s">
        <v>422</v>
      </c>
    </row>
    <row r="130" spans="1:12" x14ac:dyDescent="0.25">
      <c r="A130" s="321"/>
      <c r="B130" s="322"/>
      <c r="C130" s="270" t="s">
        <v>354</v>
      </c>
      <c r="D130" s="323"/>
      <c r="E130" s="322"/>
      <c r="F130" s="324"/>
      <c r="G130" s="324"/>
      <c r="H130" s="324"/>
      <c r="I130" s="322"/>
      <c r="J130" s="322"/>
      <c r="K130" s="326"/>
      <c r="L130" s="322"/>
    </row>
    <row r="131" spans="1:12" x14ac:dyDescent="0.25">
      <c r="A131" s="321"/>
      <c r="B131" s="322">
        <v>52</v>
      </c>
      <c r="C131" s="270" t="s">
        <v>103</v>
      </c>
      <c r="D131" s="323" t="s">
        <v>33</v>
      </c>
      <c r="E131" s="322" t="s">
        <v>410</v>
      </c>
      <c r="F131" s="324">
        <v>-5.1000000000000004E-3</v>
      </c>
      <c r="G131" s="324">
        <v>-4.4999999999999997E-3</v>
      </c>
      <c r="H131" s="324">
        <v>-1.6000000000000001E-3</v>
      </c>
      <c r="I131" s="322"/>
      <c r="J131" s="322"/>
      <c r="K131" s="326" t="s">
        <v>629</v>
      </c>
      <c r="L131" s="322" t="s">
        <v>380</v>
      </c>
    </row>
    <row r="132" spans="1:12" x14ac:dyDescent="0.25">
      <c r="A132" s="321"/>
      <c r="B132" s="322"/>
      <c r="C132" s="270" t="s">
        <v>104</v>
      </c>
      <c r="D132" s="323"/>
      <c r="E132" s="322"/>
      <c r="F132" s="324"/>
      <c r="G132" s="324"/>
      <c r="H132" s="324"/>
      <c r="I132" s="322"/>
      <c r="J132" s="322"/>
      <c r="K132" s="326"/>
      <c r="L132" s="322"/>
    </row>
    <row r="133" spans="1:12" x14ac:dyDescent="0.25">
      <c r="A133" s="321"/>
      <c r="B133" s="322">
        <v>53</v>
      </c>
      <c r="C133" s="270" t="s">
        <v>95</v>
      </c>
      <c r="D133" s="323" t="s">
        <v>443</v>
      </c>
      <c r="E133" s="322" t="s">
        <v>630</v>
      </c>
      <c r="F133" s="324">
        <v>-2E-3</v>
      </c>
      <c r="G133" s="324">
        <v>-0.1263</v>
      </c>
      <c r="H133" s="324">
        <v>-2.0299999999999999E-2</v>
      </c>
      <c r="I133" s="322"/>
      <c r="J133" s="322"/>
      <c r="K133" s="326" t="s">
        <v>631</v>
      </c>
      <c r="L133" s="322" t="s">
        <v>632</v>
      </c>
    </row>
    <row r="134" spans="1:12" x14ac:dyDescent="0.25">
      <c r="A134" s="321"/>
      <c r="B134" s="322"/>
      <c r="C134" s="270" t="s">
        <v>96</v>
      </c>
      <c r="D134" s="323"/>
      <c r="E134" s="322"/>
      <c r="F134" s="324"/>
      <c r="G134" s="324"/>
      <c r="H134" s="324"/>
      <c r="I134" s="322"/>
      <c r="J134" s="322"/>
      <c r="K134" s="326"/>
      <c r="L134" s="322"/>
    </row>
    <row r="135" spans="1:12" x14ac:dyDescent="0.25">
      <c r="A135" s="321"/>
      <c r="B135" s="322"/>
      <c r="C135" s="6" t="s">
        <v>32</v>
      </c>
      <c r="D135" s="323"/>
      <c r="E135" s="322"/>
      <c r="F135" s="324"/>
      <c r="G135" s="324"/>
      <c r="H135" s="324"/>
      <c r="I135" s="322"/>
      <c r="J135" s="322"/>
      <c r="K135" s="326"/>
      <c r="L135" s="322"/>
    </row>
    <row r="136" spans="1:12" x14ac:dyDescent="0.25">
      <c r="A136" s="321"/>
      <c r="B136" s="322">
        <v>54</v>
      </c>
      <c r="C136" s="270" t="s">
        <v>320</v>
      </c>
      <c r="D136" s="323" t="s">
        <v>633</v>
      </c>
      <c r="E136" s="322" t="s">
        <v>634</v>
      </c>
      <c r="F136" s="324">
        <v>-1E-3</v>
      </c>
      <c r="G136" s="324">
        <v>-0.1096</v>
      </c>
      <c r="H136" s="324">
        <v>-4.7899999999999998E-2</v>
      </c>
      <c r="I136" s="322"/>
      <c r="J136" s="322"/>
      <c r="K136" s="327" t="s">
        <v>635</v>
      </c>
      <c r="L136" s="322" t="s">
        <v>636</v>
      </c>
    </row>
    <row r="137" spans="1:12" x14ac:dyDescent="0.25">
      <c r="A137" s="321"/>
      <c r="B137" s="322"/>
      <c r="C137" s="270" t="s">
        <v>321</v>
      </c>
      <c r="D137" s="323"/>
      <c r="E137" s="322"/>
      <c r="F137" s="324"/>
      <c r="G137" s="324"/>
      <c r="H137" s="324"/>
      <c r="I137" s="322"/>
      <c r="J137" s="322"/>
      <c r="K137" s="327"/>
      <c r="L137" s="322"/>
    </row>
    <row r="138" spans="1:12" x14ac:dyDescent="0.25">
      <c r="A138" s="321"/>
      <c r="B138" s="322">
        <v>55</v>
      </c>
      <c r="C138" s="270" t="s">
        <v>109</v>
      </c>
      <c r="D138" s="323" t="s">
        <v>33</v>
      </c>
      <c r="E138" s="322" t="s">
        <v>637</v>
      </c>
      <c r="F138" s="324">
        <v>2.8999999999999998E-3</v>
      </c>
      <c r="G138" s="324">
        <v>3.8E-3</v>
      </c>
      <c r="H138" s="324">
        <v>8.0000000000000004E-4</v>
      </c>
      <c r="I138" s="322"/>
      <c r="J138" s="322"/>
      <c r="K138" s="326" t="s">
        <v>638</v>
      </c>
      <c r="L138" s="322" t="s">
        <v>639</v>
      </c>
    </row>
    <row r="139" spans="1:12" x14ac:dyDescent="0.25">
      <c r="A139" s="321"/>
      <c r="B139" s="322"/>
      <c r="C139" s="270" t="s">
        <v>110</v>
      </c>
      <c r="D139" s="323"/>
      <c r="E139" s="322"/>
      <c r="F139" s="324"/>
      <c r="G139" s="324"/>
      <c r="H139" s="324"/>
      <c r="I139" s="322"/>
      <c r="J139" s="322"/>
      <c r="K139" s="326"/>
      <c r="L139" s="322"/>
    </row>
    <row r="140" spans="1:12" x14ac:dyDescent="0.25">
      <c r="A140" s="321"/>
      <c r="B140" s="322">
        <v>56</v>
      </c>
      <c r="C140" s="270" t="s">
        <v>373</v>
      </c>
      <c r="D140" s="323" t="s">
        <v>640</v>
      </c>
      <c r="E140" s="322" t="s">
        <v>641</v>
      </c>
      <c r="F140" s="324">
        <v>-1.9900000000000001E-2</v>
      </c>
      <c r="G140" s="324">
        <v>-7.9299999999999995E-2</v>
      </c>
      <c r="H140" s="324">
        <v>0.15609999999999999</v>
      </c>
      <c r="I140" s="322"/>
      <c r="J140" s="322"/>
      <c r="K140" s="327" t="s">
        <v>642</v>
      </c>
      <c r="L140" s="322" t="s">
        <v>643</v>
      </c>
    </row>
    <row r="141" spans="1:12" x14ac:dyDescent="0.25">
      <c r="A141" s="321"/>
      <c r="B141" s="322"/>
      <c r="C141" s="270" t="s">
        <v>374</v>
      </c>
      <c r="D141" s="323"/>
      <c r="E141" s="322"/>
      <c r="F141" s="324"/>
      <c r="G141" s="324"/>
      <c r="H141" s="324"/>
      <c r="I141" s="322"/>
      <c r="J141" s="322"/>
      <c r="K141" s="327"/>
      <c r="L141" s="322"/>
    </row>
    <row r="142" spans="1:12" x14ac:dyDescent="0.25">
      <c r="A142" s="321"/>
      <c r="B142" s="322">
        <v>57</v>
      </c>
      <c r="C142" s="270" t="s">
        <v>133</v>
      </c>
      <c r="D142" s="323" t="s">
        <v>33</v>
      </c>
      <c r="E142" s="322" t="s">
        <v>644</v>
      </c>
      <c r="F142" s="324">
        <v>-5.9999999999999995E-4</v>
      </c>
      <c r="G142" s="324">
        <v>5.4999999999999997E-3</v>
      </c>
      <c r="H142" s="324">
        <v>-2.8E-3</v>
      </c>
      <c r="I142" s="322"/>
      <c r="J142" s="322"/>
      <c r="K142" s="325" t="s">
        <v>645</v>
      </c>
      <c r="L142" s="322" t="s">
        <v>646</v>
      </c>
    </row>
    <row r="143" spans="1:12" x14ac:dyDescent="0.25">
      <c r="A143" s="321"/>
      <c r="B143" s="322"/>
      <c r="C143" s="270" t="s">
        <v>134</v>
      </c>
      <c r="D143" s="323"/>
      <c r="E143" s="322"/>
      <c r="F143" s="324"/>
      <c r="G143" s="324"/>
      <c r="H143" s="324"/>
      <c r="I143" s="322"/>
      <c r="J143" s="322"/>
      <c r="K143" s="325"/>
      <c r="L143" s="322"/>
    </row>
    <row r="144" spans="1:12" x14ac:dyDescent="0.25">
      <c r="A144" s="321"/>
      <c r="B144" s="322">
        <v>58</v>
      </c>
      <c r="C144" s="270" t="s">
        <v>122</v>
      </c>
      <c r="D144" s="323" t="s">
        <v>647</v>
      </c>
      <c r="E144" s="322" t="s">
        <v>648</v>
      </c>
      <c r="F144" s="324">
        <v>3.0000000000000001E-3</v>
      </c>
      <c r="G144" s="324">
        <v>-6.3799999999999996E-2</v>
      </c>
      <c r="H144" s="324">
        <v>-0.13980000000000001</v>
      </c>
      <c r="I144" s="322"/>
      <c r="J144" s="322"/>
      <c r="K144" s="326" t="s">
        <v>649</v>
      </c>
      <c r="L144" s="322" t="s">
        <v>418</v>
      </c>
    </row>
    <row r="145" spans="1:12" x14ac:dyDescent="0.25">
      <c r="A145" s="321"/>
      <c r="B145" s="322"/>
      <c r="C145" s="270" t="s">
        <v>123</v>
      </c>
      <c r="D145" s="323"/>
      <c r="E145" s="322"/>
      <c r="F145" s="324"/>
      <c r="G145" s="324"/>
      <c r="H145" s="324"/>
      <c r="I145" s="322"/>
      <c r="J145" s="322"/>
      <c r="K145" s="326"/>
      <c r="L145" s="322"/>
    </row>
    <row r="146" spans="1:12" x14ac:dyDescent="0.25">
      <c r="A146" s="321"/>
      <c r="B146" s="322"/>
      <c r="C146" s="6" t="s">
        <v>32</v>
      </c>
      <c r="D146" s="323"/>
      <c r="E146" s="322"/>
      <c r="F146" s="324"/>
      <c r="G146" s="324"/>
      <c r="H146" s="324"/>
      <c r="I146" s="322"/>
      <c r="J146" s="322"/>
      <c r="K146" s="326"/>
      <c r="L146" s="322"/>
    </row>
    <row r="147" spans="1:12" x14ac:dyDescent="0.25">
      <c r="A147" s="321"/>
      <c r="B147" s="322">
        <v>59</v>
      </c>
      <c r="C147" s="270" t="s">
        <v>419</v>
      </c>
      <c r="D147" s="323" t="s">
        <v>650</v>
      </c>
      <c r="E147" s="322" t="s">
        <v>651</v>
      </c>
      <c r="F147" s="324">
        <v>-3.8E-3</v>
      </c>
      <c r="G147" s="324">
        <v>-5.8700000000000002E-2</v>
      </c>
      <c r="H147" s="324">
        <v>-6.0600000000000001E-2</v>
      </c>
      <c r="I147" s="322"/>
      <c r="J147" s="322"/>
      <c r="K147" s="325" t="s">
        <v>652</v>
      </c>
      <c r="L147" s="322" t="s">
        <v>421</v>
      </c>
    </row>
    <row r="148" spans="1:12" x14ac:dyDescent="0.25">
      <c r="A148" s="321"/>
      <c r="B148" s="322"/>
      <c r="C148" s="270" t="s">
        <v>420</v>
      </c>
      <c r="D148" s="323"/>
      <c r="E148" s="322"/>
      <c r="F148" s="324"/>
      <c r="G148" s="324"/>
      <c r="H148" s="324"/>
      <c r="I148" s="322"/>
      <c r="J148" s="322"/>
      <c r="K148" s="325"/>
      <c r="L148" s="322"/>
    </row>
    <row r="149" spans="1:12" x14ac:dyDescent="0.25">
      <c r="A149" s="321"/>
      <c r="B149" s="322">
        <v>60</v>
      </c>
      <c r="C149" s="270" t="s">
        <v>124</v>
      </c>
      <c r="D149" s="323" t="s">
        <v>653</v>
      </c>
      <c r="E149" s="322" t="s">
        <v>654</v>
      </c>
      <c r="F149" s="324">
        <v>2.2000000000000001E-3</v>
      </c>
      <c r="G149" s="324">
        <v>-3.8600000000000002E-2</v>
      </c>
      <c r="H149" s="324">
        <v>-3.6400000000000002E-2</v>
      </c>
      <c r="I149" s="322"/>
      <c r="J149" s="322"/>
      <c r="K149" s="326" t="s">
        <v>655</v>
      </c>
      <c r="L149" s="322" t="s">
        <v>397</v>
      </c>
    </row>
    <row r="150" spans="1:12" x14ac:dyDescent="0.25">
      <c r="A150" s="321"/>
      <c r="B150" s="322"/>
      <c r="C150" s="270" t="s">
        <v>125</v>
      </c>
      <c r="D150" s="323"/>
      <c r="E150" s="322"/>
      <c r="F150" s="324"/>
      <c r="G150" s="324"/>
      <c r="H150" s="324"/>
      <c r="I150" s="322"/>
      <c r="J150" s="322"/>
      <c r="K150" s="326"/>
      <c r="L150" s="322"/>
    </row>
    <row r="151" spans="1:12" x14ac:dyDescent="0.25">
      <c r="A151" s="321"/>
      <c r="B151" s="322"/>
      <c r="C151" s="6" t="s">
        <v>32</v>
      </c>
      <c r="D151" s="323"/>
      <c r="E151" s="322"/>
      <c r="F151" s="324"/>
      <c r="G151" s="324"/>
      <c r="H151" s="324"/>
      <c r="I151" s="322"/>
      <c r="J151" s="322"/>
      <c r="K151" s="326"/>
      <c r="L151" s="322"/>
    </row>
    <row r="152" spans="1:12" x14ac:dyDescent="0.25">
      <c r="A152" s="321"/>
      <c r="B152" s="322">
        <v>61</v>
      </c>
      <c r="C152" s="270" t="s">
        <v>164</v>
      </c>
      <c r="D152" s="323" t="s">
        <v>656</v>
      </c>
      <c r="E152" s="322" t="s">
        <v>657</v>
      </c>
      <c r="F152" s="322" t="s">
        <v>414</v>
      </c>
      <c r="G152" s="324">
        <v>-0.115</v>
      </c>
      <c r="H152" s="324">
        <v>-5.1700000000000003E-2</v>
      </c>
      <c r="I152" s="322"/>
      <c r="J152" s="322"/>
      <c r="K152" s="326" t="s">
        <v>658</v>
      </c>
      <c r="L152" s="322" t="s">
        <v>659</v>
      </c>
    </row>
    <row r="153" spans="1:12" x14ac:dyDescent="0.25">
      <c r="A153" s="321"/>
      <c r="B153" s="322"/>
      <c r="C153" s="270" t="s">
        <v>165</v>
      </c>
      <c r="D153" s="323"/>
      <c r="E153" s="322"/>
      <c r="F153" s="322"/>
      <c r="G153" s="324"/>
      <c r="H153" s="324"/>
      <c r="I153" s="322"/>
      <c r="J153" s="322"/>
      <c r="K153" s="326"/>
      <c r="L153" s="322"/>
    </row>
    <row r="154" spans="1:12" x14ac:dyDescent="0.25">
      <c r="A154" s="321"/>
      <c r="B154" s="322"/>
      <c r="C154" s="6" t="s">
        <v>32</v>
      </c>
      <c r="D154" s="323"/>
      <c r="E154" s="322"/>
      <c r="F154" s="322"/>
      <c r="G154" s="324"/>
      <c r="H154" s="324"/>
      <c r="I154" s="322"/>
      <c r="J154" s="322"/>
      <c r="K154" s="326"/>
      <c r="L154" s="322"/>
    </row>
    <row r="155" spans="1:12" x14ac:dyDescent="0.25">
      <c r="A155" s="321"/>
      <c r="B155" s="322">
        <v>62</v>
      </c>
      <c r="C155" s="270" t="s">
        <v>150</v>
      </c>
      <c r="D155" s="323" t="s">
        <v>405</v>
      </c>
      <c r="E155" s="322" t="s">
        <v>660</v>
      </c>
      <c r="F155" s="324">
        <v>-1.9E-3</v>
      </c>
      <c r="G155" s="324">
        <v>-0.1162</v>
      </c>
      <c r="H155" s="324">
        <v>-1.5599999999999999E-2</v>
      </c>
      <c r="I155" s="322"/>
      <c r="J155" s="322"/>
      <c r="K155" s="327" t="s">
        <v>661</v>
      </c>
      <c r="L155" s="322" t="s">
        <v>152</v>
      </c>
    </row>
    <row r="156" spans="1:12" x14ac:dyDescent="0.25">
      <c r="A156" s="321"/>
      <c r="B156" s="322"/>
      <c r="C156" s="270" t="s">
        <v>151</v>
      </c>
      <c r="D156" s="323"/>
      <c r="E156" s="322"/>
      <c r="F156" s="324"/>
      <c r="G156" s="324"/>
      <c r="H156" s="324"/>
      <c r="I156" s="322"/>
      <c r="J156" s="322"/>
      <c r="K156" s="327"/>
      <c r="L156" s="322"/>
    </row>
    <row r="157" spans="1:12" x14ac:dyDescent="0.25">
      <c r="A157" s="321"/>
      <c r="B157" s="322"/>
      <c r="C157" s="6" t="s">
        <v>32</v>
      </c>
      <c r="D157" s="323"/>
      <c r="E157" s="322"/>
      <c r="F157" s="324"/>
      <c r="G157" s="324"/>
      <c r="H157" s="324"/>
      <c r="I157" s="322"/>
      <c r="J157" s="322"/>
      <c r="K157" s="327"/>
      <c r="L157" s="322"/>
    </row>
    <row r="158" spans="1:12" x14ac:dyDescent="0.25">
      <c r="A158" s="321"/>
      <c r="B158" s="322">
        <v>63</v>
      </c>
      <c r="C158" s="270" t="s">
        <v>371</v>
      </c>
      <c r="D158" s="323" t="s">
        <v>662</v>
      </c>
      <c r="E158" s="322" t="s">
        <v>663</v>
      </c>
      <c r="F158" s="324">
        <v>3.7000000000000002E-3</v>
      </c>
      <c r="G158" s="324">
        <v>-0.14480000000000001</v>
      </c>
      <c r="H158" s="324">
        <v>-7.4399999999999994E-2</v>
      </c>
      <c r="I158" s="322"/>
      <c r="J158" s="322"/>
      <c r="K158" s="327" t="s">
        <v>664</v>
      </c>
      <c r="L158" s="322" t="s">
        <v>665</v>
      </c>
    </row>
    <row r="159" spans="1:12" x14ac:dyDescent="0.25">
      <c r="A159" s="321"/>
      <c r="B159" s="322"/>
      <c r="C159" s="270" t="s">
        <v>372</v>
      </c>
      <c r="D159" s="323"/>
      <c r="E159" s="322"/>
      <c r="F159" s="324"/>
      <c r="G159" s="324"/>
      <c r="H159" s="324"/>
      <c r="I159" s="322"/>
      <c r="J159" s="322"/>
      <c r="K159" s="327"/>
      <c r="L159" s="322"/>
    </row>
    <row r="160" spans="1:12" x14ac:dyDescent="0.25">
      <c r="A160" s="321"/>
      <c r="B160" s="322"/>
      <c r="C160" s="6" t="s">
        <v>32</v>
      </c>
      <c r="D160" s="323"/>
      <c r="E160" s="322"/>
      <c r="F160" s="324"/>
      <c r="G160" s="324"/>
      <c r="H160" s="324"/>
      <c r="I160" s="322"/>
      <c r="J160" s="322"/>
      <c r="K160" s="327"/>
      <c r="L160" s="322"/>
    </row>
    <row r="161" spans="1:12" x14ac:dyDescent="0.25">
      <c r="A161" s="321"/>
      <c r="B161" s="322">
        <v>64</v>
      </c>
      <c r="C161" s="270" t="s">
        <v>153</v>
      </c>
      <c r="D161" s="323" t="s">
        <v>33</v>
      </c>
      <c r="E161" s="322" t="s">
        <v>666</v>
      </c>
      <c r="F161" s="324">
        <v>3.8E-3</v>
      </c>
      <c r="G161" s="324">
        <v>5.4000000000000003E-3</v>
      </c>
      <c r="H161" s="324">
        <v>-2.8E-3</v>
      </c>
      <c r="I161" s="322"/>
      <c r="J161" s="322"/>
      <c r="K161" s="326" t="s">
        <v>667</v>
      </c>
      <c r="L161" s="322" t="s">
        <v>368</v>
      </c>
    </row>
    <row r="162" spans="1:12" x14ac:dyDescent="0.25">
      <c r="A162" s="321"/>
      <c r="B162" s="322"/>
      <c r="C162" s="270" t="s">
        <v>154</v>
      </c>
      <c r="D162" s="323"/>
      <c r="E162" s="322"/>
      <c r="F162" s="324"/>
      <c r="G162" s="324"/>
      <c r="H162" s="324"/>
      <c r="I162" s="322"/>
      <c r="J162" s="322"/>
      <c r="K162" s="326"/>
      <c r="L162" s="322"/>
    </row>
    <row r="163" spans="1:12" x14ac:dyDescent="0.25">
      <c r="A163" s="321"/>
      <c r="B163" s="322">
        <v>65</v>
      </c>
      <c r="C163" s="270" t="s">
        <v>389</v>
      </c>
      <c r="D163" s="323" t="s">
        <v>668</v>
      </c>
      <c r="E163" s="322" t="s">
        <v>669</v>
      </c>
      <c r="F163" s="324">
        <v>-6.4999999999999997E-3</v>
      </c>
      <c r="G163" s="324">
        <v>-0.13719999999999999</v>
      </c>
      <c r="H163" s="324">
        <v>1.29E-2</v>
      </c>
      <c r="I163" s="322"/>
      <c r="J163" s="322"/>
      <c r="K163" s="326" t="s">
        <v>670</v>
      </c>
      <c r="L163" s="322" t="s">
        <v>445</v>
      </c>
    </row>
    <row r="164" spans="1:12" x14ac:dyDescent="0.25">
      <c r="A164" s="321"/>
      <c r="B164" s="322"/>
      <c r="C164" s="270" t="s">
        <v>390</v>
      </c>
      <c r="D164" s="323"/>
      <c r="E164" s="322"/>
      <c r="F164" s="324"/>
      <c r="G164" s="324"/>
      <c r="H164" s="324"/>
      <c r="I164" s="322"/>
      <c r="J164" s="322"/>
      <c r="K164" s="326"/>
      <c r="L164" s="322"/>
    </row>
    <row r="165" spans="1:12" x14ac:dyDescent="0.25">
      <c r="A165" s="321"/>
      <c r="B165" s="322">
        <v>66</v>
      </c>
      <c r="C165" s="270" t="s">
        <v>146</v>
      </c>
      <c r="D165" s="323" t="s">
        <v>671</v>
      </c>
      <c r="E165" s="322" t="s">
        <v>672</v>
      </c>
      <c r="F165" s="324">
        <v>6.9999999999999999E-4</v>
      </c>
      <c r="G165" s="324">
        <v>-0.1076</v>
      </c>
      <c r="H165" s="324">
        <v>4.1000000000000003E-3</v>
      </c>
      <c r="I165" s="322"/>
      <c r="J165" s="322"/>
      <c r="K165" s="327" t="s">
        <v>673</v>
      </c>
      <c r="L165" s="322" t="s">
        <v>674</v>
      </c>
    </row>
    <row r="166" spans="1:12" x14ac:dyDescent="0.25">
      <c r="A166" s="321"/>
      <c r="B166" s="322"/>
      <c r="C166" s="270" t="s">
        <v>147</v>
      </c>
      <c r="D166" s="323"/>
      <c r="E166" s="322"/>
      <c r="F166" s="324"/>
      <c r="G166" s="324"/>
      <c r="H166" s="324"/>
      <c r="I166" s="322"/>
      <c r="J166" s="322"/>
      <c r="K166" s="327"/>
      <c r="L166" s="322"/>
    </row>
    <row r="167" spans="1:12" x14ac:dyDescent="0.25">
      <c r="A167" s="321"/>
      <c r="B167" s="322"/>
      <c r="C167" s="6" t="s">
        <v>32</v>
      </c>
      <c r="D167" s="323"/>
      <c r="E167" s="322"/>
      <c r="F167" s="324"/>
      <c r="G167" s="324"/>
      <c r="H167" s="324"/>
      <c r="I167" s="322"/>
      <c r="J167" s="322"/>
      <c r="K167" s="327"/>
      <c r="L167" s="322"/>
    </row>
    <row r="168" spans="1:12" x14ac:dyDescent="0.25">
      <c r="A168" s="321"/>
      <c r="B168" s="322">
        <v>67</v>
      </c>
      <c r="C168" s="270" t="s">
        <v>128</v>
      </c>
      <c r="D168" s="323" t="s">
        <v>675</v>
      </c>
      <c r="E168" s="322" t="s">
        <v>676</v>
      </c>
      <c r="F168" s="324">
        <v>1.41E-2</v>
      </c>
      <c r="G168" s="324">
        <v>-5.21E-2</v>
      </c>
      <c r="H168" s="324">
        <v>-4.9799999999999997E-2</v>
      </c>
      <c r="I168" s="322"/>
      <c r="J168" s="322"/>
      <c r="K168" s="326" t="s">
        <v>677</v>
      </c>
      <c r="L168" s="322" t="s">
        <v>398</v>
      </c>
    </row>
    <row r="169" spans="1:12" x14ac:dyDescent="0.25">
      <c r="A169" s="321"/>
      <c r="B169" s="322"/>
      <c r="C169" s="270" t="s">
        <v>129</v>
      </c>
      <c r="D169" s="323"/>
      <c r="E169" s="322"/>
      <c r="F169" s="324"/>
      <c r="G169" s="324"/>
      <c r="H169" s="324"/>
      <c r="I169" s="322"/>
      <c r="J169" s="322"/>
      <c r="K169" s="326"/>
      <c r="L169" s="322"/>
    </row>
    <row r="170" spans="1:12" x14ac:dyDescent="0.25">
      <c r="A170" s="321"/>
      <c r="B170" s="322">
        <v>68</v>
      </c>
      <c r="C170" s="270" t="s">
        <v>143</v>
      </c>
      <c r="D170" s="323" t="s">
        <v>678</v>
      </c>
      <c r="E170" s="322" t="s">
        <v>679</v>
      </c>
      <c r="F170" s="324">
        <v>1.06E-2</v>
      </c>
      <c r="G170" s="324">
        <v>3.6999999999999998E-2</v>
      </c>
      <c r="H170" s="324">
        <v>6.13E-2</v>
      </c>
      <c r="I170" s="322"/>
      <c r="J170" s="322"/>
      <c r="K170" s="327" t="s">
        <v>680</v>
      </c>
      <c r="L170" s="322" t="s">
        <v>145</v>
      </c>
    </row>
    <row r="171" spans="1:12" x14ac:dyDescent="0.25">
      <c r="A171" s="321"/>
      <c r="B171" s="322"/>
      <c r="C171" s="270" t="s">
        <v>144</v>
      </c>
      <c r="D171" s="323"/>
      <c r="E171" s="322"/>
      <c r="F171" s="324"/>
      <c r="G171" s="324"/>
      <c r="H171" s="324"/>
      <c r="I171" s="322"/>
      <c r="J171" s="322"/>
      <c r="K171" s="327"/>
      <c r="L171" s="322"/>
    </row>
    <row r="172" spans="1:12" x14ac:dyDescent="0.25">
      <c r="A172" s="321"/>
      <c r="B172" s="322">
        <v>69</v>
      </c>
      <c r="C172" s="270" t="s">
        <v>166</v>
      </c>
      <c r="D172" s="323" t="s">
        <v>423</v>
      </c>
      <c r="E172" s="322" t="s">
        <v>681</v>
      </c>
      <c r="F172" s="324">
        <v>1.1000000000000001E-3</v>
      </c>
      <c r="G172" s="324">
        <v>-4.4900000000000002E-2</v>
      </c>
      <c r="H172" s="324">
        <v>3.9600000000000003E-2</v>
      </c>
      <c r="I172" s="322"/>
      <c r="J172" s="322"/>
      <c r="K172" s="326" t="s">
        <v>682</v>
      </c>
      <c r="L172" s="322" t="s">
        <v>424</v>
      </c>
    </row>
    <row r="173" spans="1:12" x14ac:dyDescent="0.25">
      <c r="A173" s="321"/>
      <c r="B173" s="322"/>
      <c r="C173" s="270" t="s">
        <v>167</v>
      </c>
      <c r="D173" s="323"/>
      <c r="E173" s="322"/>
      <c r="F173" s="324"/>
      <c r="G173" s="324"/>
      <c r="H173" s="324"/>
      <c r="I173" s="322"/>
      <c r="J173" s="322"/>
      <c r="K173" s="326"/>
      <c r="L173" s="322"/>
    </row>
    <row r="174" spans="1:12" x14ac:dyDescent="0.25">
      <c r="A174" s="321"/>
      <c r="B174" s="322">
        <v>70</v>
      </c>
      <c r="C174" s="270" t="s">
        <v>135</v>
      </c>
      <c r="D174" s="323" t="s">
        <v>683</v>
      </c>
      <c r="E174" s="322" t="s">
        <v>684</v>
      </c>
      <c r="F174" s="324">
        <v>-7.3000000000000001E-3</v>
      </c>
      <c r="G174" s="324">
        <v>-9.6600000000000005E-2</v>
      </c>
      <c r="H174" s="324">
        <v>-9.7900000000000001E-2</v>
      </c>
      <c r="I174" s="322"/>
      <c r="J174" s="322"/>
      <c r="K174" s="326" t="s">
        <v>685</v>
      </c>
      <c r="L174" s="322" t="s">
        <v>444</v>
      </c>
    </row>
    <row r="175" spans="1:12" x14ac:dyDescent="0.25">
      <c r="A175" s="321"/>
      <c r="B175" s="322"/>
      <c r="C175" s="270" t="s">
        <v>136</v>
      </c>
      <c r="D175" s="323"/>
      <c r="E175" s="322"/>
      <c r="F175" s="324"/>
      <c r="G175" s="324"/>
      <c r="H175" s="324"/>
      <c r="I175" s="322"/>
      <c r="J175" s="322"/>
      <c r="K175" s="326"/>
      <c r="L175" s="322"/>
    </row>
    <row r="176" spans="1:12" x14ac:dyDescent="0.25">
      <c r="A176" s="321"/>
      <c r="B176" s="322">
        <v>71</v>
      </c>
      <c r="C176" s="270" t="s">
        <v>158</v>
      </c>
      <c r="D176" s="323" t="s">
        <v>686</v>
      </c>
      <c r="E176" s="322" t="s">
        <v>687</v>
      </c>
      <c r="F176" s="324">
        <v>6.0000000000000001E-3</v>
      </c>
      <c r="G176" s="324">
        <v>-9.5399999999999999E-2</v>
      </c>
      <c r="H176" s="324">
        <v>-5.5500000000000001E-2</v>
      </c>
      <c r="I176" s="322"/>
      <c r="J176" s="322"/>
      <c r="K176" s="327" t="s">
        <v>688</v>
      </c>
      <c r="L176" s="322" t="s">
        <v>689</v>
      </c>
    </row>
    <row r="177" spans="1:12" x14ac:dyDescent="0.25">
      <c r="A177" s="321"/>
      <c r="B177" s="322"/>
      <c r="C177" s="270" t="s">
        <v>159</v>
      </c>
      <c r="D177" s="323"/>
      <c r="E177" s="322"/>
      <c r="F177" s="324"/>
      <c r="G177" s="324"/>
      <c r="H177" s="324"/>
      <c r="I177" s="322"/>
      <c r="J177" s="322"/>
      <c r="K177" s="327"/>
      <c r="L177" s="322"/>
    </row>
    <row r="178" spans="1:12" x14ac:dyDescent="0.25">
      <c r="A178" s="321"/>
      <c r="B178" s="322"/>
      <c r="C178" s="6" t="s">
        <v>32</v>
      </c>
      <c r="D178" s="323"/>
      <c r="E178" s="322"/>
      <c r="F178" s="324"/>
      <c r="G178" s="324"/>
      <c r="H178" s="324"/>
      <c r="I178" s="322"/>
      <c r="J178" s="322"/>
      <c r="K178" s="327"/>
      <c r="L178" s="322"/>
    </row>
    <row r="179" spans="1:12" x14ac:dyDescent="0.25">
      <c r="A179" s="321"/>
      <c r="B179" s="322">
        <v>72</v>
      </c>
      <c r="C179" s="270" t="s">
        <v>130</v>
      </c>
      <c r="D179" s="323" t="s">
        <v>690</v>
      </c>
      <c r="E179" s="322" t="s">
        <v>691</v>
      </c>
      <c r="F179" s="324">
        <v>2.8E-3</v>
      </c>
      <c r="G179" s="324">
        <v>-7.1400000000000005E-2</v>
      </c>
      <c r="H179" s="324">
        <v>-1.06E-2</v>
      </c>
      <c r="I179" s="322"/>
      <c r="J179" s="322"/>
      <c r="K179" s="326" t="s">
        <v>692</v>
      </c>
      <c r="L179" s="322" t="s">
        <v>132</v>
      </c>
    </row>
    <row r="180" spans="1:12" x14ac:dyDescent="0.25">
      <c r="A180" s="321"/>
      <c r="B180" s="322"/>
      <c r="C180" s="270" t="s">
        <v>131</v>
      </c>
      <c r="D180" s="323"/>
      <c r="E180" s="322"/>
      <c r="F180" s="324"/>
      <c r="G180" s="324"/>
      <c r="H180" s="324"/>
      <c r="I180" s="322"/>
      <c r="J180" s="322"/>
      <c r="K180" s="326"/>
      <c r="L180" s="322"/>
    </row>
    <row r="181" spans="1:12" x14ac:dyDescent="0.25">
      <c r="A181" s="321"/>
      <c r="B181" s="322"/>
      <c r="C181" s="6" t="s">
        <v>32</v>
      </c>
      <c r="D181" s="323"/>
      <c r="E181" s="322"/>
      <c r="F181" s="324"/>
      <c r="G181" s="324"/>
      <c r="H181" s="324"/>
      <c r="I181" s="322"/>
      <c r="J181" s="322"/>
      <c r="K181" s="326"/>
      <c r="L181" s="322"/>
    </row>
    <row r="182" spans="1:12" x14ac:dyDescent="0.25">
      <c r="A182" s="321"/>
      <c r="B182" s="322">
        <v>73</v>
      </c>
      <c r="C182" s="270" t="s">
        <v>126</v>
      </c>
      <c r="D182" s="323" t="s">
        <v>693</v>
      </c>
      <c r="E182" s="322" t="s">
        <v>694</v>
      </c>
      <c r="F182" s="324">
        <v>-2.0999999999999999E-3</v>
      </c>
      <c r="G182" s="324">
        <v>-8.2799999999999999E-2</v>
      </c>
      <c r="H182" s="324">
        <v>5.5199999999999999E-2</v>
      </c>
      <c r="I182" s="322"/>
      <c r="J182" s="322"/>
      <c r="K182" s="326" t="s">
        <v>695</v>
      </c>
      <c r="L182" s="322">
        <v>901.31100000000004</v>
      </c>
    </row>
    <row r="183" spans="1:12" x14ac:dyDescent="0.25">
      <c r="A183" s="321"/>
      <c r="B183" s="322"/>
      <c r="C183" s="270" t="s">
        <v>127</v>
      </c>
      <c r="D183" s="323"/>
      <c r="E183" s="322"/>
      <c r="F183" s="324"/>
      <c r="G183" s="324"/>
      <c r="H183" s="324"/>
      <c r="I183" s="322"/>
      <c r="J183" s="322"/>
      <c r="K183" s="326"/>
      <c r="L183" s="322"/>
    </row>
    <row r="184" spans="1:12" x14ac:dyDescent="0.25">
      <c r="A184" s="321"/>
      <c r="B184" s="322"/>
      <c r="C184" s="6" t="s">
        <v>32</v>
      </c>
      <c r="D184" s="323"/>
      <c r="E184" s="322"/>
      <c r="F184" s="324"/>
      <c r="G184" s="324"/>
      <c r="H184" s="324"/>
      <c r="I184" s="322"/>
      <c r="J184" s="322"/>
      <c r="K184" s="326"/>
      <c r="L184" s="322"/>
    </row>
    <row r="185" spans="1:12" x14ac:dyDescent="0.25">
      <c r="A185" s="321"/>
      <c r="B185" s="322">
        <v>75</v>
      </c>
      <c r="C185" s="270" t="s">
        <v>325</v>
      </c>
      <c r="D185" s="323" t="s">
        <v>436</v>
      </c>
      <c r="E185" s="322" t="s">
        <v>696</v>
      </c>
      <c r="F185" s="324">
        <v>-1.8200000000000001E-2</v>
      </c>
      <c r="G185" s="324">
        <v>-0.12520000000000001</v>
      </c>
      <c r="H185" s="324">
        <v>-0.1249</v>
      </c>
      <c r="I185" s="322"/>
      <c r="J185" s="322"/>
      <c r="K185" s="327" t="s">
        <v>697</v>
      </c>
      <c r="L185" s="322" t="s">
        <v>698</v>
      </c>
    </row>
    <row r="186" spans="1:12" x14ac:dyDescent="0.25">
      <c r="A186" s="321"/>
      <c r="B186" s="322"/>
      <c r="C186" s="270" t="s">
        <v>326</v>
      </c>
      <c r="D186" s="323"/>
      <c r="E186" s="322"/>
      <c r="F186" s="324"/>
      <c r="G186" s="324"/>
      <c r="H186" s="324"/>
      <c r="I186" s="322"/>
      <c r="J186" s="322"/>
      <c r="K186" s="327"/>
      <c r="L186" s="322"/>
    </row>
    <row r="187" spans="1:12" x14ac:dyDescent="0.25">
      <c r="A187" s="321"/>
      <c r="B187" s="322">
        <v>76</v>
      </c>
      <c r="C187" s="270" t="s">
        <v>118</v>
      </c>
      <c r="D187" s="323" t="s">
        <v>699</v>
      </c>
      <c r="E187" s="322" t="s">
        <v>700</v>
      </c>
      <c r="F187" s="324">
        <v>-1.4E-3</v>
      </c>
      <c r="G187" s="324">
        <v>-7.3499999999999996E-2</v>
      </c>
      <c r="H187" s="324">
        <v>-5.4199999999999998E-2</v>
      </c>
      <c r="I187" s="322"/>
      <c r="J187" s="322"/>
      <c r="K187" s="326" t="s">
        <v>701</v>
      </c>
      <c r="L187" s="322" t="s">
        <v>425</v>
      </c>
    </row>
    <row r="188" spans="1:12" x14ac:dyDescent="0.25">
      <c r="A188" s="321"/>
      <c r="B188" s="322"/>
      <c r="C188" s="270" t="s">
        <v>119</v>
      </c>
      <c r="D188" s="323"/>
      <c r="E188" s="322"/>
      <c r="F188" s="324"/>
      <c r="G188" s="324"/>
      <c r="H188" s="324"/>
      <c r="I188" s="322"/>
      <c r="J188" s="322"/>
      <c r="K188" s="326"/>
      <c r="L188" s="322"/>
    </row>
    <row r="189" spans="1:12" x14ac:dyDescent="0.25">
      <c r="A189" s="321"/>
      <c r="B189" s="322">
        <v>77</v>
      </c>
      <c r="C189" s="270" t="s">
        <v>327</v>
      </c>
      <c r="D189" s="323" t="s">
        <v>702</v>
      </c>
      <c r="E189" s="322" t="s">
        <v>703</v>
      </c>
      <c r="F189" s="324">
        <v>2.3999999999999998E-3</v>
      </c>
      <c r="G189" s="324">
        <v>-8.2500000000000004E-2</v>
      </c>
      <c r="H189" s="324">
        <v>-0.1384</v>
      </c>
      <c r="I189" s="322"/>
      <c r="J189" s="322"/>
      <c r="K189" s="326" t="s">
        <v>704</v>
      </c>
      <c r="L189" s="322" t="s">
        <v>329</v>
      </c>
    </row>
    <row r="190" spans="1:12" x14ac:dyDescent="0.25">
      <c r="A190" s="321"/>
      <c r="B190" s="322"/>
      <c r="C190" s="270" t="s">
        <v>328</v>
      </c>
      <c r="D190" s="323"/>
      <c r="E190" s="322"/>
      <c r="F190" s="324"/>
      <c r="G190" s="324"/>
      <c r="H190" s="324"/>
      <c r="I190" s="322"/>
      <c r="J190" s="322"/>
      <c r="K190" s="326"/>
      <c r="L190" s="322"/>
    </row>
    <row r="191" spans="1:12" x14ac:dyDescent="0.25">
      <c r="A191" s="321"/>
      <c r="B191" s="322">
        <v>81</v>
      </c>
      <c r="C191" s="270" t="s">
        <v>120</v>
      </c>
      <c r="D191" s="323" t="s">
        <v>442</v>
      </c>
      <c r="E191" s="322" t="s">
        <v>705</v>
      </c>
      <c r="F191" s="324">
        <v>-2.0999999999999999E-3</v>
      </c>
      <c r="G191" s="324">
        <v>-5.5800000000000002E-2</v>
      </c>
      <c r="H191" s="324">
        <v>-6.83E-2</v>
      </c>
      <c r="I191" s="322"/>
      <c r="J191" s="322"/>
      <c r="K191" s="326" t="s">
        <v>706</v>
      </c>
      <c r="L191" s="322" t="s">
        <v>707</v>
      </c>
    </row>
    <row r="192" spans="1:12" x14ac:dyDescent="0.25">
      <c r="A192" s="321"/>
      <c r="B192" s="322"/>
      <c r="C192" s="270" t="s">
        <v>121</v>
      </c>
      <c r="D192" s="323"/>
      <c r="E192" s="322"/>
      <c r="F192" s="324"/>
      <c r="G192" s="324"/>
      <c r="H192" s="324"/>
      <c r="I192" s="322"/>
      <c r="J192" s="322"/>
      <c r="K192" s="326"/>
      <c r="L192" s="322"/>
    </row>
    <row r="193" spans="1:12" x14ac:dyDescent="0.25">
      <c r="A193" s="321"/>
      <c r="B193" s="322">
        <v>82</v>
      </c>
      <c r="C193" s="270" t="s">
        <v>313</v>
      </c>
      <c r="D193" s="323" t="s">
        <v>620</v>
      </c>
      <c r="E193" s="322" t="s">
        <v>708</v>
      </c>
      <c r="F193" s="324">
        <v>4.7999999999999996E-3</v>
      </c>
      <c r="G193" s="324">
        <v>-8.9300000000000004E-2</v>
      </c>
      <c r="H193" s="324">
        <v>-3.7400000000000003E-2</v>
      </c>
      <c r="I193" s="322"/>
      <c r="J193" s="322"/>
      <c r="K193" s="326" t="s">
        <v>709</v>
      </c>
      <c r="L193" s="322" t="s">
        <v>710</v>
      </c>
    </row>
    <row r="194" spans="1:12" x14ac:dyDescent="0.25">
      <c r="A194" s="321"/>
      <c r="B194" s="322"/>
      <c r="C194" s="270" t="s">
        <v>314</v>
      </c>
      <c r="D194" s="323"/>
      <c r="E194" s="322"/>
      <c r="F194" s="324"/>
      <c r="G194" s="324"/>
      <c r="H194" s="324"/>
      <c r="I194" s="322"/>
      <c r="J194" s="322"/>
      <c r="K194" s="326"/>
      <c r="L194" s="322"/>
    </row>
    <row r="195" spans="1:12" x14ac:dyDescent="0.25">
      <c r="A195" s="321"/>
      <c r="B195" s="322">
        <v>83</v>
      </c>
      <c r="C195" s="270" t="s">
        <v>400</v>
      </c>
      <c r="D195" s="323" t="s">
        <v>711</v>
      </c>
      <c r="E195" s="322" t="s">
        <v>712</v>
      </c>
      <c r="F195" s="324">
        <v>3.5000000000000001E-3</v>
      </c>
      <c r="G195" s="324">
        <v>-0.12790000000000001</v>
      </c>
      <c r="H195" s="324">
        <v>-0.1293</v>
      </c>
      <c r="I195" s="322"/>
      <c r="J195" s="322"/>
      <c r="K195" s="327" t="s">
        <v>713</v>
      </c>
      <c r="L195" s="322" t="s">
        <v>402</v>
      </c>
    </row>
    <row r="196" spans="1:12" x14ac:dyDescent="0.25">
      <c r="A196" s="321"/>
      <c r="B196" s="322"/>
      <c r="C196" s="270" t="s">
        <v>401</v>
      </c>
      <c r="D196" s="323"/>
      <c r="E196" s="322"/>
      <c r="F196" s="324"/>
      <c r="G196" s="324"/>
      <c r="H196" s="324"/>
      <c r="I196" s="322"/>
      <c r="J196" s="322"/>
      <c r="K196" s="327"/>
      <c r="L196" s="322"/>
    </row>
    <row r="197" spans="1:12" x14ac:dyDescent="0.25">
      <c r="A197" s="321"/>
      <c r="B197" s="322">
        <v>84</v>
      </c>
      <c r="C197" s="270" t="s">
        <v>386</v>
      </c>
      <c r="D197" s="323" t="s">
        <v>714</v>
      </c>
      <c r="E197" s="322" t="s">
        <v>715</v>
      </c>
      <c r="F197" s="324">
        <v>2.41E-2</v>
      </c>
      <c r="G197" s="324">
        <v>-0.13059999999999999</v>
      </c>
      <c r="H197" s="324">
        <v>-2.7300000000000001E-2</v>
      </c>
      <c r="I197" s="322"/>
      <c r="J197" s="322"/>
      <c r="K197" s="325" t="s">
        <v>716</v>
      </c>
      <c r="L197" s="322" t="s">
        <v>388</v>
      </c>
    </row>
    <row r="198" spans="1:12" x14ac:dyDescent="0.25">
      <c r="A198" s="321"/>
      <c r="B198" s="322"/>
      <c r="C198" s="270" t="s">
        <v>387</v>
      </c>
      <c r="D198" s="323"/>
      <c r="E198" s="322"/>
      <c r="F198" s="324"/>
      <c r="G198" s="324"/>
      <c r="H198" s="324"/>
      <c r="I198" s="322"/>
      <c r="J198" s="322"/>
      <c r="K198" s="325"/>
      <c r="L198" s="322"/>
    </row>
    <row r="199" spans="1:12" x14ac:dyDescent="0.25">
      <c r="A199" s="321"/>
      <c r="B199" s="322">
        <v>85</v>
      </c>
      <c r="C199" s="270" t="s">
        <v>155</v>
      </c>
      <c r="D199" s="323" t="s">
        <v>717</v>
      </c>
      <c r="E199" s="322" t="s">
        <v>718</v>
      </c>
      <c r="F199" s="324">
        <v>-6.3E-3</v>
      </c>
      <c r="G199" s="324">
        <v>-0.13</v>
      </c>
      <c r="H199" s="324">
        <v>-0.13750000000000001</v>
      </c>
      <c r="I199" s="322"/>
      <c r="J199" s="322"/>
      <c r="K199" s="326" t="s">
        <v>719</v>
      </c>
      <c r="L199" s="322" t="s">
        <v>157</v>
      </c>
    </row>
    <row r="200" spans="1:12" x14ac:dyDescent="0.25">
      <c r="A200" s="321"/>
      <c r="B200" s="322"/>
      <c r="C200" s="270" t="s">
        <v>156</v>
      </c>
      <c r="D200" s="323"/>
      <c r="E200" s="322"/>
      <c r="F200" s="324"/>
      <c r="G200" s="324"/>
      <c r="H200" s="324"/>
      <c r="I200" s="322"/>
      <c r="J200" s="322"/>
      <c r="K200" s="326"/>
      <c r="L200" s="322"/>
    </row>
    <row r="201" spans="1:12" x14ac:dyDescent="0.25">
      <c r="A201" s="321"/>
      <c r="B201" s="322">
        <v>86</v>
      </c>
      <c r="C201" s="270" t="s">
        <v>315</v>
      </c>
      <c r="D201" s="323" t="s">
        <v>720</v>
      </c>
      <c r="E201" s="322" t="s">
        <v>721</v>
      </c>
      <c r="F201" s="324">
        <v>4.0000000000000002E-4</v>
      </c>
      <c r="G201" s="324">
        <v>-4.7500000000000001E-2</v>
      </c>
      <c r="H201" s="324">
        <v>-4.0599999999999997E-2</v>
      </c>
      <c r="I201" s="322"/>
      <c r="J201" s="322"/>
      <c r="K201" s="325" t="s">
        <v>722</v>
      </c>
      <c r="L201" s="322" t="s">
        <v>317</v>
      </c>
    </row>
    <row r="202" spans="1:12" x14ac:dyDescent="0.25">
      <c r="A202" s="321"/>
      <c r="B202" s="322"/>
      <c r="C202" s="270" t="s">
        <v>316</v>
      </c>
      <c r="D202" s="323"/>
      <c r="E202" s="322"/>
      <c r="F202" s="324"/>
      <c r="G202" s="324"/>
      <c r="H202" s="324"/>
      <c r="I202" s="322"/>
      <c r="J202" s="322"/>
      <c r="K202" s="325"/>
      <c r="L202" s="322"/>
    </row>
    <row r="203" spans="1:12" x14ac:dyDescent="0.25">
      <c r="A203" s="321"/>
      <c r="B203" s="322">
        <v>87</v>
      </c>
      <c r="C203" s="270" t="s">
        <v>382</v>
      </c>
      <c r="D203" s="323" t="s">
        <v>723</v>
      </c>
      <c r="E203" s="322" t="s">
        <v>724</v>
      </c>
      <c r="F203" s="324">
        <v>-1.5E-3</v>
      </c>
      <c r="G203" s="324">
        <v>-9.9099999999999994E-2</v>
      </c>
      <c r="H203" s="324">
        <v>-7.3300000000000004E-2</v>
      </c>
      <c r="I203" s="322"/>
      <c r="J203" s="322"/>
      <c r="K203" s="326" t="s">
        <v>725</v>
      </c>
      <c r="L203" s="322" t="s">
        <v>726</v>
      </c>
    </row>
    <row r="204" spans="1:12" x14ac:dyDescent="0.25">
      <c r="A204" s="321"/>
      <c r="B204" s="322"/>
      <c r="C204" s="270" t="s">
        <v>383</v>
      </c>
      <c r="D204" s="323"/>
      <c r="E204" s="322"/>
      <c r="F204" s="324"/>
      <c r="G204" s="324"/>
      <c r="H204" s="324"/>
      <c r="I204" s="322"/>
      <c r="J204" s="322"/>
      <c r="K204" s="326"/>
      <c r="L204" s="322"/>
    </row>
    <row r="205" spans="1:12" x14ac:dyDescent="0.25">
      <c r="A205" s="321"/>
      <c r="B205" s="322">
        <v>88</v>
      </c>
      <c r="C205" s="270" t="s">
        <v>139</v>
      </c>
      <c r="D205" s="323" t="s">
        <v>727</v>
      </c>
      <c r="E205" s="322" t="s">
        <v>728</v>
      </c>
      <c r="F205" s="324">
        <v>1.2999999999999999E-3</v>
      </c>
      <c r="G205" s="324">
        <v>-0.1142</v>
      </c>
      <c r="H205" s="324">
        <v>-9.9199999999999997E-2</v>
      </c>
      <c r="I205" s="322"/>
      <c r="J205" s="322"/>
      <c r="K205" s="327" t="s">
        <v>729</v>
      </c>
      <c r="L205" s="322" t="s">
        <v>309</v>
      </c>
    </row>
    <row r="206" spans="1:12" x14ac:dyDescent="0.25">
      <c r="A206" s="321"/>
      <c r="B206" s="322"/>
      <c r="C206" s="270" t="s">
        <v>140</v>
      </c>
      <c r="D206" s="323"/>
      <c r="E206" s="322"/>
      <c r="F206" s="324"/>
      <c r="G206" s="324"/>
      <c r="H206" s="324"/>
      <c r="I206" s="322"/>
      <c r="J206" s="322"/>
      <c r="K206" s="327"/>
      <c r="L206" s="322"/>
    </row>
    <row r="207" spans="1:12" x14ac:dyDescent="0.25">
      <c r="A207" s="321"/>
      <c r="B207" s="322">
        <v>89</v>
      </c>
      <c r="C207" s="270" t="s">
        <v>160</v>
      </c>
      <c r="D207" s="323" t="s">
        <v>730</v>
      </c>
      <c r="E207" s="322" t="s">
        <v>731</v>
      </c>
      <c r="F207" s="324">
        <v>1.4E-3</v>
      </c>
      <c r="G207" s="324">
        <v>-7.0000000000000001E-3</v>
      </c>
      <c r="H207" s="324">
        <v>-2.69E-2</v>
      </c>
      <c r="I207" s="322"/>
      <c r="J207" s="322"/>
      <c r="K207" s="326" t="s">
        <v>732</v>
      </c>
      <c r="L207" s="322">
        <v>268.72500000000002</v>
      </c>
    </row>
    <row r="208" spans="1:12" x14ac:dyDescent="0.25">
      <c r="A208" s="321"/>
      <c r="B208" s="322"/>
      <c r="C208" s="270" t="s">
        <v>161</v>
      </c>
      <c r="D208" s="323"/>
      <c r="E208" s="322"/>
      <c r="F208" s="324"/>
      <c r="G208" s="324"/>
      <c r="H208" s="324"/>
      <c r="I208" s="322"/>
      <c r="J208" s="322"/>
      <c r="K208" s="326"/>
      <c r="L208" s="322"/>
    </row>
    <row r="209" spans="1:12" x14ac:dyDescent="0.25">
      <c r="A209" s="321"/>
      <c r="B209" s="322"/>
      <c r="C209" s="5" t="s">
        <v>29</v>
      </c>
      <c r="D209" s="323"/>
      <c r="E209" s="322"/>
      <c r="F209" s="324"/>
      <c r="G209" s="324"/>
      <c r="H209" s="324"/>
      <c r="I209" s="322"/>
      <c r="J209" s="322"/>
      <c r="K209" s="326"/>
      <c r="L209" s="322"/>
    </row>
    <row r="210" spans="1:12" x14ac:dyDescent="0.25">
      <c r="A210" s="321"/>
      <c r="B210" s="322">
        <v>90</v>
      </c>
      <c r="C210" s="270" t="s">
        <v>450</v>
      </c>
      <c r="D210" s="323" t="s">
        <v>733</v>
      </c>
      <c r="E210" s="322" t="s">
        <v>734</v>
      </c>
      <c r="F210" s="324">
        <v>-2.4500000000000001E-2</v>
      </c>
      <c r="G210" s="324">
        <v>-0.17399999999999999</v>
      </c>
      <c r="H210" s="324">
        <v>1.1536</v>
      </c>
      <c r="I210" s="322"/>
      <c r="J210" s="322"/>
      <c r="K210" s="327" t="s">
        <v>735</v>
      </c>
      <c r="L210" s="322" t="s">
        <v>415</v>
      </c>
    </row>
    <row r="211" spans="1:12" x14ac:dyDescent="0.25">
      <c r="A211" s="321"/>
      <c r="B211" s="322"/>
      <c r="C211" s="270" t="s">
        <v>451</v>
      </c>
      <c r="D211" s="323"/>
      <c r="E211" s="322"/>
      <c r="F211" s="324"/>
      <c r="G211" s="324"/>
      <c r="H211" s="324"/>
      <c r="I211" s="322"/>
      <c r="J211" s="322"/>
      <c r="K211" s="327"/>
      <c r="L211" s="322"/>
    </row>
    <row r="212" spans="1:12" x14ac:dyDescent="0.25">
      <c r="A212" s="321"/>
      <c r="B212" s="322">
        <v>91</v>
      </c>
      <c r="C212" s="270" t="s">
        <v>411</v>
      </c>
      <c r="D212" s="323" t="s">
        <v>736</v>
      </c>
      <c r="E212" s="322" t="s">
        <v>737</v>
      </c>
      <c r="F212" s="324">
        <v>5.1999999999999998E-3</v>
      </c>
      <c r="G212" s="324">
        <v>1E-4</v>
      </c>
      <c r="H212" s="324">
        <v>-1.9800000000000002E-2</v>
      </c>
      <c r="I212" s="322"/>
      <c r="J212" s="322"/>
      <c r="K212" s="325" t="s">
        <v>738</v>
      </c>
      <c r="L212" s="322">
        <v>246.524</v>
      </c>
    </row>
    <row r="213" spans="1:12" x14ac:dyDescent="0.25">
      <c r="A213" s="321"/>
      <c r="B213" s="322"/>
      <c r="C213" s="270" t="s">
        <v>412</v>
      </c>
      <c r="D213" s="323"/>
      <c r="E213" s="322"/>
      <c r="F213" s="324"/>
      <c r="G213" s="324"/>
      <c r="H213" s="324"/>
      <c r="I213" s="322"/>
      <c r="J213" s="322"/>
      <c r="K213" s="325"/>
      <c r="L213" s="322"/>
    </row>
    <row r="214" spans="1:12" x14ac:dyDescent="0.25">
      <c r="A214" s="321"/>
      <c r="B214" s="322">
        <v>92</v>
      </c>
      <c r="C214" s="270" t="s">
        <v>453</v>
      </c>
      <c r="D214" s="323" t="s">
        <v>739</v>
      </c>
      <c r="E214" s="322" t="s">
        <v>740</v>
      </c>
      <c r="F214" s="324">
        <v>-1.24E-2</v>
      </c>
      <c r="G214" s="324">
        <v>-0.16900000000000001</v>
      </c>
      <c r="H214" s="324">
        <v>0.63239999999999996</v>
      </c>
      <c r="I214" s="322"/>
      <c r="J214" s="322"/>
      <c r="K214" s="326" t="s">
        <v>741</v>
      </c>
      <c r="L214" s="322" t="s">
        <v>455</v>
      </c>
    </row>
    <row r="215" spans="1:12" x14ac:dyDescent="0.25">
      <c r="A215" s="321"/>
      <c r="B215" s="322"/>
      <c r="C215" s="270" t="s">
        <v>454</v>
      </c>
      <c r="D215" s="323"/>
      <c r="E215" s="322"/>
      <c r="F215" s="324"/>
      <c r="G215" s="324"/>
      <c r="H215" s="324"/>
      <c r="I215" s="322"/>
      <c r="J215" s="322"/>
      <c r="K215" s="326"/>
      <c r="L215" s="322"/>
    </row>
    <row r="216" spans="1:12" x14ac:dyDescent="0.25">
      <c r="A216" s="321"/>
      <c r="B216" s="322">
        <v>94</v>
      </c>
      <c r="C216" s="270" t="s">
        <v>742</v>
      </c>
      <c r="D216" s="323" t="s">
        <v>744</v>
      </c>
      <c r="E216" s="322" t="s">
        <v>745</v>
      </c>
      <c r="F216" s="324">
        <v>1.1000000000000001E-3</v>
      </c>
      <c r="G216" s="324">
        <v>-3.0000000000000001E-3</v>
      </c>
      <c r="H216" s="324">
        <v>1E-4</v>
      </c>
      <c r="I216" s="322"/>
      <c r="J216" s="322"/>
      <c r="K216" s="325" t="s">
        <v>746</v>
      </c>
      <c r="L216" s="322" t="s">
        <v>747</v>
      </c>
    </row>
    <row r="217" spans="1:12" x14ac:dyDescent="0.25">
      <c r="A217" s="321"/>
      <c r="B217" s="322"/>
      <c r="C217" s="270" t="s">
        <v>743</v>
      </c>
      <c r="D217" s="323"/>
      <c r="E217" s="322"/>
      <c r="F217" s="324"/>
      <c r="G217" s="324"/>
      <c r="H217" s="324"/>
      <c r="I217" s="322"/>
      <c r="J217" s="322"/>
      <c r="K217" s="325"/>
      <c r="L217" s="322"/>
    </row>
    <row r="218" spans="1:12" x14ac:dyDescent="0.25">
      <c r="A218" s="321"/>
      <c r="B218" s="322">
        <v>95</v>
      </c>
      <c r="C218" s="270" t="s">
        <v>162</v>
      </c>
      <c r="D218" s="323" t="s">
        <v>452</v>
      </c>
      <c r="E218" s="322" t="s">
        <v>748</v>
      </c>
      <c r="F218" s="324">
        <v>-2E-3</v>
      </c>
      <c r="G218" s="324">
        <v>-0.12280000000000001</v>
      </c>
      <c r="H218" s="324">
        <v>-4.48E-2</v>
      </c>
      <c r="I218" s="322"/>
      <c r="J218" s="322"/>
      <c r="K218" s="326" t="s">
        <v>749</v>
      </c>
      <c r="L218" s="322" t="s">
        <v>117</v>
      </c>
    </row>
    <row r="219" spans="1:12" x14ac:dyDescent="0.25">
      <c r="A219" s="321"/>
      <c r="B219" s="322"/>
      <c r="C219" s="270" t="s">
        <v>163</v>
      </c>
      <c r="D219" s="323"/>
      <c r="E219" s="322"/>
      <c r="F219" s="324"/>
      <c r="G219" s="324"/>
      <c r="H219" s="324"/>
      <c r="I219" s="322"/>
      <c r="J219" s="322"/>
      <c r="K219" s="326"/>
      <c r="L219" s="322"/>
    </row>
    <row r="220" spans="1:12" x14ac:dyDescent="0.25">
      <c r="A220" s="321"/>
      <c r="B220" s="322">
        <v>96</v>
      </c>
      <c r="C220" s="270" t="s">
        <v>148</v>
      </c>
      <c r="D220" s="323" t="s">
        <v>750</v>
      </c>
      <c r="E220" s="322" t="s">
        <v>751</v>
      </c>
      <c r="F220" s="324">
        <v>8.3999999999999995E-3</v>
      </c>
      <c r="G220" s="324">
        <v>-0.1086</v>
      </c>
      <c r="H220" s="324">
        <v>-3.6600000000000001E-2</v>
      </c>
      <c r="I220" s="322"/>
      <c r="J220" s="322"/>
      <c r="K220" s="326" t="s">
        <v>752</v>
      </c>
      <c r="L220" s="322" t="s">
        <v>753</v>
      </c>
    </row>
    <row r="221" spans="1:12" x14ac:dyDescent="0.25">
      <c r="A221" s="321"/>
      <c r="B221" s="322"/>
      <c r="C221" s="270" t="s">
        <v>149</v>
      </c>
      <c r="D221" s="323"/>
      <c r="E221" s="322"/>
      <c r="F221" s="324"/>
      <c r="G221" s="324"/>
      <c r="H221" s="324"/>
      <c r="I221" s="322"/>
      <c r="J221" s="322"/>
      <c r="K221" s="326"/>
      <c r="L221" s="322"/>
    </row>
    <row r="222" spans="1:12" x14ac:dyDescent="0.25">
      <c r="A222" s="321"/>
      <c r="B222" s="322">
        <v>98</v>
      </c>
      <c r="C222" s="270" t="s">
        <v>458</v>
      </c>
      <c r="D222" s="323" t="s">
        <v>733</v>
      </c>
      <c r="E222" s="322" t="s">
        <v>754</v>
      </c>
      <c r="F222" s="324">
        <v>3.0999999999999999E-3</v>
      </c>
      <c r="G222" s="324">
        <v>-0.15329999999999999</v>
      </c>
      <c r="H222" s="324">
        <v>0.499</v>
      </c>
      <c r="I222" s="322"/>
      <c r="J222" s="322"/>
      <c r="K222" s="327" t="s">
        <v>755</v>
      </c>
      <c r="L222" s="322" t="s">
        <v>83</v>
      </c>
    </row>
    <row r="223" spans="1:12" x14ac:dyDescent="0.25">
      <c r="A223" s="321"/>
      <c r="B223" s="322"/>
      <c r="C223" s="270" t="s">
        <v>459</v>
      </c>
      <c r="D223" s="323"/>
      <c r="E223" s="322"/>
      <c r="F223" s="324"/>
      <c r="G223" s="324"/>
      <c r="H223" s="324"/>
      <c r="I223" s="322"/>
      <c r="J223" s="322"/>
      <c r="K223" s="327"/>
      <c r="L223" s="322"/>
    </row>
    <row r="224" spans="1:12" x14ac:dyDescent="0.25">
      <c r="A224" s="321"/>
      <c r="B224" s="322">
        <v>99</v>
      </c>
      <c r="C224" s="270" t="s">
        <v>456</v>
      </c>
      <c r="D224" s="323" t="s">
        <v>756</v>
      </c>
      <c r="E224" s="322" t="s">
        <v>757</v>
      </c>
      <c r="F224" s="324">
        <v>4.4000000000000003E-3</v>
      </c>
      <c r="G224" s="324">
        <v>-9.2700000000000005E-2</v>
      </c>
      <c r="H224" s="324">
        <v>-0.13739999999999999</v>
      </c>
      <c r="I224" s="322"/>
      <c r="J224" s="322"/>
      <c r="K224" s="326" t="s">
        <v>758</v>
      </c>
      <c r="L224" s="322" t="s">
        <v>759</v>
      </c>
    </row>
    <row r="225" spans="1:12" x14ac:dyDescent="0.25">
      <c r="A225" s="321"/>
      <c r="B225" s="322"/>
      <c r="C225" s="270" t="s">
        <v>457</v>
      </c>
      <c r="D225" s="323"/>
      <c r="E225" s="322"/>
      <c r="F225" s="324"/>
      <c r="G225" s="324"/>
      <c r="H225" s="324"/>
      <c r="I225" s="322"/>
      <c r="J225" s="322"/>
      <c r="K225" s="326"/>
      <c r="L225" s="322"/>
    </row>
    <row r="226" spans="1:12" x14ac:dyDescent="0.25">
      <c r="A226" s="321"/>
      <c r="B226" s="322">
        <v>100</v>
      </c>
      <c r="C226" s="270" t="s">
        <v>461</v>
      </c>
      <c r="D226" s="323" t="s">
        <v>760</v>
      </c>
      <c r="E226" s="322" t="s">
        <v>761</v>
      </c>
      <c r="F226" s="324">
        <v>-1E-4</v>
      </c>
      <c r="G226" s="324">
        <v>-7.2700000000000001E-2</v>
      </c>
      <c r="H226" s="324">
        <v>9.9199999999999997E-2</v>
      </c>
      <c r="I226" s="322"/>
      <c r="J226" s="322"/>
      <c r="K226" s="326" t="s">
        <v>762</v>
      </c>
      <c r="L226" s="322" t="s">
        <v>763</v>
      </c>
    </row>
    <row r="227" spans="1:12" x14ac:dyDescent="0.25">
      <c r="A227" s="321"/>
      <c r="B227" s="322"/>
      <c r="C227" s="270" t="s">
        <v>462</v>
      </c>
      <c r="D227" s="323"/>
      <c r="E227" s="322"/>
      <c r="F227" s="324"/>
      <c r="G227" s="324"/>
      <c r="H227" s="324"/>
      <c r="I227" s="322"/>
      <c r="J227" s="322"/>
      <c r="K227" s="326"/>
      <c r="L227" s="322"/>
    </row>
    <row r="228" spans="1:12" x14ac:dyDescent="0.25">
      <c r="A228" s="321"/>
      <c r="B228" s="322">
        <v>101</v>
      </c>
      <c r="C228" s="270" t="s">
        <v>384</v>
      </c>
      <c r="D228" s="323" t="s">
        <v>764</v>
      </c>
      <c r="E228" s="322" t="s">
        <v>765</v>
      </c>
      <c r="F228" s="324">
        <v>5.7000000000000002E-3</v>
      </c>
      <c r="G228" s="324">
        <v>-6.7599999999999993E-2</v>
      </c>
      <c r="H228" s="324">
        <v>-1.8800000000000001E-2</v>
      </c>
      <c r="I228" s="322"/>
      <c r="J228" s="322"/>
      <c r="K228" s="326" t="s">
        <v>766</v>
      </c>
      <c r="L228" s="322" t="s">
        <v>767</v>
      </c>
    </row>
    <row r="229" spans="1:12" x14ac:dyDescent="0.25">
      <c r="A229" s="321"/>
      <c r="B229" s="322"/>
      <c r="C229" s="270" t="s">
        <v>385</v>
      </c>
      <c r="D229" s="323"/>
      <c r="E229" s="322"/>
      <c r="F229" s="324"/>
      <c r="G229" s="324"/>
      <c r="H229" s="324"/>
      <c r="I229" s="322"/>
      <c r="J229" s="322"/>
      <c r="K229" s="326"/>
      <c r="L229" s="322"/>
    </row>
    <row r="230" spans="1:12" x14ac:dyDescent="0.25">
      <c r="A230" s="321"/>
      <c r="B230" s="322">
        <v>102</v>
      </c>
      <c r="C230" s="270" t="s">
        <v>406</v>
      </c>
      <c r="D230" s="323" t="s">
        <v>768</v>
      </c>
      <c r="E230" s="322" t="s">
        <v>769</v>
      </c>
      <c r="F230" s="324">
        <v>6.4999999999999997E-3</v>
      </c>
      <c r="G230" s="324">
        <v>-6.1899999999999997E-2</v>
      </c>
      <c r="H230" s="324">
        <v>-9.4500000000000001E-2</v>
      </c>
      <c r="I230" s="322"/>
      <c r="J230" s="322"/>
      <c r="K230" s="326" t="s">
        <v>770</v>
      </c>
      <c r="L230" s="322" t="s">
        <v>771</v>
      </c>
    </row>
    <row r="231" spans="1:12" x14ac:dyDescent="0.25">
      <c r="A231" s="321"/>
      <c r="B231" s="322"/>
      <c r="C231" s="270" t="s">
        <v>407</v>
      </c>
      <c r="D231" s="323"/>
      <c r="E231" s="322"/>
      <c r="F231" s="324"/>
      <c r="G231" s="324"/>
      <c r="H231" s="324"/>
      <c r="I231" s="322"/>
      <c r="J231" s="322"/>
      <c r="K231" s="326"/>
      <c r="L231" s="322"/>
    </row>
    <row r="232" spans="1:12" x14ac:dyDescent="0.25">
      <c r="A232" s="321"/>
      <c r="B232" s="322">
        <v>103</v>
      </c>
      <c r="C232" s="270" t="s">
        <v>447</v>
      </c>
      <c r="D232" s="323" t="s">
        <v>772</v>
      </c>
      <c r="E232" s="322" t="s">
        <v>773</v>
      </c>
      <c r="F232" s="324">
        <v>2.3300000000000001E-2</v>
      </c>
      <c r="G232" s="324">
        <v>-0.20300000000000001</v>
      </c>
      <c r="H232" s="324">
        <v>-0.17130000000000001</v>
      </c>
      <c r="I232" s="322"/>
      <c r="J232" s="322"/>
      <c r="K232" s="327" t="s">
        <v>774</v>
      </c>
      <c r="L232" s="322" t="s">
        <v>449</v>
      </c>
    </row>
    <row r="233" spans="1:12" x14ac:dyDescent="0.25">
      <c r="A233" s="321"/>
      <c r="B233" s="322"/>
      <c r="C233" s="270" t="s">
        <v>448</v>
      </c>
      <c r="D233" s="323"/>
      <c r="E233" s="322"/>
      <c r="F233" s="324"/>
      <c r="G233" s="324"/>
      <c r="H233" s="324"/>
      <c r="I233" s="322"/>
      <c r="J233" s="322"/>
      <c r="K233" s="327"/>
      <c r="L233" s="322"/>
    </row>
    <row r="234" spans="1:12" x14ac:dyDescent="0.25">
      <c r="A234" s="321"/>
      <c r="B234" s="322">
        <v>104</v>
      </c>
      <c r="C234" s="270" t="s">
        <v>426</v>
      </c>
      <c r="D234" s="323" t="s">
        <v>775</v>
      </c>
      <c r="E234" s="322" t="s">
        <v>776</v>
      </c>
      <c r="F234" s="324">
        <v>-7.4999999999999997E-3</v>
      </c>
      <c r="G234" s="324">
        <v>-0.1101</v>
      </c>
      <c r="H234" s="324">
        <v>-0.18529999999999999</v>
      </c>
      <c r="I234" s="322"/>
      <c r="J234" s="322"/>
      <c r="K234" s="327" t="s">
        <v>777</v>
      </c>
      <c r="L234" s="322" t="s">
        <v>428</v>
      </c>
    </row>
    <row r="235" spans="1:12" x14ac:dyDescent="0.25">
      <c r="A235" s="321"/>
      <c r="B235" s="322"/>
      <c r="C235" s="270" t="s">
        <v>427</v>
      </c>
      <c r="D235" s="323"/>
      <c r="E235" s="322"/>
      <c r="F235" s="324"/>
      <c r="G235" s="324"/>
      <c r="H235" s="324"/>
      <c r="I235" s="322"/>
      <c r="J235" s="322"/>
      <c r="K235" s="327"/>
      <c r="L235" s="322"/>
    </row>
    <row r="236" spans="1:12" x14ac:dyDescent="0.25">
      <c r="A236" s="321"/>
      <c r="B236" s="322">
        <v>106</v>
      </c>
      <c r="C236" s="270" t="s">
        <v>310</v>
      </c>
      <c r="D236" s="323" t="s">
        <v>436</v>
      </c>
      <c r="E236" s="322" t="s">
        <v>778</v>
      </c>
      <c r="F236" s="324">
        <v>6.7000000000000002E-3</v>
      </c>
      <c r="G236" s="324">
        <v>-2.2700000000000001E-2</v>
      </c>
      <c r="H236" s="324">
        <v>-9.4E-2</v>
      </c>
      <c r="I236" s="322"/>
      <c r="J236" s="322"/>
      <c r="K236" s="325" t="s">
        <v>779</v>
      </c>
      <c r="L236" s="322" t="s">
        <v>312</v>
      </c>
    </row>
    <row r="237" spans="1:12" x14ac:dyDescent="0.25">
      <c r="A237" s="321"/>
      <c r="B237" s="322"/>
      <c r="C237" s="270" t="s">
        <v>311</v>
      </c>
      <c r="D237" s="323"/>
      <c r="E237" s="322"/>
      <c r="F237" s="324"/>
      <c r="G237" s="324"/>
      <c r="H237" s="324"/>
      <c r="I237" s="322"/>
      <c r="J237" s="322"/>
      <c r="K237" s="325"/>
      <c r="L237" s="322"/>
    </row>
    <row r="238" spans="1:12" x14ac:dyDescent="0.25">
      <c r="A238" s="321"/>
      <c r="B238" s="322">
        <v>107</v>
      </c>
      <c r="C238" s="270" t="s">
        <v>780</v>
      </c>
      <c r="D238" s="323" t="s">
        <v>782</v>
      </c>
      <c r="E238" s="322" t="s">
        <v>783</v>
      </c>
      <c r="F238" s="324">
        <v>-5.0000000000000001E-3</v>
      </c>
      <c r="G238" s="324">
        <v>-0.12859999999999999</v>
      </c>
      <c r="H238" s="324">
        <v>-8.5000000000000006E-3</v>
      </c>
      <c r="I238" s="322"/>
      <c r="J238" s="322"/>
      <c r="K238" s="326" t="s">
        <v>784</v>
      </c>
      <c r="L238" s="322" t="s">
        <v>785</v>
      </c>
    </row>
    <row r="239" spans="1:12" x14ac:dyDescent="0.25">
      <c r="A239" s="321"/>
      <c r="B239" s="322"/>
      <c r="C239" s="270" t="s">
        <v>781</v>
      </c>
      <c r="D239" s="323"/>
      <c r="E239" s="322"/>
      <c r="F239" s="324"/>
      <c r="G239" s="324"/>
      <c r="H239" s="324"/>
      <c r="I239" s="322"/>
      <c r="J239" s="322"/>
      <c r="K239" s="326"/>
      <c r="L239" s="322"/>
    </row>
    <row r="240" spans="1:12" x14ac:dyDescent="0.25">
      <c r="A240" s="321"/>
      <c r="B240" s="322">
        <v>108</v>
      </c>
      <c r="C240" s="270" t="s">
        <v>369</v>
      </c>
      <c r="D240" s="323" t="s">
        <v>786</v>
      </c>
      <c r="E240" s="322" t="s">
        <v>787</v>
      </c>
      <c r="F240" s="324">
        <v>1E-3</v>
      </c>
      <c r="G240" s="324">
        <v>-0.13120000000000001</v>
      </c>
      <c r="H240" s="324">
        <v>-0.21529999999999999</v>
      </c>
      <c r="I240" s="322"/>
      <c r="J240" s="322"/>
      <c r="K240" s="326" t="s">
        <v>788</v>
      </c>
      <c r="L240" s="322" t="s">
        <v>399</v>
      </c>
    </row>
    <row r="241" spans="1:12" x14ac:dyDescent="0.25">
      <c r="A241" s="321"/>
      <c r="B241" s="322"/>
      <c r="C241" s="270" t="s">
        <v>370</v>
      </c>
      <c r="D241" s="323"/>
      <c r="E241" s="322"/>
      <c r="F241" s="324"/>
      <c r="G241" s="324"/>
      <c r="H241" s="324"/>
      <c r="I241" s="322"/>
      <c r="J241" s="322"/>
      <c r="K241" s="326"/>
      <c r="L241" s="322"/>
    </row>
    <row r="355" spans="20:23" x14ac:dyDescent="0.25">
      <c r="T355" s="44" t="s">
        <v>186</v>
      </c>
      <c r="U355" s="44" t="s">
        <v>187</v>
      </c>
      <c r="V355" s="44" t="s">
        <v>188</v>
      </c>
      <c r="W355" s="44"/>
    </row>
    <row r="356" spans="20:23" x14ac:dyDescent="0.25">
      <c r="T356" s="9" t="s">
        <v>185</v>
      </c>
      <c r="U356" s="45" t="s">
        <v>184</v>
      </c>
      <c r="V356" s="45" t="s">
        <v>189</v>
      </c>
      <c r="W356" s="45" t="s">
        <v>190</v>
      </c>
    </row>
    <row r="357" spans="20:23" x14ac:dyDescent="0.25">
      <c r="T357" s="9" t="s">
        <v>191</v>
      </c>
      <c r="U357" s="45" t="s">
        <v>184</v>
      </c>
      <c r="V357" s="45" t="s">
        <v>189</v>
      </c>
      <c r="W357" s="45" t="s">
        <v>192</v>
      </c>
    </row>
    <row r="358" spans="20:23" x14ac:dyDescent="0.25">
      <c r="T358" s="9" t="s">
        <v>193</v>
      </c>
      <c r="U358" s="45" t="s">
        <v>194</v>
      </c>
      <c r="V358" s="45" t="s">
        <v>189</v>
      </c>
      <c r="W358" s="45" t="s">
        <v>192</v>
      </c>
    </row>
    <row r="359" spans="20:23" x14ac:dyDescent="0.25">
      <c r="T359" s="9" t="s">
        <v>195</v>
      </c>
      <c r="U359" s="45" t="s">
        <v>194</v>
      </c>
      <c r="V359" s="45" t="s">
        <v>189</v>
      </c>
      <c r="W359" s="45" t="s">
        <v>192</v>
      </c>
    </row>
    <row r="360" spans="20:23" x14ac:dyDescent="0.25">
      <c r="T360" s="9" t="s">
        <v>196</v>
      </c>
      <c r="U360" s="45" t="s">
        <v>194</v>
      </c>
      <c r="V360" s="45" t="s">
        <v>189</v>
      </c>
      <c r="W360" s="45" t="s">
        <v>192</v>
      </c>
    </row>
    <row r="471" spans="20:24" x14ac:dyDescent="0.25">
      <c r="T471" s="44" t="s">
        <v>199</v>
      </c>
      <c r="U471" s="44" t="s">
        <v>200</v>
      </c>
      <c r="V471" s="44" t="s">
        <v>201</v>
      </c>
      <c r="W471" s="44" t="s">
        <v>202</v>
      </c>
      <c r="X471" s="44" t="s">
        <v>203</v>
      </c>
    </row>
    <row r="472" spans="20:24" x14ac:dyDescent="0.25">
      <c r="T472" s="45" t="s">
        <v>198</v>
      </c>
      <c r="U472" s="45" t="s">
        <v>197</v>
      </c>
      <c r="V472" s="45" t="s">
        <v>197</v>
      </c>
      <c r="W472" s="45" t="s">
        <v>197</v>
      </c>
      <c r="X472" s="45" t="s">
        <v>197</v>
      </c>
    </row>
    <row r="473" spans="20:24" x14ac:dyDescent="0.25">
      <c r="T473" s="45" t="s">
        <v>204</v>
      </c>
      <c r="U473" s="45" t="s">
        <v>198</v>
      </c>
      <c r="V473" s="45" t="s">
        <v>205</v>
      </c>
      <c r="W473" s="45" t="s">
        <v>205</v>
      </c>
      <c r="X473" s="45" t="s">
        <v>206</v>
      </c>
    </row>
    <row r="474" spans="20:24" x14ac:dyDescent="0.25">
      <c r="T474" s="45" t="s">
        <v>204</v>
      </c>
      <c r="U474" s="45" t="s">
        <v>204</v>
      </c>
      <c r="V474" s="45" t="s">
        <v>205</v>
      </c>
      <c r="W474" s="45" t="s">
        <v>205</v>
      </c>
      <c r="X474" s="45" t="s">
        <v>204</v>
      </c>
    </row>
    <row r="478" spans="20:24" x14ac:dyDescent="0.25">
      <c r="T478" s="44"/>
      <c r="U478" s="44" t="s">
        <v>207</v>
      </c>
      <c r="V478" s="44" t="s">
        <v>208</v>
      </c>
      <c r="W478" s="44" t="s">
        <v>209</v>
      </c>
      <c r="X478" s="44" t="s">
        <v>210</v>
      </c>
    </row>
    <row r="479" spans="20:24" x14ac:dyDescent="0.25">
      <c r="T479" s="330"/>
      <c r="U479" s="330"/>
      <c r="V479" s="330"/>
      <c r="W479" s="330"/>
      <c r="X479" s="330"/>
    </row>
    <row r="480" spans="20:24" x14ac:dyDescent="0.25">
      <c r="T480" s="45" t="s">
        <v>211</v>
      </c>
      <c r="U480" s="45" t="s">
        <v>212</v>
      </c>
      <c r="V480" s="8"/>
      <c r="W480" s="45" t="s">
        <v>213</v>
      </c>
      <c r="X480" s="8"/>
    </row>
    <row r="481" spans="20:28" x14ac:dyDescent="0.25">
      <c r="T481" s="330"/>
      <c r="U481" s="330"/>
      <c r="V481" s="330"/>
      <c r="W481" s="330"/>
      <c r="X481" s="330"/>
    </row>
    <row r="482" spans="20:28" x14ac:dyDescent="0.25">
      <c r="T482" s="45" t="s">
        <v>214</v>
      </c>
      <c r="U482" s="45" t="s">
        <v>215</v>
      </c>
      <c r="V482" s="8"/>
      <c r="W482" s="45">
        <v>12</v>
      </c>
      <c r="X482" s="45" t="s">
        <v>216</v>
      </c>
    </row>
    <row r="483" spans="20:28" x14ac:dyDescent="0.25">
      <c r="T483" s="45" t="s">
        <v>217</v>
      </c>
      <c r="U483" s="45" t="s">
        <v>218</v>
      </c>
      <c r="V483" s="8"/>
      <c r="W483" s="45">
        <v>13</v>
      </c>
      <c r="X483" s="46">
        <v>44317</v>
      </c>
    </row>
    <row r="484" spans="20:28" x14ac:dyDescent="0.25">
      <c r="T484" s="45" t="s">
        <v>219</v>
      </c>
      <c r="U484" s="45" t="s">
        <v>218</v>
      </c>
      <c r="V484" s="8"/>
      <c r="W484" s="45">
        <v>14</v>
      </c>
      <c r="X484" s="46">
        <v>44287</v>
      </c>
    </row>
    <row r="488" spans="20:28" x14ac:dyDescent="0.25">
      <c r="T488" s="44" t="s">
        <v>187</v>
      </c>
      <c r="U488" s="44" t="s">
        <v>220</v>
      </c>
      <c r="V488" s="44" t="s">
        <v>197</v>
      </c>
      <c r="W488" s="44" t="s">
        <v>198</v>
      </c>
      <c r="X488" s="44" t="s">
        <v>221</v>
      </c>
      <c r="Y488" s="44" t="s">
        <v>222</v>
      </c>
      <c r="Z488" s="44" t="s">
        <v>188</v>
      </c>
      <c r="AA488" s="44" t="s">
        <v>201</v>
      </c>
      <c r="AB488" s="44"/>
    </row>
    <row r="489" spans="20:28" x14ac:dyDescent="0.25">
      <c r="T489" s="45" t="s">
        <v>184</v>
      </c>
      <c r="U489" s="45">
        <v>4.9047999999999998</v>
      </c>
      <c r="V489" s="45">
        <v>4.9043000000000001</v>
      </c>
      <c r="W489" s="45">
        <v>4.9053000000000004</v>
      </c>
      <c r="X489" s="47">
        <v>3042</v>
      </c>
      <c r="Y489" s="48">
        <v>-2.9999999999999997E-4</v>
      </c>
      <c r="Z489" s="45" t="s">
        <v>189</v>
      </c>
      <c r="AA489" s="49">
        <v>0.83768518518518509</v>
      </c>
      <c r="AB489" s="8"/>
    </row>
    <row r="490" spans="20:28" x14ac:dyDescent="0.25">
      <c r="T490" s="9" t="s">
        <v>184</v>
      </c>
      <c r="U490" s="45">
        <v>4.8948</v>
      </c>
      <c r="V490" s="45">
        <v>4.8944999999999999</v>
      </c>
      <c r="W490" s="45">
        <v>4.8951000000000002</v>
      </c>
      <c r="X490" s="45">
        <v>0</v>
      </c>
      <c r="Y490" s="48">
        <v>4.8999999999999998E-3</v>
      </c>
      <c r="Z490" s="45" t="s">
        <v>189</v>
      </c>
      <c r="AA490" s="49">
        <v>0.75001157407407415</v>
      </c>
      <c r="AB490" s="8"/>
    </row>
    <row r="491" spans="20:28" x14ac:dyDescent="0.25">
      <c r="T491" s="9" t="s">
        <v>194</v>
      </c>
      <c r="U491" s="50">
        <v>4860</v>
      </c>
      <c r="V491" s="45">
        <v>0</v>
      </c>
      <c r="W491" s="45">
        <v>0</v>
      </c>
      <c r="X491" s="45">
        <v>0</v>
      </c>
      <c r="Y491" s="48">
        <v>0</v>
      </c>
      <c r="Z491" s="8"/>
      <c r="AA491" s="51">
        <v>44650</v>
      </c>
      <c r="AB491" s="8"/>
    </row>
    <row r="492" spans="20:28" x14ac:dyDescent="0.25">
      <c r="T492" s="9" t="s">
        <v>194</v>
      </c>
      <c r="U492" s="50">
        <v>4773</v>
      </c>
      <c r="V492" s="45">
        <v>0</v>
      </c>
      <c r="W492" s="45">
        <v>0</v>
      </c>
      <c r="X492" s="45">
        <v>0</v>
      </c>
      <c r="Y492" s="48">
        <v>0</v>
      </c>
      <c r="Z492" s="8"/>
      <c r="AA492" s="51">
        <v>44712</v>
      </c>
      <c r="AB492" s="8"/>
    </row>
    <row r="493" spans="20:28" x14ac:dyDescent="0.25">
      <c r="T493" s="9" t="s">
        <v>194</v>
      </c>
      <c r="U493" s="50">
        <v>4933.5</v>
      </c>
      <c r="V493" s="45">
        <v>0</v>
      </c>
      <c r="W493" s="45">
        <v>0</v>
      </c>
      <c r="X493" s="47">
        <v>251200</v>
      </c>
      <c r="Y493" s="48">
        <v>4.0000000000000002E-4</v>
      </c>
      <c r="Z493" s="45" t="s">
        <v>189</v>
      </c>
      <c r="AA493" s="49">
        <v>0.74930555555555556</v>
      </c>
      <c r="AB493" s="8"/>
    </row>
    <row r="498" spans="20:25" x14ac:dyDescent="0.25">
      <c r="T498" s="44" t="s">
        <v>188</v>
      </c>
      <c r="U498" s="44" t="s">
        <v>223</v>
      </c>
      <c r="V498" s="44" t="s">
        <v>224</v>
      </c>
      <c r="W498" s="44" t="s">
        <v>213</v>
      </c>
      <c r="X498" s="44" t="s">
        <v>225</v>
      </c>
      <c r="Y498" s="44" t="s">
        <v>226</v>
      </c>
    </row>
    <row r="499" spans="20:25" x14ac:dyDescent="0.25">
      <c r="T499" s="330"/>
      <c r="U499" s="330"/>
      <c r="V499" s="330"/>
      <c r="W499" s="330"/>
      <c r="X499" s="330"/>
      <c r="Y499" s="330"/>
    </row>
    <row r="500" spans="20:25" x14ac:dyDescent="0.25">
      <c r="T500" s="45" t="s">
        <v>189</v>
      </c>
      <c r="U500" s="8"/>
      <c r="V500" s="9" t="s">
        <v>227</v>
      </c>
      <c r="W500" s="52"/>
      <c r="X500" s="48">
        <v>2.5999999999999999E-2</v>
      </c>
      <c r="Y500" s="48">
        <v>0.04</v>
      </c>
    </row>
    <row r="501" spans="20:25" x14ac:dyDescent="0.25">
      <c r="T501" s="45" t="s">
        <v>189</v>
      </c>
      <c r="U501" s="8"/>
      <c r="V501" s="9" t="s">
        <v>228</v>
      </c>
      <c r="W501" s="52"/>
      <c r="X501" s="48">
        <v>4.0000000000000001E-3</v>
      </c>
      <c r="Y501" s="48">
        <v>0.01</v>
      </c>
    </row>
    <row r="502" spans="20:25" x14ac:dyDescent="0.25">
      <c r="T502" s="45" t="s">
        <v>229</v>
      </c>
      <c r="U502" s="8"/>
      <c r="V502" s="9" t="s">
        <v>230</v>
      </c>
      <c r="W502" s="52"/>
      <c r="X502" s="48">
        <v>5.0000000000000001E-3</v>
      </c>
      <c r="Y502" s="48">
        <v>6.0000000000000001E-3</v>
      </c>
    </row>
    <row r="503" spans="20:25" x14ac:dyDescent="0.25">
      <c r="T503" s="45" t="s">
        <v>229</v>
      </c>
      <c r="U503" s="8"/>
      <c r="V503" s="9" t="s">
        <v>231</v>
      </c>
      <c r="W503" s="52"/>
      <c r="X503" s="48">
        <v>5.8999999999999997E-2</v>
      </c>
      <c r="Y503" s="48">
        <v>6.2E-2</v>
      </c>
    </row>
    <row r="504" spans="20:25" x14ac:dyDescent="0.25">
      <c r="T504" s="45" t="s">
        <v>229</v>
      </c>
      <c r="U504" s="8"/>
      <c r="V504" s="9" t="s">
        <v>232</v>
      </c>
      <c r="W504" s="52"/>
      <c r="X504" s="52"/>
      <c r="Y504" s="53">
        <v>290.45999999999998</v>
      </c>
    </row>
    <row r="505" spans="20:25" x14ac:dyDescent="0.25">
      <c r="T505" s="45" t="s">
        <v>229</v>
      </c>
      <c r="U505" s="8"/>
      <c r="V505" s="9" t="s">
        <v>233</v>
      </c>
      <c r="W505" s="52"/>
      <c r="X505" s="48">
        <v>7.0000000000000001E-3</v>
      </c>
      <c r="Y505" s="48">
        <v>3.0000000000000001E-3</v>
      </c>
    </row>
    <row r="506" spans="20:25" x14ac:dyDescent="0.25">
      <c r="T506" s="45" t="s">
        <v>229</v>
      </c>
      <c r="U506" s="8"/>
      <c r="V506" s="9" t="s">
        <v>234</v>
      </c>
      <c r="W506" s="52"/>
      <c r="X506" s="48">
        <v>8.3000000000000004E-2</v>
      </c>
      <c r="Y506" s="48">
        <v>8.3000000000000004E-2</v>
      </c>
    </row>
    <row r="507" spans="20:25" x14ac:dyDescent="0.25">
      <c r="T507" s="45" t="s">
        <v>229</v>
      </c>
      <c r="U507" s="8"/>
      <c r="V507" s="9" t="s">
        <v>235</v>
      </c>
      <c r="W507" s="52"/>
      <c r="X507" s="53">
        <v>291.66000000000003</v>
      </c>
      <c r="Y507" s="53">
        <v>289.11</v>
      </c>
    </row>
    <row r="508" spans="20:25" x14ac:dyDescent="0.25">
      <c r="T508" s="45" t="s">
        <v>229</v>
      </c>
      <c r="U508" s="8"/>
      <c r="V508" s="9" t="s">
        <v>236</v>
      </c>
      <c r="W508" s="52"/>
      <c r="X508" s="52"/>
      <c r="Y508" s="53">
        <v>288.66000000000003</v>
      </c>
    </row>
    <row r="509" spans="20:25" x14ac:dyDescent="0.25">
      <c r="T509" s="45" t="s">
        <v>229</v>
      </c>
      <c r="U509" s="8"/>
      <c r="V509" s="9" t="s">
        <v>237</v>
      </c>
      <c r="W509" s="52"/>
      <c r="X509" s="52"/>
      <c r="Y509" s="48">
        <v>5.5999999999999999E-3</v>
      </c>
    </row>
    <row r="510" spans="20:25" x14ac:dyDescent="0.25">
      <c r="T510" s="45" t="s">
        <v>229</v>
      </c>
      <c r="U510" s="8"/>
      <c r="V510" s="9" t="s">
        <v>238</v>
      </c>
      <c r="W510" s="52"/>
      <c r="X510" s="52"/>
      <c r="Y510" s="48">
        <v>-0.01</v>
      </c>
    </row>
    <row r="511" spans="20:25" x14ac:dyDescent="0.25">
      <c r="T511" s="45" t="s">
        <v>229</v>
      </c>
      <c r="U511" s="8"/>
      <c r="V511" s="9" t="s">
        <v>239</v>
      </c>
      <c r="W511" s="52"/>
      <c r="X511" s="52"/>
      <c r="Y511" s="48">
        <v>0.03</v>
      </c>
    </row>
    <row r="512" spans="20:25" x14ac:dyDescent="0.25">
      <c r="T512" s="45" t="s">
        <v>229</v>
      </c>
      <c r="U512" s="8"/>
      <c r="V512" s="9" t="s">
        <v>240</v>
      </c>
      <c r="W512" s="52"/>
      <c r="X512" s="53">
        <v>54.5</v>
      </c>
      <c r="Y512" s="53">
        <v>55.2</v>
      </c>
    </row>
    <row r="513" spans="20:25" x14ac:dyDescent="0.25">
      <c r="T513" s="45" t="s">
        <v>229</v>
      </c>
      <c r="U513" s="8"/>
      <c r="V513" s="9" t="s">
        <v>241</v>
      </c>
      <c r="W513" s="52"/>
      <c r="X513" s="53">
        <v>58</v>
      </c>
      <c r="Y513" s="53">
        <v>58.4</v>
      </c>
    </row>
    <row r="514" spans="20:25" x14ac:dyDescent="0.25">
      <c r="T514" s="45" t="s">
        <v>229</v>
      </c>
      <c r="U514" s="8"/>
      <c r="V514" s="9" t="s">
        <v>242</v>
      </c>
      <c r="W514" s="52"/>
      <c r="X514" s="53">
        <v>62.5</v>
      </c>
      <c r="Y514" s="53">
        <v>63.3</v>
      </c>
    </row>
    <row r="515" spans="20:25" x14ac:dyDescent="0.25">
      <c r="T515" s="45" t="s">
        <v>229</v>
      </c>
      <c r="U515" s="8"/>
      <c r="V515" s="9" t="s">
        <v>243</v>
      </c>
      <c r="W515" s="52"/>
      <c r="X515" s="52"/>
      <c r="Y515" s="48">
        <v>5.2999999999999999E-2</v>
      </c>
    </row>
    <row r="516" spans="20:25" x14ac:dyDescent="0.25">
      <c r="T516" s="45" t="s">
        <v>229</v>
      </c>
      <c r="U516" s="8"/>
      <c r="V516" s="9" t="s">
        <v>244</v>
      </c>
      <c r="W516" s="52"/>
      <c r="X516" s="52"/>
      <c r="Y516" s="48">
        <v>5.0000000000000001E-3</v>
      </c>
    </row>
    <row r="517" spans="20:25" x14ac:dyDescent="0.25">
      <c r="T517" s="45" t="s">
        <v>229</v>
      </c>
      <c r="U517" s="8"/>
      <c r="V517" s="9" t="s">
        <v>245</v>
      </c>
      <c r="W517" s="52"/>
      <c r="X517" s="52"/>
      <c r="Y517" s="52"/>
    </row>
    <row r="518" spans="20:25" x14ac:dyDescent="0.25">
      <c r="T518" s="45" t="s">
        <v>229</v>
      </c>
      <c r="U518" s="8"/>
      <c r="V518" s="9" t="s">
        <v>246</v>
      </c>
      <c r="W518" s="52"/>
      <c r="X518" s="52"/>
      <c r="Y518" s="53">
        <v>574</v>
      </c>
    </row>
    <row r="519" spans="20:25" x14ac:dyDescent="0.25">
      <c r="T519" s="45" t="s">
        <v>229</v>
      </c>
      <c r="U519" s="8"/>
      <c r="V519" s="9" t="s">
        <v>247</v>
      </c>
      <c r="W519" s="52"/>
      <c r="X519" s="52"/>
      <c r="Y519" s="53">
        <v>727</v>
      </c>
    </row>
    <row r="520" spans="20:25" x14ac:dyDescent="0.25">
      <c r="T520" s="45" t="s">
        <v>229</v>
      </c>
      <c r="U520" s="8"/>
      <c r="V520" s="9" t="s">
        <v>248</v>
      </c>
      <c r="W520" s="52"/>
      <c r="X520" s="53" t="s">
        <v>249</v>
      </c>
      <c r="Y520" s="53" t="s">
        <v>250</v>
      </c>
    </row>
    <row r="521" spans="20:25" x14ac:dyDescent="0.25">
      <c r="T521" s="45" t="s">
        <v>229</v>
      </c>
      <c r="U521" s="8"/>
      <c r="V521" s="9" t="s">
        <v>251</v>
      </c>
      <c r="W521" s="52"/>
      <c r="X521" s="52"/>
      <c r="Y521" s="53" t="s">
        <v>252</v>
      </c>
    </row>
    <row r="522" spans="20:25" x14ac:dyDescent="0.25">
      <c r="T522" s="45" t="s">
        <v>229</v>
      </c>
      <c r="U522" s="8"/>
      <c r="V522" s="9" t="s">
        <v>253</v>
      </c>
      <c r="W522" s="52"/>
      <c r="X522" s="52"/>
      <c r="Y522" s="53" t="s">
        <v>254</v>
      </c>
    </row>
    <row r="523" spans="20:25" x14ac:dyDescent="0.25">
      <c r="T523" s="45" t="s">
        <v>229</v>
      </c>
      <c r="U523" s="8"/>
      <c r="V523" s="9" t="s">
        <v>255</v>
      </c>
      <c r="W523" s="52"/>
      <c r="X523" s="52"/>
      <c r="Y523" s="53" t="s">
        <v>256</v>
      </c>
    </row>
    <row r="524" spans="20:25" x14ac:dyDescent="0.25">
      <c r="T524" s="45" t="s">
        <v>229</v>
      </c>
      <c r="U524" s="8"/>
      <c r="V524" s="9" t="s">
        <v>257</v>
      </c>
      <c r="W524" s="52"/>
      <c r="X524" s="52"/>
      <c r="Y524" s="53" t="s">
        <v>258</v>
      </c>
    </row>
    <row r="525" spans="20:25" x14ac:dyDescent="0.25">
      <c r="T525" s="45" t="s">
        <v>229</v>
      </c>
      <c r="U525" s="8"/>
      <c r="V525" s="9" t="s">
        <v>259</v>
      </c>
      <c r="W525" s="52"/>
      <c r="X525" s="52"/>
      <c r="Y525" s="53" t="s">
        <v>260</v>
      </c>
    </row>
    <row r="526" spans="20:25" x14ac:dyDescent="0.25">
      <c r="T526" s="45" t="s">
        <v>229</v>
      </c>
      <c r="U526" s="8"/>
      <c r="V526" s="9" t="s">
        <v>261</v>
      </c>
      <c r="W526" s="52"/>
      <c r="X526" s="52"/>
      <c r="Y526" s="53" t="s">
        <v>262</v>
      </c>
    </row>
    <row r="527" spans="20:25" x14ac:dyDescent="0.25">
      <c r="T527" s="45" t="s">
        <v>229</v>
      </c>
      <c r="U527" s="8"/>
      <c r="V527" s="9" t="s">
        <v>263</v>
      </c>
      <c r="W527" s="52"/>
      <c r="X527" s="52"/>
      <c r="Y527" s="53" t="s">
        <v>264</v>
      </c>
    </row>
    <row r="528" spans="20:25" x14ac:dyDescent="0.25">
      <c r="T528" s="45" t="s">
        <v>229</v>
      </c>
      <c r="U528" s="8"/>
      <c r="V528" s="9" t="s">
        <v>265</v>
      </c>
      <c r="W528" s="52"/>
      <c r="X528" s="52"/>
      <c r="Y528" s="53" t="s">
        <v>266</v>
      </c>
    </row>
    <row r="529" spans="20:25" x14ac:dyDescent="0.25">
      <c r="T529" s="45" t="s">
        <v>229</v>
      </c>
      <c r="U529" s="8"/>
      <c r="V529" s="9" t="s">
        <v>267</v>
      </c>
      <c r="W529" s="52"/>
      <c r="X529" s="52"/>
      <c r="Y529" s="53" t="s">
        <v>268</v>
      </c>
    </row>
    <row r="530" spans="20:25" x14ac:dyDescent="0.25">
      <c r="T530" s="45" t="s">
        <v>229</v>
      </c>
      <c r="U530" s="8"/>
      <c r="V530" s="9" t="s">
        <v>269</v>
      </c>
      <c r="W530" s="52"/>
      <c r="X530" s="52"/>
      <c r="Y530" s="53" t="s">
        <v>270</v>
      </c>
    </row>
    <row r="531" spans="20:25" x14ac:dyDescent="0.25">
      <c r="T531" s="45" t="s">
        <v>229</v>
      </c>
      <c r="U531" s="8"/>
      <c r="V531" s="9" t="s">
        <v>271</v>
      </c>
      <c r="W531" s="52"/>
      <c r="X531" s="52"/>
      <c r="Y531" s="53" t="s">
        <v>272</v>
      </c>
    </row>
    <row r="532" spans="20:25" x14ac:dyDescent="0.25">
      <c r="T532" s="45" t="s">
        <v>189</v>
      </c>
      <c r="U532" s="8"/>
      <c r="V532" s="9" t="s">
        <v>273</v>
      </c>
      <c r="W532" s="52"/>
      <c r="X532" s="52"/>
      <c r="Y532" s="53" t="s">
        <v>274</v>
      </c>
    </row>
    <row r="536" spans="20:25" x14ac:dyDescent="0.25">
      <c r="T536" s="9" t="s">
        <v>275</v>
      </c>
      <c r="U536" s="8"/>
    </row>
    <row r="537" spans="20:25" x14ac:dyDescent="0.25">
      <c r="T537" s="45" t="s">
        <v>276</v>
      </c>
      <c r="U537" s="54">
        <v>0.01</v>
      </c>
    </row>
    <row r="538" spans="20:25" x14ac:dyDescent="0.25">
      <c r="T538" s="45" t="s">
        <v>277</v>
      </c>
      <c r="U538" s="45" t="s">
        <v>278</v>
      </c>
    </row>
    <row r="539" spans="20:25" x14ac:dyDescent="0.25">
      <c r="T539" s="9" t="s">
        <v>279</v>
      </c>
      <c r="U539" s="8"/>
    </row>
    <row r="540" spans="20:25" x14ac:dyDescent="0.25">
      <c r="T540" s="45" t="s">
        <v>276</v>
      </c>
      <c r="U540" s="54">
        <v>0.1275</v>
      </c>
    </row>
    <row r="541" spans="20:25" x14ac:dyDescent="0.25">
      <c r="T541" s="45" t="s">
        <v>277</v>
      </c>
      <c r="U541" s="45" t="s">
        <v>280</v>
      </c>
    </row>
    <row r="860" spans="14:23" x14ac:dyDescent="0.25">
      <c r="T860" s="53">
        <v>4.9047999999999998</v>
      </c>
      <c r="U860" s="53">
        <v>-1.5E-3</v>
      </c>
      <c r="V860" s="48">
        <v>-2.9999999999999997E-4</v>
      </c>
      <c r="W860" s="8"/>
    </row>
    <row r="861" spans="14:23" x14ac:dyDescent="0.25">
      <c r="T861" s="53">
        <v>5.2093999999999996</v>
      </c>
      <c r="U861" s="53">
        <v>1.9E-3</v>
      </c>
      <c r="V861" s="48">
        <v>4.0000000000000002E-4</v>
      </c>
      <c r="W861" s="8"/>
    </row>
    <row r="862" spans="14:23" ht="15" customHeight="1" x14ac:dyDescent="0.25">
      <c r="N862" s="57" t="s">
        <v>281</v>
      </c>
      <c r="O862" s="57"/>
      <c r="P862" s="331" t="s">
        <v>282</v>
      </c>
      <c r="Q862" s="331"/>
      <c r="R862" s="57" t="s">
        <v>283</v>
      </c>
      <c r="S862" s="57" t="s">
        <v>284</v>
      </c>
      <c r="T862" s="53">
        <v>1.0620000000000001</v>
      </c>
      <c r="U862" s="53">
        <v>5.9999999999999995E-4</v>
      </c>
      <c r="V862" s="48">
        <v>5.9999999999999995E-4</v>
      </c>
      <c r="W862" s="8"/>
    </row>
    <row r="863" spans="14:23" x14ac:dyDescent="0.25">
      <c r="N863" s="43"/>
      <c r="O863" s="43" t="s">
        <v>285</v>
      </c>
      <c r="P863" s="43"/>
      <c r="Q863" s="43"/>
      <c r="R863" s="43"/>
      <c r="T863" s="53">
        <v>134.16</v>
      </c>
      <c r="U863" s="53">
        <v>-0.17</v>
      </c>
      <c r="V863" s="48">
        <v>-1.1999999999999999E-3</v>
      </c>
      <c r="W863" s="8"/>
    </row>
    <row r="864" spans="14:23" x14ac:dyDescent="0.25">
      <c r="T864" s="53">
        <v>1.2497</v>
      </c>
      <c r="U864" s="53">
        <v>6.9999999999999999E-4</v>
      </c>
      <c r="V864" s="48">
        <v>5.9999999999999995E-4</v>
      </c>
      <c r="W864" s="8"/>
    </row>
    <row r="865" spans="20:23" x14ac:dyDescent="0.25">
      <c r="T865" s="53">
        <v>6.1289999999999996</v>
      </c>
      <c r="U865" s="53">
        <v>1E-3</v>
      </c>
      <c r="V865" s="48">
        <v>2.0000000000000001E-4</v>
      </c>
      <c r="W865" s="8"/>
    </row>
    <row r="866" spans="20:23" x14ac:dyDescent="0.25">
      <c r="T866" s="53">
        <v>3.8622000000000001</v>
      </c>
      <c r="U866" s="53">
        <v>-1E-3</v>
      </c>
      <c r="V866" s="48">
        <v>-2.9999999999999997E-4</v>
      </c>
      <c r="W866" s="8"/>
    </row>
    <row r="867" spans="20:23" x14ac:dyDescent="0.25">
      <c r="T867" s="55">
        <v>107094</v>
      </c>
      <c r="U867" s="56">
        <v>-1274</v>
      </c>
      <c r="V867" s="48">
        <v>-1.18E-2</v>
      </c>
      <c r="W867" s="8"/>
    </row>
    <row r="868" spans="20:23" x14ac:dyDescent="0.25">
      <c r="T868" s="55">
        <v>107690</v>
      </c>
      <c r="U868" s="56">
        <v>-1160</v>
      </c>
      <c r="V868" s="48">
        <v>-1.0699999999999999E-2</v>
      </c>
      <c r="W868" s="8"/>
    </row>
    <row r="869" spans="20:23" x14ac:dyDescent="0.25">
      <c r="T869" s="55">
        <v>4018.5</v>
      </c>
      <c r="U869" s="53">
        <v>0.7</v>
      </c>
      <c r="V869" s="48">
        <v>2.0000000000000001E-4</v>
      </c>
      <c r="W869" s="8"/>
    </row>
    <row r="870" spans="20:23" x14ac:dyDescent="0.25">
      <c r="T870" s="55">
        <v>32279</v>
      </c>
      <c r="U870" s="53">
        <v>6.2</v>
      </c>
      <c r="V870" s="48">
        <v>2.0000000000000001E-4</v>
      </c>
      <c r="W870" s="8"/>
    </row>
    <row r="871" spans="20:23" x14ac:dyDescent="0.25">
      <c r="T871" s="53">
        <v>26.09</v>
      </c>
      <c r="U871" s="53">
        <v>2.13</v>
      </c>
      <c r="V871" s="48">
        <v>8.8900000000000007E-2</v>
      </c>
      <c r="W871" s="8"/>
    </row>
    <row r="872" spans="20:23" x14ac:dyDescent="0.25">
      <c r="T872" s="55">
        <v>29760</v>
      </c>
      <c r="U872" s="53">
        <v>-325</v>
      </c>
      <c r="V872" s="48">
        <v>-1.0800000000000001E-2</v>
      </c>
      <c r="W872" s="8"/>
    </row>
    <row r="873" spans="20:23" x14ac:dyDescent="0.25">
      <c r="T873" s="53">
        <v>103.273</v>
      </c>
      <c r="U873" s="53">
        <v>-2.4E-2</v>
      </c>
      <c r="V873" s="48">
        <v>-2.0000000000000001E-4</v>
      </c>
      <c r="W873" s="8"/>
    </row>
    <row r="874" spans="20:23" x14ac:dyDescent="0.25">
      <c r="T874" s="53">
        <v>122.79</v>
      </c>
      <c r="U874" s="53">
        <v>-0.18</v>
      </c>
      <c r="V874" s="48">
        <v>-1.5E-3</v>
      </c>
      <c r="W874" s="8"/>
    </row>
    <row r="875" spans="20:23" x14ac:dyDescent="0.25">
      <c r="T875" s="53">
        <v>121.27</v>
      </c>
      <c r="U875" s="53">
        <v>-0.24</v>
      </c>
      <c r="V875" s="48">
        <v>-2E-3</v>
      </c>
      <c r="W875" s="8"/>
    </row>
    <row r="876" spans="20:23" x14ac:dyDescent="0.25">
      <c r="T876" s="53">
        <v>234.1</v>
      </c>
      <c r="U876" s="53">
        <v>2.25</v>
      </c>
      <c r="V876" s="48">
        <v>9.7000000000000003E-3</v>
      </c>
      <c r="W876" s="8"/>
    </row>
    <row r="877" spans="20:23" x14ac:dyDescent="0.25">
      <c r="T877" s="55">
        <v>1765.5</v>
      </c>
      <c r="U877" s="53">
        <v>-4.5</v>
      </c>
      <c r="V877" s="48">
        <v>-2.5000000000000001E-3</v>
      </c>
      <c r="W877" s="8"/>
    </row>
    <row r="878" spans="20:23" x14ac:dyDescent="0.25">
      <c r="T878" s="55">
        <v>2426</v>
      </c>
      <c r="U878" s="53">
        <v>-32</v>
      </c>
      <c r="V878" s="48">
        <v>-1.2999999999999999E-2</v>
      </c>
      <c r="W878" s="8"/>
    </row>
    <row r="879" spans="20:23" x14ac:dyDescent="0.25">
      <c r="T879" s="55">
        <v>1849.5</v>
      </c>
      <c r="U879" s="53">
        <v>-3.3</v>
      </c>
      <c r="V879" s="48">
        <v>-1.8E-3</v>
      </c>
      <c r="W879" s="8"/>
    </row>
    <row r="880" spans="20:23" x14ac:dyDescent="0.25">
      <c r="T880" s="53">
        <v>19.32</v>
      </c>
      <c r="U880" s="53">
        <v>0.34</v>
      </c>
      <c r="V880" s="48">
        <v>1.7899999999999999E-2</v>
      </c>
      <c r="W880" s="8"/>
    </row>
    <row r="881" spans="20:23" x14ac:dyDescent="0.25">
      <c r="T881" s="53">
        <v>30.07</v>
      </c>
      <c r="U881" s="53">
        <v>-0.44</v>
      </c>
      <c r="V881" s="48">
        <v>-1.44E-2</v>
      </c>
      <c r="W881" s="8"/>
    </row>
    <row r="882" spans="20:23" x14ac:dyDescent="0.25">
      <c r="T882" s="53">
        <v>84.54</v>
      </c>
      <c r="U882" s="53">
        <v>-2.96</v>
      </c>
      <c r="V882" s="48">
        <v>-3.3799999999999997E-2</v>
      </c>
      <c r="W882" s="8"/>
    </row>
    <row r="883" spans="20:23" x14ac:dyDescent="0.25">
      <c r="T883" s="53">
        <v>2.91</v>
      </c>
      <c r="U883" s="53">
        <v>-0.1</v>
      </c>
      <c r="V883" s="48">
        <v>-3.32E-2</v>
      </c>
      <c r="W883" s="8"/>
    </row>
    <row r="884" spans="20:23" x14ac:dyDescent="0.25">
      <c r="T884" s="53">
        <v>3.01</v>
      </c>
      <c r="U884" s="53">
        <v>-0.21</v>
      </c>
      <c r="V884" s="48">
        <v>-6.5199999999999994E-2</v>
      </c>
      <c r="W884" s="8"/>
    </row>
    <row r="885" spans="20:23" x14ac:dyDescent="0.25">
      <c r="T885" s="53">
        <v>2.81</v>
      </c>
      <c r="U885" s="53">
        <v>0.05</v>
      </c>
      <c r="V885" s="48">
        <v>1.8100000000000002E-2</v>
      </c>
      <c r="W885" s="8"/>
    </row>
    <row r="886" spans="20:23" x14ac:dyDescent="0.25">
      <c r="T886" s="53">
        <v>0.6</v>
      </c>
      <c r="U886" s="53">
        <v>-0.01</v>
      </c>
      <c r="V886" s="48">
        <v>-1.6400000000000001E-2</v>
      </c>
      <c r="W886" s="8"/>
    </row>
    <row r="887" spans="20:23" x14ac:dyDescent="0.25">
      <c r="T887" s="53">
        <v>24.52</v>
      </c>
      <c r="U887" s="53">
        <v>0.11</v>
      </c>
      <c r="V887" s="48">
        <v>4.4999999999999997E-3</v>
      </c>
      <c r="W887" s="8"/>
    </row>
  </sheetData>
  <mergeCells count="1105">
    <mergeCell ref="L240:L241"/>
    <mergeCell ref="A197:A198"/>
    <mergeCell ref="B197:B198"/>
    <mergeCell ref="D197:D198"/>
    <mergeCell ref="E197:E198"/>
    <mergeCell ref="F197:F198"/>
    <mergeCell ref="G197:G198"/>
    <mergeCell ref="H197:H198"/>
    <mergeCell ref="I197:I198"/>
    <mergeCell ref="J197:J198"/>
    <mergeCell ref="K197:K198"/>
    <mergeCell ref="L197:L198"/>
    <mergeCell ref="A199:A200"/>
    <mergeCell ref="B199:B200"/>
    <mergeCell ref="D199:D200"/>
    <mergeCell ref="E199:E200"/>
    <mergeCell ref="F199:F200"/>
    <mergeCell ref="G199:G200"/>
    <mergeCell ref="H199:H200"/>
    <mergeCell ref="I199:I200"/>
    <mergeCell ref="J199:J200"/>
    <mergeCell ref="K199:K200"/>
    <mergeCell ref="A191:A192"/>
    <mergeCell ref="B191:B192"/>
    <mergeCell ref="D191:D192"/>
    <mergeCell ref="E191:E192"/>
    <mergeCell ref="F191:F192"/>
    <mergeCell ref="G191:G192"/>
    <mergeCell ref="H191:H192"/>
    <mergeCell ref="A240:A241"/>
    <mergeCell ref="B240:B241"/>
    <mergeCell ref="D240:D241"/>
    <mergeCell ref="E240:E241"/>
    <mergeCell ref="F240:F241"/>
    <mergeCell ref="G240:G241"/>
    <mergeCell ref="H240:H241"/>
    <mergeCell ref="I240:I241"/>
    <mergeCell ref="J240:J241"/>
    <mergeCell ref="K240:K241"/>
    <mergeCell ref="L199:L200"/>
    <mergeCell ref="A193:A194"/>
    <mergeCell ref="B193:B194"/>
    <mergeCell ref="D193:D194"/>
    <mergeCell ref="E193:E194"/>
    <mergeCell ref="F193:F194"/>
    <mergeCell ref="G193:G194"/>
    <mergeCell ref="H193:H194"/>
    <mergeCell ref="I193:I194"/>
    <mergeCell ref="J193:J194"/>
    <mergeCell ref="K193:K194"/>
    <mergeCell ref="L193:L194"/>
    <mergeCell ref="A195:A196"/>
    <mergeCell ref="B195:B196"/>
    <mergeCell ref="D195:D196"/>
    <mergeCell ref="E195:E196"/>
    <mergeCell ref="F195:F196"/>
    <mergeCell ref="G195:G196"/>
    <mergeCell ref="H195:H196"/>
    <mergeCell ref="I195:I196"/>
    <mergeCell ref="J195:J196"/>
    <mergeCell ref="K195:K196"/>
    <mergeCell ref="L195:L196"/>
    <mergeCell ref="A136:A137"/>
    <mergeCell ref="B136:B137"/>
    <mergeCell ref="D136:D137"/>
    <mergeCell ref="E136:E137"/>
    <mergeCell ref="F136:F137"/>
    <mergeCell ref="G136:G137"/>
    <mergeCell ref="H136:H137"/>
    <mergeCell ref="I136:I137"/>
    <mergeCell ref="J136:J137"/>
    <mergeCell ref="K136:K137"/>
    <mergeCell ref="L136:L137"/>
    <mergeCell ref="B170:B171"/>
    <mergeCell ref="D170:D171"/>
    <mergeCell ref="E170:E171"/>
    <mergeCell ref="F170:F171"/>
    <mergeCell ref="G170:G171"/>
    <mergeCell ref="H170:H171"/>
    <mergeCell ref="I170:I171"/>
    <mergeCell ref="J170:J171"/>
    <mergeCell ref="K170:K171"/>
    <mergeCell ref="L152:L154"/>
    <mergeCell ref="L165:L167"/>
    <mergeCell ref="A99:A100"/>
    <mergeCell ref="B99:B100"/>
    <mergeCell ref="D99:D100"/>
    <mergeCell ref="E99:E100"/>
    <mergeCell ref="F99:F100"/>
    <mergeCell ref="G99:G100"/>
    <mergeCell ref="H99:H100"/>
    <mergeCell ref="I99:I100"/>
    <mergeCell ref="J99:J100"/>
    <mergeCell ref="K99:K100"/>
    <mergeCell ref="L99:L100"/>
    <mergeCell ref="K101:K103"/>
    <mergeCell ref="L101:L103"/>
    <mergeCell ref="E104:E105"/>
    <mergeCell ref="F104:F105"/>
    <mergeCell ref="A104:A105"/>
    <mergeCell ref="B104:B105"/>
    <mergeCell ref="D104:D105"/>
    <mergeCell ref="A101:A103"/>
    <mergeCell ref="K90:K91"/>
    <mergeCell ref="L90:L91"/>
    <mergeCell ref="A81:A83"/>
    <mergeCell ref="B81:B83"/>
    <mergeCell ref="D81:D83"/>
    <mergeCell ref="E81:E83"/>
    <mergeCell ref="F81:F83"/>
    <mergeCell ref="G81:G83"/>
    <mergeCell ref="A88:A89"/>
    <mergeCell ref="A97:A98"/>
    <mergeCell ref="B97:B98"/>
    <mergeCell ref="D97:D98"/>
    <mergeCell ref="E97:E98"/>
    <mergeCell ref="F97:F98"/>
    <mergeCell ref="G97:G98"/>
    <mergeCell ref="H97:H98"/>
    <mergeCell ref="I97:I98"/>
    <mergeCell ref="J97:J98"/>
    <mergeCell ref="K97:K98"/>
    <mergeCell ref="L97:L98"/>
    <mergeCell ref="K92:K93"/>
    <mergeCell ref="L92:L93"/>
    <mergeCell ref="A94:A96"/>
    <mergeCell ref="B94:B96"/>
    <mergeCell ref="D94:D96"/>
    <mergeCell ref="E94:E96"/>
    <mergeCell ref="F94:F96"/>
    <mergeCell ref="G94:G96"/>
    <mergeCell ref="H94:H96"/>
    <mergeCell ref="I94:I96"/>
    <mergeCell ref="J94:J96"/>
    <mergeCell ref="A79:A80"/>
    <mergeCell ref="B79:B80"/>
    <mergeCell ref="H81:H83"/>
    <mergeCell ref="I81:I83"/>
    <mergeCell ref="J81:J83"/>
    <mergeCell ref="K81:K83"/>
    <mergeCell ref="L81:L83"/>
    <mergeCell ref="A86:A87"/>
    <mergeCell ref="B86:B87"/>
    <mergeCell ref="D86:D87"/>
    <mergeCell ref="E86:E87"/>
    <mergeCell ref="F86:F87"/>
    <mergeCell ref="F76:F78"/>
    <mergeCell ref="F79:F80"/>
    <mergeCell ref="G79:G80"/>
    <mergeCell ref="H79:H80"/>
    <mergeCell ref="I79:I80"/>
    <mergeCell ref="J79:J80"/>
    <mergeCell ref="K79:K80"/>
    <mergeCell ref="L79:L80"/>
    <mergeCell ref="A236:A237"/>
    <mergeCell ref="B236:B237"/>
    <mergeCell ref="D236:D237"/>
    <mergeCell ref="E236:E237"/>
    <mergeCell ref="F236:F237"/>
    <mergeCell ref="G236:G237"/>
    <mergeCell ref="H236:H237"/>
    <mergeCell ref="I236:I237"/>
    <mergeCell ref="J236:J237"/>
    <mergeCell ref="K236:K237"/>
    <mergeCell ref="L236:L237"/>
    <mergeCell ref="A238:A239"/>
    <mergeCell ref="B238:B239"/>
    <mergeCell ref="D238:D239"/>
    <mergeCell ref="E238:E239"/>
    <mergeCell ref="F238:F239"/>
    <mergeCell ref="G238:G239"/>
    <mergeCell ref="H238:H239"/>
    <mergeCell ref="I238:I239"/>
    <mergeCell ref="J238:J239"/>
    <mergeCell ref="K238:K239"/>
    <mergeCell ref="A234:A235"/>
    <mergeCell ref="B234:B235"/>
    <mergeCell ref="D234:D235"/>
    <mergeCell ref="E234:E235"/>
    <mergeCell ref="F234:F235"/>
    <mergeCell ref="G234:G235"/>
    <mergeCell ref="H234:H235"/>
    <mergeCell ref="I234:I235"/>
    <mergeCell ref="J234:J235"/>
    <mergeCell ref="K234:K235"/>
    <mergeCell ref="L234:L235"/>
    <mergeCell ref="A218:A219"/>
    <mergeCell ref="B218:B219"/>
    <mergeCell ref="D218:D219"/>
    <mergeCell ref="E218:E219"/>
    <mergeCell ref="F218:F219"/>
    <mergeCell ref="G218:G219"/>
    <mergeCell ref="H218:H219"/>
    <mergeCell ref="D220:D221"/>
    <mergeCell ref="E220:E221"/>
    <mergeCell ref="F220:F221"/>
    <mergeCell ref="G220:G221"/>
    <mergeCell ref="H220:H221"/>
    <mergeCell ref="I220:I221"/>
    <mergeCell ref="J220:J221"/>
    <mergeCell ref="K220:K221"/>
    <mergeCell ref="A222:A223"/>
    <mergeCell ref="B222:B223"/>
    <mergeCell ref="D222:D223"/>
    <mergeCell ref="E222:E223"/>
    <mergeCell ref="F222:F223"/>
    <mergeCell ref="G222:G223"/>
    <mergeCell ref="A15:A17"/>
    <mergeCell ref="T499:Y499"/>
    <mergeCell ref="P862:Q862"/>
    <mergeCell ref="T479:X479"/>
    <mergeCell ref="T481:X481"/>
    <mergeCell ref="H24:H26"/>
    <mergeCell ref="I24:I26"/>
    <mergeCell ref="J24:J26"/>
    <mergeCell ref="K24:K26"/>
    <mergeCell ref="L24:L26"/>
    <mergeCell ref="A27:A29"/>
    <mergeCell ref="B27:B29"/>
    <mergeCell ref="D27:D29"/>
    <mergeCell ref="E27:E29"/>
    <mergeCell ref="F27:F29"/>
    <mergeCell ref="A24:A26"/>
    <mergeCell ref="B24:B26"/>
    <mergeCell ref="D24:D26"/>
    <mergeCell ref="E24:E26"/>
    <mergeCell ref="F24:F26"/>
    <mergeCell ref="G24:G26"/>
    <mergeCell ref="L27:L29"/>
    <mergeCell ref="L30:L32"/>
    <mergeCell ref="B101:B103"/>
    <mergeCell ref="D101:D103"/>
    <mergeCell ref="E101:E103"/>
    <mergeCell ref="F101:F103"/>
    <mergeCell ref="G101:G103"/>
    <mergeCell ref="H101:H103"/>
    <mergeCell ref="I101:I103"/>
    <mergeCell ref="J101:J103"/>
    <mergeCell ref="L88:L89"/>
    <mergeCell ref="A12:A14"/>
    <mergeCell ref="B12:B14"/>
    <mergeCell ref="D12:D14"/>
    <mergeCell ref="E12:E14"/>
    <mergeCell ref="F12:F14"/>
    <mergeCell ref="G12:G14"/>
    <mergeCell ref="D9:D11"/>
    <mergeCell ref="E9:E11"/>
    <mergeCell ref="F9:F11"/>
    <mergeCell ref="K27:K29"/>
    <mergeCell ref="G21:G23"/>
    <mergeCell ref="H21:H23"/>
    <mergeCell ref="I21:I23"/>
    <mergeCell ref="J21:J23"/>
    <mergeCell ref="K21:K23"/>
    <mergeCell ref="G15:G17"/>
    <mergeCell ref="H15:H17"/>
    <mergeCell ref="I15:I17"/>
    <mergeCell ref="J15:J17"/>
    <mergeCell ref="K15:K17"/>
    <mergeCell ref="J27:J29"/>
    <mergeCell ref="A21:A23"/>
    <mergeCell ref="B21:B23"/>
    <mergeCell ref="D21:D23"/>
    <mergeCell ref="E21:E23"/>
    <mergeCell ref="F21:F23"/>
    <mergeCell ref="A18:A20"/>
    <mergeCell ref="B18:B20"/>
    <mergeCell ref="D18:D20"/>
    <mergeCell ref="E18:E20"/>
    <mergeCell ref="F18:F20"/>
    <mergeCell ref="G18:G20"/>
    <mergeCell ref="A3:A5"/>
    <mergeCell ref="B3:B5"/>
    <mergeCell ref="D3:D5"/>
    <mergeCell ref="E3:E5"/>
    <mergeCell ref="F3:F5"/>
    <mergeCell ref="G9:G11"/>
    <mergeCell ref="H9:H11"/>
    <mergeCell ref="I9:I11"/>
    <mergeCell ref="J9:J11"/>
    <mergeCell ref="K9:K11"/>
    <mergeCell ref="L9:L11"/>
    <mergeCell ref="H6:H8"/>
    <mergeCell ref="I6:I8"/>
    <mergeCell ref="J6:J8"/>
    <mergeCell ref="K6:K8"/>
    <mergeCell ref="L6:L8"/>
    <mergeCell ref="A9:A11"/>
    <mergeCell ref="B9:B11"/>
    <mergeCell ref="G6:G8"/>
    <mergeCell ref="A6:A8"/>
    <mergeCell ref="B6:B8"/>
    <mergeCell ref="A84:A85"/>
    <mergeCell ref="B84:B85"/>
    <mergeCell ref="D84:D85"/>
    <mergeCell ref="E84:E85"/>
    <mergeCell ref="F84:F85"/>
    <mergeCell ref="G84:G85"/>
    <mergeCell ref="H84:H85"/>
    <mergeCell ref="I84:I85"/>
    <mergeCell ref="J84:J85"/>
    <mergeCell ref="K84:K85"/>
    <mergeCell ref="L84:L85"/>
    <mergeCell ref="I18:I20"/>
    <mergeCell ref="J18:J20"/>
    <mergeCell ref="K18:K20"/>
    <mergeCell ref="G27:G29"/>
    <mergeCell ref="H27:H29"/>
    <mergeCell ref="I27:I29"/>
    <mergeCell ref="L21:L23"/>
    <mergeCell ref="L18:L20"/>
    <mergeCell ref="A30:A32"/>
    <mergeCell ref="B30:B32"/>
    <mergeCell ref="D30:D32"/>
    <mergeCell ref="E30:E32"/>
    <mergeCell ref="F30:F32"/>
    <mergeCell ref="G30:G32"/>
    <mergeCell ref="H30:H32"/>
    <mergeCell ref="I30:I32"/>
    <mergeCell ref="J30:J32"/>
    <mergeCell ref="K30:K32"/>
    <mergeCell ref="H18:H20"/>
    <mergeCell ref="D46:D48"/>
    <mergeCell ref="E46:E48"/>
    <mergeCell ref="B205:B206"/>
    <mergeCell ref="D205:D206"/>
    <mergeCell ref="E205:E206"/>
    <mergeCell ref="F205:F206"/>
    <mergeCell ref="L15:L17"/>
    <mergeCell ref="G3:G5"/>
    <mergeCell ref="H3:H5"/>
    <mergeCell ref="I3:I5"/>
    <mergeCell ref="J3:J5"/>
    <mergeCell ref="K3:K5"/>
    <mergeCell ref="D6:D8"/>
    <mergeCell ref="E6:E8"/>
    <mergeCell ref="F6:F8"/>
    <mergeCell ref="G86:G87"/>
    <mergeCell ref="H86:H87"/>
    <mergeCell ref="I86:I87"/>
    <mergeCell ref="J86:J87"/>
    <mergeCell ref="K86:K87"/>
    <mergeCell ref="L86:L87"/>
    <mergeCell ref="L3:L5"/>
    <mergeCell ref="B15:B17"/>
    <mergeCell ref="D15:D17"/>
    <mergeCell ref="E15:E17"/>
    <mergeCell ref="F15:F17"/>
    <mergeCell ref="H12:H14"/>
    <mergeCell ref="I12:I14"/>
    <mergeCell ref="J12:J14"/>
    <mergeCell ref="K12:K14"/>
    <mergeCell ref="L12:L14"/>
    <mergeCell ref="D88:D89"/>
    <mergeCell ref="B122:B123"/>
    <mergeCell ref="D122:D123"/>
    <mergeCell ref="H222:H223"/>
    <mergeCell ref="I222:I223"/>
    <mergeCell ref="J222:J223"/>
    <mergeCell ref="K222:K223"/>
    <mergeCell ref="L222:L223"/>
    <mergeCell ref="A216:A217"/>
    <mergeCell ref="B216:B217"/>
    <mergeCell ref="D216:D217"/>
    <mergeCell ref="E216:E217"/>
    <mergeCell ref="F216:F217"/>
    <mergeCell ref="G216:G217"/>
    <mergeCell ref="H216:H217"/>
    <mergeCell ref="I216:I217"/>
    <mergeCell ref="J216:J217"/>
    <mergeCell ref="I218:I219"/>
    <mergeCell ref="J218:J219"/>
    <mergeCell ref="K218:K219"/>
    <mergeCell ref="L218:L219"/>
    <mergeCell ref="A220:A221"/>
    <mergeCell ref="B220:B221"/>
    <mergeCell ref="L220:L221"/>
    <mergeCell ref="K216:K217"/>
    <mergeCell ref="L216:L217"/>
    <mergeCell ref="A224:A225"/>
    <mergeCell ref="B224:B225"/>
    <mergeCell ref="D224:D225"/>
    <mergeCell ref="E224:E225"/>
    <mergeCell ref="F224:F225"/>
    <mergeCell ref="G224:G225"/>
    <mergeCell ref="H224:H225"/>
    <mergeCell ref="I224:I225"/>
    <mergeCell ref="J224:J225"/>
    <mergeCell ref="K224:K225"/>
    <mergeCell ref="L224:L225"/>
    <mergeCell ref="A226:A227"/>
    <mergeCell ref="B226:B227"/>
    <mergeCell ref="D226:D227"/>
    <mergeCell ref="E226:E227"/>
    <mergeCell ref="F226:F227"/>
    <mergeCell ref="G226:G227"/>
    <mergeCell ref="H226:H227"/>
    <mergeCell ref="I226:I227"/>
    <mergeCell ref="J226:J227"/>
    <mergeCell ref="K226:K227"/>
    <mergeCell ref="L226:L227"/>
    <mergeCell ref="D230:D231"/>
    <mergeCell ref="E230:E231"/>
    <mergeCell ref="F230:F231"/>
    <mergeCell ref="G230:G231"/>
    <mergeCell ref="H230:H231"/>
    <mergeCell ref="I230:I231"/>
    <mergeCell ref="J230:J231"/>
    <mergeCell ref="A232:A233"/>
    <mergeCell ref="B232:B233"/>
    <mergeCell ref="D232:D233"/>
    <mergeCell ref="E232:E233"/>
    <mergeCell ref="F232:F233"/>
    <mergeCell ref="K230:K231"/>
    <mergeCell ref="L230:L231"/>
    <mergeCell ref="A228:A229"/>
    <mergeCell ref="B228:B229"/>
    <mergeCell ref="D228:D229"/>
    <mergeCell ref="G104:G105"/>
    <mergeCell ref="H104:H105"/>
    <mergeCell ref="I104:I105"/>
    <mergeCell ref="J104:J105"/>
    <mergeCell ref="K104:K105"/>
    <mergeCell ref="L104:L105"/>
    <mergeCell ref="E88:E89"/>
    <mergeCell ref="F88:F89"/>
    <mergeCell ref="G88:G89"/>
    <mergeCell ref="H88:H89"/>
    <mergeCell ref="I88:I89"/>
    <mergeCell ref="J88:J89"/>
    <mergeCell ref="K88:K89"/>
    <mergeCell ref="B88:B89"/>
    <mergeCell ref="A46:A48"/>
    <mergeCell ref="B46:B48"/>
    <mergeCell ref="G232:G233"/>
    <mergeCell ref="H232:H233"/>
    <mergeCell ref="I232:I233"/>
    <mergeCell ref="J232:J233"/>
    <mergeCell ref="K232:K233"/>
    <mergeCell ref="L232:L233"/>
    <mergeCell ref="E228:E229"/>
    <mergeCell ref="F228:F229"/>
    <mergeCell ref="G228:G229"/>
    <mergeCell ref="H228:H229"/>
    <mergeCell ref="I228:I229"/>
    <mergeCell ref="J228:J229"/>
    <mergeCell ref="K228:K229"/>
    <mergeCell ref="L228:L229"/>
    <mergeCell ref="A230:A231"/>
    <mergeCell ref="B230:B231"/>
    <mergeCell ref="H54:H56"/>
    <mergeCell ref="I54:I56"/>
    <mergeCell ref="J54:J56"/>
    <mergeCell ref="K54:K56"/>
    <mergeCell ref="L54:L56"/>
    <mergeCell ref="A57:A59"/>
    <mergeCell ref="B57:B59"/>
    <mergeCell ref="D57:D59"/>
    <mergeCell ref="E57:E59"/>
    <mergeCell ref="F57:F59"/>
    <mergeCell ref="G57:G59"/>
    <mergeCell ref="H57:H59"/>
    <mergeCell ref="I57:I59"/>
    <mergeCell ref="J57:J59"/>
    <mergeCell ref="K57:K59"/>
    <mergeCell ref="L57:L59"/>
    <mergeCell ref="A54:A56"/>
    <mergeCell ref="B54:B56"/>
    <mergeCell ref="D54:D56"/>
    <mergeCell ref="E54:E56"/>
    <mergeCell ref="F54:F56"/>
    <mergeCell ref="J60:J62"/>
    <mergeCell ref="K60:K62"/>
    <mergeCell ref="L60:L62"/>
    <mergeCell ref="H63:H65"/>
    <mergeCell ref="I63:I65"/>
    <mergeCell ref="J63:J65"/>
    <mergeCell ref="K63:K65"/>
    <mergeCell ref="L63:L65"/>
    <mergeCell ref="A63:A65"/>
    <mergeCell ref="B63:B65"/>
    <mergeCell ref="D63:D65"/>
    <mergeCell ref="E63:E65"/>
    <mergeCell ref="F63:F65"/>
    <mergeCell ref="G63:G65"/>
    <mergeCell ref="A60:A62"/>
    <mergeCell ref="B60:B62"/>
    <mergeCell ref="D60:D62"/>
    <mergeCell ref="E60:E62"/>
    <mergeCell ref="F60:F62"/>
    <mergeCell ref="G60:G62"/>
    <mergeCell ref="J66:J68"/>
    <mergeCell ref="K66:K68"/>
    <mergeCell ref="L66:L68"/>
    <mergeCell ref="A69:A70"/>
    <mergeCell ref="B69:B70"/>
    <mergeCell ref="D69:D70"/>
    <mergeCell ref="E69:E70"/>
    <mergeCell ref="F69:F70"/>
    <mergeCell ref="G69:G70"/>
    <mergeCell ref="H69:H70"/>
    <mergeCell ref="I69:I70"/>
    <mergeCell ref="J69:J70"/>
    <mergeCell ref="K69:K70"/>
    <mergeCell ref="L69:L70"/>
    <mergeCell ref="A71:A73"/>
    <mergeCell ref="A76:A78"/>
    <mergeCell ref="B76:B78"/>
    <mergeCell ref="D76:D78"/>
    <mergeCell ref="E76:E78"/>
    <mergeCell ref="G76:G78"/>
    <mergeCell ref="H76:H78"/>
    <mergeCell ref="I76:I78"/>
    <mergeCell ref="J76:J78"/>
    <mergeCell ref="K76:K78"/>
    <mergeCell ref="L76:L78"/>
    <mergeCell ref="I191:I192"/>
    <mergeCell ref="J191:J192"/>
    <mergeCell ref="K191:K192"/>
    <mergeCell ref="L191:L192"/>
    <mergeCell ref="L238:L239"/>
    <mergeCell ref="A33:A34"/>
    <mergeCell ref="B33:B34"/>
    <mergeCell ref="D33:D34"/>
    <mergeCell ref="E33:E34"/>
    <mergeCell ref="F33:F34"/>
    <mergeCell ref="G33:G34"/>
    <mergeCell ref="H33:H34"/>
    <mergeCell ref="I33:I34"/>
    <mergeCell ref="J33:J34"/>
    <mergeCell ref="K33:K34"/>
    <mergeCell ref="L33:L34"/>
    <mergeCell ref="A35:L35"/>
    <mergeCell ref="A170:A171"/>
    <mergeCell ref="H60:H62"/>
    <mergeCell ref="I60:I62"/>
    <mergeCell ref="D79:D80"/>
    <mergeCell ref="E79:E80"/>
    <mergeCell ref="G54:G56"/>
    <mergeCell ref="A66:A68"/>
    <mergeCell ref="B66:B68"/>
    <mergeCell ref="D66:D68"/>
    <mergeCell ref="E66:E68"/>
    <mergeCell ref="F66:F68"/>
    <mergeCell ref="G66:G68"/>
    <mergeCell ref="H66:H68"/>
    <mergeCell ref="I66:I68"/>
    <mergeCell ref="I122:I123"/>
    <mergeCell ref="A41:A43"/>
    <mergeCell ref="B41:B43"/>
    <mergeCell ref="D41:D43"/>
    <mergeCell ref="E41:E43"/>
    <mergeCell ref="F41:F43"/>
    <mergeCell ref="G41:G43"/>
    <mergeCell ref="H41:H43"/>
    <mergeCell ref="I41:I43"/>
    <mergeCell ref="J41:J43"/>
    <mergeCell ref="K41:K43"/>
    <mergeCell ref="L41:L43"/>
    <mergeCell ref="A44:A45"/>
    <mergeCell ref="B44:B45"/>
    <mergeCell ref="D44:D45"/>
    <mergeCell ref="E44:E45"/>
    <mergeCell ref="F44:F45"/>
    <mergeCell ref="G44:G45"/>
    <mergeCell ref="H44:H45"/>
    <mergeCell ref="I44:I45"/>
    <mergeCell ref="B71:B73"/>
    <mergeCell ref="D71:D73"/>
    <mergeCell ref="E71:E73"/>
    <mergeCell ref="F71:F73"/>
    <mergeCell ref="G71:G73"/>
    <mergeCell ref="H71:H73"/>
    <mergeCell ref="I71:I73"/>
    <mergeCell ref="J71:J73"/>
    <mergeCell ref="K71:K73"/>
    <mergeCell ref="L71:L73"/>
    <mergeCell ref="A74:A75"/>
    <mergeCell ref="B74:B75"/>
    <mergeCell ref="D74:D75"/>
    <mergeCell ref="E74:E75"/>
    <mergeCell ref="F74:F75"/>
    <mergeCell ref="G74:G75"/>
    <mergeCell ref="H74:H75"/>
    <mergeCell ref="I74:I75"/>
    <mergeCell ref="J74:J75"/>
    <mergeCell ref="K74:K75"/>
    <mergeCell ref="L74:L75"/>
    <mergeCell ref="J108:J109"/>
    <mergeCell ref="K108:K109"/>
    <mergeCell ref="L108:L109"/>
    <mergeCell ref="A90:A91"/>
    <mergeCell ref="B90:B91"/>
    <mergeCell ref="D90:D91"/>
    <mergeCell ref="E90:E91"/>
    <mergeCell ref="F90:F91"/>
    <mergeCell ref="G90:G91"/>
    <mergeCell ref="H90:H91"/>
    <mergeCell ref="I90:I91"/>
    <mergeCell ref="J90:J91"/>
    <mergeCell ref="A92:A93"/>
    <mergeCell ref="B92:B93"/>
    <mergeCell ref="D92:D93"/>
    <mergeCell ref="E92:E93"/>
    <mergeCell ref="F92:F93"/>
    <mergeCell ref="G92:G93"/>
    <mergeCell ref="H92:H93"/>
    <mergeCell ref="I92:I93"/>
    <mergeCell ref="J92:J93"/>
    <mergeCell ref="A106:A107"/>
    <mergeCell ref="B106:B107"/>
    <mergeCell ref="D106:D107"/>
    <mergeCell ref="E106:E107"/>
    <mergeCell ref="F106:F107"/>
    <mergeCell ref="G106:G107"/>
    <mergeCell ref="H106:H107"/>
    <mergeCell ref="I106:I107"/>
    <mergeCell ref="J106:J107"/>
    <mergeCell ref="K106:K107"/>
    <mergeCell ref="L106:L107"/>
    <mergeCell ref="K124:K125"/>
    <mergeCell ref="L124:L125"/>
    <mergeCell ref="A110:A111"/>
    <mergeCell ref="B110:B111"/>
    <mergeCell ref="D110:D111"/>
    <mergeCell ref="E110:E111"/>
    <mergeCell ref="F110:F111"/>
    <mergeCell ref="G110:G111"/>
    <mergeCell ref="H110:H111"/>
    <mergeCell ref="I110:I111"/>
    <mergeCell ref="J110:J111"/>
    <mergeCell ref="K110:K111"/>
    <mergeCell ref="L110:L111"/>
    <mergeCell ref="A112:A113"/>
    <mergeCell ref="B112:B113"/>
    <mergeCell ref="D112:D113"/>
    <mergeCell ref="E112:E113"/>
    <mergeCell ref="F112:F113"/>
    <mergeCell ref="G112:G113"/>
    <mergeCell ref="H112:H113"/>
    <mergeCell ref="I112:I113"/>
    <mergeCell ref="J112:J113"/>
    <mergeCell ref="K112:K113"/>
    <mergeCell ref="L112:L113"/>
    <mergeCell ref="J122:J123"/>
    <mergeCell ref="K122:K123"/>
    <mergeCell ref="L122:L123"/>
    <mergeCell ref="A122:A123"/>
    <mergeCell ref="E122:E123"/>
    <mergeCell ref="F122:F123"/>
    <mergeCell ref="G122:G123"/>
    <mergeCell ref="H122:H123"/>
    <mergeCell ref="I140:I141"/>
    <mergeCell ref="A138:A139"/>
    <mergeCell ref="B138:B139"/>
    <mergeCell ref="D138:D139"/>
    <mergeCell ref="E138:E139"/>
    <mergeCell ref="F138:F139"/>
    <mergeCell ref="G138:G139"/>
    <mergeCell ref="H138:H139"/>
    <mergeCell ref="I138:I139"/>
    <mergeCell ref="J138:J139"/>
    <mergeCell ref="K138:K139"/>
    <mergeCell ref="L138:L139"/>
    <mergeCell ref="A119:A121"/>
    <mergeCell ref="B119:B121"/>
    <mergeCell ref="D119:D121"/>
    <mergeCell ref="E119:E121"/>
    <mergeCell ref="F119:F121"/>
    <mergeCell ref="G119:G121"/>
    <mergeCell ref="H119:H121"/>
    <mergeCell ref="I119:I121"/>
    <mergeCell ref="J119:J121"/>
    <mergeCell ref="K119:K121"/>
    <mergeCell ref="L119:L121"/>
    <mergeCell ref="A124:A125"/>
    <mergeCell ref="B124:B125"/>
    <mergeCell ref="D124:D125"/>
    <mergeCell ref="E124:E125"/>
    <mergeCell ref="F124:F125"/>
    <mergeCell ref="G124:G125"/>
    <mergeCell ref="H124:H125"/>
    <mergeCell ref="I124:I125"/>
    <mergeCell ref="J124:J125"/>
    <mergeCell ref="K165:K167"/>
    <mergeCell ref="A158:A160"/>
    <mergeCell ref="B158:B160"/>
    <mergeCell ref="D158:D160"/>
    <mergeCell ref="E158:E160"/>
    <mergeCell ref="F158:F160"/>
    <mergeCell ref="G158:G160"/>
    <mergeCell ref="H158:H160"/>
    <mergeCell ref="I158:I160"/>
    <mergeCell ref="J158:J160"/>
    <mergeCell ref="K158:K160"/>
    <mergeCell ref="L158:L160"/>
    <mergeCell ref="A152:A154"/>
    <mergeCell ref="B152:B154"/>
    <mergeCell ref="D152:D154"/>
    <mergeCell ref="E152:E154"/>
    <mergeCell ref="F152:F154"/>
    <mergeCell ref="G152:G154"/>
    <mergeCell ref="H152:H154"/>
    <mergeCell ref="I152:I154"/>
    <mergeCell ref="J152:J154"/>
    <mergeCell ref="K152:K154"/>
    <mergeCell ref="L170:L171"/>
    <mergeCell ref="A163:A164"/>
    <mergeCell ref="B163:B164"/>
    <mergeCell ref="D163:D164"/>
    <mergeCell ref="E163:E164"/>
    <mergeCell ref="F163:F164"/>
    <mergeCell ref="G163:G164"/>
    <mergeCell ref="H163:H164"/>
    <mergeCell ref="I163:I164"/>
    <mergeCell ref="J163:J164"/>
    <mergeCell ref="K163:K164"/>
    <mergeCell ref="L163:L164"/>
    <mergeCell ref="A168:A169"/>
    <mergeCell ref="B168:B169"/>
    <mergeCell ref="D168:D169"/>
    <mergeCell ref="E168:E169"/>
    <mergeCell ref="F168:F169"/>
    <mergeCell ref="G168:G169"/>
    <mergeCell ref="H168:H169"/>
    <mergeCell ref="I168:I169"/>
    <mergeCell ref="J168:J169"/>
    <mergeCell ref="K168:K169"/>
    <mergeCell ref="L168:L169"/>
    <mergeCell ref="A165:A167"/>
    <mergeCell ref="B165:B167"/>
    <mergeCell ref="D165:D167"/>
    <mergeCell ref="E165:E167"/>
    <mergeCell ref="F165:F167"/>
    <mergeCell ref="G165:G167"/>
    <mergeCell ref="H165:H167"/>
    <mergeCell ref="I165:I167"/>
    <mergeCell ref="J165:J167"/>
    <mergeCell ref="A176:A178"/>
    <mergeCell ref="B176:B178"/>
    <mergeCell ref="D176:D178"/>
    <mergeCell ref="E176:E178"/>
    <mergeCell ref="F176:F178"/>
    <mergeCell ref="G176:G178"/>
    <mergeCell ref="H176:H178"/>
    <mergeCell ref="I176:I178"/>
    <mergeCell ref="J176:J178"/>
    <mergeCell ref="K176:K178"/>
    <mergeCell ref="L176:L178"/>
    <mergeCell ref="A179:A181"/>
    <mergeCell ref="B179:B181"/>
    <mergeCell ref="D179:D181"/>
    <mergeCell ref="E179:E181"/>
    <mergeCell ref="F179:F181"/>
    <mergeCell ref="G179:G181"/>
    <mergeCell ref="H179:H181"/>
    <mergeCell ref="I179:I181"/>
    <mergeCell ref="J179:J181"/>
    <mergeCell ref="K179:K181"/>
    <mergeCell ref="J205:J206"/>
    <mergeCell ref="K205:K206"/>
    <mergeCell ref="L205:L206"/>
    <mergeCell ref="A207:A209"/>
    <mergeCell ref="B207:B209"/>
    <mergeCell ref="D207:D209"/>
    <mergeCell ref="A201:A202"/>
    <mergeCell ref="B201:B202"/>
    <mergeCell ref="D201:D202"/>
    <mergeCell ref="E201:E202"/>
    <mergeCell ref="F201:F202"/>
    <mergeCell ref="G201:G202"/>
    <mergeCell ref="H201:H202"/>
    <mergeCell ref="I201:I202"/>
    <mergeCell ref="J201:J202"/>
    <mergeCell ref="K201:K202"/>
    <mergeCell ref="L201:L202"/>
    <mergeCell ref="A203:A204"/>
    <mergeCell ref="B203:B204"/>
    <mergeCell ref="D203:D204"/>
    <mergeCell ref="E203:E204"/>
    <mergeCell ref="F203:F204"/>
    <mergeCell ref="G203:G204"/>
    <mergeCell ref="H203:H204"/>
    <mergeCell ref="I203:I204"/>
    <mergeCell ref="J203:J204"/>
    <mergeCell ref="K203:K204"/>
    <mergeCell ref="L203:L204"/>
    <mergeCell ref="G205:G206"/>
    <mergeCell ref="H205:H206"/>
    <mergeCell ref="I205:I206"/>
    <mergeCell ref="A205:A206"/>
    <mergeCell ref="A36:A37"/>
    <mergeCell ref="B36:B37"/>
    <mergeCell ref="D36:D37"/>
    <mergeCell ref="E36:E37"/>
    <mergeCell ref="F36:F37"/>
    <mergeCell ref="G36:G37"/>
    <mergeCell ref="H36:H37"/>
    <mergeCell ref="I36:I37"/>
    <mergeCell ref="J36:J37"/>
    <mergeCell ref="K36:K37"/>
    <mergeCell ref="L36:L37"/>
    <mergeCell ref="A38:A40"/>
    <mergeCell ref="B38:B40"/>
    <mergeCell ref="D38:D40"/>
    <mergeCell ref="E38:E40"/>
    <mergeCell ref="F38:F40"/>
    <mergeCell ref="G38:G40"/>
    <mergeCell ref="H38:H40"/>
    <mergeCell ref="I38:I40"/>
    <mergeCell ref="J38:J40"/>
    <mergeCell ref="K38:K40"/>
    <mergeCell ref="L38:L40"/>
    <mergeCell ref="J44:J45"/>
    <mergeCell ref="K44:K45"/>
    <mergeCell ref="L44:L45"/>
    <mergeCell ref="A49:A51"/>
    <mergeCell ref="B49:B51"/>
    <mergeCell ref="D49:D51"/>
    <mergeCell ref="E49:E51"/>
    <mergeCell ref="F49:F51"/>
    <mergeCell ref="G49:G51"/>
    <mergeCell ref="H49:H51"/>
    <mergeCell ref="I49:I51"/>
    <mergeCell ref="J49:J51"/>
    <mergeCell ref="K49:K51"/>
    <mergeCell ref="L49:L51"/>
    <mergeCell ref="A52:A53"/>
    <mergeCell ref="B52:B53"/>
    <mergeCell ref="D52:D53"/>
    <mergeCell ref="E52:E53"/>
    <mergeCell ref="F52:F53"/>
    <mergeCell ref="G52:G53"/>
    <mergeCell ref="H52:H53"/>
    <mergeCell ref="I52:I53"/>
    <mergeCell ref="J52:J53"/>
    <mergeCell ref="K52:K53"/>
    <mergeCell ref="L52:L53"/>
    <mergeCell ref="F46:F48"/>
    <mergeCell ref="G46:G48"/>
    <mergeCell ref="H46:H48"/>
    <mergeCell ref="I46:I48"/>
    <mergeCell ref="J46:J48"/>
    <mergeCell ref="K46:K48"/>
    <mergeCell ref="L46:L48"/>
    <mergeCell ref="K94:K96"/>
    <mergeCell ref="L94:L96"/>
    <mergeCell ref="A114:A115"/>
    <mergeCell ref="B114:B115"/>
    <mergeCell ref="D114:D115"/>
    <mergeCell ref="E114:E115"/>
    <mergeCell ref="F114:F115"/>
    <mergeCell ref="G114:G115"/>
    <mergeCell ref="H114:H115"/>
    <mergeCell ref="I114:I115"/>
    <mergeCell ref="J114:J115"/>
    <mergeCell ref="K114:K115"/>
    <mergeCell ref="L114:L115"/>
    <mergeCell ref="A116:A118"/>
    <mergeCell ref="B116:B118"/>
    <mergeCell ref="D116:D118"/>
    <mergeCell ref="E116:E118"/>
    <mergeCell ref="F116:F118"/>
    <mergeCell ref="G116:G118"/>
    <mergeCell ref="H116:H118"/>
    <mergeCell ref="I116:I118"/>
    <mergeCell ref="J116:J118"/>
    <mergeCell ref="K116:K118"/>
    <mergeCell ref="L116:L118"/>
    <mergeCell ref="A108:A109"/>
    <mergeCell ref="B108:B109"/>
    <mergeCell ref="D108:D109"/>
    <mergeCell ref="E108:E109"/>
    <mergeCell ref="F108:F109"/>
    <mergeCell ref="G108:G109"/>
    <mergeCell ref="H108:H109"/>
    <mergeCell ref="I108:I109"/>
    <mergeCell ref="A126:A128"/>
    <mergeCell ref="B126:B128"/>
    <mergeCell ref="D126:D128"/>
    <mergeCell ref="E126:E128"/>
    <mergeCell ref="F126:F128"/>
    <mergeCell ref="G126:G128"/>
    <mergeCell ref="H126:H128"/>
    <mergeCell ref="I126:I128"/>
    <mergeCell ref="J126:J128"/>
    <mergeCell ref="K126:K128"/>
    <mergeCell ref="L126:L128"/>
    <mergeCell ref="A129:A130"/>
    <mergeCell ref="B129:B130"/>
    <mergeCell ref="D129:D130"/>
    <mergeCell ref="E129:E130"/>
    <mergeCell ref="F129:F130"/>
    <mergeCell ref="G129:G130"/>
    <mergeCell ref="H129:H130"/>
    <mergeCell ref="I129:I130"/>
    <mergeCell ref="J129:J130"/>
    <mergeCell ref="K129:K130"/>
    <mergeCell ref="L129:L130"/>
    <mergeCell ref="A131:A132"/>
    <mergeCell ref="B131:B132"/>
    <mergeCell ref="D131:D132"/>
    <mergeCell ref="E131:E132"/>
    <mergeCell ref="F131:F132"/>
    <mergeCell ref="G131:G132"/>
    <mergeCell ref="H131:H132"/>
    <mergeCell ref="I131:I132"/>
    <mergeCell ref="J131:J132"/>
    <mergeCell ref="K131:K132"/>
    <mergeCell ref="L131:L132"/>
    <mergeCell ref="A133:A135"/>
    <mergeCell ref="B133:B135"/>
    <mergeCell ref="D133:D135"/>
    <mergeCell ref="E133:E135"/>
    <mergeCell ref="F133:F135"/>
    <mergeCell ref="G133:G135"/>
    <mergeCell ref="H133:H135"/>
    <mergeCell ref="I133:I135"/>
    <mergeCell ref="J133:J135"/>
    <mergeCell ref="K133:K135"/>
    <mergeCell ref="L133:L135"/>
    <mergeCell ref="J140:J141"/>
    <mergeCell ref="K140:K141"/>
    <mergeCell ref="L140:L141"/>
    <mergeCell ref="A142:A143"/>
    <mergeCell ref="B142:B143"/>
    <mergeCell ref="D142:D143"/>
    <mergeCell ref="E142:E143"/>
    <mergeCell ref="F142:F143"/>
    <mergeCell ref="G142:G143"/>
    <mergeCell ref="H142:H143"/>
    <mergeCell ref="I142:I143"/>
    <mergeCell ref="J142:J143"/>
    <mergeCell ref="K142:K143"/>
    <mergeCell ref="L142:L143"/>
    <mergeCell ref="A144:A146"/>
    <mergeCell ref="B144:B146"/>
    <mergeCell ref="D144:D146"/>
    <mergeCell ref="E144:E146"/>
    <mergeCell ref="F144:F146"/>
    <mergeCell ref="G144:G146"/>
    <mergeCell ref="H144:H146"/>
    <mergeCell ref="I144:I146"/>
    <mergeCell ref="J144:J146"/>
    <mergeCell ref="K144:K146"/>
    <mergeCell ref="L144:L146"/>
    <mergeCell ref="A140:A141"/>
    <mergeCell ref="B140:B141"/>
    <mergeCell ref="D140:D141"/>
    <mergeCell ref="E140:E141"/>
    <mergeCell ref="F140:F141"/>
    <mergeCell ref="G140:G141"/>
    <mergeCell ref="H140:H141"/>
    <mergeCell ref="A147:A148"/>
    <mergeCell ref="B147:B148"/>
    <mergeCell ref="D147:D148"/>
    <mergeCell ref="E147:E148"/>
    <mergeCell ref="F147:F148"/>
    <mergeCell ref="G147:G148"/>
    <mergeCell ref="H147:H148"/>
    <mergeCell ref="I147:I148"/>
    <mergeCell ref="J147:J148"/>
    <mergeCell ref="K147:K148"/>
    <mergeCell ref="L147:L148"/>
    <mergeCell ref="A149:A151"/>
    <mergeCell ref="B149:B151"/>
    <mergeCell ref="D149:D151"/>
    <mergeCell ref="E149:E151"/>
    <mergeCell ref="F149:F151"/>
    <mergeCell ref="G149:G151"/>
    <mergeCell ref="H149:H151"/>
    <mergeCell ref="I149:I151"/>
    <mergeCell ref="J149:J151"/>
    <mergeCell ref="K149:K151"/>
    <mergeCell ref="L149:L151"/>
    <mergeCell ref="A155:A157"/>
    <mergeCell ref="B155:B157"/>
    <mergeCell ref="D155:D157"/>
    <mergeCell ref="E155:E157"/>
    <mergeCell ref="F155:F157"/>
    <mergeCell ref="G155:G157"/>
    <mergeCell ref="H155:H157"/>
    <mergeCell ref="I155:I157"/>
    <mergeCell ref="J155:J157"/>
    <mergeCell ref="K155:K157"/>
    <mergeCell ref="L155:L157"/>
    <mergeCell ref="A161:A162"/>
    <mergeCell ref="B161:B162"/>
    <mergeCell ref="D161:D162"/>
    <mergeCell ref="E161:E162"/>
    <mergeCell ref="F161:F162"/>
    <mergeCell ref="G161:G162"/>
    <mergeCell ref="H161:H162"/>
    <mergeCell ref="I161:I162"/>
    <mergeCell ref="J161:J162"/>
    <mergeCell ref="K161:K162"/>
    <mergeCell ref="L161:L162"/>
    <mergeCell ref="A172:A173"/>
    <mergeCell ref="B172:B173"/>
    <mergeCell ref="D172:D173"/>
    <mergeCell ref="E172:E173"/>
    <mergeCell ref="F172:F173"/>
    <mergeCell ref="G172:G173"/>
    <mergeCell ref="H172:H173"/>
    <mergeCell ref="I172:I173"/>
    <mergeCell ref="J172:J173"/>
    <mergeCell ref="K172:K173"/>
    <mergeCell ref="L172:L173"/>
    <mergeCell ref="A174:A175"/>
    <mergeCell ref="B174:B175"/>
    <mergeCell ref="D174:D175"/>
    <mergeCell ref="E174:E175"/>
    <mergeCell ref="F174:F175"/>
    <mergeCell ref="G174:G175"/>
    <mergeCell ref="H174:H175"/>
    <mergeCell ref="I174:I175"/>
    <mergeCell ref="J174:J175"/>
    <mergeCell ref="K174:K175"/>
    <mergeCell ref="L174:L175"/>
    <mergeCell ref="L179:L181"/>
    <mergeCell ref="A182:A184"/>
    <mergeCell ref="B182:B184"/>
    <mergeCell ref="D182:D184"/>
    <mergeCell ref="E182:E184"/>
    <mergeCell ref="F182:F184"/>
    <mergeCell ref="G182:G184"/>
    <mergeCell ref="H182:H184"/>
    <mergeCell ref="I182:I184"/>
    <mergeCell ref="J182:J184"/>
    <mergeCell ref="K182:K184"/>
    <mergeCell ref="L182:L184"/>
    <mergeCell ref="A185:A186"/>
    <mergeCell ref="B185:B186"/>
    <mergeCell ref="D185:D186"/>
    <mergeCell ref="E185:E186"/>
    <mergeCell ref="F185:F186"/>
    <mergeCell ref="G185:G186"/>
    <mergeCell ref="H185:H186"/>
    <mergeCell ref="I185:I186"/>
    <mergeCell ref="J185:J186"/>
    <mergeCell ref="K185:K186"/>
    <mergeCell ref="L185:L186"/>
    <mergeCell ref="A187:A188"/>
    <mergeCell ref="B187:B188"/>
    <mergeCell ref="D187:D188"/>
    <mergeCell ref="E187:E188"/>
    <mergeCell ref="F187:F188"/>
    <mergeCell ref="G187:G188"/>
    <mergeCell ref="H187:H188"/>
    <mergeCell ref="I187:I188"/>
    <mergeCell ref="J187:J188"/>
    <mergeCell ref="K187:K188"/>
    <mergeCell ref="L187:L188"/>
    <mergeCell ref="A189:A190"/>
    <mergeCell ref="B189:B190"/>
    <mergeCell ref="D189:D190"/>
    <mergeCell ref="E189:E190"/>
    <mergeCell ref="F189:F190"/>
    <mergeCell ref="G189:G190"/>
    <mergeCell ref="H189:H190"/>
    <mergeCell ref="I189:I190"/>
    <mergeCell ref="J189:J190"/>
    <mergeCell ref="K189:K190"/>
    <mergeCell ref="L189:L190"/>
    <mergeCell ref="E207:E209"/>
    <mergeCell ref="F207:F209"/>
    <mergeCell ref="G207:G209"/>
    <mergeCell ref="H207:H209"/>
    <mergeCell ref="I207:I209"/>
    <mergeCell ref="J207:J209"/>
    <mergeCell ref="K207:K209"/>
    <mergeCell ref="L207:L209"/>
    <mergeCell ref="A210:A211"/>
    <mergeCell ref="B210:B211"/>
    <mergeCell ref="D210:D211"/>
    <mergeCell ref="E210:E211"/>
    <mergeCell ref="F210:F211"/>
    <mergeCell ref="G210:G211"/>
    <mergeCell ref="H210:H211"/>
    <mergeCell ref="I210:I211"/>
    <mergeCell ref="J210:J211"/>
    <mergeCell ref="K210:K211"/>
    <mergeCell ref="L210:L211"/>
    <mergeCell ref="A212:A213"/>
    <mergeCell ref="B212:B213"/>
    <mergeCell ref="D212:D213"/>
    <mergeCell ref="E212:E213"/>
    <mergeCell ref="F212:F213"/>
    <mergeCell ref="G212:G213"/>
    <mergeCell ref="H212:H213"/>
    <mergeCell ref="I212:I213"/>
    <mergeCell ref="J212:J213"/>
    <mergeCell ref="K212:K213"/>
    <mergeCell ref="L212:L213"/>
    <mergeCell ref="A214:A215"/>
    <mergeCell ref="B214:B215"/>
    <mergeCell ref="D214:D215"/>
    <mergeCell ref="E214:E215"/>
    <mergeCell ref="F214:F215"/>
    <mergeCell ref="G214:G215"/>
    <mergeCell ref="H214:H215"/>
    <mergeCell ref="I214:I215"/>
    <mergeCell ref="J214:J215"/>
    <mergeCell ref="K214:K215"/>
    <mergeCell ref="L214:L215"/>
  </mergeCells>
  <hyperlinks>
    <hyperlink ref="T356" r:id="rId1" tooltip="USD/BRL" display="https://br.investing.com/currencies/usd-brl" xr:uid="{52E28012-9C79-4EC8-8EE6-20B87B80AE4B}"/>
    <hyperlink ref="T357" r:id="rId2" tooltip="USD/BRL PTAX" display="https://br.investing.com/currencies/usd-brl?cid=965081" xr:uid="{EA4B9A40-2864-403A-A745-107C081C944A}"/>
    <hyperlink ref="T358" r:id="rId3" tooltip="DOLc3" display="https://br.investing.com/currencies/usd-brl-bmf-futures?cid=1181132" xr:uid="{12C16BF3-2EDA-46C3-947F-5CC5D96E92C8}"/>
    <hyperlink ref="T359" r:id="rId4" tooltip="DOLc2" display="https://br.investing.com/currencies/usd-brl-bmf-futures?cid=1181131" xr:uid="{B8540C72-0873-4EEA-813E-8F1BA9A85F2D}"/>
    <hyperlink ref="T360" r:id="rId5" tooltip="DOLc1" display="https://br.investing.com/currencies/usd-brl-bmf-futures" xr:uid="{A9FC55AA-6ADE-49B3-A80B-EAD394830D4B}"/>
    <hyperlink ref="T490" r:id="rId6" tooltip="Câmbio em tempo real" display="https://br.investing.com/currencies/usd-brl?cid=965081" xr:uid="{F7EAC9F2-24DF-447D-A8E0-2706D9743BF6}"/>
    <hyperlink ref="T491" r:id="rId7" tooltip="BM&amp;FBovespa" display="https://br.investing.com/currencies/usd-brl-bmf-futures?cid=1181132" xr:uid="{69A3E45C-7321-4CDE-A3E6-FE5B25FF2E18}"/>
    <hyperlink ref="T492" r:id="rId8" tooltip="BM&amp;FBovespa" display="https://br.investing.com/currencies/usd-brl-bmf-futures?cid=1181131" xr:uid="{7A2C5BB3-AF07-499E-ACF8-C6EF37B4ADF2}"/>
    <hyperlink ref="T493" r:id="rId9" tooltip="BM&amp;FBovespa" display="https://br.investing.com/currencies/usd-brl-bmf-futures" xr:uid="{FA30397D-6208-4158-AA3E-A6D9E7EADA4E}"/>
    <hyperlink ref="V500" r:id="rId10" display="https://br.investing.com/economic-calendar/vendas-no-varejo-416" xr:uid="{7F9DF961-E920-4E1F-9742-79212E3E3C82}"/>
    <hyperlink ref="V501" r:id="rId11" display="https://br.investing.com/economic-calendar/vendas-no-varejo-861" xr:uid="{6668A601-B781-479D-B73E-FC6A68BEB2AF}"/>
    <hyperlink ref="V502" r:id="rId12" display="https://br.investing.com/economic-calendar/ipc-ncleo-56" xr:uid="{FE423D6F-D2CE-4AC3-AAB3-A88AD3D88033}"/>
    <hyperlink ref="V503" r:id="rId13" display="https://br.investing.com/economic-calendar/ipc-ncleo-736" xr:uid="{1E0E56E7-278B-4276-8DC9-E4390E9BA157}"/>
    <hyperlink ref="V504" r:id="rId14" display="https://br.investing.com/economic-calendar/ipc-ncleo-1226" xr:uid="{7DA653ED-D2A9-4B62-9CA9-A77F45076B9D}"/>
    <hyperlink ref="V505" r:id="rId15" display="https://br.investing.com/economic-calendar/ipc-69" xr:uid="{39B2B880-2AF8-48DB-8E7C-F875CA6305BF}"/>
    <hyperlink ref="V506" r:id="rId16" display="https://br.investing.com/economic-calendar/ipc-733" xr:uid="{3EA4EB03-5AF2-4C44-82A0-21CC5BA697C0}"/>
    <hyperlink ref="V507" r:id="rId17" display="https://br.investing.com/economic-calendar/ipc-sem-ajuste-sazonal-1549" xr:uid="{26DEA9C3-8A6A-4613-9348-80A91796E327}"/>
    <hyperlink ref="V508" r:id="rId18" display="https://br.investing.com/economic-calendar/ipc-com-ajuste-sazonal-1889" xr:uid="{008856AA-D08D-4B60-A9FD-8A54B8AFD59A}"/>
    <hyperlink ref="V509" r:id="rId19" display="https://br.investing.com/economic-calendar/ipc-sem-ajuste-sazonal-1888" xr:uid="{89E4D753-9861-4121-BF7E-238EB95AEFBF}"/>
    <hyperlink ref="V510" r:id="rId20" display="https://br.investing.com/economic-calendar/rendimento-real-890" xr:uid="{A88375D2-6D59-42B2-9528-CF0C13239615}"/>
    <hyperlink ref="V511" r:id="rId21" display="https://br.investing.com/economic-calendar/expectativas-de-inflao-a-5-anos-michigan-1568" xr:uid="{F89C8056-AF39-4D86-8DA4-2DD1024C3E08}"/>
    <hyperlink ref="V512" r:id="rId22" display="https://br.investing.com/economic-calendar/confiana-do-consumidor-michigan---leitura-final-900" xr:uid="{F40BFA4C-298C-4EC4-BA53-8A9335EBC215}"/>
    <hyperlink ref="V513" r:id="rId23" display="https://br.investing.com/economic-calendar/ndice-michigan-de-percepo-do-consumidor-320" xr:uid="{FBB7C1E6-B425-44E5-B414-4814683C0D11}"/>
    <hyperlink ref="V514" r:id="rId24" display="https://br.investing.com/economic-calendar/ndice-de-condies-atuais-michigan-901" xr:uid="{0AF50143-AA62-4CBB-8B0B-0E7D00065135}"/>
    <hyperlink ref="V515" r:id="rId25" display="https://br.investing.com/economic-calendar/expectativas-de-inflao-michigan-389" xr:uid="{78A80148-428F-4E88-949E-9ED1812F07FA}"/>
    <hyperlink ref="V516" r:id="rId26" display="https://br.investing.com/economic-calendar/ipc---cleveland-887" xr:uid="{F5AF9436-7ACA-4031-AE27-42B33B4097CB}"/>
    <hyperlink ref="V517" r:id="rId27" display="https://br.investing.com/economic-calendar/relatrio-wasde-1764" xr:uid="{29D6404A-CBCE-4D67-B60F-03913E561B82}"/>
    <hyperlink ref="V518" r:id="rId28" display="https://br.investing.com/economic-calendar/contagem-de-sondas-baker-hughes-1652" xr:uid="{EA4980A0-F1B7-4906-8241-CF02992884F1}"/>
    <hyperlink ref="V519" r:id="rId29" display="https://br.investing.com/economic-calendar/contagem-total-de-sondas-dos-eua-por-baker-hughes-1810" xr:uid="{821979CB-2AE8-46D9-A0C8-7055AAF30AB4}"/>
    <hyperlink ref="V520" r:id="rId30" display="https://br.investing.com/economic-calendar/balano-oramentrio-federal-369" xr:uid="{E029BFE5-EE7C-408D-9B27-5EC97C27749E}"/>
    <hyperlink ref="V521" r:id="rId31" display="https://br.investing.com/economic-calendar/alumnio-posies-lquidas-de-especuladores-no-relatrio-da-cftc-1821" xr:uid="{B8072FA7-B342-4289-9A26-3D1D591F07FD}"/>
    <hyperlink ref="V522" r:id="rId32" display="https://br.investing.com/economic-calendar/cobre---posies-lquidas-de-especuladores-no-relatrio-da-cftc-1620" xr:uid="{8C34B3B8-4AEC-4B04-9EBA-AA1231AA7737}"/>
    <hyperlink ref="V523" r:id="rId33" display="https://br.investing.com/economic-calendar/milho-posies-lquidas-de-especuladores-no-relatrio-da-cftc-1813" xr:uid="{8E493D9D-1D64-4EA0-BC4E-509B5EE33C9E}"/>
    <hyperlink ref="V524" r:id="rId34" display="https://br.investing.com/economic-calendar/petrleo---posies-lquidas-de-especuladores-no-relatrio-da-cftc-1653" xr:uid="{7EBDF956-9BE9-4ED0-8613-06661BB8FDEA}"/>
    <hyperlink ref="V525" r:id="rId35" display="https://br.investing.com/economic-calendar/ouro---posies-lquidas-de-especuladores-no-relatrio-da-cftc-1618" xr:uid="{08F8FB89-C410-4022-9C92-5A3F0AA9A4AD}"/>
    <hyperlink ref="V526" r:id="rId36" display="https://br.investing.com/economic-calendar/nasdaq-100---posies-lquidas-de-especuladores-no-relatrio-da-cftc-1959" xr:uid="{3E7C4376-F131-4B1D-894E-73F7DC93799F}"/>
    <hyperlink ref="V527" r:id="rId37" display="https://br.investing.com/economic-calendar/gs-natural-posies-lquidas-de-especuladores-no-relatrio-da-cftc-1820" xr:uid="{F328496D-9F95-41BD-BDCC-54470113AB47}"/>
    <hyperlink ref="V528" r:id="rId38" display="https://br.investing.com/economic-calendar/sp-500---posies-lquidas-de-especuladores-no-relatrio-da-cftc-1619" xr:uid="{5A7F9486-DED6-4293-8BE4-6D57AAE6073B}"/>
    <hyperlink ref="V529" r:id="rId39" display="https://br.investing.com/economic-calendar/prata---posies-lquidas-de-especuladores-no-relatrio-da-cftc-1621" xr:uid="{F4599FC9-8793-40F3-926D-2D0C373B428C}"/>
    <hyperlink ref="V530" r:id="rId40" display="https://br.investing.com/economic-calendar/soja-posies-lquidas-de-especuladores-no-relatrio-da-cftc-1811" xr:uid="{92F5B951-6F0E-4C81-A6E5-96031C720F14}"/>
    <hyperlink ref="V531" r:id="rId41" display="https://br.investing.com/economic-calendar/trigo-posies-lquidas-de-especuladores-no-relatrio-da-cftc-1812" xr:uid="{7A49E040-ACBC-4B97-9B98-EB23C21B4BA5}"/>
    <hyperlink ref="V532" r:id="rId42" display="https://br.investing.com/economic-calendar/brl--posies-lquidas-de-especuladores-no-relatrio-da-cftc-1814" xr:uid="{2562BF1E-CA77-408A-A4B9-DA968BC1BEA4}"/>
    <hyperlink ref="T536" r:id="rId43" tooltip="Reserva Federal" display="https://br.investing.com/central-banks/federal-reserve" xr:uid="{EEC5AF67-456F-4D63-9762-B6FA3470D395}"/>
    <hyperlink ref="T539" r:id="rId44" tooltip="Banco Central do Brasil" display="https://br.investing.com/central-banks/central-bank-of-brazil" xr:uid="{28578AE4-5A03-4E50-9A93-BDE82B6FE1DC}"/>
    <hyperlink ref="A3" r:id="rId45" display="javascript:addFavorite('bitcoin')" xr:uid="{355CEC6A-3ED7-4DBE-8BEC-B23BE87A5863}"/>
    <hyperlink ref="C3" r:id="rId46" display="https://coingolive.com/pt-br/coins/bitcoin/" xr:uid="{75D98146-5B00-4252-8A97-00C6CAF7DF80}"/>
    <hyperlink ref="C4" r:id="rId47" display="https://coingolive.com/pt-br/coins/bitcoin/" xr:uid="{013DCE26-56D0-48F1-B213-0A5C03F7BCC5}"/>
    <hyperlink ref="C5" r:id="rId48" display="https://coingoback.com/promocoes/1" xr:uid="{41AF7F0C-11A1-4925-86C7-03516A152E96}"/>
    <hyperlink ref="A6" r:id="rId49" display="javascript:addFavorite('ethereum')" xr:uid="{4E68D5B6-A3BB-4CEE-8BE9-2DB5BF484C14}"/>
    <hyperlink ref="C6" r:id="rId50" display="https://coingolive.com/pt-br/coins/ethereum/" xr:uid="{CD2D709E-D5D3-4FFD-8B53-E3B0DE10EFDD}"/>
    <hyperlink ref="C7" r:id="rId51" display="https://coingolive.com/pt-br/coins/ethereum/" xr:uid="{E31A9965-9ABA-4880-8818-6A4CC73AFCD3}"/>
    <hyperlink ref="C8" r:id="rId52" display="https://coingoback.com/promocoes/1" xr:uid="{6C742689-7F56-4162-8FA0-90EFE05AE0D8}"/>
    <hyperlink ref="A9" r:id="rId53" display="javascript:addFavorite('tether')" xr:uid="{734AA1C3-4235-455C-886B-BC271D83308D}"/>
    <hyperlink ref="C9" r:id="rId54" display="https://coingolive.com/pt-br/coins/tether/" xr:uid="{A2BA743B-CF2B-4345-B320-26FBC2668CF1}"/>
    <hyperlink ref="C10" r:id="rId55" display="https://coingolive.com/pt-br/coins/tether/" xr:uid="{571F08ED-B08A-4201-98CD-624C2D9DBB1B}"/>
    <hyperlink ref="A12" r:id="rId56" display="javascript:addFavorite('binancecoin')" xr:uid="{AFD0FFF2-D4E8-470F-841D-CA7848801BFA}"/>
    <hyperlink ref="C12" r:id="rId57" display="https://coingolive.com/pt-br/coins/binancecoin/" xr:uid="{376A1380-1B2C-40A2-B271-1F025129ACE7}"/>
    <hyperlink ref="C13" r:id="rId58" display="https://coingolive.com/pt-br/coins/binancecoin/" xr:uid="{6538998A-FCEF-42E6-A9AD-5386326B72D1}"/>
    <hyperlink ref="A15" r:id="rId59" display="javascript:addFavorite('usd-coin')" xr:uid="{CA09D958-6817-4DBB-9C29-AE34AEB44F62}"/>
    <hyperlink ref="C15" r:id="rId60" display="https://coingolive.com/pt-br/coins/usd-coin/" xr:uid="{F621F55D-2A55-42BF-A768-993814494491}"/>
    <hyperlink ref="C16" r:id="rId61" display="https://coingolive.com/pt-br/coins/usd-coin/" xr:uid="{CE720DEF-E85D-4010-8E84-455AAABFF00B}"/>
    <hyperlink ref="A18" r:id="rId62" display="javascript:addFavorite('ripple')" xr:uid="{FFB9995F-CA43-4F1B-A3A3-58181CFAB16E}"/>
    <hyperlink ref="C18" r:id="rId63" display="https://coingolive.com/pt-br/coins/ripple/" xr:uid="{1878E337-6127-4038-8EAC-6404F3D40EF3}"/>
    <hyperlink ref="C19" r:id="rId64" display="https://coingolive.com/pt-br/coins/ripple/" xr:uid="{54C906C6-813A-4D2B-8559-2D3F73661A0C}"/>
    <hyperlink ref="A21" r:id="rId65" display="javascript:addFavorite('binance-usd')" xr:uid="{C1BF51F0-5D19-4330-A3A9-48B72AD29C55}"/>
    <hyperlink ref="C21" r:id="rId66" display="https://coingolive.com/pt-br/coins/binance-usd/" xr:uid="{3C502770-838B-4611-8992-AA01FE79CE75}"/>
    <hyperlink ref="C22" r:id="rId67" display="https://coingolive.com/pt-br/coins/binance-usd/" xr:uid="{26F3B0FB-8FBA-4506-BD88-13A9BBEA049E}"/>
    <hyperlink ref="A24" r:id="rId68" display="javascript:addFavorite('cardano')" xr:uid="{D5311207-C76D-4DDD-B087-C6146D680AA8}"/>
    <hyperlink ref="C24" r:id="rId69" display="https://coingolive.com/pt-br/coins/cardano/" xr:uid="{D37A3B94-B848-430E-90F4-50476A341B66}"/>
    <hyperlink ref="C25" r:id="rId70" display="https://coingolive.com/pt-br/coins/cardano/" xr:uid="{ED473ABF-CD80-40BC-8BAA-740A0976E6C3}"/>
    <hyperlink ref="A27" r:id="rId71" display="javascript:addFavorite('matic-network')" xr:uid="{A49E8028-D055-4FDA-974F-BFF919D76359}"/>
    <hyperlink ref="C27" r:id="rId72" display="https://coingolive.com/pt-br/coins/matic-network/" xr:uid="{5A983A0A-6556-4E1E-84B1-7E90B6AD45C6}"/>
    <hyperlink ref="C28" r:id="rId73" display="https://coingolive.com/pt-br/coins/matic-network/" xr:uid="{34153D28-1474-430F-B6F7-88036C040334}"/>
    <hyperlink ref="A30" r:id="rId74" display="javascript:addFavorite('dogecoin')" xr:uid="{87041699-5108-4E2B-B910-D43CA392E137}"/>
    <hyperlink ref="C30" r:id="rId75" display="https://coingolive.com/pt-br/coins/dogecoin/" xr:uid="{C4EED9B6-C6EB-4B01-966F-7F9F8D5F9100}"/>
    <hyperlink ref="C31" r:id="rId76" display="https://coingolive.com/pt-br/coins/dogecoin/" xr:uid="{2EC7933B-B377-4B25-A6AA-432F02596DB6}"/>
    <hyperlink ref="A33" r:id="rId77" display="javascript:addFavorite('okb')" xr:uid="{DB3D8332-1321-4E9F-8717-7877DFE3E894}"/>
    <hyperlink ref="C33" r:id="rId78" display="https://coingolive.com/pt-br/coins/okb/" xr:uid="{93E4C9B0-5C15-4FF5-BDBA-30B01BD9F43D}"/>
    <hyperlink ref="C34" r:id="rId79" display="https://coingolive.com/pt-br/coins/okb/" xr:uid="{5ABF7DC4-CA74-447A-8128-ADC9E0253A17}"/>
    <hyperlink ref="A36" r:id="rId80" display="javascript:addFavorite('staked-ether')" xr:uid="{246FAD27-2555-4EC0-BA0E-3FB4392524A1}"/>
    <hyperlink ref="C36" r:id="rId81" display="https://coingolive.com/pt-br/coins/staked-ether/" xr:uid="{6A900B56-26A8-4B7D-AFD0-E9A8E052832A}"/>
    <hyperlink ref="C37" r:id="rId82" display="https://coingolive.com/pt-br/coins/staked-ether/" xr:uid="{86A6D361-BE91-4D58-AF8C-2B5CC186BFA1}"/>
    <hyperlink ref="A38" r:id="rId83" display="javascript:addFavorite('solana')" xr:uid="{0734D8BD-A3E7-4540-A8C3-90DEBE9A85DB}"/>
    <hyperlink ref="C38" r:id="rId84" display="https://coingolive.com/pt-br/coins/solana/" xr:uid="{744B9B4A-5517-4FBF-AF19-0A0145E2AB19}"/>
    <hyperlink ref="C39" r:id="rId85" display="https://coingolive.com/pt-br/coins/solana/" xr:uid="{01D4FD59-FDB4-45D0-8B90-BCA55FA766AD}"/>
    <hyperlink ref="A41" r:id="rId86" display="javascript:addFavorite('polkadot')" xr:uid="{BF9EB033-4D5F-4CC0-A8D4-0F83AB326DB7}"/>
    <hyperlink ref="C41" r:id="rId87" display="https://coingolive.com/pt-br/coins/polkadot/" xr:uid="{7089948E-6AD2-4E4B-9C92-DDE43C83D545}"/>
    <hyperlink ref="C42" r:id="rId88" display="https://coingolive.com/pt-br/coins/polkadot/" xr:uid="{5B382899-8A73-46F9-B27F-8A7481DA6225}"/>
    <hyperlink ref="A44" r:id="rId89" display="javascript:addFavorite('shiba-inu')" xr:uid="{C54B4F03-A3DC-4A75-B86C-DFCE0B364E2B}"/>
    <hyperlink ref="C44" r:id="rId90" display="https://coingolive.com/pt-br/coins/shiba-inu/" xr:uid="{F72873FA-B3CC-4D31-80BD-A3695695C6B7}"/>
    <hyperlink ref="C45" r:id="rId91" display="https://coingolive.com/pt-br/coins/shiba-inu/" xr:uid="{72DE596D-1789-4350-961A-19BB7C2DD286}"/>
    <hyperlink ref="A46" r:id="rId92" display="javascript:addFavorite('litecoin')" xr:uid="{505E8CF6-ECF9-4231-9551-24903EFD26E6}"/>
    <hyperlink ref="C46" r:id="rId93" display="https://coingolive.com/pt-br/coins/litecoin/" xr:uid="{EAD95E7A-49A1-442A-BBCC-19EC95FAEA26}"/>
    <hyperlink ref="C47" r:id="rId94" display="https://coingolive.com/pt-br/coins/litecoin/" xr:uid="{1EF92122-E671-4025-AE18-E5B7870B287D}"/>
    <hyperlink ref="A49" r:id="rId95" display="javascript:addFavorite('tron')" xr:uid="{0147C4C7-E8CB-4809-A035-EA1AE1437736}"/>
    <hyperlink ref="C49" r:id="rId96" display="https://coingolive.com/pt-br/coins/tron/" xr:uid="{F043ABBB-B4BD-4D8F-8354-0AD4266ECF86}"/>
    <hyperlink ref="C50" r:id="rId97" display="https://coingolive.com/pt-br/coins/tron/" xr:uid="{A48BA79A-71BD-4069-B7A6-EEEB646F4263}"/>
    <hyperlink ref="A52" r:id="rId98" display="javascript:addFavorite('avalanche-2')" xr:uid="{467D90A3-A23B-4C99-AA5B-92C912D1DD8C}"/>
    <hyperlink ref="C52" r:id="rId99" display="https://coingolive.com/pt-br/coins/avalanche-2/" xr:uid="{EEF4957E-72DA-4190-ABE5-0BBC05BEFCBB}"/>
    <hyperlink ref="C53" r:id="rId100" display="https://coingolive.com/pt-br/coins/avalanche-2/" xr:uid="{16BF946A-D32F-44C8-81A1-C65BC272EE5A}"/>
    <hyperlink ref="A54" r:id="rId101" display="javascript:addFavorite('dai')" xr:uid="{5D586DEB-FFE2-49AE-AD73-309F6C185D0C}"/>
    <hyperlink ref="C54" r:id="rId102" display="https://coingolive.com/pt-br/coins/dai/" xr:uid="{35D5B883-965A-461C-BD1B-073961A0199F}"/>
    <hyperlink ref="C55" r:id="rId103" display="https://coingolive.com/pt-br/coins/dai/" xr:uid="{A189555B-910F-409C-9FC7-3A613B0F21C4}"/>
    <hyperlink ref="A57" r:id="rId104" display="javascript:addFavorite('uniswap')" xr:uid="{66E604BE-A599-4A51-984D-E2D1763AB39A}"/>
    <hyperlink ref="C57" r:id="rId105" display="https://coingolive.com/pt-br/coins/uniswap/" xr:uid="{9B1F030E-FC05-4B77-91DD-F08A90DEE9AD}"/>
    <hyperlink ref="C58" r:id="rId106" display="https://coingolive.com/pt-br/coins/uniswap/" xr:uid="{D094D723-F876-40AC-9390-A7729F8D4990}"/>
    <hyperlink ref="A60" r:id="rId107" display="javascript:addFavorite('cosmos')" xr:uid="{56F8A274-9590-485F-BFCF-26AA66061CA7}"/>
    <hyperlink ref="C60" r:id="rId108" display="https://coingolive.com/pt-br/coins/cosmos/" xr:uid="{3F828B65-CCA4-42A7-A4A9-B38643618DD1}"/>
    <hyperlink ref="C61" r:id="rId109" display="https://coingolive.com/pt-br/coins/cosmos/" xr:uid="{61107F74-8983-46B4-AFFC-36DDD7DDB8ED}"/>
    <hyperlink ref="A63" r:id="rId110" display="javascript:addFavorite('wrapped-bitcoin')" xr:uid="{14108006-0BF5-4427-B2D8-5EDC73BC7BD2}"/>
    <hyperlink ref="C63" r:id="rId111" display="https://coingolive.com/pt-br/coins/wrapped-bitcoin/" xr:uid="{2C52E9F1-D784-4C35-B2DE-AE1994E27FF8}"/>
    <hyperlink ref="C64" r:id="rId112" display="https://coingolive.com/pt-br/coins/wrapped-bitcoin/" xr:uid="{3405BB77-7B54-4553-9B6E-C79582978F85}"/>
    <hyperlink ref="A66" r:id="rId113" display="javascript:addFavorite('chainlink')" xr:uid="{F6941172-0601-4BF1-A306-F30D74FDB1FD}"/>
    <hyperlink ref="C66" r:id="rId114" display="https://coingolive.com/pt-br/coins/chainlink/" xr:uid="{2B9DC140-8297-401D-920C-E36C52B23196}"/>
    <hyperlink ref="C67" r:id="rId115" display="https://coingolive.com/pt-br/coins/chainlink/" xr:uid="{517A35F0-6679-4433-A872-D62170245E01}"/>
    <hyperlink ref="A69" r:id="rId116" display="javascript:addFavorite('the-open-network')" xr:uid="{B54CCB60-BAB8-44BA-9CB8-0BE810FB491F}"/>
    <hyperlink ref="C69" r:id="rId117" display="https://coingolive.com/pt-br/coins/the-open-network/" xr:uid="{B564AB53-86DF-46FD-B28C-556A20845997}"/>
    <hyperlink ref="C70" r:id="rId118" display="https://coingolive.com/pt-br/coins/the-open-network/" xr:uid="{13519239-6B78-4276-A281-1651A665DE4E}"/>
    <hyperlink ref="A71" r:id="rId119" display="javascript:addFavorite('ethereum-classic')" xr:uid="{1DB824EA-68FD-4FEC-8DAF-EA79B06813EB}"/>
    <hyperlink ref="C71" r:id="rId120" display="https://coingolive.com/pt-br/coins/ethereum-classic/" xr:uid="{59C4CF09-F505-4058-97B7-00745C46A97A}"/>
    <hyperlink ref="C72" r:id="rId121" display="https://coingolive.com/pt-br/coins/ethereum-classic/" xr:uid="{3630F166-84F5-4D92-AA12-C075EA94D0F9}"/>
    <hyperlink ref="A74" r:id="rId122" display="javascript:addFavorite('monero')" xr:uid="{2143B721-7101-403A-B6C7-4DFBE6152D95}"/>
    <hyperlink ref="C74" r:id="rId123" display="https://coingolive.com/pt-br/coins/monero/" xr:uid="{E4C451AB-C7F2-4056-A1F8-B1AC10DCA0C4}"/>
    <hyperlink ref="C75" r:id="rId124" display="https://coingolive.com/pt-br/coins/monero/" xr:uid="{B9A062C3-6485-4D54-9BE8-14F932189907}"/>
    <hyperlink ref="A76" r:id="rId125" display="javascript:addFavorite('bitcoin-cash')" xr:uid="{FF9B6471-FF63-4E81-960D-60D643F6E676}"/>
    <hyperlink ref="C76" r:id="rId126" display="https://coingolive.com/pt-br/coins/bitcoin-cash/" xr:uid="{2A4934A8-C158-440C-A90C-1FAAAAF272D0}"/>
    <hyperlink ref="C77" r:id="rId127" display="https://coingolive.com/pt-br/coins/bitcoin-cash/" xr:uid="{A7F88736-117B-4E8B-ACF9-2DF055E8707B}"/>
    <hyperlink ref="A79" r:id="rId128" display="javascript:addFavorite('lido-dao')" xr:uid="{BAE1ACDE-6EE4-4829-9591-950BAEC4DA54}"/>
    <hyperlink ref="C79" r:id="rId129" display="https://coingolive.com/pt-br/coins/lido-dao/" xr:uid="{07A67CA1-9E45-465E-9151-34510069C1F1}"/>
    <hyperlink ref="C80" r:id="rId130" display="https://coingolive.com/pt-br/coins/lido-dao/" xr:uid="{1C1DF7EE-C226-44DD-8A76-C25DAD0C512F}"/>
    <hyperlink ref="A81" r:id="rId131" display="javascript:addFavorite('stellar')" xr:uid="{B1693BC8-AF8F-4C9A-8CE7-46CBE672AB81}"/>
    <hyperlink ref="C81" r:id="rId132" display="https://coingolive.com/pt-br/coins/stellar/" xr:uid="{ECB3C72F-F387-4DD8-BE6B-F077C697127B}"/>
    <hyperlink ref="C82" r:id="rId133" display="https://coingolive.com/pt-br/coins/stellar/" xr:uid="{94B8C7BB-AFC7-4AAB-9CE7-4790797476F2}"/>
    <hyperlink ref="A84" r:id="rId134" display="javascript:addFavorite('aptos')" xr:uid="{6A1FCC47-007E-42B7-8C67-BF2F4AFC3CC6}"/>
    <hyperlink ref="C84" r:id="rId135" display="https://coingolive.com/pt-br/coins/aptos/" xr:uid="{1D4ABCAA-0352-4E49-B57C-C5DAE5273715}"/>
    <hyperlink ref="C85" r:id="rId136" display="https://coingolive.com/pt-br/coins/aptos/" xr:uid="{C944C60A-325C-4FFF-81BE-7CA0A1F9FEA2}"/>
    <hyperlink ref="A86" r:id="rId137" display="javascript:addFavorite('crypto-com-chain')" xr:uid="{7151C8D0-E820-436A-AFEA-29466A4CDACC}"/>
    <hyperlink ref="C86" r:id="rId138" display="https://coingolive.com/pt-br/coins/crypto-com-chain/" xr:uid="{61A5D672-62E0-4DBE-9C22-8DC6D9207CA5}"/>
    <hyperlink ref="C87" r:id="rId139" display="https://coingolive.com/pt-br/coins/crypto-com-chain/" xr:uid="{B2C80403-C081-4EBC-90B5-55C8CCD49B98}"/>
    <hyperlink ref="A88" r:id="rId140" display="javascript:addFavorite('near')" xr:uid="{73DCFD44-970A-44C3-A1DC-BDEBF63E2AA7}"/>
    <hyperlink ref="C88" r:id="rId141" display="https://coingolive.com/pt-br/coins/near/" xr:uid="{39D5A81F-90BE-4932-B8FA-7A26DA1EA865}"/>
    <hyperlink ref="C89" r:id="rId142" display="https://coingolive.com/pt-br/coins/near/" xr:uid="{75E2CD06-A765-40A7-9A96-29EF986B86BE}"/>
    <hyperlink ref="A90" r:id="rId143" display="javascript:addFavorite('hedera-hashgraph')" xr:uid="{5F300698-BD89-4021-AD1F-A2507B0B481E}"/>
    <hyperlink ref="C90" r:id="rId144" display="https://coingolive.com/pt-br/coins/hedera-hashgraph/" xr:uid="{F1EF2F79-5B54-4A1E-83C4-CBE9560EB0E9}"/>
    <hyperlink ref="C91" r:id="rId145" display="https://coingolive.com/pt-br/coins/hedera-hashgraph/" xr:uid="{A2E0C74B-318C-4547-978E-4C5F063B5216}"/>
    <hyperlink ref="A92" r:id="rId146" display="javascript:addFavorite('quant-network')" xr:uid="{A31C3E9E-F305-4C3E-AF5B-CAB0C57771B1}"/>
    <hyperlink ref="C92" r:id="rId147" display="https://coingolive.com/pt-br/coins/quant-network/" xr:uid="{CB520472-0F53-461B-9D4C-C04197C1CE07}"/>
    <hyperlink ref="C93" r:id="rId148" display="https://coingolive.com/pt-br/coins/quant-network/" xr:uid="{9C6CC129-739E-4F29-855A-C3B572FF3DC5}"/>
    <hyperlink ref="A94" r:id="rId149" display="javascript:addFavorite('filecoin')" xr:uid="{9F66DE00-AC9A-4E4F-BAE9-07584A451BD6}"/>
    <hyperlink ref="C94" r:id="rId150" display="https://coingolive.com/pt-br/coins/filecoin/" xr:uid="{983F97CB-347B-4193-AD7F-73D14D0E2407}"/>
    <hyperlink ref="C95" r:id="rId151" display="https://coingolive.com/pt-br/coins/filecoin/" xr:uid="{3CE14E44-27E7-4C78-8CAA-DF46FDF9F19C}"/>
    <hyperlink ref="A97" r:id="rId152" display="javascript:addFavorite('apecoin')" xr:uid="{2D733216-909C-4395-971E-7946C6A8716C}"/>
    <hyperlink ref="C97" r:id="rId153" display="https://coingolive.com/pt-br/coins/apecoin/" xr:uid="{FE763B1D-392B-4748-A4C1-DC3AA1E9E9F4}"/>
    <hyperlink ref="C98" r:id="rId154" display="https://coingolive.com/pt-br/coins/apecoin/" xr:uid="{D65941A5-FF94-4899-B05D-3A515EEB3228}"/>
    <hyperlink ref="A99" r:id="rId155" display="javascript:addFavorite('algorand')" xr:uid="{DC2E1BAB-DD8A-46D1-A0A1-3A91CA961822}"/>
    <hyperlink ref="C99" r:id="rId156" display="https://coingolive.com/pt-br/coins/algorand/" xr:uid="{9F1F63E3-1E59-4849-A6F8-BBDCB49ACC24}"/>
    <hyperlink ref="C100" r:id="rId157" display="https://coingolive.com/pt-br/coins/algorand/" xr:uid="{AAA4C119-C9B4-40EE-B613-4D37BC0D59DA}"/>
    <hyperlink ref="A101" r:id="rId158" display="javascript:addFavorite('vechain')" xr:uid="{EDA5D58C-B435-4A68-833A-372196F9C876}"/>
    <hyperlink ref="C101" r:id="rId159" display="https://coingolive.com/pt-br/coins/vechain/" xr:uid="{F4A77A98-6B6B-4CD8-93D9-9D4C5AD4BE07}"/>
    <hyperlink ref="C102" r:id="rId160" display="https://coingolive.com/pt-br/coins/vechain/" xr:uid="{7D52598B-61B9-4069-8143-2E178EE765CD}"/>
    <hyperlink ref="A104" r:id="rId161" display="javascript:addFavorite('internet-computer')" xr:uid="{10D3BE40-D483-497D-8695-C764C72C013D}"/>
    <hyperlink ref="C104" r:id="rId162" display="https://coingolive.com/pt-br/coins/internet-computer/" xr:uid="{FD95125A-BFD3-4EBA-9C30-08289B8A7BDE}"/>
    <hyperlink ref="C105" r:id="rId163" display="https://coingolive.com/pt-br/coins/internet-computer/" xr:uid="{8FE61028-4089-4855-9249-038711FCDFA9}"/>
    <hyperlink ref="A106" r:id="rId164" display="javascript:addFavorite('the-graph')" xr:uid="{71FC98AC-C716-49C6-97DB-C151BF6EDDD7}"/>
    <hyperlink ref="C106" r:id="rId165" display="https://coingolive.com/pt-br/coins/the-graph/" xr:uid="{5BCD4B85-20AB-4DBA-8B0F-F13F44F9C0AC}"/>
    <hyperlink ref="C107" r:id="rId166" display="https://coingolive.com/pt-br/coins/the-graph/" xr:uid="{6DA899BA-5234-4F0A-ACE6-D24F2B481AB3}"/>
    <hyperlink ref="A108" r:id="rId167" display="javascript:addFavorite('the-sandbox')" xr:uid="{26D659C2-7EF0-4ABF-B665-88B343934C7F}"/>
    <hyperlink ref="C108" r:id="rId168" display="https://coingolive.com/pt-br/coins/the-sandbox/" xr:uid="{1FE10F1F-F84A-4097-BBD9-37E325100E63}"/>
    <hyperlink ref="C109" r:id="rId169" display="https://coingolive.com/pt-br/coins/the-sandbox/" xr:uid="{BD9D2FE4-B89D-41BE-8878-8C6B85B06616}"/>
    <hyperlink ref="A110" r:id="rId170" display="javascript:addFavorite('fantom')" xr:uid="{BB5BBBC8-AC56-4BC0-833C-723DAD8C3D3F}"/>
    <hyperlink ref="C110" r:id="rId171" display="https://coingolive.com/pt-br/coins/fantom/" xr:uid="{16899EAC-BFD0-4697-B636-092332869880}"/>
    <hyperlink ref="C111" r:id="rId172" display="https://coingolive.com/pt-br/coins/fantom/" xr:uid="{E18CB4FE-74E2-4524-9A6B-C8CF9905143D}"/>
    <hyperlink ref="A112" r:id="rId173" display="javascript:addFavorite('decentraland')" xr:uid="{D5EE4134-4468-4D38-8F0D-630B7E6A3CD9}"/>
    <hyperlink ref="C112" r:id="rId174" display="https://coingolive.com/pt-br/coins/decentraland/" xr:uid="{E71D857E-CFB6-46CB-94FB-F2367ACBC7BA}"/>
    <hyperlink ref="C113" r:id="rId175" display="https://coingolive.com/pt-br/coins/decentraland/" xr:uid="{ADB5442E-B6E9-4533-9A20-F96000C9791B}"/>
    <hyperlink ref="A114" r:id="rId176" display="javascript:addFavorite('axie-infinity')" xr:uid="{A85160E1-FA52-4BA5-91FF-A784EA219C71}"/>
    <hyperlink ref="C114" r:id="rId177" display="https://coingolive.com/pt-br/coins/axie-infinity/" xr:uid="{E4F51BA0-A802-4F29-9B98-6805F2FA28D3}"/>
    <hyperlink ref="C115" r:id="rId178" display="https://coingolive.com/pt-br/coins/axie-infinity/" xr:uid="{55952429-536C-45C9-B3A0-8B13235B49FF}"/>
    <hyperlink ref="A116" r:id="rId179" display="javascript:addFavorite('eos')" xr:uid="{4EA870FB-B4DE-4420-A0F6-500412C54FAB}"/>
    <hyperlink ref="C116" r:id="rId180" display="https://coingolive.com/pt-br/coins/eos/" xr:uid="{6FF88C27-0D83-4D4F-8363-D6B86C8EEB59}"/>
    <hyperlink ref="C117" r:id="rId181" display="https://coingolive.com/pt-br/coins/eos/" xr:uid="{6A6DA413-7EAE-428B-B9BE-B7A093EB13A9}"/>
    <hyperlink ref="A119" r:id="rId182" display="javascript:addFavorite('aave')" xr:uid="{50F9D9FC-6649-47B0-8C48-573FB050E03B}"/>
    <hyperlink ref="C119" r:id="rId183" display="https://coingolive.com/pt-br/coins/aave/" xr:uid="{1FDE8D82-E8E0-4198-8625-AD6C73870427}"/>
    <hyperlink ref="C120" r:id="rId184" display="https://coingolive.com/pt-br/coins/aave/" xr:uid="{6BDC3C0E-0C8D-416D-9C31-0C3E4B999600}"/>
    <hyperlink ref="A122" r:id="rId185" display="javascript:addFavorite('elrond-erd-2')" xr:uid="{F947B3BA-94D9-4DB2-9230-17065FDCB24B}"/>
    <hyperlink ref="C122" r:id="rId186" display="https://coingolive.com/pt-br/coins/elrond-erd-2/" xr:uid="{3AE58872-42E7-420F-81D8-BFAB235A7E75}"/>
    <hyperlink ref="C123" r:id="rId187" display="https://coingolive.com/pt-br/coins/elrond-erd-2/" xr:uid="{6ACFDC52-1DF6-4782-B829-5932C9967962}"/>
    <hyperlink ref="A124" r:id="rId188" display="javascript:addFavorite('flow')" xr:uid="{E2518E9B-E1F9-46D0-9BC0-87959C971D06}"/>
    <hyperlink ref="C124" r:id="rId189" display="https://coingolive.com/pt-br/coins/flow/" xr:uid="{C88BCE94-477F-4C3C-88AF-B6C51BB8A273}"/>
    <hyperlink ref="C125" r:id="rId190" display="https://coingolive.com/pt-br/coins/flow/" xr:uid="{E5FC9F0D-B9DA-46AC-9F1F-6149BDF3C76F}"/>
    <hyperlink ref="A126" r:id="rId191" display="javascript:addFavorite('theta-token')" xr:uid="{96E2D9D3-7D3B-40D8-AE94-CA0A666B1536}"/>
    <hyperlink ref="C126" r:id="rId192" display="https://coingolive.com/pt-br/coins/theta-token/" xr:uid="{A00A04E5-EF65-47A6-8FAC-3DBD7B73524F}"/>
    <hyperlink ref="C127" r:id="rId193" display="https://coingolive.com/pt-br/coins/theta-token/" xr:uid="{6A1D6EC8-73C6-4D19-BB2F-DAC0326E9199}"/>
    <hyperlink ref="A129" r:id="rId194" display="javascript:addFavorite('rocket-pool')" xr:uid="{22C30959-01B7-466B-9F83-25DCFD8F0B6A}"/>
    <hyperlink ref="C129" r:id="rId195" display="https://coingolive.com/pt-br/coins/rocket-pool/" xr:uid="{B7983661-D8BF-43CE-A9DD-781361591C1F}"/>
    <hyperlink ref="C130" r:id="rId196" display="https://coingolive.com/pt-br/coins/rocket-pool/" xr:uid="{B76CC4C1-C2F8-4EA4-AE8B-5819BD0ED3B6}"/>
    <hyperlink ref="A131" r:id="rId197" display="javascript:addFavorite('frax')" xr:uid="{484681BE-F687-4281-9772-3FAD917A0CF0}"/>
    <hyperlink ref="C131" r:id="rId198" display="https://coingolive.com/pt-br/coins/frax/" xr:uid="{13B89BED-F6C4-42BA-B824-489C2DB0652C}"/>
    <hyperlink ref="C132" r:id="rId199" display="https://coingolive.com/pt-br/coins/frax/" xr:uid="{63E59CCE-8C4B-48BB-A3F3-2EA7C28C7D08}"/>
    <hyperlink ref="A133" r:id="rId200" display="javascript:addFavorite('tezos')" xr:uid="{1CED4E6D-3160-41BA-9D09-94E9771DCB16}"/>
    <hyperlink ref="C133" r:id="rId201" display="https://coingolive.com/pt-br/coins/tezos/" xr:uid="{35313DB2-CEE1-425E-844D-9D561FB9822B}"/>
    <hyperlink ref="C134" r:id="rId202" display="https://coingolive.com/pt-br/coins/tezos/" xr:uid="{D5B09F63-EB6A-46B5-8C41-73C6F8339C6F}"/>
    <hyperlink ref="A136" r:id="rId203" display="javascript:addFavorite('terra-luna')" xr:uid="{E2ED1573-F292-4E4B-8E54-E5681CD3E8EE}"/>
    <hyperlink ref="C136" r:id="rId204" display="https://coingolive.com/pt-br/coins/terra-luna/" xr:uid="{B97784B4-DC46-4017-B9BC-31C55410E6A6}"/>
    <hyperlink ref="C137" r:id="rId205" display="https://coingolive.com/pt-br/coins/terra-luna/" xr:uid="{5E019C33-7641-4BF5-8599-B7A1B88280BF}"/>
    <hyperlink ref="A138" r:id="rId206" display="javascript:addFavorite('true-usd')" xr:uid="{74A7DDF9-E34D-4678-8BD4-D3A2608988C0}"/>
    <hyperlink ref="C138" r:id="rId207" display="https://coingolive.com/pt-br/coins/true-usd/" xr:uid="{0D688D4B-4EDE-427D-A74C-5A1E23024BAD}"/>
    <hyperlink ref="C139" r:id="rId208" display="https://coingolive.com/pt-br/coins/true-usd/" xr:uid="{EC9C2870-FF55-4E78-AADF-69820661E660}"/>
    <hyperlink ref="A140" r:id="rId209" display="javascript:addFavorite('frax-share')" xr:uid="{12170B46-D416-460D-95BE-4EAB85E31080}"/>
    <hyperlink ref="C140" r:id="rId210" display="https://coingolive.com/pt-br/coins/frax-share/" xr:uid="{6F0423AA-4EA0-4965-8B21-E9A8B1CE29BB}"/>
    <hyperlink ref="C141" r:id="rId211" display="https://coingolive.com/pt-br/coins/frax-share/" xr:uid="{22CE31BD-630F-46F4-BF48-3CBD44D5FA8A}"/>
    <hyperlink ref="A142" r:id="rId212" display="javascript:addFavorite('paxos-standard')" xr:uid="{1C38D204-BA9F-4D83-8E9A-0C204D163BD4}"/>
    <hyperlink ref="C142" r:id="rId213" display="https://coingolive.com/pt-br/coins/paxos-standard/" xr:uid="{D8E1561E-9466-4A33-86A4-7613B6D2C18A}"/>
    <hyperlink ref="C143" r:id="rId214" display="https://coingolive.com/pt-br/coins/paxos-standard/" xr:uid="{8423987B-635B-4D39-B1C3-A51DA267A73A}"/>
    <hyperlink ref="A144" r:id="rId215" display="javascript:addFavorite('huobi-token')" xr:uid="{62EEEBA7-F95D-4023-9170-C680C0F99062}"/>
    <hyperlink ref="C144" r:id="rId216" display="https://coingolive.com/pt-br/coins/huobi-token/" xr:uid="{D2FAF559-820A-4E76-BD0C-16EDB6BC4B1F}"/>
    <hyperlink ref="C145" r:id="rId217" display="https://coingolive.com/pt-br/coins/huobi-token/" xr:uid="{786EC39F-B411-4AA9-8005-A5D2C8649E03}"/>
    <hyperlink ref="A147" r:id="rId218" display="javascript:addFavorite('kucoin-shares')" xr:uid="{8FA5E839-59E5-4656-BF77-D6D24B3F4E13}"/>
    <hyperlink ref="C147" r:id="rId219" display="https://coingolive.com/pt-br/coins/kucoin-shares/" xr:uid="{251D13D2-A500-483B-82DB-C109CA860295}"/>
    <hyperlink ref="C148" r:id="rId220" display="https://coingolive.com/pt-br/coins/kucoin-shares/" xr:uid="{314D43AC-3A8F-49A0-9AAC-FB0A466A5AD8}"/>
    <hyperlink ref="A149" r:id="rId221" display="javascript:addFavorite('bitcoin-cash-sv')" xr:uid="{0348D411-863A-41FB-B134-C4E944CE6A6B}"/>
    <hyperlink ref="C149" r:id="rId222" display="https://coingolive.com/pt-br/coins/bitcoin-cash-sv/" xr:uid="{9DEC23F0-1814-4A70-BF76-FE71898E744A}"/>
    <hyperlink ref="C150" r:id="rId223" display="https://coingolive.com/pt-br/coins/bitcoin-cash-sv/" xr:uid="{5A4C72C0-DA10-4987-B88B-9513459D4C8D}"/>
    <hyperlink ref="A152" r:id="rId224" display="javascript:addFavorite('havven')" xr:uid="{0F0BDC65-4A49-40CD-875E-FE364DD31228}"/>
    <hyperlink ref="C152" r:id="rId225" display="https://coingolive.com/pt-br/coins/havven/" xr:uid="{15EAB7E1-E086-4EBA-B318-B33D42A78ADE}"/>
    <hyperlink ref="C153" r:id="rId226" display="https://coingolive.com/pt-br/coins/havven/" xr:uid="{B7B75FB2-1BAF-4CFB-AE20-F4930D457FC9}"/>
    <hyperlink ref="A155" r:id="rId227" display="javascript:addFavorite('chiliz')" xr:uid="{1C5FA7E1-0A34-4F74-A25D-877AD5299371}"/>
    <hyperlink ref="C155" r:id="rId228" display="https://coingolive.com/pt-br/coins/chiliz/" xr:uid="{E1D681F3-2D94-4B3D-9C30-1484477C4AB0}"/>
    <hyperlink ref="C156" r:id="rId229" display="https://coingolive.com/pt-br/coins/chiliz/" xr:uid="{E29D5590-ED63-4F84-BA54-1FECC3617630}"/>
    <hyperlink ref="A158" r:id="rId230" display="javascript:addFavorite('curve-dao-token')" xr:uid="{19EFD2CB-618E-4376-8D11-1537A4F81F00}"/>
    <hyperlink ref="C158" r:id="rId231" display="https://coingolive.com/pt-br/coins/curve-dao-token/" xr:uid="{D4AF5D93-C4CF-4A50-AEC4-80A61D7E41F4}"/>
    <hyperlink ref="C159" r:id="rId232" display="https://coingolive.com/pt-br/coins/curve-dao-token/" xr:uid="{2EFD5FC5-712E-4DED-9495-5BA6925530B7}"/>
    <hyperlink ref="A161" r:id="rId233" display="javascript:addFavorite('usdd')" xr:uid="{F7FFB934-C347-4A88-A761-018BE4704725}"/>
    <hyperlink ref="C161" r:id="rId234" display="https://coingolive.com/pt-br/coins/usdd/" xr:uid="{CC59CBC1-3CE0-4CAF-8EF7-D3012D4E30BA}"/>
    <hyperlink ref="C162" r:id="rId235" display="https://coingolive.com/pt-br/coins/usdd/" xr:uid="{A904D13C-F5B5-4607-8E53-069EEDA2E5E0}"/>
    <hyperlink ref="A163" r:id="rId236" display="javascript:addFavorite('immutable-x')" xr:uid="{26570FDD-29DA-429A-8AC9-E39A3EE6E11F}"/>
    <hyperlink ref="C163" r:id="rId237" display="https://coingolive.com/pt-br/coins/immutable-x/" xr:uid="{280CDC8D-18C6-4F08-A570-2EBD60580B79}"/>
    <hyperlink ref="C164" r:id="rId238" display="https://coingolive.com/pt-br/coins/immutable-x/" xr:uid="{B548EAFE-8A7B-4B81-B4E3-0FA2A331D235}"/>
    <hyperlink ref="A165" r:id="rId239" display="javascript:addFavorite('pancakeswap-token')" xr:uid="{4BBFC1FA-B16D-4BA2-A370-56E11FB1527F}"/>
    <hyperlink ref="C165" r:id="rId240" display="https://coingolive.com/pt-br/coins/pancakeswap-token/" xr:uid="{A69A18B7-D9F8-4785-81F1-B28ACDE40F76}"/>
    <hyperlink ref="C166" r:id="rId241" display="https://coingolive.com/pt-br/coins/pancakeswap-token/" xr:uid="{24FF66CB-054F-4614-A013-7B0C1EA52E73}"/>
    <hyperlink ref="A168" r:id="rId242" display="javascript:addFavorite('bittorrent')" xr:uid="{87BDCE4B-3D7A-4C49-B79C-41469CE19AD4}"/>
    <hyperlink ref="C168" r:id="rId243" display="https://coingolive.com/pt-br/coins/bittorrent/" xr:uid="{B3DB1BCD-2E2A-4A3D-9428-1F74638B2B23}"/>
    <hyperlink ref="C169" r:id="rId244" display="https://coingolive.com/pt-br/coins/bittorrent/" xr:uid="{6BE3F95B-00D8-4C41-BA8E-8F69EC426353}"/>
    <hyperlink ref="A170" r:id="rId245" display="javascript:addFavorite('neo')" xr:uid="{45E23C68-C66D-4539-B10C-E68F67669267}"/>
    <hyperlink ref="C170" r:id="rId246" display="https://coingolive.com/pt-br/coins/neo/" xr:uid="{24A23769-1169-43E7-9E60-1110E8B7120F}"/>
    <hyperlink ref="C171" r:id="rId247" display="https://coingolive.com/pt-br/coins/neo/" xr:uid="{E667644F-0936-40BD-8C08-743CDB4E4D3F}"/>
    <hyperlink ref="A172" r:id="rId248" display="javascript:addFavorite('bitdao')" xr:uid="{DC378E39-29BD-453B-BADB-D5EBFFE9B107}"/>
    <hyperlink ref="C172" r:id="rId249" display="https://coingolive.com/pt-br/coins/bitdao/" xr:uid="{EC535BAB-252A-4675-8D48-A5EC1FC5737F}"/>
    <hyperlink ref="C173" r:id="rId250" display="https://coingolive.com/pt-br/coins/bitdao/" xr:uid="{BC7B43BE-EBD1-49CD-9765-ECBCD7F3240C}"/>
    <hyperlink ref="A174" r:id="rId251" display="javascript:addFavorite('ecash')" xr:uid="{3C2F4BCA-9951-42C5-8FBA-73597FFE93D8}"/>
    <hyperlink ref="C174" r:id="rId252" display="https://coingolive.com/pt-br/coins/ecash/" xr:uid="{AACA9944-835F-4065-BD14-57E83FF3F74B}"/>
    <hyperlink ref="C175" r:id="rId253" display="https://coingolive.com/pt-br/coins/ecash/" xr:uid="{2A7D1143-0648-40CF-8FA6-06BB4A6D6B65}"/>
    <hyperlink ref="A176" r:id="rId254" display="javascript:addFavorite('dash')" xr:uid="{69BF6639-1291-49B8-9010-D155AC9EEE49}"/>
    <hyperlink ref="C176" r:id="rId255" display="https://coingolive.com/pt-br/coins/dash/" xr:uid="{04827FEE-16C6-4B86-857E-645132964F85}"/>
    <hyperlink ref="C177" r:id="rId256" display="https://coingolive.com/pt-br/coins/dash/" xr:uid="{805C1CCF-100B-4FA1-9565-143FFAA0D39A}"/>
    <hyperlink ref="A179" r:id="rId257" display="javascript:addFavorite('iota')" xr:uid="{8050734F-6A86-4834-B61C-A9914F082335}"/>
    <hyperlink ref="C179" r:id="rId258" display="https://coingolive.com/pt-br/coins/iota/" xr:uid="{963F58D1-7B7E-4C36-A18D-5027CE5B07B2}"/>
    <hyperlink ref="C180" r:id="rId259" display="https://coingolive.com/pt-br/coins/iota/" xr:uid="{CEBDF78C-C61A-4FA3-8E79-58AAD52933DE}"/>
    <hyperlink ref="A182" r:id="rId260" display="javascript:addFavorite('maker')" xr:uid="{A956D8C4-91E2-44AF-BB68-55473005E886}"/>
    <hyperlink ref="C182" r:id="rId261" display="https://coingolive.com/pt-br/coins/maker/" xr:uid="{B00193C2-D21D-4877-BDA4-F1B7B471463A}"/>
    <hyperlink ref="C183" r:id="rId262" display="https://coingolive.com/pt-br/coins/maker/" xr:uid="{6AC33096-88AC-48D9-9CD9-EBDA2245CE19}"/>
    <hyperlink ref="A185" r:id="rId263" display="javascript:addFavorite('mina-protocol')" xr:uid="{EAF44059-FFF2-47E0-A589-F87D5AAB4BB7}"/>
    <hyperlink ref="C185" r:id="rId264" display="https://coingolive.com/pt-br/coins/mina-protocol/" xr:uid="{A5A8736E-4D76-4F42-9CAF-7945F70A01F4}"/>
    <hyperlink ref="C186" r:id="rId265" display="https://coingolive.com/pt-br/coins/mina-protocol/" xr:uid="{408AD1EC-9301-459C-AB75-92527A9EA837}"/>
    <hyperlink ref="A187" r:id="rId266" display="javascript:addFavorite('klay-token')" xr:uid="{821CBBCB-9276-459B-99C5-07429450B71E}"/>
    <hyperlink ref="C187" r:id="rId267" display="https://coingolive.com/pt-br/coins/klay-token/" xr:uid="{0621CBF4-CBD1-4443-A3FC-EC72B8577B1F}"/>
    <hyperlink ref="C188" r:id="rId268" display="https://coingolive.com/pt-br/coins/klay-token/" xr:uid="{1B9BA564-FBC8-4DB5-A281-D8A103353F49}"/>
    <hyperlink ref="A189" r:id="rId269" display="javascript:addFavorite('trust-wallet-token')" xr:uid="{9BA796C9-D93B-4765-B5C0-148369FB7C0F}"/>
    <hyperlink ref="C189" r:id="rId270" display="https://coingolive.com/pt-br/coins/trust-wallet-token/" xr:uid="{86FC3DE3-E830-4C82-8323-C5033D0F2595}"/>
    <hyperlink ref="C190" r:id="rId271" display="https://coingolive.com/pt-br/coins/trust-wallet-token/" xr:uid="{67B8108E-5DAB-4A53-A15A-ED05A0C044D5}"/>
    <hyperlink ref="A191" r:id="rId272" display="javascript:addFavorite('zcash')" xr:uid="{CE966F23-0BD4-46F9-AF60-661D909FFC43}"/>
    <hyperlink ref="C191" r:id="rId273" display="https://coingolive.com/pt-br/coins/zcash/" xr:uid="{9C0A8B4D-48EC-4AB5-8FFE-F615E0AEC1ED}"/>
    <hyperlink ref="C192" r:id="rId274" display="https://coingolive.com/pt-br/coins/zcash/" xr:uid="{F2AC11BE-C7DA-42BE-83BF-8319DA1510CE}"/>
    <hyperlink ref="A193" r:id="rId275" display="javascript:addFavorite('osmosis')" xr:uid="{98A2BF7D-4F8E-4DE9-88CA-07776DF82603}"/>
    <hyperlink ref="C193" r:id="rId276" display="https://coingolive.com/pt-br/coins/osmosis/" xr:uid="{7291A363-B8D3-4DDC-8C2D-C9EB09FDEA50}"/>
    <hyperlink ref="C194" r:id="rId277" display="https://coingolive.com/pt-br/coins/osmosis/" xr:uid="{3396369E-2DC0-42B7-8AD0-D4C502CDE01E}"/>
    <hyperlink ref="A195" r:id="rId278" display="javascript:addFavorite('optimism')" xr:uid="{CE3293D9-38FD-4F36-9343-F15FCD12A8CF}"/>
    <hyperlink ref="C195" r:id="rId279" display="https://coingolive.com/pt-br/coins/optimism/" xr:uid="{210E0EFC-6837-4C93-8228-C5A5D71DBBD6}"/>
    <hyperlink ref="C196" r:id="rId280" display="https://coingolive.com/pt-br/coins/optimism/" xr:uid="{C503E7D1-366C-44D4-A52C-DD5583300DD7}"/>
    <hyperlink ref="A197" r:id="rId281" display="javascript:addFavorite('oec-token')" xr:uid="{0A3CA2C8-8754-430E-8D95-E0C9CDCA302D}"/>
    <hyperlink ref="C197" r:id="rId282" display="https://coingolive.com/pt-br/coins/oec-token/" xr:uid="{E040745A-CB09-4AA1-A81F-E65348AAB80F}"/>
    <hyperlink ref="C198" r:id="rId283" display="https://coingolive.com/pt-br/coins/oec-token/" xr:uid="{D3F4F8A0-0EF3-4040-9A67-ECBA23C424E5}"/>
    <hyperlink ref="A199" r:id="rId284" display="javascript:addFavorite('arweave')" xr:uid="{4B20362E-E303-40F1-92A7-BA75119D4B47}"/>
    <hyperlink ref="C199" r:id="rId285" display="https://coingolive.com/pt-br/coins/arweave/" xr:uid="{6165C9C1-69DB-4069-B06D-485C5DC7B09F}"/>
    <hyperlink ref="C200" r:id="rId286" display="https://coingolive.com/pt-br/coins/arweave/" xr:uid="{7BB20DC4-4430-4B74-898D-6B8DBE793288}"/>
    <hyperlink ref="A201" r:id="rId287" display="javascript:addFavorite('tokenize-xchange')" xr:uid="{C5C40B31-D442-441B-9FBC-4C4C46F64337}"/>
    <hyperlink ref="C201" r:id="rId288" display="https://coingolive.com/pt-br/coins/tokenize-xchange/" xr:uid="{466FE188-4D81-4D5C-AF0C-B1BE95114BCE}"/>
    <hyperlink ref="C202" r:id="rId289" display="https://coingolive.com/pt-br/coins/tokenize-xchange/" xr:uid="{D8B75616-A605-48C7-85AB-FD54A855EF8D}"/>
    <hyperlink ref="A203" r:id="rId290" display="javascript:addFavorite('gmx')" xr:uid="{1E5C3293-7BA8-4D53-AA73-0B10316223CE}"/>
    <hyperlink ref="C203" r:id="rId291" display="https://coingolive.com/pt-br/coins/gmx/" xr:uid="{58F98894-C61B-477C-9168-B1BE9946B7A1}"/>
    <hyperlink ref="C204" r:id="rId292" display="https://coingolive.com/pt-br/coins/gmx/" xr:uid="{76C6DD8A-ED05-463A-A82D-B97C7C33ECD6}"/>
    <hyperlink ref="A205" r:id="rId293" display="javascript:addFavorite('thorchain')" xr:uid="{01CE7FCB-8BE3-4469-89A0-B98962FE1483}"/>
    <hyperlink ref="C205" r:id="rId294" display="https://coingolive.com/pt-br/coins/thorchain/" xr:uid="{C7884963-133E-41B7-9B06-1B7CF357E065}"/>
    <hyperlink ref="C206" r:id="rId295" display="https://coingolive.com/pt-br/coins/thorchain/" xr:uid="{B16A3E81-2D9A-4AA7-85B1-1BD575F409CF}"/>
    <hyperlink ref="A207" r:id="rId296" display="javascript:addFavorite('pax-gold')" xr:uid="{70C784D2-C06F-465E-A4C7-85C84F8BFA07}"/>
    <hyperlink ref="C207" r:id="rId297" display="https://coingolive.com/pt-br/coins/pax-gold/" xr:uid="{EB2F28B9-0888-4AB8-A32D-046C1991D510}"/>
    <hyperlink ref="C208" r:id="rId298" display="https://coingolive.com/pt-br/coins/pax-gold/" xr:uid="{FA802F29-6977-40B4-9AB6-587C63CE82D2}"/>
    <hyperlink ref="C209" r:id="rId299" display="https://coingoback.com/promocoes/1" xr:uid="{142EE770-9D3E-4183-809C-BC3B2885AAD7}"/>
    <hyperlink ref="A210" r:id="rId300" display="javascript:addFavorite('singularitynet')" xr:uid="{50CDBCD9-F0B3-492E-8F95-97D6A140F039}"/>
    <hyperlink ref="C210" r:id="rId301" display="https://coingolive.com/pt-br/coins/singularitynet/" xr:uid="{3ECC3F6A-44D3-4185-A307-6402F90224BA}"/>
    <hyperlink ref="C211" r:id="rId302" display="https://coingolive.com/pt-br/coins/singularitynet/" xr:uid="{4FDDFB67-8C65-4C94-8A1F-BE0F11E12F69}"/>
    <hyperlink ref="A212" r:id="rId303" display="javascript:addFavorite('tether-gold')" xr:uid="{0F2DDF2B-6B53-4970-BA68-8CDCAF831E50}"/>
    <hyperlink ref="C212" r:id="rId304" display="https://coingolive.com/pt-br/coins/tether-gold/" xr:uid="{644CF23C-8BBB-4521-8E0B-233FD6C1DC05}"/>
    <hyperlink ref="C213" r:id="rId305" display="https://coingolive.com/pt-br/coins/tether-gold/" xr:uid="{6E8E28F3-F561-40FB-8647-B7A343202D06}"/>
    <hyperlink ref="A214" r:id="rId306" display="javascript:addFavorite('baby-doge-coin')" xr:uid="{FD558968-6617-40BB-B6FD-28B17AD29924}"/>
    <hyperlink ref="C214" r:id="rId307" display="https://coingolive.com/pt-br/coins/baby-doge-coin/" xr:uid="{737A8629-7012-4FFE-9C31-0A8BCA5A8A95}"/>
    <hyperlink ref="C215" r:id="rId308" display="https://coingolive.com/pt-br/coins/baby-doge-coin/" xr:uid="{B039318F-2D07-4B19-838C-E20B1DEA6D75}"/>
    <hyperlink ref="A216" r:id="rId309" display="javascript:addFavorite('whitebit')" xr:uid="{A0E0FAD3-5175-41E6-B936-906A08E749B7}"/>
    <hyperlink ref="C216" r:id="rId310" display="https://coingolive.com/pt-br/coins/whitebit/" xr:uid="{59F28A84-E1CE-4A2D-8E31-85CC7368D35F}"/>
    <hyperlink ref="C217" r:id="rId311" display="https://coingolive.com/pt-br/coins/whitebit/" xr:uid="{6135465A-866F-4D62-98FA-010A0B32690A}"/>
    <hyperlink ref="A218" r:id="rId312" display="javascript:addFavorite('enjincoin')" xr:uid="{7FD6F115-5B4B-4AD1-BAE8-60A33D3C2F8D}"/>
    <hyperlink ref="C218" r:id="rId313" display="https://coingolive.com/pt-br/coins/enjincoin/" xr:uid="{4E29EAF7-7E1D-424D-8202-7284EA442189}"/>
    <hyperlink ref="C219" r:id="rId314" display="https://coingolive.com/pt-br/coins/enjincoin/" xr:uid="{6F029D63-C931-402B-9B15-EA00A85999B8}"/>
    <hyperlink ref="A220" r:id="rId315" display="javascript:addFavorite('zilliqa')" xr:uid="{2FB6F7E2-C8E4-4126-8FFC-D446B06C1D94}"/>
    <hyperlink ref="C220" r:id="rId316" display="https://coingolive.com/pt-br/coins/zilliqa/" xr:uid="{7C3D5C58-6774-426A-BCE6-60099145B8D3}"/>
    <hyperlink ref="C221" r:id="rId317" display="https://coingolive.com/pt-br/coins/zilliqa/" xr:uid="{412E0BCA-43CB-4AC6-BBAD-8C1DAF8D7814}"/>
    <hyperlink ref="A222" r:id="rId318" display="javascript:addFavorite('fetch-ai')" xr:uid="{81BA3EB8-5C4C-4288-B3E1-097759E3DE56}"/>
    <hyperlink ref="C222" r:id="rId319" display="https://coingolive.com/pt-br/coins/fetch-ai/" xr:uid="{40B8B911-782F-41F6-AB5A-D8794272072A}"/>
    <hyperlink ref="C223" r:id="rId320" display="https://coingolive.com/pt-br/coins/fetch-ai/" xr:uid="{534636F6-3D89-4D3E-971B-7B1B4486B4AC}"/>
    <hyperlink ref="A224" r:id="rId321" display="javascript:addFavorite('convex-finance')" xr:uid="{B125314A-4035-45F0-B620-B6A03E364281}"/>
    <hyperlink ref="C224" r:id="rId322" display="https://coingolive.com/pt-br/coins/convex-finance/" xr:uid="{078E0807-05B7-4C82-930B-8B4ACD05A833}"/>
    <hyperlink ref="C225" r:id="rId323" display="https://coingolive.com/pt-br/coins/convex-finance/" xr:uid="{ED3A1469-6289-4252-9640-59E5A468D58D}"/>
    <hyperlink ref="A226" r:id="rId324" display="javascript:addFavorite('casper-network')" xr:uid="{8AF99496-6009-48A6-B3C5-7E55C6E5B24E}"/>
    <hyperlink ref="C226" r:id="rId325" display="https://coingolive.com/pt-br/coins/casper-network/" xr:uid="{E19447D7-9A3D-4288-8DE2-024D36F1D79E}"/>
    <hyperlink ref="C227" r:id="rId326" display="https://coingolive.com/pt-br/coins/casper-network/" xr:uid="{9D1E7CBD-04A9-4A3B-9D7E-27376D8513EB}"/>
    <hyperlink ref="A228" r:id="rId327" display="javascript:addFavorite('1inch')" xr:uid="{1670FD3C-9F89-4503-86CC-15DFA07199E4}"/>
    <hyperlink ref="C228" r:id="rId328" display="https://coingolive.com/pt-br/coins/1inch/" xr:uid="{DB7E20BC-792B-4EEA-96A0-084FE6E15E25}"/>
    <hyperlink ref="C229" r:id="rId329" display="https://coingolive.com/pt-br/coins/1inch/" xr:uid="{22FB4856-D9D7-452C-8A4C-06340C20D02D}"/>
    <hyperlink ref="A230" r:id="rId330" display="javascript:addFavorite('flare-networks')" xr:uid="{F623D63B-631E-4453-AC59-E2DB6C96F82A}"/>
    <hyperlink ref="C230" r:id="rId331" display="https://coingolive.com/pt-br/coins/flare-networks/" xr:uid="{D2BCADCD-BA0D-4F31-A719-F46A7E020942}"/>
    <hyperlink ref="C231" r:id="rId332" display="https://coingolive.com/pt-br/coins/flare-networks/" xr:uid="{9C06363A-29A4-4DDD-B2C2-F15C009C4462}"/>
    <hyperlink ref="A232" r:id="rId333" display="javascript:addFavorite('render-token')" xr:uid="{DCA44449-4B2D-41E7-A468-1DF8F72DFFC8}"/>
    <hyperlink ref="C232" r:id="rId334" display="https://coingolive.com/pt-br/coins/render-token/" xr:uid="{09F5848C-3468-4295-A89C-B7863D5B1194}"/>
    <hyperlink ref="C233" r:id="rId335" display="https://coingolive.com/pt-br/coins/render-token/" xr:uid="{C9FC40D5-A738-459A-AB07-4DF277B1EA71}"/>
    <hyperlink ref="A234" r:id="rId336" display="javascript:addFavorite('loopring')" xr:uid="{3E287F64-D3DE-457F-99DE-442AB99FF4EC}"/>
    <hyperlink ref="C234" r:id="rId337" display="https://coingolive.com/pt-br/coins/loopring/" xr:uid="{FDF51B32-C398-497C-936A-4C8772DD420F}"/>
    <hyperlink ref="C235" r:id="rId338" display="https://coingolive.com/pt-br/coins/loopring/" xr:uid="{407B8D43-4325-417D-9949-178FD57DA7D4}"/>
    <hyperlink ref="A236" r:id="rId339" display="javascript:addFavorite('nexo')" xr:uid="{023A6322-749C-4051-AD32-B5427A9F2471}"/>
    <hyperlink ref="C236" r:id="rId340" display="https://coingolive.com/pt-br/coins/nexo/" xr:uid="{0FB89F2E-31FE-4978-890F-439C4C411DAE}"/>
    <hyperlink ref="C237" r:id="rId341" display="https://coingolive.com/pt-br/coins/nexo/" xr:uid="{9F0CFC23-0496-4F8A-8742-B476C0E3546B}"/>
    <hyperlink ref="A238" r:id="rId342" display="javascript:addFavorite('basic-attention-token')" xr:uid="{851F2E32-46D8-4F80-BB47-8C8BA2B91B14}"/>
    <hyperlink ref="C238" r:id="rId343" display="https://coingolive.com/pt-br/coins/basic-attention-token/" xr:uid="{1948286F-E1C1-412E-A878-3BB6DC6277C8}"/>
    <hyperlink ref="C239" r:id="rId344" display="https://coingolive.com/pt-br/coins/basic-attention-token/" xr:uid="{3827397F-570E-495B-8E7B-8CBC4F83AB7B}"/>
    <hyperlink ref="A240" r:id="rId345" display="javascript:addFavorite('ethereum-pow-iou')" xr:uid="{C844DF74-F24A-4865-BCCB-0877CCE3C641}"/>
    <hyperlink ref="C240" r:id="rId346" display="https://coingolive.com/pt-br/coins/ethereum-pow-iou/" xr:uid="{A90DBE50-23BF-4739-8019-E15AB83FD89B}"/>
    <hyperlink ref="C241" r:id="rId347" display="https://coingolive.com/pt-br/coins/ethereum-pow-iou/" xr:uid="{8D3F3B3A-AF8B-4F49-AE09-12C8E1F5EFC4}"/>
    <hyperlink ref="P1" r:id="rId348" display="https://www.google.com/?client=opera-gx&amp;output=search&amp;ie=UTF-8&amp;sa=X&amp;ved=0ahUKEwjJ7t_66In9AhXiq5UCHUGpCYAQPAgC" xr:uid="{FC9E93A5-BA6B-4CB0-9B28-F61E9FF7A45D}"/>
    <hyperlink ref="Q3" r:id="rId349" display="https://www.google.com/search?q=dollar+real&amp;client=opera-gx&amp;ie=UTF-8&amp;source=lnms&amp;tbm=nws&amp;sa=X&amp;ved=0ahUKEwjJ7t_66In9AhXiq5UCHUGpCYAQ_AUIBSgB" xr:uid="{D6BD5386-A902-4B00-8B11-7C6171DE86F7}"/>
    <hyperlink ref="R3" r:id="rId350" display="https://www.google.com/search?q=dollar+real&amp;client=opera-gx&amp;ie=UTF-8&amp;source=lnms&amp;tbm=isch&amp;sa=X&amp;ved=0ahUKEwjJ7t_66In9AhXiq5UCHUGpCYAQ_AUIBigC" xr:uid="{BABE8458-651E-48D7-B769-A2F9A70D3704}"/>
    <hyperlink ref="S3" r:id="rId351" display="https://www.google.com/search?q=dollar+real&amp;client=opera-gx&amp;ie=UTF-8&amp;source=lnms&amp;tbm=vid&amp;sa=X&amp;ved=0ahUKEwjJ7t_66In9AhXiq5UCHUGpCYAQ_AUIBygD" xr:uid="{4D17EE71-8530-424E-98C7-018D8D087E24}"/>
    <hyperlink ref="P6" r:id="rId352" display="https://g.co/gfd" xr:uid="{53EC3564-EFC2-4A6E-8F82-2E23550C7E43}"/>
    <hyperlink ref="P7" r:id="rId353" display="https://www.google.com/url?q=https://br.investing.com/currencies/usd-brl&amp;sa=U&amp;ved=2ahUKEwjJ7t_66In9AhXiq5UCHUGpCYAQFnoECAkQAg&amp;usg=AOvVaw217FtYwwLNaQ7sdvkMaJwH" xr:uid="{8DCA405A-CEFD-4573-8525-73A065E813B2}"/>
    <hyperlink ref="P9" r:id="rId354" display="https://www.google.com/url?q=https://economia.uol.com.br/cotacoes/cambio/&amp;sa=U&amp;ved=2ahUKEwjJ7t_66In9AhXiq5UCHUGpCYAQFnoECAoQAg&amp;usg=AOvVaw0TL_GA7gyvvX_0MDotFcIz" xr:uid="{DF2F5942-A92A-4434-9B05-0508196CD5BC}"/>
    <hyperlink ref="P12" r:id="rId355" display="https://www.google.com/url?q=https://www.infomoney.com.br/mercados/real-entre-farpas-como-fica-a-cotacao-do-dolar-com-a-batalha-entre-lula-e-bc/&amp;sa=U&amp;ved=2ahUKEwjJ7t_66In9AhXiq5UCHUGpCYAQvOMEegQIBhAC&amp;usg=AOvVaw00GX2daDrBZyoKyS_nKxb8" xr:uid="{BB4889F1-1653-41AF-9C35-C8A36CA81115}"/>
    <hyperlink ref="P13" r:id="rId356" display="https://www.google.com/url?q=https://valor.globo.com/financas/noticia/2023/02/09/real-pode-perder-chance-de-valorizacao.ghtml&amp;sa=U&amp;ved=2ahUKEwjJ7t_66In9AhXiq5UCHUGpCYAQvOMEegQIBhAF&amp;usg=AOvVaw0rFS2I7gE_LjC5hS4bwDQx" xr:uid="{6B7958E7-01D2-4F23-BA94-7E8056BAD007}"/>
    <hyperlink ref="P14" r:id="rId357" display="https://www.google.com/url?q=https://br.investing.com/news/forex-news/dolar-recua-frente-ao-real-em-linha-com-exterior-e-possivel-reducao-nas-tensoes-entre-governo-e-bc-1082954&amp;sa=U&amp;ved=2ahUKEwjJ7t_66In9AhXiq5UCHUGpCYAQvOMEegQIBhAI&amp;usg=AOvVaw1mNCQ423G7Gb8JlPVb2gcL" xr:uid="{E8DEDC10-DC95-491A-8E56-41D0D6069E67}"/>
    <hyperlink ref="P15" r:id="rId358" display="https://www.google.com/url?q=https://www.remessaonline.com.br/cotacao/cotacao-dolar&amp;sa=U&amp;ved=2ahUKEwjJ7t_66In9AhXiq5UCHUGpCYAQFnoECAMQAg&amp;usg=AOvVaw20iFzHM_HlgEh3h3KAMcUg" xr:uid="{EE5578E1-6921-44F3-B97B-DCE43244014A}"/>
    <hyperlink ref="P17" r:id="rId359" display="https://www.google.com/url?q=https://www.xe.com/pt/currencyconverter/convert/%3FAmount%3D1%26From%3DUSD%26To%3DBRL&amp;sa=U&amp;ved=2ahUKEwjJ7t_66In9AhXiq5UCHUGpCYAQFnoECAQQAg&amp;usg=AOvVaw1Z9oauF-94Z8bw8T1PYDWC" xr:uid="{96184973-90E4-4A0A-A1A7-18D9DE1BFE40}"/>
    <hyperlink ref="P19" r:id="rId360" display="https://www.google.com/url?q=https://www.melhorcambio.com/conversor-de-moeda&amp;sa=U&amp;ved=2ahUKEwjJ7t_66In9AhXiq5UCHUGpCYAQFnoECAgQAg&amp;usg=AOvVaw0ZPiODBQg8pEgHGDvI7qrd" xr:uid="{7E79A38F-9E49-4EA1-AE0B-CE19AE6FAE81}"/>
    <hyperlink ref="P21" r:id="rId361" display="https://www.google.com/url?q=https://www.bloomberg.com/quote/USDBRL:CUR&amp;sa=U&amp;ved=2ahUKEwjJ7t_66In9AhXiq5UCHUGpCYAQFnoECAIQAg&amp;usg=AOvVaw15M71Pa0_pZMrXCBTTQDdS" xr:uid="{4648B112-8B55-4546-8737-1D16B37858E9}"/>
    <hyperlink ref="P23" r:id="rId362" display="https://www.google.com/url?q=https://www.cnbc.com/quotes/BRL%3D&amp;sa=U&amp;ved=2ahUKEwjJ7t_66In9AhXiq5UCHUGpCYAQFnoECAcQAg&amp;usg=AOvVaw3oMBIzaH5MpZTJcX5c4laj" xr:uid="{327C0A3E-7E68-4E76-A5A4-90AF7268F0C1}"/>
    <hyperlink ref="P25" r:id="rId363" display="https://www.google.com/url?q=https://dolarhoje.com/&amp;sa=U&amp;ved=2ahUKEwjJ7t_66In9AhXiq5UCHUGpCYAQFnoECAUQAg&amp;usg=AOvVaw381dpDvbYL44ZFBuFSqXDd" xr:uid="{2FD1B452-099A-4387-8E2A-916D135D7061}"/>
    <hyperlink ref="P27" r:id="rId364" display="https://www.google.com/url?q=https://www.tradingview.com/symbols/USDBRL/&amp;sa=U&amp;ved=2ahUKEwjJ7t_66In9AhXiq5UCHUGpCYAQFnoECAsQAg&amp;usg=AOvVaw0eABm0Un452jsCh_sjlwKr" xr:uid="{171C425A-F040-46D9-969B-96804E59E65A}"/>
    <hyperlink ref="P30" r:id="rId365" display="https://www.google.com/search?client=opera-gx&amp;ie=UTF-8&amp;q=d%C3%B3lar&amp;sa=X&amp;ved=2ahUKEwjJ7t_66In9AhXiq5UCHUGpCYAQ1QJ6BAgAEAE" xr:uid="{1D5E67F7-8CCD-48C4-AFA0-279EDE8B5758}"/>
    <hyperlink ref="Q30" r:id="rId366" display="https://www.google.com/search?client=opera-gx&amp;ie=UTF-8&amp;q=d%C3%B3lar" xr:uid="{DE1604BC-02E5-4161-99EF-3D162A0406BB}"/>
    <hyperlink ref="P31" r:id="rId367" display="https://www.google.com/search?client=opera-gx&amp;ie=UTF-8&amp;q=euro+real&amp;sa=X&amp;ved=2ahUKEwjJ7t_66In9AhXiq5UCHUGpCYAQ1QJ6BAgAEAI" xr:uid="{0012E31A-0AD6-42DB-9ED7-DB1B6A95222A}"/>
    <hyperlink ref="Q31" r:id="rId368" display="https://www.google.com/search?client=opera-gx&amp;ie=UTF-8&amp;q=euro+real" xr:uid="{7EE409D8-98C1-445A-A71B-D9CF5EAE0353}"/>
    <hyperlink ref="P32" r:id="rId369" display="https://www.google.com/search?client=opera-gx&amp;ie=UTF-8&amp;q=d%C3%B3lar+hoje&amp;sa=X&amp;ved=2ahUKEwjJ7t_66In9AhXiq5UCHUGpCYAQ1QJ6BAgAEAM" xr:uid="{BC7F92A3-9E2B-45C1-BC68-F72FA7401790}"/>
    <hyperlink ref="Q32" r:id="rId370" display="https://www.google.com/search?client=opera-gx&amp;ie=UTF-8&amp;q=d%C3%B3lar+hoje" xr:uid="{F66C452F-B7F3-4A9D-A0D8-8D8CC4A184D3}"/>
    <hyperlink ref="P33" r:id="rId371" display="https://www.google.com/search?client=opera-gx&amp;ie=UTF-8&amp;q=d%C3%B3lar+americano&amp;sa=X&amp;ved=2ahUKEwjJ7t_66In9AhXiq5UCHUGpCYAQ1QJ6BAgAEAQ" xr:uid="{53E7C7C9-68EB-48C5-B18D-4C5D759A3806}"/>
    <hyperlink ref="Q33" r:id="rId372" display="https://www.google.com/search?client=opera-gx&amp;ie=UTF-8&amp;q=d%C3%B3lar+americano" xr:uid="{83784F94-F8CC-49AE-AE6B-676F443BC05B}"/>
    <hyperlink ref="P34" r:id="rId373" display="https://www.google.com/search?client=opera-gx&amp;ie=UTF-8&amp;q=euro+hoje&amp;sa=X&amp;ved=2ahUKEwjJ7t_66In9AhXiq5UCHUGpCYAQ1QJ6BAgAEAU" xr:uid="{A51B8ED3-2C42-4108-ADDD-F284043090D9}"/>
    <hyperlink ref="Q34" r:id="rId374" display="https://www.google.com/search?client=opera-gx&amp;ie=UTF-8&amp;q=euro+hoje" xr:uid="{9BAB21A7-41C8-408D-8EA7-D83C80D69F14}"/>
    <hyperlink ref="P35" r:id="rId375" display="https://www.google.com/search?client=opera-gx&amp;ie=UTF-8&amp;q=d%C3%B3lar+valor&amp;sa=X&amp;ved=2ahUKEwjJ7t_66In9AhXiq5UCHUGpCYAQ1QJ6BAgAEAY" xr:uid="{07302F52-EF81-4BCB-B2E9-E7ABEA817ACB}"/>
    <hyperlink ref="Q35" r:id="rId376" display="https://www.google.com/search?client=opera-gx&amp;ie=UTF-8&amp;q=d%C3%B3lar+valor" xr:uid="{5970FF57-F92B-47AD-83E9-9E941BFBC272}"/>
    <hyperlink ref="P36" r:id="rId377" display="https://www.google.com/search?client=opera-gx&amp;ie=UTF-8&amp;q=converter+d%C3%B3lar+em+real+calculadora&amp;sa=X&amp;ved=2ahUKEwjJ7t_66In9AhXiq5UCHUGpCYAQ1QJ6BAgAEAc" xr:uid="{2BCE3BB1-926A-481D-B445-AE115DD05E4A}"/>
    <hyperlink ref="Q36" r:id="rId378" display="https://www.google.com/search?client=opera-gx&amp;ie=UTF-8&amp;q=converter+d%C3%B3lar+em+real+calculadora" xr:uid="{870C196D-545E-4A86-9997-39A0598CC68E}"/>
    <hyperlink ref="P37" r:id="rId379" display="https://www.google.com/search?client=opera-gx&amp;ie=UTF-8&amp;q=d%C3%B3lar+canadense&amp;sa=X&amp;ved=2ahUKEwjJ7t_66In9AhXiq5UCHUGpCYAQ1QJ6BAgAEAg" xr:uid="{813BF4D7-28CA-4B05-8206-E0F371E361DF}"/>
    <hyperlink ref="Q37" r:id="rId380" display="https://www.google.com/search?client=opera-gx&amp;ie=UTF-8&amp;q=d%C3%B3lar+canadense" xr:uid="{59DD85A9-14BE-43AC-8001-3E131A6D1CEF}"/>
    <hyperlink ref="P38" r:id="rId381" display="https://www.google.com/search?q=dollar+real&amp;client=opera-gx&amp;ie=UTF-8&amp;ei=LaDlY4mkBeLX1sQPwdKmgAg&amp;start=10&amp;sa=N" xr:uid="{DFFCB1F6-1FD8-41FD-8B4D-4B5E68652A02}"/>
    <hyperlink ref="P40" r:id="rId382" display="https://www.google.com/url?q=https://support.google.com/websearch%3Fp%3Dws_settings_location%26hl%3Dpt-BR&amp;sa=U&amp;ved=0ahUKEwjJ7t_66In9AhXiq5UCHUGpCYAQty4ISA&amp;usg=AOvVaw2x3Xz5ZhSPEe-ROF-XDPEb" xr:uid="{A6791380-192C-4DED-A605-4AA58277B815}"/>
    <hyperlink ref="P41" r:id="rId383" display="https://www.google.com/url?q=https://accounts.google.com/ServiceLogin%3Fcontinue%3Dhttps://www.google.com/search%253Fq%253Ddollar%252Breal%2526client%253Dopera-gx%2526hs%253DFHW%2526sxsrf%253DALiCzsZ0JanHrsRFeYJQgHEAbMDHCFhynA:1654820205776%2526ei%253DbY2iYsb-LrTK1sQP-r2WqAs%2526oq%253Ddollar%2526gs_lcp%253DCgdnd3Mtd2l6EAEYATIGCCMQJxATMgYIIxAnEBMyBAgjECcyBwgAELEDEAoyBwgAEIAEEAoyBwgAELEDEEMyBAg%26hl%3Dpt-BR&amp;sa=U&amp;ved=0ahUKEwjJ7t_66In9AhXiq5UCHUGpCYAQxs8CCEk&amp;usg=AOvVaw27RGD3v0DlEN3o82clzrg_" xr:uid="{38D1CA2E-AA0A-4AAE-B77E-10F41322F444}"/>
    <hyperlink ref="P42" r:id="rId384" display="https://www.google.com/preferences?hl=pt-BR&amp;client=opera-gx&amp;sa=X&amp;ved=0ahUKEwjJ7t_66In9AhXiq5UCHUGpCYAQv5YECEo" xr:uid="{CCC562E5-F99A-468B-A3A0-ECB2D54ECCA7}"/>
    <hyperlink ref="Q42" r:id="rId385" display="https://www.google.com/intl/pt-BR_br/policies/privacy/" xr:uid="{75B6BCD8-DBAF-48CF-B48E-89109530DCEE}"/>
    <hyperlink ref="R42" r:id="rId386" display="https://www.google.com/intl/pt-BR_br/policies/terms/" xr:uid="{53802181-188C-4F62-A210-DD9C16EF4D73}"/>
  </hyperlinks>
  <pageMargins left="0.511811024" right="0.511811024" top="0.78740157499999996" bottom="0.78740157499999996" header="0.31496062000000002" footer="0.31496062000000002"/>
  <pageSetup paperSize="9" orientation="portrait" r:id="rId387"/>
  <drawing r:id="rId38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949A4-60B2-4063-83CA-9839381C0A46}">
  <sheetPr codeName="Planilha7"/>
  <dimension ref="A1:XEX285"/>
  <sheetViews>
    <sheetView zoomScaleNormal="100" workbookViewId="0">
      <selection activeCell="F8" sqref="F8"/>
    </sheetView>
  </sheetViews>
  <sheetFormatPr defaultColWidth="17.7109375" defaultRowHeight="22.5" customHeight="1" x14ac:dyDescent="0.25"/>
  <cols>
    <col min="1" max="1" width="23.42578125" style="18" customWidth="1"/>
    <col min="2" max="2" width="23.42578125" style="110" customWidth="1"/>
    <col min="3" max="3" width="17.85546875" style="110" bestFit="1" customWidth="1"/>
    <col min="4" max="4" width="23.42578125" style="259" customWidth="1"/>
    <col min="5" max="5" width="23.42578125" style="110" customWidth="1"/>
    <col min="6" max="7" width="23.42578125" style="33" customWidth="1"/>
    <col min="8" max="8" width="23.42578125" style="119" customWidth="1"/>
    <col min="9" max="9" width="23.42578125" style="134" customWidth="1"/>
    <col min="10" max="10" width="29.7109375" style="18" customWidth="1"/>
    <col min="11" max="13" width="23.42578125" style="18" customWidth="1"/>
    <col min="14" max="14" width="26.7109375" style="18" customWidth="1"/>
    <col min="15" max="20" width="23.42578125" style="18" customWidth="1"/>
    <col min="21" max="16384" width="17.7109375" style="18"/>
  </cols>
  <sheetData>
    <row r="1" spans="1:18" s="28" customFormat="1" ht="77.25" customHeight="1" thickBot="1" x14ac:dyDescent="0.3">
      <c r="A1" s="301" t="s">
        <v>376</v>
      </c>
      <c r="B1" s="302"/>
      <c r="C1" s="302"/>
      <c r="D1" s="302"/>
      <c r="E1" s="302"/>
      <c r="F1" s="302"/>
      <c r="G1" s="302"/>
      <c r="H1" s="302"/>
      <c r="I1" s="302"/>
      <c r="J1" s="303"/>
      <c r="L1" s="125" t="str">
        <f>Menu!T3</f>
        <v>21.917,00</v>
      </c>
      <c r="M1" s="126" t="str">
        <f>Menu!X3</f>
        <v xml:space="preserve">5,29 </v>
      </c>
      <c r="N1" s="170">
        <f>L1*M1</f>
        <v>115940.93000000001</v>
      </c>
      <c r="O1" s="126"/>
      <c r="P1" s="126"/>
    </row>
    <row r="2" spans="1:18" s="32" customFormat="1" ht="35.25" customHeight="1" thickBot="1" x14ac:dyDescent="0.3">
      <c r="A2" s="240"/>
      <c r="B2" s="260"/>
      <c r="C2" s="241"/>
      <c r="D2" s="253"/>
      <c r="E2" s="242"/>
      <c r="F2" s="244"/>
      <c r="G2" s="171"/>
      <c r="H2" s="247"/>
      <c r="I2" s="127"/>
      <c r="J2" s="104"/>
    </row>
    <row r="3" spans="1:18" ht="35.25" customHeight="1" thickBot="1" x14ac:dyDescent="0.3">
      <c r="A3" s="306"/>
      <c r="B3" s="307"/>
      <c r="C3" s="310"/>
      <c r="D3" s="311"/>
      <c r="E3" s="243"/>
      <c r="F3" s="245"/>
      <c r="G3" s="172"/>
      <c r="H3" s="248"/>
      <c r="I3" s="128"/>
      <c r="J3" s="169"/>
      <c r="L3" s="312" t="s">
        <v>339</v>
      </c>
      <c r="M3" s="300" t="s">
        <v>340</v>
      </c>
      <c r="N3" s="300" t="s">
        <v>345</v>
      </c>
      <c r="O3" s="300" t="s">
        <v>19</v>
      </c>
      <c r="P3" s="300" t="s">
        <v>346</v>
      </c>
      <c r="Q3" s="300" t="s">
        <v>341</v>
      </c>
      <c r="R3" s="300" t="s">
        <v>342</v>
      </c>
    </row>
    <row r="4" spans="1:18" s="28" customFormat="1" ht="12" customHeight="1" thickBot="1" x14ac:dyDescent="0.3">
      <c r="A4" s="101"/>
      <c r="B4" s="105"/>
      <c r="C4" s="105"/>
      <c r="D4" s="254"/>
      <c r="E4" s="105"/>
      <c r="F4" s="246"/>
      <c r="G4" s="102"/>
      <c r="H4" s="249"/>
      <c r="I4" s="129"/>
      <c r="J4" s="103"/>
      <c r="L4" s="312"/>
      <c r="M4" s="300"/>
      <c r="N4" s="300"/>
      <c r="O4" s="300"/>
      <c r="P4" s="300"/>
      <c r="Q4" s="300"/>
      <c r="R4" s="300"/>
    </row>
    <row r="5" spans="1:18" s="32" customFormat="1" ht="35.25" customHeight="1" thickBot="1" x14ac:dyDescent="0.3">
      <c r="A5" s="230"/>
      <c r="B5" s="264" t="s">
        <v>378</v>
      </c>
      <c r="C5" s="231" t="s">
        <v>179</v>
      </c>
      <c r="D5" s="265" t="s">
        <v>379</v>
      </c>
      <c r="E5" s="242" t="s">
        <v>180</v>
      </c>
      <c r="F5" s="244" t="s">
        <v>377</v>
      </c>
      <c r="G5" s="171" t="s">
        <v>4</v>
      </c>
      <c r="H5" s="247" t="s">
        <v>178</v>
      </c>
      <c r="I5" s="127"/>
      <c r="J5" s="104"/>
    </row>
    <row r="6" spans="1:18" ht="22.5" customHeight="1" x14ac:dyDescent="0.25">
      <c r="A6" s="22" t="s">
        <v>61</v>
      </c>
      <c r="B6" s="261">
        <v>0.19900000000000001</v>
      </c>
      <c r="C6" s="108">
        <v>10</v>
      </c>
      <c r="D6" s="255">
        <v>1.6372729699999999</v>
      </c>
      <c r="E6" s="108">
        <v>5.0199999999999996</v>
      </c>
      <c r="F6" s="41">
        <v>1.1877</v>
      </c>
      <c r="G6" s="41">
        <v>20892</v>
      </c>
      <c r="H6" s="250">
        <v>44871</v>
      </c>
      <c r="I6" s="132"/>
      <c r="J6" s="24"/>
      <c r="L6" s="18" t="str">
        <f t="shared" ref="L6:L52" si="0">IF(A6="","",IF(A6="Entrada",D6,""))</f>
        <v/>
      </c>
      <c r="M6" s="18" t="str">
        <f t="shared" ref="M6:M52" si="1">IF(A6="","",IF(A6="Entrada",E6,""))</f>
        <v/>
      </c>
      <c r="N6" s="18" t="str">
        <f t="shared" ref="N6:N52" si="2">IF(A6="","",IF(A6="Entrada",1,""))</f>
        <v/>
      </c>
      <c r="O6" s="18" t="str">
        <f t="shared" ref="O6:O52" si="3">IF(N6=1,G6,"")</f>
        <v/>
      </c>
      <c r="P6" s="18" t="str">
        <f t="shared" ref="P6:P52" si="4">IF(A6="","",IF(A6="Entrada",(L6/10)*O6,""))</f>
        <v/>
      </c>
      <c r="Q6" s="18" t="str">
        <f t="shared" ref="Q6:Q52" si="5">IF(A6="","",IF(A6="Saída",D6,""))</f>
        <v/>
      </c>
      <c r="R6" s="18" t="str">
        <f t="shared" ref="R6:R52" si="6">IF(A6="","",IF(A6="Saída",E6,""))</f>
        <v/>
      </c>
    </row>
    <row r="7" spans="1:18" ht="22.5" customHeight="1" x14ac:dyDescent="0.25">
      <c r="A7" s="19" t="s">
        <v>71</v>
      </c>
      <c r="B7" s="262">
        <v>0.19900000000000001</v>
      </c>
      <c r="C7" s="107">
        <v>10</v>
      </c>
      <c r="D7" s="256">
        <v>0.23202228</v>
      </c>
      <c r="E7" s="107">
        <v>5.0199999999999996</v>
      </c>
      <c r="F7" s="40">
        <v>8.4146000000000001</v>
      </c>
      <c r="G7" s="40">
        <v>20892</v>
      </c>
      <c r="H7" s="251">
        <v>44871</v>
      </c>
      <c r="I7" s="131"/>
      <c r="J7" s="21"/>
      <c r="L7" s="18" t="str">
        <f t="shared" si="0"/>
        <v/>
      </c>
      <c r="M7" s="18" t="str">
        <f t="shared" si="1"/>
        <v/>
      </c>
      <c r="N7" s="18" t="str">
        <f t="shared" si="2"/>
        <v/>
      </c>
      <c r="O7" s="18" t="str">
        <f t="shared" si="3"/>
        <v/>
      </c>
      <c r="P7" s="18" t="str">
        <f t="shared" si="4"/>
        <v/>
      </c>
      <c r="Q7" s="18" t="str">
        <f t="shared" si="5"/>
        <v/>
      </c>
      <c r="R7" s="18" t="str">
        <f t="shared" si="6"/>
        <v/>
      </c>
    </row>
    <row r="8" spans="1:18" ht="22.5" customHeight="1" x14ac:dyDescent="0.25">
      <c r="A8" s="22" t="s">
        <v>61</v>
      </c>
      <c r="B8" s="261">
        <v>0.2</v>
      </c>
      <c r="C8" s="108">
        <v>10</v>
      </c>
      <c r="D8" s="255">
        <v>1.9828612699999999</v>
      </c>
      <c r="E8" s="108">
        <v>5.22</v>
      </c>
      <c r="F8" s="41">
        <v>0.94</v>
      </c>
      <c r="G8" s="41">
        <v>17582.66</v>
      </c>
      <c r="H8" s="250">
        <v>44899</v>
      </c>
      <c r="I8" s="132"/>
      <c r="J8" s="24"/>
      <c r="L8" s="18" t="str">
        <f t="shared" si="0"/>
        <v/>
      </c>
      <c r="M8" s="18" t="str">
        <f t="shared" si="1"/>
        <v/>
      </c>
      <c r="N8" s="18" t="str">
        <f t="shared" si="2"/>
        <v/>
      </c>
      <c r="O8" s="18" t="str">
        <f t="shared" si="3"/>
        <v/>
      </c>
      <c r="P8" s="18" t="str">
        <f t="shared" si="4"/>
        <v/>
      </c>
      <c r="Q8" s="18" t="str">
        <f t="shared" si="5"/>
        <v/>
      </c>
      <c r="R8" s="18" t="str">
        <f t="shared" si="6"/>
        <v/>
      </c>
    </row>
    <row r="9" spans="1:18" ht="22.5" customHeight="1" x14ac:dyDescent="0.25">
      <c r="A9" s="19"/>
      <c r="B9" s="262"/>
      <c r="C9" s="107"/>
      <c r="D9" s="256"/>
      <c r="E9" s="107"/>
      <c r="F9" s="40"/>
      <c r="G9" s="40"/>
      <c r="H9" s="251"/>
      <c r="I9" s="131"/>
      <c r="J9" s="21"/>
      <c r="L9" s="18" t="str">
        <f t="shared" si="0"/>
        <v/>
      </c>
      <c r="M9" s="18" t="str">
        <f t="shared" si="1"/>
        <v/>
      </c>
      <c r="N9" s="18" t="str">
        <f t="shared" si="2"/>
        <v/>
      </c>
      <c r="O9" s="18" t="str">
        <f t="shared" si="3"/>
        <v/>
      </c>
      <c r="P9" s="18" t="str">
        <f t="shared" si="4"/>
        <v/>
      </c>
      <c r="Q9" s="18" t="str">
        <f t="shared" si="5"/>
        <v/>
      </c>
      <c r="R9" s="18" t="str">
        <f t="shared" si="6"/>
        <v/>
      </c>
    </row>
    <row r="10" spans="1:18" ht="22.5" customHeight="1" x14ac:dyDescent="0.25">
      <c r="A10" s="22"/>
      <c r="B10" s="261"/>
      <c r="C10" s="108"/>
      <c r="D10" s="255"/>
      <c r="E10" s="108"/>
      <c r="F10" s="41"/>
      <c r="G10" s="41"/>
      <c r="H10" s="250"/>
      <c r="I10" s="132"/>
      <c r="J10" s="24"/>
      <c r="L10" s="18" t="str">
        <f t="shared" si="0"/>
        <v/>
      </c>
      <c r="M10" s="18" t="str">
        <f t="shared" si="1"/>
        <v/>
      </c>
      <c r="N10" s="18" t="str">
        <f t="shared" si="2"/>
        <v/>
      </c>
      <c r="O10" s="18" t="str">
        <f t="shared" si="3"/>
        <v/>
      </c>
      <c r="P10" s="18" t="str">
        <f t="shared" si="4"/>
        <v/>
      </c>
      <c r="Q10" s="18" t="str">
        <f t="shared" si="5"/>
        <v/>
      </c>
      <c r="R10" s="18" t="str">
        <f t="shared" si="6"/>
        <v/>
      </c>
    </row>
    <row r="11" spans="1:18" ht="22.5" customHeight="1" x14ac:dyDescent="0.25">
      <c r="A11" s="19"/>
      <c r="B11" s="262"/>
      <c r="C11" s="107"/>
      <c r="D11" s="256"/>
      <c r="E11" s="107"/>
      <c r="F11" s="40"/>
      <c r="G11" s="40"/>
      <c r="H11" s="251"/>
      <c r="I11" s="131"/>
      <c r="J11" s="21"/>
      <c r="L11" s="18" t="str">
        <f t="shared" si="0"/>
        <v/>
      </c>
      <c r="M11" s="18" t="str">
        <f t="shared" si="1"/>
        <v/>
      </c>
      <c r="N11" s="18" t="str">
        <f t="shared" si="2"/>
        <v/>
      </c>
      <c r="O11" s="18" t="str">
        <f t="shared" si="3"/>
        <v/>
      </c>
      <c r="P11" s="18" t="str">
        <f t="shared" si="4"/>
        <v/>
      </c>
      <c r="Q11" s="18" t="str">
        <f t="shared" si="5"/>
        <v/>
      </c>
      <c r="R11" s="18" t="str">
        <f t="shared" si="6"/>
        <v/>
      </c>
    </row>
    <row r="12" spans="1:18" ht="22.5" customHeight="1" x14ac:dyDescent="0.25">
      <c r="A12" s="22"/>
      <c r="B12" s="261"/>
      <c r="C12" s="108"/>
      <c r="D12" s="255"/>
      <c r="E12" s="108"/>
      <c r="F12" s="41"/>
      <c r="G12" s="41"/>
      <c r="H12" s="250"/>
      <c r="I12" s="132"/>
      <c r="J12" s="24"/>
      <c r="L12" s="18" t="str">
        <f t="shared" si="0"/>
        <v/>
      </c>
      <c r="M12" s="18" t="str">
        <f t="shared" si="1"/>
        <v/>
      </c>
      <c r="N12" s="18" t="str">
        <f t="shared" si="2"/>
        <v/>
      </c>
      <c r="O12" s="18" t="str">
        <f t="shared" si="3"/>
        <v/>
      </c>
      <c r="P12" s="18" t="str">
        <f t="shared" si="4"/>
        <v/>
      </c>
      <c r="Q12" s="18" t="str">
        <f t="shared" si="5"/>
        <v/>
      </c>
      <c r="R12" s="18" t="str">
        <f t="shared" si="6"/>
        <v/>
      </c>
    </row>
    <row r="13" spans="1:18" ht="22.5" customHeight="1" x14ac:dyDescent="0.25">
      <c r="A13" s="19"/>
      <c r="B13" s="262"/>
      <c r="C13" s="107"/>
      <c r="D13" s="256"/>
      <c r="E13" s="107"/>
      <c r="F13" s="40"/>
      <c r="G13" s="40"/>
      <c r="H13" s="251"/>
      <c r="I13" s="131"/>
      <c r="J13" s="21"/>
      <c r="L13" s="18" t="str">
        <f t="shared" si="0"/>
        <v/>
      </c>
      <c r="M13" s="18" t="str">
        <f t="shared" si="1"/>
        <v/>
      </c>
      <c r="N13" s="18" t="str">
        <f t="shared" si="2"/>
        <v/>
      </c>
      <c r="O13" s="18" t="str">
        <f t="shared" si="3"/>
        <v/>
      </c>
      <c r="P13" s="18" t="str">
        <f t="shared" si="4"/>
        <v/>
      </c>
      <c r="Q13" s="18" t="str">
        <f t="shared" si="5"/>
        <v/>
      </c>
      <c r="R13" s="18" t="str">
        <f t="shared" si="6"/>
        <v/>
      </c>
    </row>
    <row r="14" spans="1:18" ht="22.5" customHeight="1" x14ac:dyDescent="0.25">
      <c r="A14" s="22"/>
      <c r="B14" s="261"/>
      <c r="C14" s="108"/>
      <c r="D14" s="255"/>
      <c r="E14" s="108"/>
      <c r="F14" s="41"/>
      <c r="G14" s="41"/>
      <c r="H14" s="250"/>
      <c r="I14" s="132"/>
      <c r="J14" s="24"/>
      <c r="L14" s="18" t="str">
        <f t="shared" si="0"/>
        <v/>
      </c>
      <c r="M14" s="18" t="str">
        <f t="shared" si="1"/>
        <v/>
      </c>
      <c r="N14" s="18" t="str">
        <f t="shared" si="2"/>
        <v/>
      </c>
      <c r="O14" s="18" t="str">
        <f t="shared" si="3"/>
        <v/>
      </c>
      <c r="P14" s="18" t="str">
        <f t="shared" si="4"/>
        <v/>
      </c>
      <c r="Q14" s="18" t="str">
        <f t="shared" si="5"/>
        <v/>
      </c>
      <c r="R14" s="18" t="str">
        <f t="shared" si="6"/>
        <v/>
      </c>
    </row>
    <row r="15" spans="1:18" ht="22.5" customHeight="1" x14ac:dyDescent="0.25">
      <c r="A15" s="19"/>
      <c r="B15" s="262"/>
      <c r="C15" s="107"/>
      <c r="D15" s="256"/>
      <c r="E15" s="107"/>
      <c r="F15" s="40"/>
      <c r="G15" s="40"/>
      <c r="H15" s="251"/>
      <c r="I15" s="131"/>
      <c r="J15" s="21"/>
      <c r="L15" s="18" t="str">
        <f t="shared" si="0"/>
        <v/>
      </c>
      <c r="M15" s="18" t="str">
        <f t="shared" si="1"/>
        <v/>
      </c>
      <c r="N15" s="18" t="str">
        <f t="shared" si="2"/>
        <v/>
      </c>
      <c r="O15" s="18" t="str">
        <f t="shared" si="3"/>
        <v/>
      </c>
      <c r="P15" s="18" t="str">
        <f t="shared" si="4"/>
        <v/>
      </c>
      <c r="Q15" s="18" t="str">
        <f t="shared" si="5"/>
        <v/>
      </c>
      <c r="R15" s="18" t="str">
        <f t="shared" si="6"/>
        <v/>
      </c>
    </row>
    <row r="16" spans="1:18" ht="22.5" customHeight="1" x14ac:dyDescent="0.25">
      <c r="A16" s="22"/>
      <c r="B16" s="261"/>
      <c r="C16" s="108"/>
      <c r="D16" s="255"/>
      <c r="E16" s="108"/>
      <c r="F16" s="41"/>
      <c r="G16" s="41"/>
      <c r="H16" s="250"/>
      <c r="I16" s="132"/>
      <c r="J16" s="24"/>
      <c r="L16" s="18" t="str">
        <f t="shared" si="0"/>
        <v/>
      </c>
      <c r="M16" s="18" t="str">
        <f t="shared" si="1"/>
        <v/>
      </c>
      <c r="N16" s="18" t="str">
        <f t="shared" si="2"/>
        <v/>
      </c>
      <c r="O16" s="18" t="str">
        <f t="shared" si="3"/>
        <v/>
      </c>
      <c r="P16" s="18" t="str">
        <f t="shared" si="4"/>
        <v/>
      </c>
      <c r="Q16" s="18" t="str">
        <f t="shared" si="5"/>
        <v/>
      </c>
      <c r="R16" s="18" t="str">
        <f t="shared" si="6"/>
        <v/>
      </c>
    </row>
    <row r="17" spans="1:18" ht="22.5" customHeight="1" x14ac:dyDescent="0.25">
      <c r="A17" s="19"/>
      <c r="B17" s="262"/>
      <c r="C17" s="107"/>
      <c r="D17" s="256"/>
      <c r="E17" s="107"/>
      <c r="F17" s="40"/>
      <c r="G17" s="40"/>
      <c r="H17" s="251"/>
      <c r="I17" s="131"/>
      <c r="J17" s="21"/>
      <c r="L17" s="18" t="str">
        <f t="shared" si="0"/>
        <v/>
      </c>
      <c r="M17" s="18" t="str">
        <f t="shared" si="1"/>
        <v/>
      </c>
      <c r="N17" s="18" t="str">
        <f t="shared" si="2"/>
        <v/>
      </c>
      <c r="O17" s="18" t="str">
        <f t="shared" si="3"/>
        <v/>
      </c>
      <c r="P17" s="18" t="str">
        <f t="shared" si="4"/>
        <v/>
      </c>
      <c r="Q17" s="18" t="str">
        <f t="shared" si="5"/>
        <v/>
      </c>
      <c r="R17" s="18" t="str">
        <f t="shared" si="6"/>
        <v/>
      </c>
    </row>
    <row r="18" spans="1:18" ht="22.5" customHeight="1" x14ac:dyDescent="0.25">
      <c r="A18" s="22"/>
      <c r="B18" s="261"/>
      <c r="C18" s="108"/>
      <c r="D18" s="255"/>
      <c r="E18" s="108"/>
      <c r="F18" s="41"/>
      <c r="G18" s="41"/>
      <c r="H18" s="250"/>
      <c r="I18" s="132"/>
      <c r="J18" s="24"/>
      <c r="L18" s="18" t="str">
        <f t="shared" si="0"/>
        <v/>
      </c>
      <c r="M18" s="18" t="str">
        <f t="shared" si="1"/>
        <v/>
      </c>
      <c r="N18" s="18" t="str">
        <f t="shared" si="2"/>
        <v/>
      </c>
      <c r="O18" s="18" t="str">
        <f t="shared" si="3"/>
        <v/>
      </c>
      <c r="P18" s="18" t="str">
        <f t="shared" si="4"/>
        <v/>
      </c>
      <c r="Q18" s="18" t="str">
        <f t="shared" si="5"/>
        <v/>
      </c>
      <c r="R18" s="18" t="str">
        <f t="shared" si="6"/>
        <v/>
      </c>
    </row>
    <row r="19" spans="1:18" ht="22.5" customHeight="1" x14ac:dyDescent="0.25">
      <c r="A19" s="19"/>
      <c r="B19" s="262"/>
      <c r="C19" s="107"/>
      <c r="D19" s="256"/>
      <c r="E19" s="107"/>
      <c r="F19" s="40"/>
      <c r="G19" s="40"/>
      <c r="H19" s="251"/>
      <c r="I19" s="131"/>
      <c r="J19" s="21"/>
      <c r="L19" s="18" t="str">
        <f t="shared" si="0"/>
        <v/>
      </c>
      <c r="M19" s="18" t="str">
        <f t="shared" si="1"/>
        <v/>
      </c>
      <c r="N19" s="18" t="str">
        <f t="shared" si="2"/>
        <v/>
      </c>
      <c r="O19" s="18" t="str">
        <f t="shared" si="3"/>
        <v/>
      </c>
      <c r="P19" s="18" t="str">
        <f t="shared" si="4"/>
        <v/>
      </c>
      <c r="Q19" s="18" t="str">
        <f t="shared" si="5"/>
        <v/>
      </c>
      <c r="R19" s="18" t="str">
        <f t="shared" si="6"/>
        <v/>
      </c>
    </row>
    <row r="20" spans="1:18" ht="22.5" customHeight="1" x14ac:dyDescent="0.25">
      <c r="A20" s="22"/>
      <c r="B20" s="261"/>
      <c r="C20" s="108"/>
      <c r="D20" s="255"/>
      <c r="E20" s="108"/>
      <c r="F20" s="41"/>
      <c r="G20" s="41"/>
      <c r="H20" s="250"/>
      <c r="I20" s="132"/>
      <c r="J20" s="24"/>
      <c r="L20" s="18" t="str">
        <f t="shared" si="0"/>
        <v/>
      </c>
      <c r="M20" s="18" t="str">
        <f t="shared" si="1"/>
        <v/>
      </c>
      <c r="N20" s="18" t="str">
        <f t="shared" si="2"/>
        <v/>
      </c>
      <c r="O20" s="18" t="str">
        <f t="shared" si="3"/>
        <v/>
      </c>
      <c r="P20" s="18" t="str">
        <f t="shared" si="4"/>
        <v/>
      </c>
      <c r="Q20" s="18" t="str">
        <f t="shared" si="5"/>
        <v/>
      </c>
      <c r="R20" s="18" t="str">
        <f t="shared" si="6"/>
        <v/>
      </c>
    </row>
    <row r="21" spans="1:18" ht="22.5" customHeight="1" x14ac:dyDescent="0.25">
      <c r="A21" s="19"/>
      <c r="B21" s="262"/>
      <c r="C21" s="107"/>
      <c r="D21" s="256"/>
      <c r="E21" s="107"/>
      <c r="F21" s="40"/>
      <c r="G21" s="40"/>
      <c r="H21" s="251"/>
      <c r="I21" s="131"/>
      <c r="J21" s="21"/>
      <c r="L21" s="18" t="str">
        <f t="shared" si="0"/>
        <v/>
      </c>
      <c r="M21" s="18" t="str">
        <f t="shared" si="1"/>
        <v/>
      </c>
      <c r="N21" s="18" t="str">
        <f t="shared" si="2"/>
        <v/>
      </c>
      <c r="O21" s="18" t="str">
        <f t="shared" si="3"/>
        <v/>
      </c>
      <c r="P21" s="18" t="str">
        <f t="shared" si="4"/>
        <v/>
      </c>
      <c r="Q21" s="18" t="str">
        <f t="shared" si="5"/>
        <v/>
      </c>
      <c r="R21" s="18" t="str">
        <f t="shared" si="6"/>
        <v/>
      </c>
    </row>
    <row r="22" spans="1:18" ht="22.5" customHeight="1" x14ac:dyDescent="0.25">
      <c r="A22" s="22"/>
      <c r="B22" s="261"/>
      <c r="C22" s="108"/>
      <c r="D22" s="255"/>
      <c r="E22" s="108"/>
      <c r="F22" s="41"/>
      <c r="G22" s="41"/>
      <c r="H22" s="250"/>
      <c r="I22" s="132"/>
      <c r="J22" s="24"/>
      <c r="L22" s="18" t="str">
        <f t="shared" si="0"/>
        <v/>
      </c>
      <c r="M22" s="18" t="str">
        <f t="shared" si="1"/>
        <v/>
      </c>
      <c r="N22" s="18" t="str">
        <f t="shared" si="2"/>
        <v/>
      </c>
      <c r="O22" s="18" t="str">
        <f t="shared" si="3"/>
        <v/>
      </c>
      <c r="P22" s="18" t="str">
        <f t="shared" si="4"/>
        <v/>
      </c>
      <c r="Q22" s="18" t="str">
        <f t="shared" si="5"/>
        <v/>
      </c>
      <c r="R22" s="18" t="str">
        <f t="shared" si="6"/>
        <v/>
      </c>
    </row>
    <row r="23" spans="1:18" ht="22.5" customHeight="1" x14ac:dyDescent="0.25">
      <c r="A23" s="19"/>
      <c r="B23" s="262"/>
      <c r="C23" s="107"/>
      <c r="D23" s="256"/>
      <c r="E23" s="107"/>
      <c r="F23" s="40"/>
      <c r="G23" s="40"/>
      <c r="H23" s="251"/>
      <c r="I23" s="131"/>
      <c r="J23" s="21"/>
      <c r="L23" s="18" t="str">
        <f t="shared" si="0"/>
        <v/>
      </c>
      <c r="M23" s="18" t="str">
        <f t="shared" si="1"/>
        <v/>
      </c>
      <c r="N23" s="18" t="str">
        <f t="shared" si="2"/>
        <v/>
      </c>
      <c r="O23" s="18" t="str">
        <f t="shared" si="3"/>
        <v/>
      </c>
      <c r="P23" s="18" t="str">
        <f t="shared" si="4"/>
        <v/>
      </c>
      <c r="Q23" s="18" t="str">
        <f t="shared" si="5"/>
        <v/>
      </c>
      <c r="R23" s="18" t="str">
        <f t="shared" si="6"/>
        <v/>
      </c>
    </row>
    <row r="24" spans="1:18" ht="22.5" customHeight="1" x14ac:dyDescent="0.25">
      <c r="A24" s="22"/>
      <c r="B24" s="261"/>
      <c r="C24" s="108"/>
      <c r="D24" s="255"/>
      <c r="E24" s="108"/>
      <c r="F24" s="41"/>
      <c r="G24" s="41"/>
      <c r="H24" s="250"/>
      <c r="I24" s="132"/>
      <c r="J24" s="24"/>
      <c r="L24" s="18" t="str">
        <f t="shared" si="0"/>
        <v/>
      </c>
      <c r="M24" s="18" t="str">
        <f t="shared" si="1"/>
        <v/>
      </c>
      <c r="N24" s="18" t="str">
        <f t="shared" si="2"/>
        <v/>
      </c>
      <c r="O24" s="18" t="str">
        <f t="shared" si="3"/>
        <v/>
      </c>
      <c r="P24" s="18" t="str">
        <f t="shared" si="4"/>
        <v/>
      </c>
      <c r="Q24" s="18" t="str">
        <f t="shared" si="5"/>
        <v/>
      </c>
      <c r="R24" s="18" t="str">
        <f t="shared" si="6"/>
        <v/>
      </c>
    </row>
    <row r="25" spans="1:18" ht="22.5" customHeight="1" x14ac:dyDescent="0.25">
      <c r="A25" s="19"/>
      <c r="B25" s="262"/>
      <c r="C25" s="107"/>
      <c r="D25" s="256"/>
      <c r="E25" s="107"/>
      <c r="F25" s="40"/>
      <c r="G25" s="40"/>
      <c r="H25" s="251"/>
      <c r="I25" s="131"/>
      <c r="J25" s="21"/>
      <c r="L25" s="18" t="str">
        <f t="shared" si="0"/>
        <v/>
      </c>
      <c r="M25" s="18" t="str">
        <f t="shared" si="1"/>
        <v/>
      </c>
      <c r="N25" s="18" t="str">
        <f t="shared" si="2"/>
        <v/>
      </c>
      <c r="O25" s="18" t="str">
        <f t="shared" si="3"/>
        <v/>
      </c>
      <c r="P25" s="18" t="str">
        <f t="shared" si="4"/>
        <v/>
      </c>
      <c r="Q25" s="18" t="str">
        <f t="shared" si="5"/>
        <v/>
      </c>
      <c r="R25" s="18" t="str">
        <f t="shared" si="6"/>
        <v/>
      </c>
    </row>
    <row r="26" spans="1:18" ht="22.5" customHeight="1" x14ac:dyDescent="0.25">
      <c r="A26" s="22"/>
      <c r="B26" s="261"/>
      <c r="C26" s="108"/>
      <c r="D26" s="255"/>
      <c r="E26" s="108"/>
      <c r="F26" s="41"/>
      <c r="G26" s="41"/>
      <c r="H26" s="250"/>
      <c r="I26" s="132"/>
      <c r="J26" s="24"/>
      <c r="L26" s="18" t="str">
        <f t="shared" si="0"/>
        <v/>
      </c>
      <c r="M26" s="18" t="str">
        <f t="shared" si="1"/>
        <v/>
      </c>
      <c r="N26" s="18" t="str">
        <f t="shared" si="2"/>
        <v/>
      </c>
      <c r="O26" s="18" t="str">
        <f t="shared" si="3"/>
        <v/>
      </c>
      <c r="P26" s="18" t="str">
        <f t="shared" si="4"/>
        <v/>
      </c>
      <c r="Q26" s="18" t="str">
        <f t="shared" si="5"/>
        <v/>
      </c>
      <c r="R26" s="18" t="str">
        <f t="shared" si="6"/>
        <v/>
      </c>
    </row>
    <row r="27" spans="1:18" ht="22.5" customHeight="1" x14ac:dyDescent="0.25">
      <c r="A27" s="19"/>
      <c r="B27" s="262"/>
      <c r="C27" s="107"/>
      <c r="D27" s="256"/>
      <c r="E27" s="107"/>
      <c r="F27" s="40"/>
      <c r="G27" s="40"/>
      <c r="H27" s="251"/>
      <c r="I27" s="131"/>
      <c r="J27" s="21"/>
      <c r="L27" s="18" t="str">
        <f t="shared" si="0"/>
        <v/>
      </c>
      <c r="M27" s="18" t="str">
        <f t="shared" si="1"/>
        <v/>
      </c>
      <c r="N27" s="18" t="str">
        <f t="shared" si="2"/>
        <v/>
      </c>
      <c r="O27" s="18" t="str">
        <f t="shared" si="3"/>
        <v/>
      </c>
      <c r="P27" s="18" t="str">
        <f t="shared" si="4"/>
        <v/>
      </c>
      <c r="Q27" s="18" t="str">
        <f t="shared" si="5"/>
        <v/>
      </c>
      <c r="R27" s="18" t="str">
        <f t="shared" si="6"/>
        <v/>
      </c>
    </row>
    <row r="28" spans="1:18" ht="22.5" customHeight="1" x14ac:dyDescent="0.25">
      <c r="A28" s="22"/>
      <c r="B28" s="261"/>
      <c r="C28" s="108"/>
      <c r="D28" s="255"/>
      <c r="E28" s="108"/>
      <c r="F28" s="41"/>
      <c r="G28" s="41"/>
      <c r="H28" s="250"/>
      <c r="I28" s="132"/>
      <c r="J28" s="24"/>
      <c r="L28" s="18" t="str">
        <f t="shared" si="0"/>
        <v/>
      </c>
      <c r="M28" s="18" t="str">
        <f t="shared" si="1"/>
        <v/>
      </c>
      <c r="N28" s="18" t="str">
        <f t="shared" si="2"/>
        <v/>
      </c>
      <c r="O28" s="18" t="str">
        <f t="shared" si="3"/>
        <v/>
      </c>
      <c r="P28" s="18" t="str">
        <f t="shared" si="4"/>
        <v/>
      </c>
      <c r="Q28" s="18" t="str">
        <f t="shared" si="5"/>
        <v/>
      </c>
      <c r="R28" s="18" t="str">
        <f t="shared" si="6"/>
        <v/>
      </c>
    </row>
    <row r="29" spans="1:18" ht="22.5" customHeight="1" x14ac:dyDescent="0.25">
      <c r="A29" s="19"/>
      <c r="B29" s="262"/>
      <c r="C29" s="107"/>
      <c r="D29" s="256"/>
      <c r="E29" s="107"/>
      <c r="F29" s="40"/>
      <c r="G29" s="40"/>
      <c r="H29" s="251"/>
      <c r="I29" s="131"/>
      <c r="J29" s="21"/>
      <c r="L29" s="18" t="str">
        <f t="shared" si="0"/>
        <v/>
      </c>
      <c r="M29" s="18" t="str">
        <f t="shared" si="1"/>
        <v/>
      </c>
      <c r="N29" s="18" t="str">
        <f t="shared" si="2"/>
        <v/>
      </c>
      <c r="O29" s="18" t="str">
        <f t="shared" si="3"/>
        <v/>
      </c>
      <c r="P29" s="18" t="str">
        <f t="shared" si="4"/>
        <v/>
      </c>
      <c r="Q29" s="18" t="str">
        <f t="shared" si="5"/>
        <v/>
      </c>
      <c r="R29" s="18" t="str">
        <f t="shared" si="6"/>
        <v/>
      </c>
    </row>
    <row r="30" spans="1:18" ht="22.5" customHeight="1" x14ac:dyDescent="0.25">
      <c r="A30" s="22"/>
      <c r="B30" s="261"/>
      <c r="C30" s="108"/>
      <c r="D30" s="255"/>
      <c r="E30" s="108"/>
      <c r="F30" s="41"/>
      <c r="G30" s="41"/>
      <c r="H30" s="250"/>
      <c r="I30" s="132"/>
      <c r="J30" s="24"/>
      <c r="L30" s="18" t="str">
        <f t="shared" si="0"/>
        <v/>
      </c>
      <c r="M30" s="18" t="str">
        <f t="shared" si="1"/>
        <v/>
      </c>
      <c r="N30" s="18" t="str">
        <f t="shared" si="2"/>
        <v/>
      </c>
      <c r="O30" s="18" t="str">
        <f t="shared" si="3"/>
        <v/>
      </c>
      <c r="P30" s="18" t="str">
        <f t="shared" si="4"/>
        <v/>
      </c>
      <c r="Q30" s="18" t="str">
        <f t="shared" si="5"/>
        <v/>
      </c>
      <c r="R30" s="18" t="str">
        <f t="shared" si="6"/>
        <v/>
      </c>
    </row>
    <row r="31" spans="1:18" ht="22.5" customHeight="1" x14ac:dyDescent="0.25">
      <c r="A31" s="19"/>
      <c r="B31" s="262"/>
      <c r="C31" s="107"/>
      <c r="D31" s="256"/>
      <c r="E31" s="107"/>
      <c r="F31" s="40"/>
      <c r="G31" s="40"/>
      <c r="H31" s="251"/>
      <c r="I31" s="131"/>
      <c r="J31" s="21"/>
      <c r="L31" s="18" t="str">
        <f t="shared" si="0"/>
        <v/>
      </c>
      <c r="M31" s="18" t="str">
        <f t="shared" si="1"/>
        <v/>
      </c>
      <c r="N31" s="18" t="str">
        <f t="shared" si="2"/>
        <v/>
      </c>
      <c r="O31" s="18" t="str">
        <f t="shared" si="3"/>
        <v/>
      </c>
      <c r="P31" s="18" t="str">
        <f t="shared" si="4"/>
        <v/>
      </c>
      <c r="Q31" s="18" t="str">
        <f t="shared" si="5"/>
        <v/>
      </c>
      <c r="R31" s="18" t="str">
        <f t="shared" si="6"/>
        <v/>
      </c>
    </row>
    <row r="32" spans="1:18" ht="22.5" customHeight="1" x14ac:dyDescent="0.25">
      <c r="A32" s="22"/>
      <c r="B32" s="261"/>
      <c r="C32" s="108"/>
      <c r="D32" s="255"/>
      <c r="E32" s="108"/>
      <c r="F32" s="41"/>
      <c r="G32" s="41"/>
      <c r="H32" s="250"/>
      <c r="I32" s="132"/>
      <c r="J32" s="24"/>
      <c r="L32" s="18" t="str">
        <f t="shared" si="0"/>
        <v/>
      </c>
      <c r="M32" s="18" t="str">
        <f t="shared" si="1"/>
        <v/>
      </c>
      <c r="N32" s="18" t="str">
        <f t="shared" si="2"/>
        <v/>
      </c>
      <c r="O32" s="18" t="str">
        <f t="shared" si="3"/>
        <v/>
      </c>
      <c r="P32" s="18" t="str">
        <f t="shared" si="4"/>
        <v/>
      </c>
      <c r="Q32" s="18" t="str">
        <f t="shared" si="5"/>
        <v/>
      </c>
      <c r="R32" s="18" t="str">
        <f t="shared" si="6"/>
        <v/>
      </c>
    </row>
    <row r="33" spans="1:18" ht="22.5" customHeight="1" x14ac:dyDescent="0.25">
      <c r="A33" s="19"/>
      <c r="B33" s="262"/>
      <c r="C33" s="107"/>
      <c r="D33" s="256"/>
      <c r="E33" s="107"/>
      <c r="F33" s="40"/>
      <c r="G33" s="40"/>
      <c r="H33" s="251"/>
      <c r="I33" s="131"/>
      <c r="J33" s="21"/>
      <c r="L33" s="18" t="str">
        <f t="shared" si="0"/>
        <v/>
      </c>
      <c r="M33" s="18" t="str">
        <f t="shared" si="1"/>
        <v/>
      </c>
      <c r="N33" s="18" t="str">
        <f t="shared" si="2"/>
        <v/>
      </c>
      <c r="O33" s="18" t="str">
        <f t="shared" si="3"/>
        <v/>
      </c>
      <c r="P33" s="18" t="str">
        <f t="shared" si="4"/>
        <v/>
      </c>
      <c r="Q33" s="18" t="str">
        <f t="shared" si="5"/>
        <v/>
      </c>
      <c r="R33" s="18" t="str">
        <f t="shared" si="6"/>
        <v/>
      </c>
    </row>
    <row r="34" spans="1:18" ht="22.5" customHeight="1" x14ac:dyDescent="0.25">
      <c r="A34" s="22"/>
      <c r="B34" s="261"/>
      <c r="C34" s="108"/>
      <c r="D34" s="255"/>
      <c r="E34" s="108"/>
      <c r="F34" s="41"/>
      <c r="G34" s="41"/>
      <c r="H34" s="250"/>
      <c r="I34" s="132"/>
      <c r="J34" s="24"/>
      <c r="L34" s="18" t="str">
        <f t="shared" si="0"/>
        <v/>
      </c>
      <c r="M34" s="18" t="str">
        <f t="shared" si="1"/>
        <v/>
      </c>
      <c r="N34" s="18" t="str">
        <f t="shared" si="2"/>
        <v/>
      </c>
      <c r="O34" s="18" t="str">
        <f t="shared" si="3"/>
        <v/>
      </c>
      <c r="P34" s="18" t="str">
        <f t="shared" si="4"/>
        <v/>
      </c>
      <c r="Q34" s="18" t="str">
        <f t="shared" si="5"/>
        <v/>
      </c>
      <c r="R34" s="18" t="str">
        <f t="shared" si="6"/>
        <v/>
      </c>
    </row>
    <row r="35" spans="1:18" ht="22.5" customHeight="1" x14ac:dyDescent="0.25">
      <c r="A35" s="19"/>
      <c r="B35" s="262"/>
      <c r="C35" s="107"/>
      <c r="D35" s="256"/>
      <c r="E35" s="107"/>
      <c r="F35" s="40"/>
      <c r="G35" s="40"/>
      <c r="H35" s="251"/>
      <c r="I35" s="131"/>
      <c r="J35" s="21"/>
      <c r="L35" s="18" t="str">
        <f t="shared" si="0"/>
        <v/>
      </c>
      <c r="M35" s="18" t="str">
        <f t="shared" si="1"/>
        <v/>
      </c>
      <c r="N35" s="18" t="str">
        <f t="shared" si="2"/>
        <v/>
      </c>
      <c r="O35" s="18" t="str">
        <f t="shared" si="3"/>
        <v/>
      </c>
      <c r="P35" s="18" t="str">
        <f t="shared" si="4"/>
        <v/>
      </c>
      <c r="Q35" s="18" t="str">
        <f t="shared" si="5"/>
        <v/>
      </c>
      <c r="R35" s="18" t="str">
        <f t="shared" si="6"/>
        <v/>
      </c>
    </row>
    <row r="36" spans="1:18" ht="22.5" customHeight="1" x14ac:dyDescent="0.25">
      <c r="A36" s="22"/>
      <c r="B36" s="261"/>
      <c r="C36" s="108"/>
      <c r="D36" s="255"/>
      <c r="E36" s="108"/>
      <c r="F36" s="41"/>
      <c r="G36" s="41"/>
      <c r="H36" s="250"/>
      <c r="I36" s="132"/>
      <c r="J36" s="24"/>
      <c r="L36" s="18" t="str">
        <f t="shared" si="0"/>
        <v/>
      </c>
      <c r="M36" s="18" t="str">
        <f t="shared" si="1"/>
        <v/>
      </c>
      <c r="N36" s="18" t="str">
        <f t="shared" si="2"/>
        <v/>
      </c>
      <c r="O36" s="18" t="str">
        <f t="shared" si="3"/>
        <v/>
      </c>
      <c r="P36" s="18" t="str">
        <f t="shared" si="4"/>
        <v/>
      </c>
      <c r="Q36" s="18" t="str">
        <f t="shared" si="5"/>
        <v/>
      </c>
      <c r="R36" s="18" t="str">
        <f t="shared" si="6"/>
        <v/>
      </c>
    </row>
    <row r="37" spans="1:18" ht="22.5" customHeight="1" x14ac:dyDescent="0.25">
      <c r="A37" s="19"/>
      <c r="B37" s="262"/>
      <c r="C37" s="107"/>
      <c r="D37" s="256"/>
      <c r="E37" s="107"/>
      <c r="F37" s="40"/>
      <c r="G37" s="40"/>
      <c r="H37" s="251"/>
      <c r="I37" s="131"/>
      <c r="J37" s="21"/>
      <c r="L37" s="18" t="str">
        <f t="shared" si="0"/>
        <v/>
      </c>
      <c r="M37" s="18" t="str">
        <f t="shared" si="1"/>
        <v/>
      </c>
      <c r="N37" s="18" t="str">
        <f t="shared" si="2"/>
        <v/>
      </c>
      <c r="O37" s="18" t="str">
        <f t="shared" si="3"/>
        <v/>
      </c>
      <c r="P37" s="18" t="str">
        <f t="shared" si="4"/>
        <v/>
      </c>
      <c r="Q37" s="18" t="str">
        <f t="shared" si="5"/>
        <v/>
      </c>
      <c r="R37" s="18" t="str">
        <f t="shared" si="6"/>
        <v/>
      </c>
    </row>
    <row r="38" spans="1:18" ht="22.5" customHeight="1" x14ac:dyDescent="0.25">
      <c r="A38" s="22"/>
      <c r="B38" s="261"/>
      <c r="C38" s="108"/>
      <c r="D38" s="255"/>
      <c r="E38" s="108"/>
      <c r="F38" s="41"/>
      <c r="G38" s="41"/>
      <c r="H38" s="250"/>
      <c r="I38" s="132"/>
      <c r="J38" s="24"/>
      <c r="L38" s="18" t="str">
        <f t="shared" si="0"/>
        <v/>
      </c>
      <c r="M38" s="18" t="str">
        <f t="shared" si="1"/>
        <v/>
      </c>
      <c r="N38" s="18" t="str">
        <f t="shared" si="2"/>
        <v/>
      </c>
      <c r="O38" s="18" t="str">
        <f t="shared" si="3"/>
        <v/>
      </c>
      <c r="P38" s="18" t="str">
        <f t="shared" si="4"/>
        <v/>
      </c>
      <c r="Q38" s="18" t="str">
        <f t="shared" si="5"/>
        <v/>
      </c>
      <c r="R38" s="18" t="str">
        <f t="shared" si="6"/>
        <v/>
      </c>
    </row>
    <row r="39" spans="1:18" ht="22.5" customHeight="1" x14ac:dyDescent="0.25">
      <c r="A39" s="19"/>
      <c r="B39" s="262"/>
      <c r="C39" s="107"/>
      <c r="D39" s="256"/>
      <c r="E39" s="107"/>
      <c r="F39" s="40"/>
      <c r="G39" s="40"/>
      <c r="H39" s="251"/>
      <c r="I39" s="131"/>
      <c r="J39" s="21"/>
      <c r="L39" s="18" t="str">
        <f t="shared" si="0"/>
        <v/>
      </c>
      <c r="M39" s="18" t="str">
        <f t="shared" si="1"/>
        <v/>
      </c>
      <c r="N39" s="18" t="str">
        <f t="shared" si="2"/>
        <v/>
      </c>
      <c r="O39" s="18" t="str">
        <f t="shared" si="3"/>
        <v/>
      </c>
      <c r="P39" s="18" t="str">
        <f t="shared" si="4"/>
        <v/>
      </c>
      <c r="Q39" s="18" t="str">
        <f t="shared" si="5"/>
        <v/>
      </c>
      <c r="R39" s="18" t="str">
        <f t="shared" si="6"/>
        <v/>
      </c>
    </row>
    <row r="40" spans="1:18" ht="22.5" customHeight="1" x14ac:dyDescent="0.25">
      <c r="A40" s="22"/>
      <c r="B40" s="261"/>
      <c r="C40" s="108"/>
      <c r="D40" s="255"/>
      <c r="E40" s="108"/>
      <c r="F40" s="41"/>
      <c r="G40" s="41"/>
      <c r="H40" s="250"/>
      <c r="I40" s="132"/>
      <c r="J40" s="24"/>
      <c r="L40" s="18" t="str">
        <f t="shared" si="0"/>
        <v/>
      </c>
      <c r="M40" s="18" t="str">
        <f t="shared" si="1"/>
        <v/>
      </c>
      <c r="N40" s="18" t="str">
        <f t="shared" si="2"/>
        <v/>
      </c>
      <c r="O40" s="18" t="str">
        <f t="shared" si="3"/>
        <v/>
      </c>
      <c r="P40" s="18" t="str">
        <f t="shared" si="4"/>
        <v/>
      </c>
      <c r="Q40" s="18" t="str">
        <f t="shared" si="5"/>
        <v/>
      </c>
      <c r="R40" s="18" t="str">
        <f t="shared" si="6"/>
        <v/>
      </c>
    </row>
    <row r="41" spans="1:18" ht="22.5" customHeight="1" x14ac:dyDescent="0.25">
      <c r="A41" s="19"/>
      <c r="B41" s="262"/>
      <c r="C41" s="107"/>
      <c r="D41" s="256"/>
      <c r="E41" s="107"/>
      <c r="F41" s="40"/>
      <c r="G41" s="40"/>
      <c r="H41" s="251"/>
      <c r="I41" s="131"/>
      <c r="J41" s="21"/>
      <c r="L41" s="18" t="str">
        <f t="shared" si="0"/>
        <v/>
      </c>
      <c r="M41" s="18" t="str">
        <f t="shared" si="1"/>
        <v/>
      </c>
      <c r="N41" s="18" t="str">
        <f t="shared" si="2"/>
        <v/>
      </c>
      <c r="O41" s="18" t="str">
        <f t="shared" si="3"/>
        <v/>
      </c>
      <c r="P41" s="18" t="str">
        <f t="shared" si="4"/>
        <v/>
      </c>
      <c r="Q41" s="18" t="str">
        <f t="shared" si="5"/>
        <v/>
      </c>
      <c r="R41" s="18" t="str">
        <f t="shared" si="6"/>
        <v/>
      </c>
    </row>
    <row r="42" spans="1:18" ht="22.5" customHeight="1" x14ac:dyDescent="0.25">
      <c r="A42" s="22"/>
      <c r="B42" s="261"/>
      <c r="C42" s="108"/>
      <c r="D42" s="255"/>
      <c r="E42" s="108"/>
      <c r="F42" s="41"/>
      <c r="G42" s="41"/>
      <c r="H42" s="250"/>
      <c r="I42" s="132"/>
      <c r="J42" s="24"/>
      <c r="L42" s="18" t="str">
        <f t="shared" si="0"/>
        <v/>
      </c>
      <c r="M42" s="18" t="str">
        <f t="shared" si="1"/>
        <v/>
      </c>
      <c r="N42" s="18" t="str">
        <f t="shared" si="2"/>
        <v/>
      </c>
      <c r="O42" s="18" t="str">
        <f t="shared" si="3"/>
        <v/>
      </c>
      <c r="P42" s="18" t="str">
        <f t="shared" si="4"/>
        <v/>
      </c>
      <c r="Q42" s="18" t="str">
        <f t="shared" si="5"/>
        <v/>
      </c>
      <c r="R42" s="18" t="str">
        <f t="shared" si="6"/>
        <v/>
      </c>
    </row>
    <row r="43" spans="1:18" ht="22.5" customHeight="1" x14ac:dyDescent="0.25">
      <c r="A43" s="19"/>
      <c r="B43" s="262"/>
      <c r="C43" s="107"/>
      <c r="D43" s="256"/>
      <c r="E43" s="107"/>
      <c r="F43" s="40"/>
      <c r="G43" s="40"/>
      <c r="H43" s="251"/>
      <c r="I43" s="131"/>
      <c r="J43" s="21"/>
      <c r="L43" s="18" t="str">
        <f t="shared" si="0"/>
        <v/>
      </c>
      <c r="M43" s="18" t="str">
        <f t="shared" si="1"/>
        <v/>
      </c>
      <c r="N43" s="18" t="str">
        <f t="shared" si="2"/>
        <v/>
      </c>
      <c r="O43" s="18" t="str">
        <f t="shared" si="3"/>
        <v/>
      </c>
      <c r="P43" s="18" t="str">
        <f t="shared" si="4"/>
        <v/>
      </c>
      <c r="Q43" s="18" t="str">
        <f t="shared" si="5"/>
        <v/>
      </c>
      <c r="R43" s="18" t="str">
        <f t="shared" si="6"/>
        <v/>
      </c>
    </row>
    <row r="44" spans="1:18" ht="22.5" customHeight="1" x14ac:dyDescent="0.25">
      <c r="A44" s="22"/>
      <c r="B44" s="261"/>
      <c r="C44" s="108"/>
      <c r="D44" s="255"/>
      <c r="E44" s="108"/>
      <c r="F44" s="41"/>
      <c r="G44" s="41"/>
      <c r="H44" s="250"/>
      <c r="I44" s="132"/>
      <c r="J44" s="24"/>
      <c r="L44" s="18" t="str">
        <f t="shared" si="0"/>
        <v/>
      </c>
      <c r="M44" s="18" t="str">
        <f t="shared" si="1"/>
        <v/>
      </c>
      <c r="N44" s="18" t="str">
        <f t="shared" si="2"/>
        <v/>
      </c>
      <c r="O44" s="18" t="str">
        <f t="shared" si="3"/>
        <v/>
      </c>
      <c r="P44" s="18" t="str">
        <f t="shared" si="4"/>
        <v/>
      </c>
      <c r="Q44" s="18" t="str">
        <f t="shared" si="5"/>
        <v/>
      </c>
      <c r="R44" s="18" t="str">
        <f t="shared" si="6"/>
        <v/>
      </c>
    </row>
    <row r="45" spans="1:18" ht="22.5" customHeight="1" x14ac:dyDescent="0.25">
      <c r="A45" s="19"/>
      <c r="B45" s="262"/>
      <c r="C45" s="107"/>
      <c r="D45" s="256"/>
      <c r="E45" s="107"/>
      <c r="F45" s="40"/>
      <c r="G45" s="40"/>
      <c r="H45" s="251"/>
      <c r="I45" s="131"/>
      <c r="J45" s="21"/>
      <c r="L45" s="18" t="str">
        <f t="shared" si="0"/>
        <v/>
      </c>
      <c r="M45" s="18" t="str">
        <f t="shared" si="1"/>
        <v/>
      </c>
      <c r="N45" s="18" t="str">
        <f t="shared" si="2"/>
        <v/>
      </c>
      <c r="O45" s="18" t="str">
        <f t="shared" si="3"/>
        <v/>
      </c>
      <c r="P45" s="18" t="str">
        <f t="shared" si="4"/>
        <v/>
      </c>
      <c r="Q45" s="18" t="str">
        <f t="shared" si="5"/>
        <v/>
      </c>
      <c r="R45" s="18" t="str">
        <f t="shared" si="6"/>
        <v/>
      </c>
    </row>
    <row r="46" spans="1:18" ht="22.5" customHeight="1" x14ac:dyDescent="0.25">
      <c r="A46" s="22"/>
      <c r="B46" s="261"/>
      <c r="C46" s="108"/>
      <c r="D46" s="255"/>
      <c r="E46" s="108"/>
      <c r="F46" s="41"/>
      <c r="G46" s="41"/>
      <c r="H46" s="250"/>
      <c r="I46" s="132"/>
      <c r="J46" s="24"/>
      <c r="L46" s="18" t="str">
        <f t="shared" si="0"/>
        <v/>
      </c>
      <c r="M46" s="18" t="str">
        <f t="shared" si="1"/>
        <v/>
      </c>
      <c r="N46" s="18" t="str">
        <f t="shared" si="2"/>
        <v/>
      </c>
      <c r="O46" s="18" t="str">
        <f t="shared" si="3"/>
        <v/>
      </c>
      <c r="P46" s="18" t="str">
        <f t="shared" si="4"/>
        <v/>
      </c>
      <c r="Q46" s="18" t="str">
        <f t="shared" si="5"/>
        <v/>
      </c>
      <c r="R46" s="18" t="str">
        <f t="shared" si="6"/>
        <v/>
      </c>
    </row>
    <row r="47" spans="1:18" ht="22.5" customHeight="1" x14ac:dyDescent="0.25">
      <c r="A47" s="19"/>
      <c r="B47" s="262"/>
      <c r="C47" s="107"/>
      <c r="D47" s="256"/>
      <c r="E47" s="107"/>
      <c r="F47" s="40"/>
      <c r="G47" s="40"/>
      <c r="H47" s="251"/>
      <c r="I47" s="131"/>
      <c r="J47" s="21"/>
      <c r="L47" s="18" t="str">
        <f t="shared" si="0"/>
        <v/>
      </c>
      <c r="M47" s="18" t="str">
        <f t="shared" si="1"/>
        <v/>
      </c>
      <c r="N47" s="18" t="str">
        <f t="shared" si="2"/>
        <v/>
      </c>
      <c r="O47" s="18" t="str">
        <f t="shared" si="3"/>
        <v/>
      </c>
      <c r="P47" s="18" t="str">
        <f t="shared" si="4"/>
        <v/>
      </c>
      <c r="Q47" s="18" t="str">
        <f t="shared" si="5"/>
        <v/>
      </c>
      <c r="R47" s="18" t="str">
        <f t="shared" si="6"/>
        <v/>
      </c>
    </row>
    <row r="48" spans="1:18" ht="22.5" customHeight="1" x14ac:dyDescent="0.25">
      <c r="A48" s="22"/>
      <c r="B48" s="261"/>
      <c r="C48" s="108"/>
      <c r="D48" s="255"/>
      <c r="E48" s="108"/>
      <c r="F48" s="41"/>
      <c r="G48" s="41"/>
      <c r="H48" s="250"/>
      <c r="I48" s="132"/>
      <c r="J48" s="24"/>
      <c r="L48" s="18" t="str">
        <f t="shared" si="0"/>
        <v/>
      </c>
      <c r="M48" s="18" t="str">
        <f t="shared" si="1"/>
        <v/>
      </c>
      <c r="N48" s="18" t="str">
        <f t="shared" si="2"/>
        <v/>
      </c>
      <c r="O48" s="18" t="str">
        <f t="shared" si="3"/>
        <v/>
      </c>
      <c r="P48" s="18" t="str">
        <f t="shared" si="4"/>
        <v/>
      </c>
      <c r="Q48" s="18" t="str">
        <f t="shared" si="5"/>
        <v/>
      </c>
      <c r="R48" s="18" t="str">
        <f t="shared" si="6"/>
        <v/>
      </c>
    </row>
    <row r="49" spans="1:18" ht="22.5" customHeight="1" x14ac:dyDescent="0.25">
      <c r="A49" s="19"/>
      <c r="B49" s="262"/>
      <c r="C49" s="107"/>
      <c r="D49" s="256"/>
      <c r="E49" s="107"/>
      <c r="F49" s="40"/>
      <c r="G49" s="40"/>
      <c r="H49" s="251"/>
      <c r="I49" s="131"/>
      <c r="J49" s="21"/>
      <c r="L49" s="18" t="str">
        <f t="shared" si="0"/>
        <v/>
      </c>
      <c r="M49" s="18" t="str">
        <f t="shared" si="1"/>
        <v/>
      </c>
      <c r="N49" s="18" t="str">
        <f t="shared" si="2"/>
        <v/>
      </c>
      <c r="O49" s="18" t="str">
        <f t="shared" si="3"/>
        <v/>
      </c>
      <c r="P49" s="18" t="str">
        <f t="shared" si="4"/>
        <v/>
      </c>
      <c r="Q49" s="18" t="str">
        <f t="shared" si="5"/>
        <v/>
      </c>
      <c r="R49" s="18" t="str">
        <f t="shared" si="6"/>
        <v/>
      </c>
    </row>
    <row r="50" spans="1:18" ht="22.5" customHeight="1" x14ac:dyDescent="0.25">
      <c r="A50" s="22"/>
      <c r="B50" s="261"/>
      <c r="C50" s="108"/>
      <c r="D50" s="255"/>
      <c r="E50" s="108"/>
      <c r="F50" s="41"/>
      <c r="G50" s="41"/>
      <c r="H50" s="250"/>
      <c r="I50" s="132"/>
      <c r="J50" s="24"/>
      <c r="L50" s="18" t="str">
        <f t="shared" si="0"/>
        <v/>
      </c>
      <c r="M50" s="18" t="str">
        <f t="shared" si="1"/>
        <v/>
      </c>
      <c r="N50" s="18" t="str">
        <f t="shared" si="2"/>
        <v/>
      </c>
      <c r="O50" s="18" t="str">
        <f t="shared" si="3"/>
        <v/>
      </c>
      <c r="P50" s="18" t="str">
        <f t="shared" si="4"/>
        <v/>
      </c>
      <c r="Q50" s="18" t="str">
        <f t="shared" si="5"/>
        <v/>
      </c>
      <c r="R50" s="18" t="str">
        <f t="shared" si="6"/>
        <v/>
      </c>
    </row>
    <row r="51" spans="1:18" ht="22.5" customHeight="1" x14ac:dyDescent="0.25">
      <c r="A51" s="19"/>
      <c r="B51" s="262"/>
      <c r="C51" s="107"/>
      <c r="D51" s="256"/>
      <c r="E51" s="107"/>
      <c r="F51" s="40"/>
      <c r="G51" s="40"/>
      <c r="H51" s="251"/>
      <c r="I51" s="131"/>
      <c r="J51" s="21"/>
      <c r="L51" s="18" t="str">
        <f t="shared" si="0"/>
        <v/>
      </c>
      <c r="M51" s="18" t="str">
        <f t="shared" si="1"/>
        <v/>
      </c>
      <c r="N51" s="18" t="str">
        <f t="shared" si="2"/>
        <v/>
      </c>
      <c r="O51" s="18" t="str">
        <f t="shared" si="3"/>
        <v/>
      </c>
      <c r="P51" s="18" t="str">
        <f t="shared" si="4"/>
        <v/>
      </c>
      <c r="Q51" s="18" t="str">
        <f t="shared" si="5"/>
        <v/>
      </c>
      <c r="R51" s="18" t="str">
        <f t="shared" si="6"/>
        <v/>
      </c>
    </row>
    <row r="52" spans="1:18" ht="22.5" customHeight="1" x14ac:dyDescent="0.25">
      <c r="A52" s="22"/>
      <c r="B52" s="261"/>
      <c r="C52" s="108"/>
      <c r="D52" s="255"/>
      <c r="E52" s="108"/>
      <c r="F52" s="41"/>
      <c r="G52" s="41"/>
      <c r="H52" s="250"/>
      <c r="I52" s="132"/>
      <c r="J52" s="24"/>
      <c r="L52" s="18" t="str">
        <f t="shared" si="0"/>
        <v/>
      </c>
      <c r="M52" s="18" t="str">
        <f t="shared" si="1"/>
        <v/>
      </c>
      <c r="N52" s="18" t="str">
        <f t="shared" si="2"/>
        <v/>
      </c>
      <c r="O52" s="18" t="str">
        <f t="shared" si="3"/>
        <v/>
      </c>
      <c r="P52" s="18" t="str">
        <f t="shared" si="4"/>
        <v/>
      </c>
      <c r="Q52" s="18" t="str">
        <f t="shared" si="5"/>
        <v/>
      </c>
      <c r="R52" s="18" t="str">
        <f t="shared" si="6"/>
        <v/>
      </c>
    </row>
    <row r="53" spans="1:18" ht="22.5" customHeight="1" x14ac:dyDescent="0.25">
      <c r="A53" s="19"/>
      <c r="B53" s="262"/>
      <c r="C53" s="107"/>
      <c r="D53" s="256"/>
      <c r="E53" s="107"/>
      <c r="F53" s="40"/>
      <c r="G53" s="40"/>
      <c r="H53" s="251"/>
      <c r="I53" s="131"/>
      <c r="J53" s="21"/>
      <c r="L53" s="18" t="str">
        <f t="shared" ref="L53:L116" si="7">IF(A53="","",IF(A53="Entrada",D53,""))</f>
        <v/>
      </c>
      <c r="M53" s="18" t="str">
        <f t="shared" ref="M53:M116" si="8">IF(A53="","",IF(A53="Entrada",E53,""))</f>
        <v/>
      </c>
      <c r="N53" s="18" t="str">
        <f t="shared" ref="N53:N116" si="9">IF(A53="","",IF(A53="Entrada",1,""))</f>
        <v/>
      </c>
      <c r="O53" s="18" t="str">
        <f t="shared" ref="O53:O116" si="10">IF(N53=1,G53,"")</f>
        <v/>
      </c>
      <c r="P53" s="18" t="str">
        <f t="shared" ref="P53:P116" si="11">IF(A53="","",IF(A53="Entrada",(L53/10)*O53,""))</f>
        <v/>
      </c>
      <c r="Q53" s="18" t="str">
        <f t="shared" ref="Q53:Q116" si="12">IF(A53="","",IF(A53="Saída",D53,""))</f>
        <v/>
      </c>
      <c r="R53" s="18" t="str">
        <f t="shared" ref="R53:R116" si="13">IF(A53="","",IF(A53="Saída",E53,""))</f>
        <v/>
      </c>
    </row>
    <row r="54" spans="1:18" ht="22.5" customHeight="1" x14ac:dyDescent="0.25">
      <c r="A54" s="22"/>
      <c r="B54" s="261"/>
      <c r="C54" s="108"/>
      <c r="D54" s="255"/>
      <c r="E54" s="108"/>
      <c r="F54" s="41"/>
      <c r="G54" s="41"/>
      <c r="H54" s="250"/>
      <c r="I54" s="132"/>
      <c r="J54" s="24"/>
      <c r="L54" s="18" t="str">
        <f t="shared" si="7"/>
        <v/>
      </c>
      <c r="M54" s="18" t="str">
        <f t="shared" si="8"/>
        <v/>
      </c>
      <c r="N54" s="18" t="str">
        <f t="shared" si="9"/>
        <v/>
      </c>
      <c r="O54" s="18" t="str">
        <f t="shared" si="10"/>
        <v/>
      </c>
      <c r="P54" s="18" t="str">
        <f t="shared" si="11"/>
        <v/>
      </c>
      <c r="Q54" s="18" t="str">
        <f t="shared" si="12"/>
        <v/>
      </c>
      <c r="R54" s="18" t="str">
        <f t="shared" si="13"/>
        <v/>
      </c>
    </row>
    <row r="55" spans="1:18" ht="22.5" customHeight="1" x14ac:dyDescent="0.25">
      <c r="A55" s="19"/>
      <c r="B55" s="262"/>
      <c r="C55" s="107"/>
      <c r="D55" s="256"/>
      <c r="E55" s="107"/>
      <c r="F55" s="40"/>
      <c r="G55" s="40"/>
      <c r="H55" s="251"/>
      <c r="I55" s="131"/>
      <c r="J55" s="21"/>
      <c r="L55" s="18" t="str">
        <f t="shared" si="7"/>
        <v/>
      </c>
      <c r="M55" s="18" t="str">
        <f t="shared" si="8"/>
        <v/>
      </c>
      <c r="N55" s="18" t="str">
        <f t="shared" si="9"/>
        <v/>
      </c>
      <c r="O55" s="18" t="str">
        <f t="shared" si="10"/>
        <v/>
      </c>
      <c r="P55" s="18" t="str">
        <f t="shared" si="11"/>
        <v/>
      </c>
      <c r="Q55" s="18" t="str">
        <f t="shared" si="12"/>
        <v/>
      </c>
      <c r="R55" s="18" t="str">
        <f t="shared" si="13"/>
        <v/>
      </c>
    </row>
    <row r="56" spans="1:18" ht="22.5" customHeight="1" x14ac:dyDescent="0.25">
      <c r="A56" s="22"/>
      <c r="B56" s="261"/>
      <c r="C56" s="108"/>
      <c r="D56" s="255"/>
      <c r="E56" s="108"/>
      <c r="F56" s="41"/>
      <c r="G56" s="41"/>
      <c r="H56" s="250"/>
      <c r="I56" s="132"/>
      <c r="J56" s="24"/>
      <c r="L56" s="18" t="str">
        <f t="shared" si="7"/>
        <v/>
      </c>
      <c r="M56" s="18" t="str">
        <f t="shared" si="8"/>
        <v/>
      </c>
      <c r="N56" s="18" t="str">
        <f t="shared" si="9"/>
        <v/>
      </c>
      <c r="O56" s="18" t="str">
        <f t="shared" si="10"/>
        <v/>
      </c>
      <c r="P56" s="18" t="str">
        <f t="shared" si="11"/>
        <v/>
      </c>
      <c r="Q56" s="18" t="str">
        <f t="shared" si="12"/>
        <v/>
      </c>
      <c r="R56" s="18" t="str">
        <f t="shared" si="13"/>
        <v/>
      </c>
    </row>
    <row r="57" spans="1:18" ht="22.5" customHeight="1" x14ac:dyDescent="0.25">
      <c r="A57" s="19"/>
      <c r="B57" s="262"/>
      <c r="C57" s="107"/>
      <c r="D57" s="256"/>
      <c r="E57" s="107"/>
      <c r="F57" s="40"/>
      <c r="G57" s="40"/>
      <c r="H57" s="251"/>
      <c r="I57" s="131"/>
      <c r="J57" s="21"/>
      <c r="L57" s="18" t="str">
        <f t="shared" si="7"/>
        <v/>
      </c>
      <c r="M57" s="18" t="str">
        <f t="shared" si="8"/>
        <v/>
      </c>
      <c r="N57" s="18" t="str">
        <f t="shared" si="9"/>
        <v/>
      </c>
      <c r="O57" s="18" t="str">
        <f t="shared" si="10"/>
        <v/>
      </c>
      <c r="P57" s="18" t="str">
        <f t="shared" si="11"/>
        <v/>
      </c>
      <c r="Q57" s="18" t="str">
        <f t="shared" si="12"/>
        <v/>
      </c>
      <c r="R57" s="18" t="str">
        <f t="shared" si="13"/>
        <v/>
      </c>
    </row>
    <row r="58" spans="1:18" ht="22.5" customHeight="1" x14ac:dyDescent="0.25">
      <c r="A58" s="22"/>
      <c r="B58" s="261"/>
      <c r="C58" s="108"/>
      <c r="D58" s="255"/>
      <c r="E58" s="108"/>
      <c r="F58" s="41"/>
      <c r="G58" s="41"/>
      <c r="H58" s="250"/>
      <c r="I58" s="132"/>
      <c r="J58" s="24"/>
      <c r="L58" s="18" t="str">
        <f t="shared" si="7"/>
        <v/>
      </c>
      <c r="M58" s="18" t="str">
        <f t="shared" si="8"/>
        <v/>
      </c>
      <c r="N58" s="18" t="str">
        <f t="shared" si="9"/>
        <v/>
      </c>
      <c r="O58" s="18" t="str">
        <f t="shared" si="10"/>
        <v/>
      </c>
      <c r="P58" s="18" t="str">
        <f t="shared" si="11"/>
        <v/>
      </c>
      <c r="Q58" s="18" t="str">
        <f t="shared" si="12"/>
        <v/>
      </c>
      <c r="R58" s="18" t="str">
        <f t="shared" si="13"/>
        <v/>
      </c>
    </row>
    <row r="59" spans="1:18" ht="22.5" customHeight="1" x14ac:dyDescent="0.25">
      <c r="A59" s="19"/>
      <c r="B59" s="262"/>
      <c r="C59" s="107"/>
      <c r="D59" s="256"/>
      <c r="E59" s="107"/>
      <c r="F59" s="40"/>
      <c r="G59" s="40"/>
      <c r="H59" s="251"/>
      <c r="I59" s="131"/>
      <c r="J59" s="21"/>
      <c r="L59" s="18" t="str">
        <f t="shared" si="7"/>
        <v/>
      </c>
      <c r="M59" s="18" t="str">
        <f t="shared" si="8"/>
        <v/>
      </c>
      <c r="N59" s="18" t="str">
        <f t="shared" si="9"/>
        <v/>
      </c>
      <c r="O59" s="18" t="str">
        <f t="shared" si="10"/>
        <v/>
      </c>
      <c r="P59" s="18" t="str">
        <f t="shared" si="11"/>
        <v/>
      </c>
      <c r="Q59" s="18" t="str">
        <f t="shared" si="12"/>
        <v/>
      </c>
      <c r="R59" s="18" t="str">
        <f t="shared" si="13"/>
        <v/>
      </c>
    </row>
    <row r="60" spans="1:18" ht="22.5" customHeight="1" x14ac:dyDescent="0.25">
      <c r="A60" s="22"/>
      <c r="B60" s="261"/>
      <c r="C60" s="108"/>
      <c r="D60" s="255"/>
      <c r="E60" s="108"/>
      <c r="F60" s="41"/>
      <c r="G60" s="41"/>
      <c r="H60" s="250"/>
      <c r="I60" s="132"/>
      <c r="J60" s="24"/>
      <c r="L60" s="18" t="str">
        <f t="shared" si="7"/>
        <v/>
      </c>
      <c r="M60" s="18" t="str">
        <f t="shared" si="8"/>
        <v/>
      </c>
      <c r="N60" s="18" t="str">
        <f t="shared" si="9"/>
        <v/>
      </c>
      <c r="O60" s="18" t="str">
        <f t="shared" si="10"/>
        <v/>
      </c>
      <c r="P60" s="18" t="str">
        <f t="shared" si="11"/>
        <v/>
      </c>
      <c r="Q60" s="18" t="str">
        <f t="shared" si="12"/>
        <v/>
      </c>
      <c r="R60" s="18" t="str">
        <f t="shared" si="13"/>
        <v/>
      </c>
    </row>
    <row r="61" spans="1:18" ht="22.5" customHeight="1" x14ac:dyDescent="0.25">
      <c r="A61" s="19"/>
      <c r="B61" s="262"/>
      <c r="C61" s="107"/>
      <c r="D61" s="256"/>
      <c r="E61" s="107"/>
      <c r="F61" s="40"/>
      <c r="G61" s="40"/>
      <c r="H61" s="251"/>
      <c r="I61" s="131"/>
      <c r="J61" s="21"/>
      <c r="L61" s="18" t="str">
        <f t="shared" si="7"/>
        <v/>
      </c>
      <c r="M61" s="18" t="str">
        <f t="shared" si="8"/>
        <v/>
      </c>
      <c r="N61" s="18" t="str">
        <f t="shared" si="9"/>
        <v/>
      </c>
      <c r="O61" s="18" t="str">
        <f t="shared" si="10"/>
        <v/>
      </c>
      <c r="P61" s="18" t="str">
        <f t="shared" si="11"/>
        <v/>
      </c>
      <c r="Q61" s="18" t="str">
        <f t="shared" si="12"/>
        <v/>
      </c>
      <c r="R61" s="18" t="str">
        <f t="shared" si="13"/>
        <v/>
      </c>
    </row>
    <row r="62" spans="1:18" ht="22.5" customHeight="1" x14ac:dyDescent="0.25">
      <c r="A62" s="22"/>
      <c r="B62" s="261"/>
      <c r="C62" s="108"/>
      <c r="D62" s="255"/>
      <c r="E62" s="108"/>
      <c r="F62" s="41"/>
      <c r="G62" s="41"/>
      <c r="H62" s="250"/>
      <c r="I62" s="132"/>
      <c r="J62" s="24"/>
      <c r="L62" s="18" t="str">
        <f t="shared" si="7"/>
        <v/>
      </c>
      <c r="M62" s="18" t="str">
        <f t="shared" si="8"/>
        <v/>
      </c>
      <c r="N62" s="18" t="str">
        <f t="shared" si="9"/>
        <v/>
      </c>
      <c r="O62" s="18" t="str">
        <f t="shared" si="10"/>
        <v/>
      </c>
      <c r="P62" s="18" t="str">
        <f t="shared" si="11"/>
        <v/>
      </c>
      <c r="Q62" s="18" t="str">
        <f t="shared" si="12"/>
        <v/>
      </c>
      <c r="R62" s="18" t="str">
        <f t="shared" si="13"/>
        <v/>
      </c>
    </row>
    <row r="63" spans="1:18" ht="22.5" customHeight="1" x14ac:dyDescent="0.25">
      <c r="A63" s="19"/>
      <c r="B63" s="262"/>
      <c r="C63" s="107"/>
      <c r="D63" s="256"/>
      <c r="E63" s="107"/>
      <c r="F63" s="40"/>
      <c r="G63" s="40"/>
      <c r="H63" s="251"/>
      <c r="I63" s="131"/>
      <c r="J63" s="21"/>
      <c r="L63" s="18" t="str">
        <f t="shared" si="7"/>
        <v/>
      </c>
      <c r="M63" s="18" t="str">
        <f t="shared" si="8"/>
        <v/>
      </c>
      <c r="N63" s="18" t="str">
        <f t="shared" si="9"/>
        <v/>
      </c>
      <c r="O63" s="18" t="str">
        <f t="shared" si="10"/>
        <v/>
      </c>
      <c r="P63" s="18" t="str">
        <f t="shared" si="11"/>
        <v/>
      </c>
      <c r="Q63" s="18" t="str">
        <f t="shared" si="12"/>
        <v/>
      </c>
      <c r="R63" s="18" t="str">
        <f t="shared" si="13"/>
        <v/>
      </c>
    </row>
    <row r="64" spans="1:18" ht="22.5" customHeight="1" x14ac:dyDescent="0.25">
      <c r="A64" s="22"/>
      <c r="B64" s="261"/>
      <c r="C64" s="108"/>
      <c r="D64" s="255"/>
      <c r="E64" s="108"/>
      <c r="F64" s="41"/>
      <c r="G64" s="41"/>
      <c r="H64" s="250"/>
      <c r="I64" s="132"/>
      <c r="J64" s="24"/>
      <c r="L64" s="18" t="str">
        <f t="shared" si="7"/>
        <v/>
      </c>
      <c r="M64" s="18" t="str">
        <f t="shared" si="8"/>
        <v/>
      </c>
      <c r="N64" s="18" t="str">
        <f t="shared" si="9"/>
        <v/>
      </c>
      <c r="O64" s="18" t="str">
        <f t="shared" si="10"/>
        <v/>
      </c>
      <c r="P64" s="18" t="str">
        <f t="shared" si="11"/>
        <v/>
      </c>
      <c r="Q64" s="18" t="str">
        <f t="shared" si="12"/>
        <v/>
      </c>
      <c r="R64" s="18" t="str">
        <f t="shared" si="13"/>
        <v/>
      </c>
    </row>
    <row r="65" spans="1:18" ht="22.5" customHeight="1" x14ac:dyDescent="0.25">
      <c r="A65" s="19"/>
      <c r="B65" s="262"/>
      <c r="C65" s="107"/>
      <c r="D65" s="256"/>
      <c r="E65" s="107"/>
      <c r="F65" s="40"/>
      <c r="G65" s="40"/>
      <c r="H65" s="251"/>
      <c r="I65" s="131"/>
      <c r="J65" s="21"/>
      <c r="L65" s="18" t="str">
        <f t="shared" si="7"/>
        <v/>
      </c>
      <c r="M65" s="18" t="str">
        <f t="shared" si="8"/>
        <v/>
      </c>
      <c r="N65" s="18" t="str">
        <f t="shared" si="9"/>
        <v/>
      </c>
      <c r="O65" s="18" t="str">
        <f t="shared" si="10"/>
        <v/>
      </c>
      <c r="P65" s="18" t="str">
        <f t="shared" si="11"/>
        <v/>
      </c>
      <c r="Q65" s="18" t="str">
        <f t="shared" si="12"/>
        <v/>
      </c>
      <c r="R65" s="18" t="str">
        <f t="shared" si="13"/>
        <v/>
      </c>
    </row>
    <row r="66" spans="1:18" ht="22.5" customHeight="1" x14ac:dyDescent="0.25">
      <c r="A66" s="22"/>
      <c r="B66" s="261"/>
      <c r="C66" s="108"/>
      <c r="D66" s="255"/>
      <c r="E66" s="108"/>
      <c r="F66" s="41"/>
      <c r="G66" s="41"/>
      <c r="H66" s="250"/>
      <c r="I66" s="132"/>
      <c r="J66" s="24"/>
      <c r="L66" s="18" t="str">
        <f t="shared" si="7"/>
        <v/>
      </c>
      <c r="M66" s="18" t="str">
        <f t="shared" si="8"/>
        <v/>
      </c>
      <c r="N66" s="18" t="str">
        <f t="shared" si="9"/>
        <v/>
      </c>
      <c r="O66" s="18" t="str">
        <f t="shared" si="10"/>
        <v/>
      </c>
      <c r="P66" s="18" t="str">
        <f t="shared" si="11"/>
        <v/>
      </c>
      <c r="Q66" s="18" t="str">
        <f t="shared" si="12"/>
        <v/>
      </c>
      <c r="R66" s="18" t="str">
        <f t="shared" si="13"/>
        <v/>
      </c>
    </row>
    <row r="67" spans="1:18" ht="22.5" customHeight="1" x14ac:dyDescent="0.25">
      <c r="A67" s="19"/>
      <c r="B67" s="262"/>
      <c r="C67" s="107"/>
      <c r="D67" s="256"/>
      <c r="E67" s="107"/>
      <c r="F67" s="40"/>
      <c r="G67" s="40"/>
      <c r="H67" s="251"/>
      <c r="I67" s="131"/>
      <c r="J67" s="21"/>
      <c r="L67" s="18" t="str">
        <f t="shared" si="7"/>
        <v/>
      </c>
      <c r="M67" s="18" t="str">
        <f t="shared" si="8"/>
        <v/>
      </c>
      <c r="N67" s="18" t="str">
        <f t="shared" si="9"/>
        <v/>
      </c>
      <c r="O67" s="18" t="str">
        <f t="shared" si="10"/>
        <v/>
      </c>
      <c r="P67" s="18" t="str">
        <f t="shared" si="11"/>
        <v/>
      </c>
      <c r="Q67" s="18" t="str">
        <f t="shared" si="12"/>
        <v/>
      </c>
      <c r="R67" s="18" t="str">
        <f t="shared" si="13"/>
        <v/>
      </c>
    </row>
    <row r="68" spans="1:18" ht="22.5" customHeight="1" x14ac:dyDescent="0.25">
      <c r="A68" s="22"/>
      <c r="B68" s="261"/>
      <c r="C68" s="108"/>
      <c r="D68" s="255"/>
      <c r="E68" s="108"/>
      <c r="F68" s="41"/>
      <c r="G68" s="41"/>
      <c r="H68" s="250"/>
      <c r="I68" s="132"/>
      <c r="J68" s="24"/>
      <c r="L68" s="18" t="str">
        <f t="shared" si="7"/>
        <v/>
      </c>
      <c r="M68" s="18" t="str">
        <f t="shared" si="8"/>
        <v/>
      </c>
      <c r="N68" s="18" t="str">
        <f t="shared" si="9"/>
        <v/>
      </c>
      <c r="O68" s="18" t="str">
        <f t="shared" si="10"/>
        <v/>
      </c>
      <c r="P68" s="18" t="str">
        <f t="shared" si="11"/>
        <v/>
      </c>
      <c r="Q68" s="18" t="str">
        <f t="shared" si="12"/>
        <v/>
      </c>
      <c r="R68" s="18" t="str">
        <f t="shared" si="13"/>
        <v/>
      </c>
    </row>
    <row r="69" spans="1:18" ht="22.5" customHeight="1" x14ac:dyDescent="0.25">
      <c r="A69" s="19"/>
      <c r="B69" s="262"/>
      <c r="C69" s="107"/>
      <c r="D69" s="256"/>
      <c r="E69" s="107"/>
      <c r="F69" s="40"/>
      <c r="G69" s="40"/>
      <c r="H69" s="251"/>
      <c r="I69" s="131"/>
      <c r="J69" s="21"/>
      <c r="L69" s="18" t="str">
        <f t="shared" si="7"/>
        <v/>
      </c>
      <c r="M69" s="18" t="str">
        <f t="shared" si="8"/>
        <v/>
      </c>
      <c r="N69" s="18" t="str">
        <f t="shared" si="9"/>
        <v/>
      </c>
      <c r="O69" s="18" t="str">
        <f t="shared" si="10"/>
        <v/>
      </c>
      <c r="P69" s="18" t="str">
        <f t="shared" si="11"/>
        <v/>
      </c>
      <c r="Q69" s="18" t="str">
        <f t="shared" si="12"/>
        <v/>
      </c>
      <c r="R69" s="18" t="str">
        <f t="shared" si="13"/>
        <v/>
      </c>
    </row>
    <row r="70" spans="1:18" ht="22.5" customHeight="1" x14ac:dyDescent="0.25">
      <c r="A70" s="22"/>
      <c r="B70" s="261"/>
      <c r="C70" s="108"/>
      <c r="D70" s="255"/>
      <c r="E70" s="108"/>
      <c r="F70" s="41"/>
      <c r="G70" s="41"/>
      <c r="H70" s="250"/>
      <c r="I70" s="132"/>
      <c r="J70" s="24"/>
      <c r="L70" s="18" t="str">
        <f t="shared" si="7"/>
        <v/>
      </c>
      <c r="M70" s="18" t="str">
        <f t="shared" si="8"/>
        <v/>
      </c>
      <c r="N70" s="18" t="str">
        <f t="shared" si="9"/>
        <v/>
      </c>
      <c r="O70" s="18" t="str">
        <f t="shared" si="10"/>
        <v/>
      </c>
      <c r="P70" s="18" t="str">
        <f t="shared" si="11"/>
        <v/>
      </c>
      <c r="Q70" s="18" t="str">
        <f t="shared" si="12"/>
        <v/>
      </c>
      <c r="R70" s="18" t="str">
        <f t="shared" si="13"/>
        <v/>
      </c>
    </row>
    <row r="71" spans="1:18" ht="22.5" customHeight="1" x14ac:dyDescent="0.25">
      <c r="A71" s="19"/>
      <c r="B71" s="262"/>
      <c r="C71" s="107"/>
      <c r="D71" s="256"/>
      <c r="E71" s="107"/>
      <c r="F71" s="40"/>
      <c r="G71" s="40"/>
      <c r="H71" s="251"/>
      <c r="I71" s="131"/>
      <c r="J71" s="21"/>
      <c r="L71" s="18" t="str">
        <f t="shared" si="7"/>
        <v/>
      </c>
      <c r="M71" s="18" t="str">
        <f t="shared" si="8"/>
        <v/>
      </c>
      <c r="N71" s="18" t="str">
        <f t="shared" si="9"/>
        <v/>
      </c>
      <c r="O71" s="18" t="str">
        <f t="shared" si="10"/>
        <v/>
      </c>
      <c r="P71" s="18" t="str">
        <f t="shared" si="11"/>
        <v/>
      </c>
      <c r="Q71" s="18" t="str">
        <f t="shared" si="12"/>
        <v/>
      </c>
      <c r="R71" s="18" t="str">
        <f t="shared" si="13"/>
        <v/>
      </c>
    </row>
    <row r="72" spans="1:18" ht="22.5" customHeight="1" x14ac:dyDescent="0.25">
      <c r="A72" s="22"/>
      <c r="B72" s="261"/>
      <c r="C72" s="108"/>
      <c r="D72" s="255"/>
      <c r="E72" s="108"/>
      <c r="F72" s="41"/>
      <c r="G72" s="41"/>
      <c r="H72" s="250"/>
      <c r="I72" s="132"/>
      <c r="J72" s="24"/>
      <c r="L72" s="18" t="str">
        <f t="shared" si="7"/>
        <v/>
      </c>
      <c r="M72" s="18" t="str">
        <f t="shared" si="8"/>
        <v/>
      </c>
      <c r="N72" s="18" t="str">
        <f t="shared" si="9"/>
        <v/>
      </c>
      <c r="O72" s="18" t="str">
        <f t="shared" si="10"/>
        <v/>
      </c>
      <c r="P72" s="18" t="str">
        <f t="shared" si="11"/>
        <v/>
      </c>
      <c r="Q72" s="18" t="str">
        <f t="shared" si="12"/>
        <v/>
      </c>
      <c r="R72" s="18" t="str">
        <f t="shared" si="13"/>
        <v/>
      </c>
    </row>
    <row r="73" spans="1:18" ht="22.5" customHeight="1" x14ac:dyDescent="0.25">
      <c r="A73" s="19"/>
      <c r="B73" s="262"/>
      <c r="C73" s="107"/>
      <c r="D73" s="256"/>
      <c r="E73" s="107"/>
      <c r="F73" s="40"/>
      <c r="G73" s="40"/>
      <c r="H73" s="251"/>
      <c r="I73" s="131"/>
      <c r="J73" s="21"/>
      <c r="L73" s="18" t="str">
        <f t="shared" si="7"/>
        <v/>
      </c>
      <c r="M73" s="18" t="str">
        <f t="shared" si="8"/>
        <v/>
      </c>
      <c r="N73" s="18" t="str">
        <f t="shared" si="9"/>
        <v/>
      </c>
      <c r="O73" s="18" t="str">
        <f t="shared" si="10"/>
        <v/>
      </c>
      <c r="P73" s="18" t="str">
        <f t="shared" si="11"/>
        <v/>
      </c>
      <c r="Q73" s="18" t="str">
        <f t="shared" si="12"/>
        <v/>
      </c>
      <c r="R73" s="18" t="str">
        <f t="shared" si="13"/>
        <v/>
      </c>
    </row>
    <row r="74" spans="1:18" ht="22.5" customHeight="1" x14ac:dyDescent="0.25">
      <c r="A74" s="22"/>
      <c r="B74" s="261"/>
      <c r="C74" s="108"/>
      <c r="D74" s="255"/>
      <c r="E74" s="108"/>
      <c r="F74" s="41"/>
      <c r="G74" s="41"/>
      <c r="H74" s="250"/>
      <c r="I74" s="132"/>
      <c r="J74" s="24"/>
      <c r="L74" s="18" t="str">
        <f t="shared" si="7"/>
        <v/>
      </c>
      <c r="M74" s="18" t="str">
        <f t="shared" si="8"/>
        <v/>
      </c>
      <c r="N74" s="18" t="str">
        <f t="shared" si="9"/>
        <v/>
      </c>
      <c r="O74" s="18" t="str">
        <f t="shared" si="10"/>
        <v/>
      </c>
      <c r="P74" s="18" t="str">
        <f t="shared" si="11"/>
        <v/>
      </c>
      <c r="Q74" s="18" t="str">
        <f t="shared" si="12"/>
        <v/>
      </c>
      <c r="R74" s="18" t="str">
        <f t="shared" si="13"/>
        <v/>
      </c>
    </row>
    <row r="75" spans="1:18" ht="22.5" customHeight="1" x14ac:dyDescent="0.25">
      <c r="A75" s="19"/>
      <c r="B75" s="262"/>
      <c r="C75" s="107"/>
      <c r="D75" s="256"/>
      <c r="E75" s="107"/>
      <c r="F75" s="40"/>
      <c r="G75" s="40"/>
      <c r="H75" s="251"/>
      <c r="I75" s="131"/>
      <c r="J75" s="21"/>
      <c r="L75" s="18" t="str">
        <f t="shared" si="7"/>
        <v/>
      </c>
      <c r="M75" s="18" t="str">
        <f t="shared" si="8"/>
        <v/>
      </c>
      <c r="N75" s="18" t="str">
        <f t="shared" si="9"/>
        <v/>
      </c>
      <c r="O75" s="18" t="str">
        <f t="shared" si="10"/>
        <v/>
      </c>
      <c r="P75" s="18" t="str">
        <f t="shared" si="11"/>
        <v/>
      </c>
      <c r="Q75" s="18" t="str">
        <f t="shared" si="12"/>
        <v/>
      </c>
      <c r="R75" s="18" t="str">
        <f t="shared" si="13"/>
        <v/>
      </c>
    </row>
    <row r="76" spans="1:18" ht="22.5" customHeight="1" x14ac:dyDescent="0.25">
      <c r="A76" s="22"/>
      <c r="B76" s="261"/>
      <c r="C76" s="108"/>
      <c r="D76" s="255"/>
      <c r="E76" s="108"/>
      <c r="F76" s="41"/>
      <c r="G76" s="41"/>
      <c r="H76" s="250"/>
      <c r="I76" s="132"/>
      <c r="J76" s="24"/>
      <c r="L76" s="18" t="str">
        <f t="shared" si="7"/>
        <v/>
      </c>
      <c r="M76" s="18" t="str">
        <f t="shared" si="8"/>
        <v/>
      </c>
      <c r="N76" s="18" t="str">
        <f t="shared" si="9"/>
        <v/>
      </c>
      <c r="O76" s="18" t="str">
        <f t="shared" si="10"/>
        <v/>
      </c>
      <c r="P76" s="18" t="str">
        <f t="shared" si="11"/>
        <v/>
      </c>
      <c r="Q76" s="18" t="str">
        <f t="shared" si="12"/>
        <v/>
      </c>
      <c r="R76" s="18" t="str">
        <f t="shared" si="13"/>
        <v/>
      </c>
    </row>
    <row r="77" spans="1:18" ht="22.5" customHeight="1" x14ac:dyDescent="0.25">
      <c r="A77" s="19"/>
      <c r="B77" s="262"/>
      <c r="C77" s="107"/>
      <c r="D77" s="256"/>
      <c r="E77" s="107"/>
      <c r="F77" s="40"/>
      <c r="G77" s="40"/>
      <c r="H77" s="251"/>
      <c r="I77" s="131"/>
      <c r="J77" s="21"/>
      <c r="L77" s="18" t="str">
        <f t="shared" si="7"/>
        <v/>
      </c>
      <c r="M77" s="18" t="str">
        <f t="shared" si="8"/>
        <v/>
      </c>
      <c r="N77" s="18" t="str">
        <f t="shared" si="9"/>
        <v/>
      </c>
      <c r="O77" s="18" t="str">
        <f t="shared" si="10"/>
        <v/>
      </c>
      <c r="P77" s="18" t="str">
        <f t="shared" si="11"/>
        <v/>
      </c>
      <c r="Q77" s="18" t="str">
        <f t="shared" si="12"/>
        <v/>
      </c>
      <c r="R77" s="18" t="str">
        <f t="shared" si="13"/>
        <v/>
      </c>
    </row>
    <row r="78" spans="1:18" ht="22.5" customHeight="1" x14ac:dyDescent="0.25">
      <c r="A78" s="22"/>
      <c r="B78" s="261"/>
      <c r="C78" s="108"/>
      <c r="D78" s="255"/>
      <c r="E78" s="108"/>
      <c r="F78" s="41"/>
      <c r="G78" s="41"/>
      <c r="H78" s="250"/>
      <c r="I78" s="132"/>
      <c r="J78" s="24"/>
      <c r="L78" s="18" t="str">
        <f t="shared" si="7"/>
        <v/>
      </c>
      <c r="M78" s="18" t="str">
        <f t="shared" si="8"/>
        <v/>
      </c>
      <c r="N78" s="18" t="str">
        <f t="shared" si="9"/>
        <v/>
      </c>
      <c r="O78" s="18" t="str">
        <f t="shared" si="10"/>
        <v/>
      </c>
      <c r="P78" s="18" t="str">
        <f t="shared" si="11"/>
        <v/>
      </c>
      <c r="Q78" s="18" t="str">
        <f t="shared" si="12"/>
        <v/>
      </c>
      <c r="R78" s="18" t="str">
        <f t="shared" si="13"/>
        <v/>
      </c>
    </row>
    <row r="79" spans="1:18" ht="22.5" customHeight="1" x14ac:dyDescent="0.25">
      <c r="A79" s="19"/>
      <c r="B79" s="262"/>
      <c r="C79" s="107"/>
      <c r="D79" s="256"/>
      <c r="E79" s="107"/>
      <c r="F79" s="40"/>
      <c r="G79" s="40"/>
      <c r="H79" s="251"/>
      <c r="I79" s="131"/>
      <c r="J79" s="21"/>
      <c r="L79" s="18" t="str">
        <f t="shared" si="7"/>
        <v/>
      </c>
      <c r="M79" s="18" t="str">
        <f t="shared" si="8"/>
        <v/>
      </c>
      <c r="N79" s="18" t="str">
        <f t="shared" si="9"/>
        <v/>
      </c>
      <c r="O79" s="18" t="str">
        <f t="shared" si="10"/>
        <v/>
      </c>
      <c r="P79" s="18" t="str">
        <f t="shared" si="11"/>
        <v/>
      </c>
      <c r="Q79" s="18" t="str">
        <f t="shared" si="12"/>
        <v/>
      </c>
      <c r="R79" s="18" t="str">
        <f t="shared" si="13"/>
        <v/>
      </c>
    </row>
    <row r="80" spans="1:18" ht="22.5" customHeight="1" x14ac:dyDescent="0.25">
      <c r="A80" s="22"/>
      <c r="B80" s="261"/>
      <c r="C80" s="108"/>
      <c r="D80" s="255"/>
      <c r="E80" s="108"/>
      <c r="F80" s="41"/>
      <c r="G80" s="41"/>
      <c r="H80" s="250"/>
      <c r="I80" s="132"/>
      <c r="J80" s="24"/>
      <c r="L80" s="18" t="str">
        <f t="shared" si="7"/>
        <v/>
      </c>
      <c r="M80" s="18" t="str">
        <f t="shared" si="8"/>
        <v/>
      </c>
      <c r="N80" s="18" t="str">
        <f t="shared" si="9"/>
        <v/>
      </c>
      <c r="O80" s="18" t="str">
        <f t="shared" si="10"/>
        <v/>
      </c>
      <c r="P80" s="18" t="str">
        <f t="shared" si="11"/>
        <v/>
      </c>
      <c r="Q80" s="18" t="str">
        <f t="shared" si="12"/>
        <v/>
      </c>
      <c r="R80" s="18" t="str">
        <f t="shared" si="13"/>
        <v/>
      </c>
    </row>
    <row r="81" spans="1:18" ht="22.5" customHeight="1" x14ac:dyDescent="0.25">
      <c r="A81" s="19"/>
      <c r="B81" s="262"/>
      <c r="C81" s="107"/>
      <c r="D81" s="256"/>
      <c r="E81" s="107"/>
      <c r="F81" s="40"/>
      <c r="G81" s="40"/>
      <c r="H81" s="251"/>
      <c r="I81" s="131"/>
      <c r="J81" s="21"/>
      <c r="L81" s="18" t="str">
        <f t="shared" si="7"/>
        <v/>
      </c>
      <c r="M81" s="18" t="str">
        <f t="shared" si="8"/>
        <v/>
      </c>
      <c r="N81" s="18" t="str">
        <f t="shared" si="9"/>
        <v/>
      </c>
      <c r="O81" s="18" t="str">
        <f t="shared" si="10"/>
        <v/>
      </c>
      <c r="P81" s="18" t="str">
        <f t="shared" si="11"/>
        <v/>
      </c>
      <c r="Q81" s="18" t="str">
        <f t="shared" si="12"/>
        <v/>
      </c>
      <c r="R81" s="18" t="str">
        <f t="shared" si="13"/>
        <v/>
      </c>
    </row>
    <row r="82" spans="1:18" ht="22.5" customHeight="1" x14ac:dyDescent="0.25">
      <c r="A82" s="22"/>
      <c r="B82" s="261"/>
      <c r="C82" s="108"/>
      <c r="D82" s="255"/>
      <c r="E82" s="108"/>
      <c r="F82" s="41"/>
      <c r="G82" s="41"/>
      <c r="H82" s="250"/>
      <c r="I82" s="132"/>
      <c r="J82" s="24"/>
      <c r="L82" s="18" t="str">
        <f t="shared" si="7"/>
        <v/>
      </c>
      <c r="M82" s="18" t="str">
        <f t="shared" si="8"/>
        <v/>
      </c>
      <c r="N82" s="18" t="str">
        <f t="shared" si="9"/>
        <v/>
      </c>
      <c r="O82" s="18" t="str">
        <f t="shared" si="10"/>
        <v/>
      </c>
      <c r="P82" s="18" t="str">
        <f t="shared" si="11"/>
        <v/>
      </c>
      <c r="Q82" s="18" t="str">
        <f t="shared" si="12"/>
        <v/>
      </c>
      <c r="R82" s="18" t="str">
        <f t="shared" si="13"/>
        <v/>
      </c>
    </row>
    <row r="83" spans="1:18" ht="22.5" customHeight="1" x14ac:dyDescent="0.25">
      <c r="A83" s="19"/>
      <c r="B83" s="262"/>
      <c r="C83" s="107"/>
      <c r="D83" s="256"/>
      <c r="E83" s="107"/>
      <c r="F83" s="40"/>
      <c r="G83" s="40"/>
      <c r="H83" s="251"/>
      <c r="I83" s="131"/>
      <c r="J83" s="21"/>
      <c r="L83" s="18" t="str">
        <f t="shared" si="7"/>
        <v/>
      </c>
      <c r="M83" s="18" t="str">
        <f t="shared" si="8"/>
        <v/>
      </c>
      <c r="N83" s="18" t="str">
        <f t="shared" si="9"/>
        <v/>
      </c>
      <c r="O83" s="18" t="str">
        <f t="shared" si="10"/>
        <v/>
      </c>
      <c r="P83" s="18" t="str">
        <f t="shared" si="11"/>
        <v/>
      </c>
      <c r="Q83" s="18" t="str">
        <f t="shared" si="12"/>
        <v/>
      </c>
      <c r="R83" s="18" t="str">
        <f t="shared" si="13"/>
        <v/>
      </c>
    </row>
    <row r="84" spans="1:18" ht="22.5" customHeight="1" x14ac:dyDescent="0.25">
      <c r="A84" s="22"/>
      <c r="B84" s="261"/>
      <c r="C84" s="108"/>
      <c r="D84" s="255"/>
      <c r="E84" s="108"/>
      <c r="F84" s="41"/>
      <c r="G84" s="41"/>
      <c r="H84" s="250"/>
      <c r="I84" s="132"/>
      <c r="J84" s="24"/>
      <c r="L84" s="18" t="str">
        <f t="shared" si="7"/>
        <v/>
      </c>
      <c r="M84" s="18" t="str">
        <f t="shared" si="8"/>
        <v/>
      </c>
      <c r="N84" s="18" t="str">
        <f t="shared" si="9"/>
        <v/>
      </c>
      <c r="O84" s="18" t="str">
        <f t="shared" si="10"/>
        <v/>
      </c>
      <c r="P84" s="18" t="str">
        <f t="shared" si="11"/>
        <v/>
      </c>
      <c r="Q84" s="18" t="str">
        <f t="shared" si="12"/>
        <v/>
      </c>
      <c r="R84" s="18" t="str">
        <f t="shared" si="13"/>
        <v/>
      </c>
    </row>
    <row r="85" spans="1:18" ht="22.5" customHeight="1" x14ac:dyDescent="0.25">
      <c r="A85" s="19"/>
      <c r="B85" s="262"/>
      <c r="C85" s="107"/>
      <c r="D85" s="256"/>
      <c r="E85" s="107"/>
      <c r="F85" s="40"/>
      <c r="G85" s="40"/>
      <c r="H85" s="251"/>
      <c r="I85" s="131"/>
      <c r="J85" s="21"/>
      <c r="L85" s="18" t="str">
        <f t="shared" si="7"/>
        <v/>
      </c>
      <c r="M85" s="18" t="str">
        <f t="shared" si="8"/>
        <v/>
      </c>
      <c r="N85" s="18" t="str">
        <f t="shared" si="9"/>
        <v/>
      </c>
      <c r="O85" s="18" t="str">
        <f t="shared" si="10"/>
        <v/>
      </c>
      <c r="P85" s="18" t="str">
        <f t="shared" si="11"/>
        <v/>
      </c>
      <c r="Q85" s="18" t="str">
        <f t="shared" si="12"/>
        <v/>
      </c>
      <c r="R85" s="18" t="str">
        <f t="shared" si="13"/>
        <v/>
      </c>
    </row>
    <row r="86" spans="1:18" ht="22.5" customHeight="1" x14ac:dyDescent="0.25">
      <c r="A86" s="22"/>
      <c r="B86" s="261"/>
      <c r="C86" s="108"/>
      <c r="D86" s="255"/>
      <c r="E86" s="108"/>
      <c r="F86" s="41"/>
      <c r="G86" s="41"/>
      <c r="H86" s="250"/>
      <c r="I86" s="132"/>
      <c r="J86" s="24"/>
      <c r="L86" s="18" t="str">
        <f t="shared" si="7"/>
        <v/>
      </c>
      <c r="M86" s="18" t="str">
        <f t="shared" si="8"/>
        <v/>
      </c>
      <c r="N86" s="18" t="str">
        <f t="shared" si="9"/>
        <v/>
      </c>
      <c r="O86" s="18" t="str">
        <f t="shared" si="10"/>
        <v/>
      </c>
      <c r="P86" s="18" t="str">
        <f t="shared" si="11"/>
        <v/>
      </c>
      <c r="Q86" s="18" t="str">
        <f t="shared" si="12"/>
        <v/>
      </c>
      <c r="R86" s="18" t="str">
        <f t="shared" si="13"/>
        <v/>
      </c>
    </row>
    <row r="87" spans="1:18" ht="22.5" customHeight="1" x14ac:dyDescent="0.25">
      <c r="A87" s="19"/>
      <c r="B87" s="262"/>
      <c r="C87" s="107"/>
      <c r="D87" s="256"/>
      <c r="E87" s="107"/>
      <c r="F87" s="40"/>
      <c r="G87" s="40"/>
      <c r="H87" s="251"/>
      <c r="I87" s="131"/>
      <c r="J87" s="21"/>
      <c r="L87" s="18" t="str">
        <f t="shared" si="7"/>
        <v/>
      </c>
      <c r="M87" s="18" t="str">
        <f t="shared" si="8"/>
        <v/>
      </c>
      <c r="N87" s="18" t="str">
        <f t="shared" si="9"/>
        <v/>
      </c>
      <c r="O87" s="18" t="str">
        <f t="shared" si="10"/>
        <v/>
      </c>
      <c r="P87" s="18" t="str">
        <f t="shared" si="11"/>
        <v/>
      </c>
      <c r="Q87" s="18" t="str">
        <f t="shared" si="12"/>
        <v/>
      </c>
      <c r="R87" s="18" t="str">
        <f t="shared" si="13"/>
        <v/>
      </c>
    </row>
    <row r="88" spans="1:18" ht="22.5" customHeight="1" x14ac:dyDescent="0.25">
      <c r="A88" s="22"/>
      <c r="B88" s="261"/>
      <c r="C88" s="108"/>
      <c r="D88" s="255"/>
      <c r="E88" s="108"/>
      <c r="F88" s="41"/>
      <c r="G88" s="41"/>
      <c r="H88" s="250"/>
      <c r="I88" s="132"/>
      <c r="J88" s="24"/>
      <c r="L88" s="18" t="str">
        <f t="shared" si="7"/>
        <v/>
      </c>
      <c r="M88" s="18" t="str">
        <f t="shared" si="8"/>
        <v/>
      </c>
      <c r="N88" s="18" t="str">
        <f t="shared" si="9"/>
        <v/>
      </c>
      <c r="O88" s="18" t="str">
        <f t="shared" si="10"/>
        <v/>
      </c>
      <c r="P88" s="18" t="str">
        <f t="shared" si="11"/>
        <v/>
      </c>
      <c r="Q88" s="18" t="str">
        <f t="shared" si="12"/>
        <v/>
      </c>
      <c r="R88" s="18" t="str">
        <f t="shared" si="13"/>
        <v/>
      </c>
    </row>
    <row r="89" spans="1:18" ht="22.5" customHeight="1" x14ac:dyDescent="0.25">
      <c r="A89" s="19"/>
      <c r="B89" s="262"/>
      <c r="C89" s="107"/>
      <c r="D89" s="256"/>
      <c r="E89" s="107"/>
      <c r="F89" s="40"/>
      <c r="G89" s="40"/>
      <c r="H89" s="251"/>
      <c r="I89" s="131"/>
      <c r="J89" s="21"/>
      <c r="L89" s="18" t="str">
        <f t="shared" si="7"/>
        <v/>
      </c>
      <c r="M89" s="18" t="str">
        <f t="shared" si="8"/>
        <v/>
      </c>
      <c r="N89" s="18" t="str">
        <f t="shared" si="9"/>
        <v/>
      </c>
      <c r="O89" s="18" t="str">
        <f t="shared" si="10"/>
        <v/>
      </c>
      <c r="P89" s="18" t="str">
        <f t="shared" si="11"/>
        <v/>
      </c>
      <c r="Q89" s="18" t="str">
        <f t="shared" si="12"/>
        <v/>
      </c>
      <c r="R89" s="18" t="str">
        <f t="shared" si="13"/>
        <v/>
      </c>
    </row>
    <row r="90" spans="1:18" ht="22.5" customHeight="1" x14ac:dyDescent="0.25">
      <c r="A90" s="22"/>
      <c r="B90" s="261"/>
      <c r="C90" s="108"/>
      <c r="D90" s="255"/>
      <c r="E90" s="108"/>
      <c r="F90" s="41"/>
      <c r="G90" s="41"/>
      <c r="H90" s="250"/>
      <c r="I90" s="132"/>
      <c r="J90" s="24"/>
      <c r="L90" s="18" t="str">
        <f t="shared" si="7"/>
        <v/>
      </c>
      <c r="M90" s="18" t="str">
        <f t="shared" si="8"/>
        <v/>
      </c>
      <c r="N90" s="18" t="str">
        <f t="shared" si="9"/>
        <v/>
      </c>
      <c r="O90" s="18" t="str">
        <f t="shared" si="10"/>
        <v/>
      </c>
      <c r="P90" s="18" t="str">
        <f t="shared" si="11"/>
        <v/>
      </c>
      <c r="Q90" s="18" t="str">
        <f t="shared" si="12"/>
        <v/>
      </c>
      <c r="R90" s="18" t="str">
        <f t="shared" si="13"/>
        <v/>
      </c>
    </row>
    <row r="91" spans="1:18" ht="22.5" customHeight="1" x14ac:dyDescent="0.25">
      <c r="A91" s="19"/>
      <c r="B91" s="262"/>
      <c r="C91" s="107"/>
      <c r="D91" s="256"/>
      <c r="E91" s="107"/>
      <c r="F91" s="40"/>
      <c r="G91" s="40"/>
      <c r="H91" s="251"/>
      <c r="I91" s="131"/>
      <c r="J91" s="21"/>
      <c r="L91" s="18" t="str">
        <f t="shared" si="7"/>
        <v/>
      </c>
      <c r="M91" s="18" t="str">
        <f t="shared" si="8"/>
        <v/>
      </c>
      <c r="N91" s="18" t="str">
        <f t="shared" si="9"/>
        <v/>
      </c>
      <c r="O91" s="18" t="str">
        <f t="shared" si="10"/>
        <v/>
      </c>
      <c r="P91" s="18" t="str">
        <f t="shared" si="11"/>
        <v/>
      </c>
      <c r="Q91" s="18" t="str">
        <f t="shared" si="12"/>
        <v/>
      </c>
      <c r="R91" s="18" t="str">
        <f t="shared" si="13"/>
        <v/>
      </c>
    </row>
    <row r="92" spans="1:18" ht="22.5" customHeight="1" x14ac:dyDescent="0.25">
      <c r="A92" s="22"/>
      <c r="B92" s="261"/>
      <c r="C92" s="108"/>
      <c r="D92" s="255"/>
      <c r="E92" s="108"/>
      <c r="F92" s="41"/>
      <c r="G92" s="41"/>
      <c r="H92" s="250"/>
      <c r="I92" s="132"/>
      <c r="J92" s="24"/>
      <c r="L92" s="18" t="str">
        <f t="shared" si="7"/>
        <v/>
      </c>
      <c r="M92" s="18" t="str">
        <f t="shared" si="8"/>
        <v/>
      </c>
      <c r="N92" s="18" t="str">
        <f t="shared" si="9"/>
        <v/>
      </c>
      <c r="O92" s="18" t="str">
        <f t="shared" si="10"/>
        <v/>
      </c>
      <c r="P92" s="18" t="str">
        <f t="shared" si="11"/>
        <v/>
      </c>
      <c r="Q92" s="18" t="str">
        <f t="shared" si="12"/>
        <v/>
      </c>
      <c r="R92" s="18" t="str">
        <f t="shared" si="13"/>
        <v/>
      </c>
    </row>
    <row r="93" spans="1:18" ht="22.5" customHeight="1" x14ac:dyDescent="0.25">
      <c r="A93" s="19"/>
      <c r="B93" s="262"/>
      <c r="C93" s="107"/>
      <c r="D93" s="256"/>
      <c r="E93" s="107"/>
      <c r="F93" s="40"/>
      <c r="G93" s="40"/>
      <c r="H93" s="251"/>
      <c r="I93" s="131"/>
      <c r="J93" s="21"/>
      <c r="L93" s="18" t="str">
        <f t="shared" si="7"/>
        <v/>
      </c>
      <c r="M93" s="18" t="str">
        <f t="shared" si="8"/>
        <v/>
      </c>
      <c r="N93" s="18" t="str">
        <f t="shared" si="9"/>
        <v/>
      </c>
      <c r="O93" s="18" t="str">
        <f t="shared" si="10"/>
        <v/>
      </c>
      <c r="P93" s="18" t="str">
        <f t="shared" si="11"/>
        <v/>
      </c>
      <c r="Q93" s="18" t="str">
        <f t="shared" si="12"/>
        <v/>
      </c>
      <c r="R93" s="18" t="str">
        <f t="shared" si="13"/>
        <v/>
      </c>
    </row>
    <row r="94" spans="1:18" ht="22.5" customHeight="1" x14ac:dyDescent="0.25">
      <c r="A94" s="22"/>
      <c r="B94" s="261"/>
      <c r="C94" s="108"/>
      <c r="D94" s="255"/>
      <c r="E94" s="108"/>
      <c r="F94" s="41"/>
      <c r="G94" s="41"/>
      <c r="H94" s="250"/>
      <c r="I94" s="132"/>
      <c r="J94" s="24"/>
      <c r="L94" s="18" t="str">
        <f t="shared" si="7"/>
        <v/>
      </c>
      <c r="M94" s="18" t="str">
        <f t="shared" si="8"/>
        <v/>
      </c>
      <c r="N94" s="18" t="str">
        <f t="shared" si="9"/>
        <v/>
      </c>
      <c r="O94" s="18" t="str">
        <f t="shared" si="10"/>
        <v/>
      </c>
      <c r="P94" s="18" t="str">
        <f t="shared" si="11"/>
        <v/>
      </c>
      <c r="Q94" s="18" t="str">
        <f t="shared" si="12"/>
        <v/>
      </c>
      <c r="R94" s="18" t="str">
        <f t="shared" si="13"/>
        <v/>
      </c>
    </row>
    <row r="95" spans="1:18" ht="22.5" customHeight="1" x14ac:dyDescent="0.25">
      <c r="A95" s="19"/>
      <c r="B95" s="262"/>
      <c r="C95" s="107"/>
      <c r="D95" s="256"/>
      <c r="E95" s="107"/>
      <c r="F95" s="40"/>
      <c r="G95" s="40"/>
      <c r="H95" s="251"/>
      <c r="I95" s="131"/>
      <c r="J95" s="21"/>
      <c r="L95" s="18" t="str">
        <f t="shared" si="7"/>
        <v/>
      </c>
      <c r="M95" s="18" t="str">
        <f t="shared" si="8"/>
        <v/>
      </c>
      <c r="N95" s="18" t="str">
        <f t="shared" si="9"/>
        <v/>
      </c>
      <c r="O95" s="18" t="str">
        <f t="shared" si="10"/>
        <v/>
      </c>
      <c r="P95" s="18" t="str">
        <f t="shared" si="11"/>
        <v/>
      </c>
      <c r="Q95" s="18" t="str">
        <f t="shared" si="12"/>
        <v/>
      </c>
      <c r="R95" s="18" t="str">
        <f t="shared" si="13"/>
        <v/>
      </c>
    </row>
    <row r="96" spans="1:18" ht="22.5" customHeight="1" x14ac:dyDescent="0.25">
      <c r="A96" s="22"/>
      <c r="B96" s="261"/>
      <c r="C96" s="108"/>
      <c r="D96" s="255"/>
      <c r="E96" s="108"/>
      <c r="F96" s="41"/>
      <c r="G96" s="41"/>
      <c r="H96" s="250"/>
      <c r="I96" s="132"/>
      <c r="J96" s="24"/>
      <c r="L96" s="18" t="str">
        <f t="shared" si="7"/>
        <v/>
      </c>
      <c r="M96" s="18" t="str">
        <f t="shared" si="8"/>
        <v/>
      </c>
      <c r="N96" s="18" t="str">
        <f t="shared" si="9"/>
        <v/>
      </c>
      <c r="O96" s="18" t="str">
        <f t="shared" si="10"/>
        <v/>
      </c>
      <c r="P96" s="18" t="str">
        <f t="shared" si="11"/>
        <v/>
      </c>
      <c r="Q96" s="18" t="str">
        <f t="shared" si="12"/>
        <v/>
      </c>
      <c r="R96" s="18" t="str">
        <f t="shared" si="13"/>
        <v/>
      </c>
    </row>
    <row r="97" spans="1:18" ht="22.5" customHeight="1" x14ac:dyDescent="0.25">
      <c r="A97" s="19"/>
      <c r="B97" s="262"/>
      <c r="C97" s="107"/>
      <c r="D97" s="256"/>
      <c r="E97" s="107"/>
      <c r="F97" s="40"/>
      <c r="G97" s="40"/>
      <c r="H97" s="251"/>
      <c r="I97" s="131"/>
      <c r="J97" s="21"/>
      <c r="L97" s="18" t="str">
        <f t="shared" si="7"/>
        <v/>
      </c>
      <c r="M97" s="18" t="str">
        <f t="shared" si="8"/>
        <v/>
      </c>
      <c r="N97" s="18" t="str">
        <f t="shared" si="9"/>
        <v/>
      </c>
      <c r="O97" s="18" t="str">
        <f t="shared" si="10"/>
        <v/>
      </c>
      <c r="P97" s="18" t="str">
        <f t="shared" si="11"/>
        <v/>
      </c>
      <c r="Q97" s="18" t="str">
        <f t="shared" si="12"/>
        <v/>
      </c>
      <c r="R97" s="18" t="str">
        <f t="shared" si="13"/>
        <v/>
      </c>
    </row>
    <row r="98" spans="1:18" ht="22.5" customHeight="1" x14ac:dyDescent="0.25">
      <c r="A98" s="22"/>
      <c r="B98" s="261"/>
      <c r="C98" s="108"/>
      <c r="D98" s="255"/>
      <c r="E98" s="108"/>
      <c r="F98" s="41"/>
      <c r="G98" s="41"/>
      <c r="H98" s="250"/>
      <c r="I98" s="132"/>
      <c r="J98" s="24"/>
      <c r="L98" s="18" t="str">
        <f t="shared" si="7"/>
        <v/>
      </c>
      <c r="M98" s="18" t="str">
        <f t="shared" si="8"/>
        <v/>
      </c>
      <c r="N98" s="18" t="str">
        <f t="shared" si="9"/>
        <v/>
      </c>
      <c r="O98" s="18" t="str">
        <f t="shared" si="10"/>
        <v/>
      </c>
      <c r="P98" s="18" t="str">
        <f t="shared" si="11"/>
        <v/>
      </c>
      <c r="Q98" s="18" t="str">
        <f t="shared" si="12"/>
        <v/>
      </c>
      <c r="R98" s="18" t="str">
        <f t="shared" si="13"/>
        <v/>
      </c>
    </row>
    <row r="99" spans="1:18" ht="22.5" customHeight="1" x14ac:dyDescent="0.25">
      <c r="A99" s="19"/>
      <c r="B99" s="262"/>
      <c r="C99" s="107"/>
      <c r="D99" s="256"/>
      <c r="E99" s="107"/>
      <c r="F99" s="40"/>
      <c r="G99" s="40"/>
      <c r="H99" s="251"/>
      <c r="I99" s="131"/>
      <c r="J99" s="21"/>
      <c r="L99" s="18" t="str">
        <f t="shared" si="7"/>
        <v/>
      </c>
      <c r="M99" s="18" t="str">
        <f t="shared" si="8"/>
        <v/>
      </c>
      <c r="N99" s="18" t="str">
        <f t="shared" si="9"/>
        <v/>
      </c>
      <c r="O99" s="18" t="str">
        <f t="shared" si="10"/>
        <v/>
      </c>
      <c r="P99" s="18" t="str">
        <f t="shared" si="11"/>
        <v/>
      </c>
      <c r="Q99" s="18" t="str">
        <f t="shared" si="12"/>
        <v/>
      </c>
      <c r="R99" s="18" t="str">
        <f t="shared" si="13"/>
        <v/>
      </c>
    </row>
    <row r="100" spans="1:18" ht="22.5" customHeight="1" x14ac:dyDescent="0.25">
      <c r="A100" s="22"/>
      <c r="B100" s="261"/>
      <c r="C100" s="108"/>
      <c r="D100" s="255"/>
      <c r="E100" s="108"/>
      <c r="F100" s="41"/>
      <c r="G100" s="41"/>
      <c r="H100" s="250"/>
      <c r="I100" s="132"/>
      <c r="J100" s="24"/>
      <c r="L100" s="18" t="str">
        <f t="shared" si="7"/>
        <v/>
      </c>
      <c r="M100" s="18" t="str">
        <f t="shared" si="8"/>
        <v/>
      </c>
      <c r="N100" s="18" t="str">
        <f t="shared" si="9"/>
        <v/>
      </c>
      <c r="O100" s="18" t="str">
        <f t="shared" si="10"/>
        <v/>
      </c>
      <c r="P100" s="18" t="str">
        <f t="shared" si="11"/>
        <v/>
      </c>
      <c r="Q100" s="18" t="str">
        <f t="shared" si="12"/>
        <v/>
      </c>
      <c r="R100" s="18" t="str">
        <f t="shared" si="13"/>
        <v/>
      </c>
    </row>
    <row r="101" spans="1:18" ht="22.5" customHeight="1" x14ac:dyDescent="0.25">
      <c r="A101" s="19"/>
      <c r="B101" s="262"/>
      <c r="C101" s="107"/>
      <c r="D101" s="256"/>
      <c r="E101" s="107"/>
      <c r="F101" s="40"/>
      <c r="G101" s="40"/>
      <c r="H101" s="251"/>
      <c r="I101" s="131"/>
      <c r="J101" s="21"/>
      <c r="L101" s="18" t="str">
        <f t="shared" si="7"/>
        <v/>
      </c>
      <c r="M101" s="18" t="str">
        <f t="shared" si="8"/>
        <v/>
      </c>
      <c r="N101" s="18" t="str">
        <f t="shared" si="9"/>
        <v/>
      </c>
      <c r="O101" s="18" t="str">
        <f t="shared" si="10"/>
        <v/>
      </c>
      <c r="P101" s="18" t="str">
        <f t="shared" si="11"/>
        <v/>
      </c>
      <c r="Q101" s="18" t="str">
        <f t="shared" si="12"/>
        <v/>
      </c>
      <c r="R101" s="18" t="str">
        <f t="shared" si="13"/>
        <v/>
      </c>
    </row>
    <row r="102" spans="1:18" ht="22.5" customHeight="1" x14ac:dyDescent="0.25">
      <c r="A102" s="22"/>
      <c r="B102" s="261"/>
      <c r="C102" s="108"/>
      <c r="D102" s="255"/>
      <c r="E102" s="108"/>
      <c r="F102" s="41"/>
      <c r="G102" s="41"/>
      <c r="H102" s="250"/>
      <c r="I102" s="132"/>
      <c r="J102" s="24"/>
      <c r="L102" s="18" t="str">
        <f t="shared" si="7"/>
        <v/>
      </c>
      <c r="M102" s="18" t="str">
        <f t="shared" si="8"/>
        <v/>
      </c>
      <c r="N102" s="18" t="str">
        <f t="shared" si="9"/>
        <v/>
      </c>
      <c r="O102" s="18" t="str">
        <f t="shared" si="10"/>
        <v/>
      </c>
      <c r="P102" s="18" t="str">
        <f t="shared" si="11"/>
        <v/>
      </c>
      <c r="Q102" s="18" t="str">
        <f t="shared" si="12"/>
        <v/>
      </c>
      <c r="R102" s="18" t="str">
        <f t="shared" si="13"/>
        <v/>
      </c>
    </row>
    <row r="103" spans="1:18" ht="22.5" customHeight="1" x14ac:dyDescent="0.25">
      <c r="A103" s="19"/>
      <c r="B103" s="262"/>
      <c r="C103" s="107"/>
      <c r="D103" s="256"/>
      <c r="E103" s="107"/>
      <c r="F103" s="40"/>
      <c r="G103" s="40"/>
      <c r="H103" s="251"/>
      <c r="I103" s="131"/>
      <c r="J103" s="21"/>
      <c r="L103" s="18" t="str">
        <f t="shared" si="7"/>
        <v/>
      </c>
      <c r="M103" s="18" t="str">
        <f t="shared" si="8"/>
        <v/>
      </c>
      <c r="N103" s="18" t="str">
        <f t="shared" si="9"/>
        <v/>
      </c>
      <c r="O103" s="18" t="str">
        <f t="shared" si="10"/>
        <v/>
      </c>
      <c r="P103" s="18" t="str">
        <f t="shared" si="11"/>
        <v/>
      </c>
      <c r="Q103" s="18" t="str">
        <f t="shared" si="12"/>
        <v/>
      </c>
      <c r="R103" s="18" t="str">
        <f t="shared" si="13"/>
        <v/>
      </c>
    </row>
    <row r="104" spans="1:18" ht="22.5" customHeight="1" x14ac:dyDescent="0.25">
      <c r="A104" s="22"/>
      <c r="B104" s="261"/>
      <c r="C104" s="108"/>
      <c r="D104" s="255"/>
      <c r="E104" s="108"/>
      <c r="F104" s="41"/>
      <c r="G104" s="41"/>
      <c r="H104" s="250"/>
      <c r="I104" s="132"/>
      <c r="J104" s="24"/>
      <c r="L104" s="18" t="str">
        <f t="shared" si="7"/>
        <v/>
      </c>
      <c r="M104" s="18" t="str">
        <f t="shared" si="8"/>
        <v/>
      </c>
      <c r="N104" s="18" t="str">
        <f t="shared" si="9"/>
        <v/>
      </c>
      <c r="O104" s="18" t="str">
        <f t="shared" si="10"/>
        <v/>
      </c>
      <c r="P104" s="18" t="str">
        <f t="shared" si="11"/>
        <v/>
      </c>
      <c r="Q104" s="18" t="str">
        <f t="shared" si="12"/>
        <v/>
      </c>
      <c r="R104" s="18" t="str">
        <f t="shared" si="13"/>
        <v/>
      </c>
    </row>
    <row r="105" spans="1:18" ht="22.5" customHeight="1" x14ac:dyDescent="0.25">
      <c r="A105" s="19"/>
      <c r="B105" s="262"/>
      <c r="C105" s="107"/>
      <c r="D105" s="256"/>
      <c r="E105" s="107"/>
      <c r="F105" s="40"/>
      <c r="G105" s="40"/>
      <c r="H105" s="251"/>
      <c r="I105" s="131"/>
      <c r="J105" s="21"/>
      <c r="L105" s="18" t="str">
        <f t="shared" si="7"/>
        <v/>
      </c>
      <c r="M105" s="18" t="str">
        <f t="shared" si="8"/>
        <v/>
      </c>
      <c r="N105" s="18" t="str">
        <f t="shared" si="9"/>
        <v/>
      </c>
      <c r="O105" s="18" t="str">
        <f t="shared" si="10"/>
        <v/>
      </c>
      <c r="P105" s="18" t="str">
        <f t="shared" si="11"/>
        <v/>
      </c>
      <c r="Q105" s="18" t="str">
        <f t="shared" si="12"/>
        <v/>
      </c>
      <c r="R105" s="18" t="str">
        <f t="shared" si="13"/>
        <v/>
      </c>
    </row>
    <row r="106" spans="1:18" ht="22.5" customHeight="1" x14ac:dyDescent="0.25">
      <c r="A106" s="22"/>
      <c r="B106" s="261"/>
      <c r="C106" s="108"/>
      <c r="D106" s="255"/>
      <c r="E106" s="108"/>
      <c r="F106" s="41"/>
      <c r="G106" s="41"/>
      <c r="H106" s="250"/>
      <c r="I106" s="132"/>
      <c r="J106" s="24"/>
      <c r="L106" s="18" t="str">
        <f t="shared" si="7"/>
        <v/>
      </c>
      <c r="M106" s="18" t="str">
        <f t="shared" si="8"/>
        <v/>
      </c>
      <c r="N106" s="18" t="str">
        <f t="shared" si="9"/>
        <v/>
      </c>
      <c r="O106" s="18" t="str">
        <f t="shared" si="10"/>
        <v/>
      </c>
      <c r="P106" s="18" t="str">
        <f t="shared" si="11"/>
        <v/>
      </c>
      <c r="Q106" s="18" t="str">
        <f t="shared" si="12"/>
        <v/>
      </c>
      <c r="R106" s="18" t="str">
        <f t="shared" si="13"/>
        <v/>
      </c>
    </row>
    <row r="107" spans="1:18" ht="22.5" customHeight="1" x14ac:dyDescent="0.25">
      <c r="A107" s="19"/>
      <c r="B107" s="262"/>
      <c r="C107" s="107"/>
      <c r="D107" s="256"/>
      <c r="E107" s="107"/>
      <c r="F107" s="40"/>
      <c r="G107" s="40"/>
      <c r="H107" s="251"/>
      <c r="I107" s="131"/>
      <c r="J107" s="21"/>
      <c r="L107" s="18" t="str">
        <f t="shared" si="7"/>
        <v/>
      </c>
      <c r="M107" s="18" t="str">
        <f t="shared" si="8"/>
        <v/>
      </c>
      <c r="N107" s="18" t="str">
        <f t="shared" si="9"/>
        <v/>
      </c>
      <c r="O107" s="18" t="str">
        <f t="shared" si="10"/>
        <v/>
      </c>
      <c r="P107" s="18" t="str">
        <f t="shared" si="11"/>
        <v/>
      </c>
      <c r="Q107" s="18" t="str">
        <f t="shared" si="12"/>
        <v/>
      </c>
      <c r="R107" s="18" t="str">
        <f t="shared" si="13"/>
        <v/>
      </c>
    </row>
    <row r="108" spans="1:18" ht="22.5" customHeight="1" x14ac:dyDescent="0.25">
      <c r="A108" s="22"/>
      <c r="B108" s="261"/>
      <c r="C108" s="108"/>
      <c r="D108" s="255"/>
      <c r="E108" s="108"/>
      <c r="F108" s="41"/>
      <c r="G108" s="41"/>
      <c r="H108" s="250"/>
      <c r="I108" s="132"/>
      <c r="J108" s="24"/>
      <c r="L108" s="18" t="str">
        <f t="shared" si="7"/>
        <v/>
      </c>
      <c r="M108" s="18" t="str">
        <f t="shared" si="8"/>
        <v/>
      </c>
      <c r="N108" s="18" t="str">
        <f t="shared" si="9"/>
        <v/>
      </c>
      <c r="O108" s="18" t="str">
        <f t="shared" si="10"/>
        <v/>
      </c>
      <c r="P108" s="18" t="str">
        <f t="shared" si="11"/>
        <v/>
      </c>
      <c r="Q108" s="18" t="str">
        <f t="shared" si="12"/>
        <v/>
      </c>
      <c r="R108" s="18" t="str">
        <f t="shared" si="13"/>
        <v/>
      </c>
    </row>
    <row r="109" spans="1:18" ht="22.5" customHeight="1" x14ac:dyDescent="0.25">
      <c r="A109" s="19"/>
      <c r="B109" s="262"/>
      <c r="C109" s="107"/>
      <c r="D109" s="256"/>
      <c r="E109" s="107"/>
      <c r="F109" s="40"/>
      <c r="G109" s="40"/>
      <c r="H109" s="251"/>
      <c r="I109" s="131"/>
      <c r="J109" s="21"/>
      <c r="L109" s="18" t="str">
        <f t="shared" si="7"/>
        <v/>
      </c>
      <c r="M109" s="18" t="str">
        <f t="shared" si="8"/>
        <v/>
      </c>
      <c r="N109" s="18" t="str">
        <f t="shared" si="9"/>
        <v/>
      </c>
      <c r="O109" s="18" t="str">
        <f t="shared" si="10"/>
        <v/>
      </c>
      <c r="P109" s="18" t="str">
        <f t="shared" si="11"/>
        <v/>
      </c>
      <c r="Q109" s="18" t="str">
        <f t="shared" si="12"/>
        <v/>
      </c>
      <c r="R109" s="18" t="str">
        <f t="shared" si="13"/>
        <v/>
      </c>
    </row>
    <row r="110" spans="1:18" ht="22.5" customHeight="1" x14ac:dyDescent="0.25">
      <c r="A110" s="22"/>
      <c r="B110" s="261"/>
      <c r="C110" s="108"/>
      <c r="D110" s="255"/>
      <c r="E110" s="108"/>
      <c r="F110" s="41"/>
      <c r="G110" s="41"/>
      <c r="H110" s="250"/>
      <c r="I110" s="132"/>
      <c r="J110" s="24"/>
      <c r="L110" s="18" t="str">
        <f t="shared" si="7"/>
        <v/>
      </c>
      <c r="M110" s="18" t="str">
        <f t="shared" si="8"/>
        <v/>
      </c>
      <c r="N110" s="18" t="str">
        <f t="shared" si="9"/>
        <v/>
      </c>
      <c r="O110" s="18" t="str">
        <f t="shared" si="10"/>
        <v/>
      </c>
      <c r="P110" s="18" t="str">
        <f t="shared" si="11"/>
        <v/>
      </c>
      <c r="Q110" s="18" t="str">
        <f t="shared" si="12"/>
        <v/>
      </c>
      <c r="R110" s="18" t="str">
        <f t="shared" si="13"/>
        <v/>
      </c>
    </row>
    <row r="111" spans="1:18" ht="22.5" customHeight="1" x14ac:dyDescent="0.25">
      <c r="A111" s="19"/>
      <c r="B111" s="262"/>
      <c r="C111" s="107"/>
      <c r="D111" s="256"/>
      <c r="E111" s="107"/>
      <c r="F111" s="40"/>
      <c r="G111" s="40"/>
      <c r="H111" s="251"/>
      <c r="I111" s="131"/>
      <c r="J111" s="21"/>
      <c r="L111" s="18" t="str">
        <f t="shared" si="7"/>
        <v/>
      </c>
      <c r="M111" s="18" t="str">
        <f t="shared" si="8"/>
        <v/>
      </c>
      <c r="N111" s="18" t="str">
        <f t="shared" si="9"/>
        <v/>
      </c>
      <c r="O111" s="18" t="str">
        <f t="shared" si="10"/>
        <v/>
      </c>
      <c r="P111" s="18" t="str">
        <f t="shared" si="11"/>
        <v/>
      </c>
      <c r="Q111" s="18" t="str">
        <f t="shared" si="12"/>
        <v/>
      </c>
      <c r="R111" s="18" t="str">
        <f t="shared" si="13"/>
        <v/>
      </c>
    </row>
    <row r="112" spans="1:18" ht="22.5" customHeight="1" x14ac:dyDescent="0.25">
      <c r="A112" s="22"/>
      <c r="B112" s="261"/>
      <c r="C112" s="108"/>
      <c r="D112" s="255"/>
      <c r="E112" s="108"/>
      <c r="F112" s="41"/>
      <c r="G112" s="41"/>
      <c r="H112" s="250"/>
      <c r="I112" s="132"/>
      <c r="J112" s="24"/>
      <c r="L112" s="18" t="str">
        <f t="shared" si="7"/>
        <v/>
      </c>
      <c r="M112" s="18" t="str">
        <f t="shared" si="8"/>
        <v/>
      </c>
      <c r="N112" s="18" t="str">
        <f t="shared" si="9"/>
        <v/>
      </c>
      <c r="O112" s="18" t="str">
        <f t="shared" si="10"/>
        <v/>
      </c>
      <c r="P112" s="18" t="str">
        <f t="shared" si="11"/>
        <v/>
      </c>
      <c r="Q112" s="18" t="str">
        <f t="shared" si="12"/>
        <v/>
      </c>
      <c r="R112" s="18" t="str">
        <f t="shared" si="13"/>
        <v/>
      </c>
    </row>
    <row r="113" spans="1:18" ht="22.5" customHeight="1" x14ac:dyDescent="0.25">
      <c r="A113" s="19"/>
      <c r="B113" s="262"/>
      <c r="C113" s="107"/>
      <c r="D113" s="256"/>
      <c r="E113" s="107"/>
      <c r="F113" s="40"/>
      <c r="G113" s="40"/>
      <c r="H113" s="251"/>
      <c r="I113" s="131"/>
      <c r="J113" s="21"/>
      <c r="L113" s="18" t="str">
        <f t="shared" si="7"/>
        <v/>
      </c>
      <c r="M113" s="18" t="str">
        <f t="shared" si="8"/>
        <v/>
      </c>
      <c r="N113" s="18" t="str">
        <f t="shared" si="9"/>
        <v/>
      </c>
      <c r="O113" s="18" t="str">
        <f t="shared" si="10"/>
        <v/>
      </c>
      <c r="P113" s="18" t="str">
        <f t="shared" si="11"/>
        <v/>
      </c>
      <c r="Q113" s="18" t="str">
        <f t="shared" si="12"/>
        <v/>
      </c>
      <c r="R113" s="18" t="str">
        <f t="shared" si="13"/>
        <v/>
      </c>
    </row>
    <row r="114" spans="1:18" ht="22.5" customHeight="1" x14ac:dyDescent="0.25">
      <c r="A114" s="22"/>
      <c r="B114" s="261"/>
      <c r="C114" s="108"/>
      <c r="D114" s="255"/>
      <c r="E114" s="108"/>
      <c r="F114" s="41"/>
      <c r="G114" s="41"/>
      <c r="H114" s="250"/>
      <c r="I114" s="132"/>
      <c r="J114" s="24"/>
      <c r="L114" s="18" t="str">
        <f t="shared" si="7"/>
        <v/>
      </c>
      <c r="M114" s="18" t="str">
        <f t="shared" si="8"/>
        <v/>
      </c>
      <c r="N114" s="18" t="str">
        <f t="shared" si="9"/>
        <v/>
      </c>
      <c r="O114" s="18" t="str">
        <f t="shared" si="10"/>
        <v/>
      </c>
      <c r="P114" s="18" t="str">
        <f t="shared" si="11"/>
        <v/>
      </c>
      <c r="Q114" s="18" t="str">
        <f t="shared" si="12"/>
        <v/>
      </c>
      <c r="R114" s="18" t="str">
        <f t="shared" si="13"/>
        <v/>
      </c>
    </row>
    <row r="115" spans="1:18" ht="22.5" customHeight="1" x14ac:dyDescent="0.25">
      <c r="A115" s="19"/>
      <c r="B115" s="262"/>
      <c r="C115" s="107"/>
      <c r="D115" s="256"/>
      <c r="E115" s="107"/>
      <c r="F115" s="40"/>
      <c r="G115" s="40"/>
      <c r="H115" s="251"/>
      <c r="I115" s="131"/>
      <c r="J115" s="21"/>
      <c r="L115" s="18" t="str">
        <f t="shared" si="7"/>
        <v/>
      </c>
      <c r="M115" s="18" t="str">
        <f t="shared" si="8"/>
        <v/>
      </c>
      <c r="N115" s="18" t="str">
        <f t="shared" si="9"/>
        <v/>
      </c>
      <c r="O115" s="18" t="str">
        <f t="shared" si="10"/>
        <v/>
      </c>
      <c r="P115" s="18" t="str">
        <f t="shared" si="11"/>
        <v/>
      </c>
      <c r="Q115" s="18" t="str">
        <f t="shared" si="12"/>
        <v/>
      </c>
      <c r="R115" s="18" t="str">
        <f t="shared" si="13"/>
        <v/>
      </c>
    </row>
    <row r="116" spans="1:18" ht="22.5" customHeight="1" x14ac:dyDescent="0.25">
      <c r="A116" s="22"/>
      <c r="B116" s="261"/>
      <c r="C116" s="108"/>
      <c r="D116" s="255"/>
      <c r="E116" s="108"/>
      <c r="F116" s="41"/>
      <c r="G116" s="41"/>
      <c r="H116" s="250"/>
      <c r="I116" s="132"/>
      <c r="J116" s="24"/>
      <c r="L116" s="18" t="str">
        <f t="shared" si="7"/>
        <v/>
      </c>
      <c r="M116" s="18" t="str">
        <f t="shared" si="8"/>
        <v/>
      </c>
      <c r="N116" s="18" t="str">
        <f t="shared" si="9"/>
        <v/>
      </c>
      <c r="O116" s="18" t="str">
        <f t="shared" si="10"/>
        <v/>
      </c>
      <c r="P116" s="18" t="str">
        <f t="shared" si="11"/>
        <v/>
      </c>
      <c r="Q116" s="18" t="str">
        <f t="shared" si="12"/>
        <v/>
      </c>
      <c r="R116" s="18" t="str">
        <f t="shared" si="13"/>
        <v/>
      </c>
    </row>
    <row r="117" spans="1:18" ht="22.5" customHeight="1" x14ac:dyDescent="0.25">
      <c r="A117" s="19"/>
      <c r="B117" s="262"/>
      <c r="C117" s="107"/>
      <c r="D117" s="256"/>
      <c r="E117" s="107"/>
      <c r="F117" s="40"/>
      <c r="G117" s="40"/>
      <c r="H117" s="251"/>
      <c r="I117" s="131"/>
      <c r="J117" s="21"/>
      <c r="L117" s="18" t="str">
        <f t="shared" ref="L117:L180" si="14">IF(A117="","",IF(A117="Entrada",D117,""))</f>
        <v/>
      </c>
      <c r="M117" s="18" t="str">
        <f t="shared" ref="M117:M180" si="15">IF(A117="","",IF(A117="Entrada",E117,""))</f>
        <v/>
      </c>
      <c r="N117" s="18" t="str">
        <f t="shared" ref="N117:N180" si="16">IF(A117="","",IF(A117="Entrada",1,""))</f>
        <v/>
      </c>
      <c r="O117" s="18" t="str">
        <f t="shared" ref="O117:O180" si="17">IF(N117=1,G117,"")</f>
        <v/>
      </c>
      <c r="P117" s="18" t="str">
        <f t="shared" ref="P117:P180" si="18">IF(A117="","",IF(A117="Entrada",(L117/10)*O117,""))</f>
        <v/>
      </c>
      <c r="Q117" s="18" t="str">
        <f t="shared" ref="Q117:Q180" si="19">IF(A117="","",IF(A117="Saída",D117,""))</f>
        <v/>
      </c>
      <c r="R117" s="18" t="str">
        <f t="shared" ref="R117:R180" si="20">IF(A117="","",IF(A117="Saída",E117,""))</f>
        <v/>
      </c>
    </row>
    <row r="118" spans="1:18" ht="22.5" customHeight="1" x14ac:dyDescent="0.25">
      <c r="A118" s="22"/>
      <c r="B118" s="261"/>
      <c r="C118" s="108"/>
      <c r="D118" s="255"/>
      <c r="E118" s="108"/>
      <c r="F118" s="41"/>
      <c r="G118" s="41"/>
      <c r="H118" s="250"/>
      <c r="I118" s="132"/>
      <c r="J118" s="24"/>
      <c r="L118" s="18" t="str">
        <f t="shared" si="14"/>
        <v/>
      </c>
      <c r="M118" s="18" t="str">
        <f t="shared" si="15"/>
        <v/>
      </c>
      <c r="N118" s="18" t="str">
        <f t="shared" si="16"/>
        <v/>
      </c>
      <c r="O118" s="18" t="str">
        <f t="shared" si="17"/>
        <v/>
      </c>
      <c r="P118" s="18" t="str">
        <f t="shared" si="18"/>
        <v/>
      </c>
      <c r="Q118" s="18" t="str">
        <f t="shared" si="19"/>
        <v/>
      </c>
      <c r="R118" s="18" t="str">
        <f t="shared" si="20"/>
        <v/>
      </c>
    </row>
    <row r="119" spans="1:18" ht="22.5" customHeight="1" x14ac:dyDescent="0.25">
      <c r="A119" s="19"/>
      <c r="B119" s="262"/>
      <c r="C119" s="107"/>
      <c r="D119" s="256"/>
      <c r="E119" s="107"/>
      <c r="F119" s="40"/>
      <c r="G119" s="40"/>
      <c r="H119" s="251"/>
      <c r="I119" s="131"/>
      <c r="J119" s="21"/>
      <c r="L119" s="18" t="str">
        <f t="shared" si="14"/>
        <v/>
      </c>
      <c r="M119" s="18" t="str">
        <f t="shared" si="15"/>
        <v/>
      </c>
      <c r="N119" s="18" t="str">
        <f t="shared" si="16"/>
        <v/>
      </c>
      <c r="O119" s="18" t="str">
        <f t="shared" si="17"/>
        <v/>
      </c>
      <c r="P119" s="18" t="str">
        <f t="shared" si="18"/>
        <v/>
      </c>
      <c r="Q119" s="18" t="str">
        <f t="shared" si="19"/>
        <v/>
      </c>
      <c r="R119" s="18" t="str">
        <f t="shared" si="20"/>
        <v/>
      </c>
    </row>
    <row r="120" spans="1:18" ht="22.5" customHeight="1" x14ac:dyDescent="0.25">
      <c r="A120" s="22"/>
      <c r="B120" s="261"/>
      <c r="C120" s="108"/>
      <c r="D120" s="255"/>
      <c r="E120" s="108"/>
      <c r="F120" s="41"/>
      <c r="G120" s="41"/>
      <c r="H120" s="250"/>
      <c r="I120" s="132"/>
      <c r="J120" s="24"/>
      <c r="L120" s="18" t="str">
        <f t="shared" si="14"/>
        <v/>
      </c>
      <c r="M120" s="18" t="str">
        <f t="shared" si="15"/>
        <v/>
      </c>
      <c r="N120" s="18" t="str">
        <f t="shared" si="16"/>
        <v/>
      </c>
      <c r="O120" s="18" t="str">
        <f t="shared" si="17"/>
        <v/>
      </c>
      <c r="P120" s="18" t="str">
        <f t="shared" si="18"/>
        <v/>
      </c>
      <c r="Q120" s="18" t="str">
        <f t="shared" si="19"/>
        <v/>
      </c>
      <c r="R120" s="18" t="str">
        <f t="shared" si="20"/>
        <v/>
      </c>
    </row>
    <row r="121" spans="1:18" ht="22.5" customHeight="1" x14ac:dyDescent="0.25">
      <c r="A121" s="19"/>
      <c r="B121" s="262"/>
      <c r="C121" s="107"/>
      <c r="D121" s="256"/>
      <c r="E121" s="107"/>
      <c r="F121" s="40"/>
      <c r="G121" s="40"/>
      <c r="H121" s="251"/>
      <c r="I121" s="131"/>
      <c r="J121" s="21"/>
      <c r="L121" s="18" t="str">
        <f t="shared" si="14"/>
        <v/>
      </c>
      <c r="M121" s="18" t="str">
        <f t="shared" si="15"/>
        <v/>
      </c>
      <c r="N121" s="18" t="str">
        <f t="shared" si="16"/>
        <v/>
      </c>
      <c r="O121" s="18" t="str">
        <f t="shared" si="17"/>
        <v/>
      </c>
      <c r="P121" s="18" t="str">
        <f t="shared" si="18"/>
        <v/>
      </c>
      <c r="Q121" s="18" t="str">
        <f t="shared" si="19"/>
        <v/>
      </c>
      <c r="R121" s="18" t="str">
        <f t="shared" si="20"/>
        <v/>
      </c>
    </row>
    <row r="122" spans="1:18" ht="22.5" customHeight="1" x14ac:dyDescent="0.25">
      <c r="A122" s="22"/>
      <c r="B122" s="261"/>
      <c r="C122" s="108"/>
      <c r="D122" s="255"/>
      <c r="E122" s="108"/>
      <c r="F122" s="41"/>
      <c r="G122" s="41"/>
      <c r="H122" s="250"/>
      <c r="I122" s="132"/>
      <c r="J122" s="24"/>
      <c r="L122" s="18" t="str">
        <f t="shared" si="14"/>
        <v/>
      </c>
      <c r="M122" s="18" t="str">
        <f t="shared" si="15"/>
        <v/>
      </c>
      <c r="N122" s="18" t="str">
        <f t="shared" si="16"/>
        <v/>
      </c>
      <c r="O122" s="18" t="str">
        <f t="shared" si="17"/>
        <v/>
      </c>
      <c r="P122" s="18" t="str">
        <f t="shared" si="18"/>
        <v/>
      </c>
      <c r="Q122" s="18" t="str">
        <f t="shared" si="19"/>
        <v/>
      </c>
      <c r="R122" s="18" t="str">
        <f t="shared" si="20"/>
        <v/>
      </c>
    </row>
    <row r="123" spans="1:18" ht="22.5" customHeight="1" x14ac:dyDescent="0.25">
      <c r="A123" s="19"/>
      <c r="B123" s="262"/>
      <c r="C123" s="107"/>
      <c r="D123" s="256"/>
      <c r="E123" s="107"/>
      <c r="F123" s="40"/>
      <c r="G123" s="40"/>
      <c r="H123" s="251"/>
      <c r="I123" s="131"/>
      <c r="J123" s="21"/>
      <c r="L123" s="18" t="str">
        <f t="shared" si="14"/>
        <v/>
      </c>
      <c r="M123" s="18" t="str">
        <f t="shared" si="15"/>
        <v/>
      </c>
      <c r="N123" s="18" t="str">
        <f t="shared" si="16"/>
        <v/>
      </c>
      <c r="O123" s="18" t="str">
        <f t="shared" si="17"/>
        <v/>
      </c>
      <c r="P123" s="18" t="str">
        <f t="shared" si="18"/>
        <v/>
      </c>
      <c r="Q123" s="18" t="str">
        <f t="shared" si="19"/>
        <v/>
      </c>
      <c r="R123" s="18" t="str">
        <f t="shared" si="20"/>
        <v/>
      </c>
    </row>
    <row r="124" spans="1:18" ht="22.5" customHeight="1" x14ac:dyDescent="0.25">
      <c r="A124" s="22"/>
      <c r="B124" s="261"/>
      <c r="C124" s="108"/>
      <c r="D124" s="255"/>
      <c r="E124" s="108"/>
      <c r="F124" s="41"/>
      <c r="G124" s="41"/>
      <c r="H124" s="250"/>
      <c r="I124" s="132"/>
      <c r="J124" s="24"/>
      <c r="L124" s="18" t="str">
        <f t="shared" si="14"/>
        <v/>
      </c>
      <c r="M124" s="18" t="str">
        <f t="shared" si="15"/>
        <v/>
      </c>
      <c r="N124" s="18" t="str">
        <f t="shared" si="16"/>
        <v/>
      </c>
      <c r="O124" s="18" t="str">
        <f t="shared" si="17"/>
        <v/>
      </c>
      <c r="P124" s="18" t="str">
        <f t="shared" si="18"/>
        <v/>
      </c>
      <c r="Q124" s="18" t="str">
        <f t="shared" si="19"/>
        <v/>
      </c>
      <c r="R124" s="18" t="str">
        <f t="shared" si="20"/>
        <v/>
      </c>
    </row>
    <row r="125" spans="1:18" ht="22.5" customHeight="1" x14ac:dyDescent="0.25">
      <c r="A125" s="19"/>
      <c r="B125" s="262"/>
      <c r="C125" s="107"/>
      <c r="D125" s="256"/>
      <c r="E125" s="107"/>
      <c r="F125" s="40"/>
      <c r="G125" s="40"/>
      <c r="H125" s="251"/>
      <c r="I125" s="131"/>
      <c r="J125" s="21"/>
      <c r="L125" s="18" t="str">
        <f t="shared" si="14"/>
        <v/>
      </c>
      <c r="M125" s="18" t="str">
        <f t="shared" si="15"/>
        <v/>
      </c>
      <c r="N125" s="18" t="str">
        <f t="shared" si="16"/>
        <v/>
      </c>
      <c r="O125" s="18" t="str">
        <f t="shared" si="17"/>
        <v/>
      </c>
      <c r="P125" s="18" t="str">
        <f t="shared" si="18"/>
        <v/>
      </c>
      <c r="Q125" s="18" t="str">
        <f t="shared" si="19"/>
        <v/>
      </c>
      <c r="R125" s="18" t="str">
        <f t="shared" si="20"/>
        <v/>
      </c>
    </row>
    <row r="126" spans="1:18" ht="22.5" customHeight="1" x14ac:dyDescent="0.25">
      <c r="A126" s="22"/>
      <c r="B126" s="261"/>
      <c r="C126" s="108"/>
      <c r="D126" s="255"/>
      <c r="E126" s="108"/>
      <c r="F126" s="41"/>
      <c r="G126" s="41"/>
      <c r="H126" s="250"/>
      <c r="I126" s="132"/>
      <c r="J126" s="24"/>
      <c r="L126" s="18" t="str">
        <f t="shared" si="14"/>
        <v/>
      </c>
      <c r="M126" s="18" t="str">
        <f t="shared" si="15"/>
        <v/>
      </c>
      <c r="N126" s="18" t="str">
        <f t="shared" si="16"/>
        <v/>
      </c>
      <c r="O126" s="18" t="str">
        <f t="shared" si="17"/>
        <v/>
      </c>
      <c r="P126" s="18" t="str">
        <f t="shared" si="18"/>
        <v/>
      </c>
      <c r="Q126" s="18" t="str">
        <f t="shared" si="19"/>
        <v/>
      </c>
      <c r="R126" s="18" t="str">
        <f t="shared" si="20"/>
        <v/>
      </c>
    </row>
    <row r="127" spans="1:18" ht="22.5" customHeight="1" x14ac:dyDescent="0.25">
      <c r="A127" s="19"/>
      <c r="B127" s="262"/>
      <c r="C127" s="107"/>
      <c r="D127" s="256"/>
      <c r="E127" s="107"/>
      <c r="F127" s="40"/>
      <c r="G127" s="40"/>
      <c r="H127" s="251"/>
      <c r="I127" s="131"/>
      <c r="J127" s="21"/>
      <c r="L127" s="18" t="str">
        <f t="shared" si="14"/>
        <v/>
      </c>
      <c r="M127" s="18" t="str">
        <f t="shared" si="15"/>
        <v/>
      </c>
      <c r="N127" s="18" t="str">
        <f t="shared" si="16"/>
        <v/>
      </c>
      <c r="O127" s="18" t="str">
        <f t="shared" si="17"/>
        <v/>
      </c>
      <c r="P127" s="18" t="str">
        <f t="shared" si="18"/>
        <v/>
      </c>
      <c r="Q127" s="18" t="str">
        <f t="shared" si="19"/>
        <v/>
      </c>
      <c r="R127" s="18" t="str">
        <f t="shared" si="20"/>
        <v/>
      </c>
    </row>
    <row r="128" spans="1:18" ht="22.5" customHeight="1" x14ac:dyDescent="0.25">
      <c r="A128" s="22"/>
      <c r="B128" s="261"/>
      <c r="C128" s="108"/>
      <c r="D128" s="255"/>
      <c r="E128" s="108"/>
      <c r="F128" s="41"/>
      <c r="G128" s="41"/>
      <c r="H128" s="250"/>
      <c r="I128" s="132"/>
      <c r="J128" s="24"/>
      <c r="L128" s="18" t="str">
        <f t="shared" si="14"/>
        <v/>
      </c>
      <c r="M128" s="18" t="str">
        <f t="shared" si="15"/>
        <v/>
      </c>
      <c r="N128" s="18" t="str">
        <f t="shared" si="16"/>
        <v/>
      </c>
      <c r="O128" s="18" t="str">
        <f t="shared" si="17"/>
        <v/>
      </c>
      <c r="P128" s="18" t="str">
        <f t="shared" si="18"/>
        <v/>
      </c>
      <c r="Q128" s="18" t="str">
        <f t="shared" si="19"/>
        <v/>
      </c>
      <c r="R128" s="18" t="str">
        <f t="shared" si="20"/>
        <v/>
      </c>
    </row>
    <row r="129" spans="1:18" ht="22.5" customHeight="1" x14ac:dyDescent="0.25">
      <c r="A129" s="19"/>
      <c r="B129" s="262"/>
      <c r="C129" s="107"/>
      <c r="D129" s="256"/>
      <c r="E129" s="107"/>
      <c r="F129" s="40"/>
      <c r="G129" s="40"/>
      <c r="H129" s="251"/>
      <c r="I129" s="131"/>
      <c r="J129" s="21"/>
      <c r="L129" s="18" t="str">
        <f t="shared" si="14"/>
        <v/>
      </c>
      <c r="M129" s="18" t="str">
        <f t="shared" si="15"/>
        <v/>
      </c>
      <c r="N129" s="18" t="str">
        <f t="shared" si="16"/>
        <v/>
      </c>
      <c r="O129" s="18" t="str">
        <f t="shared" si="17"/>
        <v/>
      </c>
      <c r="P129" s="18" t="str">
        <f t="shared" si="18"/>
        <v/>
      </c>
      <c r="Q129" s="18" t="str">
        <f t="shared" si="19"/>
        <v/>
      </c>
      <c r="R129" s="18" t="str">
        <f t="shared" si="20"/>
        <v/>
      </c>
    </row>
    <row r="130" spans="1:18" ht="22.5" customHeight="1" x14ac:dyDescent="0.25">
      <c r="A130" s="22"/>
      <c r="B130" s="261"/>
      <c r="C130" s="108"/>
      <c r="D130" s="255"/>
      <c r="E130" s="108"/>
      <c r="F130" s="41"/>
      <c r="G130" s="41"/>
      <c r="H130" s="250"/>
      <c r="I130" s="132"/>
      <c r="J130" s="24"/>
      <c r="L130" s="18" t="str">
        <f t="shared" si="14"/>
        <v/>
      </c>
      <c r="M130" s="18" t="str">
        <f t="shared" si="15"/>
        <v/>
      </c>
      <c r="N130" s="18" t="str">
        <f t="shared" si="16"/>
        <v/>
      </c>
      <c r="O130" s="18" t="str">
        <f t="shared" si="17"/>
        <v/>
      </c>
      <c r="P130" s="18" t="str">
        <f t="shared" si="18"/>
        <v/>
      </c>
      <c r="Q130" s="18" t="str">
        <f t="shared" si="19"/>
        <v/>
      </c>
      <c r="R130" s="18" t="str">
        <f t="shared" si="20"/>
        <v/>
      </c>
    </row>
    <row r="131" spans="1:18" ht="22.5" customHeight="1" x14ac:dyDescent="0.25">
      <c r="A131" s="19"/>
      <c r="B131" s="262"/>
      <c r="C131" s="107"/>
      <c r="D131" s="256"/>
      <c r="E131" s="107"/>
      <c r="F131" s="40"/>
      <c r="G131" s="40"/>
      <c r="H131" s="251"/>
      <c r="I131" s="131"/>
      <c r="J131" s="21"/>
      <c r="L131" s="18" t="str">
        <f t="shared" si="14"/>
        <v/>
      </c>
      <c r="M131" s="18" t="str">
        <f t="shared" si="15"/>
        <v/>
      </c>
      <c r="N131" s="18" t="str">
        <f t="shared" si="16"/>
        <v/>
      </c>
      <c r="O131" s="18" t="str">
        <f t="shared" si="17"/>
        <v/>
      </c>
      <c r="P131" s="18" t="str">
        <f t="shared" si="18"/>
        <v/>
      </c>
      <c r="Q131" s="18" t="str">
        <f t="shared" si="19"/>
        <v/>
      </c>
      <c r="R131" s="18" t="str">
        <f t="shared" si="20"/>
        <v/>
      </c>
    </row>
    <row r="132" spans="1:18" ht="22.5" customHeight="1" x14ac:dyDescent="0.25">
      <c r="A132" s="22"/>
      <c r="B132" s="261"/>
      <c r="C132" s="108"/>
      <c r="D132" s="255"/>
      <c r="E132" s="108"/>
      <c r="F132" s="41"/>
      <c r="G132" s="41"/>
      <c r="H132" s="250"/>
      <c r="I132" s="132"/>
      <c r="J132" s="24"/>
      <c r="L132" s="18" t="str">
        <f t="shared" si="14"/>
        <v/>
      </c>
      <c r="M132" s="18" t="str">
        <f t="shared" si="15"/>
        <v/>
      </c>
      <c r="N132" s="18" t="str">
        <f t="shared" si="16"/>
        <v/>
      </c>
      <c r="O132" s="18" t="str">
        <f t="shared" si="17"/>
        <v/>
      </c>
      <c r="P132" s="18" t="str">
        <f t="shared" si="18"/>
        <v/>
      </c>
      <c r="Q132" s="18" t="str">
        <f t="shared" si="19"/>
        <v/>
      </c>
      <c r="R132" s="18" t="str">
        <f t="shared" si="20"/>
        <v/>
      </c>
    </row>
    <row r="133" spans="1:18" ht="22.5" customHeight="1" x14ac:dyDescent="0.25">
      <c r="A133" s="19"/>
      <c r="B133" s="262"/>
      <c r="C133" s="107"/>
      <c r="D133" s="256"/>
      <c r="E133" s="107"/>
      <c r="F133" s="40"/>
      <c r="G133" s="40"/>
      <c r="H133" s="251"/>
      <c r="I133" s="131"/>
      <c r="J133" s="21"/>
      <c r="L133" s="18" t="str">
        <f t="shared" si="14"/>
        <v/>
      </c>
      <c r="M133" s="18" t="str">
        <f t="shared" si="15"/>
        <v/>
      </c>
      <c r="N133" s="18" t="str">
        <f t="shared" si="16"/>
        <v/>
      </c>
      <c r="O133" s="18" t="str">
        <f t="shared" si="17"/>
        <v/>
      </c>
      <c r="P133" s="18" t="str">
        <f t="shared" si="18"/>
        <v/>
      </c>
      <c r="Q133" s="18" t="str">
        <f t="shared" si="19"/>
        <v/>
      </c>
      <c r="R133" s="18" t="str">
        <f t="shared" si="20"/>
        <v/>
      </c>
    </row>
    <row r="134" spans="1:18" ht="22.5" customHeight="1" x14ac:dyDescent="0.25">
      <c r="A134" s="22"/>
      <c r="B134" s="261"/>
      <c r="C134" s="108"/>
      <c r="D134" s="255"/>
      <c r="E134" s="108"/>
      <c r="F134" s="41"/>
      <c r="G134" s="41"/>
      <c r="H134" s="250"/>
      <c r="I134" s="132"/>
      <c r="J134" s="24"/>
      <c r="L134" s="18" t="str">
        <f t="shared" si="14"/>
        <v/>
      </c>
      <c r="M134" s="18" t="str">
        <f t="shared" si="15"/>
        <v/>
      </c>
      <c r="N134" s="18" t="str">
        <f t="shared" si="16"/>
        <v/>
      </c>
      <c r="O134" s="18" t="str">
        <f t="shared" si="17"/>
        <v/>
      </c>
      <c r="P134" s="18" t="str">
        <f t="shared" si="18"/>
        <v/>
      </c>
      <c r="Q134" s="18" t="str">
        <f t="shared" si="19"/>
        <v/>
      </c>
      <c r="R134" s="18" t="str">
        <f t="shared" si="20"/>
        <v/>
      </c>
    </row>
    <row r="135" spans="1:18" ht="22.5" customHeight="1" x14ac:dyDescent="0.25">
      <c r="A135" s="19"/>
      <c r="B135" s="262"/>
      <c r="C135" s="107"/>
      <c r="D135" s="256"/>
      <c r="E135" s="107"/>
      <c r="F135" s="40"/>
      <c r="G135" s="40"/>
      <c r="H135" s="251"/>
      <c r="I135" s="131"/>
      <c r="J135" s="21"/>
      <c r="L135" s="18" t="str">
        <f t="shared" si="14"/>
        <v/>
      </c>
      <c r="M135" s="18" t="str">
        <f t="shared" si="15"/>
        <v/>
      </c>
      <c r="N135" s="18" t="str">
        <f t="shared" si="16"/>
        <v/>
      </c>
      <c r="O135" s="18" t="str">
        <f t="shared" si="17"/>
        <v/>
      </c>
      <c r="P135" s="18" t="str">
        <f t="shared" si="18"/>
        <v/>
      </c>
      <c r="Q135" s="18" t="str">
        <f t="shared" si="19"/>
        <v/>
      </c>
      <c r="R135" s="18" t="str">
        <f t="shared" si="20"/>
        <v/>
      </c>
    </row>
    <row r="136" spans="1:18" ht="22.5" customHeight="1" x14ac:dyDescent="0.25">
      <c r="A136" s="22"/>
      <c r="B136" s="261"/>
      <c r="C136" s="108"/>
      <c r="D136" s="255"/>
      <c r="E136" s="108"/>
      <c r="F136" s="41"/>
      <c r="G136" s="41"/>
      <c r="H136" s="250"/>
      <c r="I136" s="132"/>
      <c r="J136" s="24"/>
      <c r="L136" s="18" t="str">
        <f t="shared" si="14"/>
        <v/>
      </c>
      <c r="M136" s="18" t="str">
        <f t="shared" si="15"/>
        <v/>
      </c>
      <c r="N136" s="18" t="str">
        <f t="shared" si="16"/>
        <v/>
      </c>
      <c r="O136" s="18" t="str">
        <f t="shared" si="17"/>
        <v/>
      </c>
      <c r="P136" s="18" t="str">
        <f t="shared" si="18"/>
        <v/>
      </c>
      <c r="Q136" s="18" t="str">
        <f t="shared" si="19"/>
        <v/>
      </c>
      <c r="R136" s="18" t="str">
        <f t="shared" si="20"/>
        <v/>
      </c>
    </row>
    <row r="137" spans="1:18" ht="22.5" customHeight="1" x14ac:dyDescent="0.25">
      <c r="A137" s="19"/>
      <c r="B137" s="262"/>
      <c r="C137" s="107"/>
      <c r="D137" s="256"/>
      <c r="E137" s="107"/>
      <c r="F137" s="40"/>
      <c r="G137" s="40"/>
      <c r="H137" s="251"/>
      <c r="I137" s="131"/>
      <c r="J137" s="21"/>
      <c r="L137" s="18" t="str">
        <f t="shared" si="14"/>
        <v/>
      </c>
      <c r="M137" s="18" t="str">
        <f t="shared" si="15"/>
        <v/>
      </c>
      <c r="N137" s="18" t="str">
        <f t="shared" si="16"/>
        <v/>
      </c>
      <c r="O137" s="18" t="str">
        <f t="shared" si="17"/>
        <v/>
      </c>
      <c r="P137" s="18" t="str">
        <f t="shared" si="18"/>
        <v/>
      </c>
      <c r="Q137" s="18" t="str">
        <f t="shared" si="19"/>
        <v/>
      </c>
      <c r="R137" s="18" t="str">
        <f t="shared" si="20"/>
        <v/>
      </c>
    </row>
    <row r="138" spans="1:18" ht="22.5" customHeight="1" x14ac:dyDescent="0.25">
      <c r="A138" s="22"/>
      <c r="B138" s="261"/>
      <c r="C138" s="108"/>
      <c r="D138" s="255"/>
      <c r="E138" s="108"/>
      <c r="F138" s="41"/>
      <c r="G138" s="41"/>
      <c r="H138" s="250"/>
      <c r="I138" s="132"/>
      <c r="J138" s="24"/>
      <c r="L138" s="18" t="str">
        <f t="shared" si="14"/>
        <v/>
      </c>
      <c r="M138" s="18" t="str">
        <f t="shared" si="15"/>
        <v/>
      </c>
      <c r="N138" s="18" t="str">
        <f t="shared" si="16"/>
        <v/>
      </c>
      <c r="O138" s="18" t="str">
        <f t="shared" si="17"/>
        <v/>
      </c>
      <c r="P138" s="18" t="str">
        <f t="shared" si="18"/>
        <v/>
      </c>
      <c r="Q138" s="18" t="str">
        <f t="shared" si="19"/>
        <v/>
      </c>
      <c r="R138" s="18" t="str">
        <f t="shared" si="20"/>
        <v/>
      </c>
    </row>
    <row r="139" spans="1:18" ht="22.5" customHeight="1" x14ac:dyDescent="0.25">
      <c r="A139" s="19"/>
      <c r="B139" s="262"/>
      <c r="C139" s="107"/>
      <c r="D139" s="256"/>
      <c r="E139" s="107"/>
      <c r="F139" s="40"/>
      <c r="G139" s="40"/>
      <c r="H139" s="251"/>
      <c r="I139" s="131"/>
      <c r="J139" s="21"/>
      <c r="L139" s="18" t="str">
        <f t="shared" si="14"/>
        <v/>
      </c>
      <c r="M139" s="18" t="str">
        <f t="shared" si="15"/>
        <v/>
      </c>
      <c r="N139" s="18" t="str">
        <f t="shared" si="16"/>
        <v/>
      </c>
      <c r="O139" s="18" t="str">
        <f t="shared" si="17"/>
        <v/>
      </c>
      <c r="P139" s="18" t="str">
        <f t="shared" si="18"/>
        <v/>
      </c>
      <c r="Q139" s="18" t="str">
        <f t="shared" si="19"/>
        <v/>
      </c>
      <c r="R139" s="18" t="str">
        <f t="shared" si="20"/>
        <v/>
      </c>
    </row>
    <row r="140" spans="1:18" ht="22.5" customHeight="1" x14ac:dyDescent="0.25">
      <c r="A140" s="22"/>
      <c r="B140" s="261"/>
      <c r="C140" s="108"/>
      <c r="D140" s="255"/>
      <c r="E140" s="108"/>
      <c r="F140" s="41"/>
      <c r="G140" s="41"/>
      <c r="H140" s="250"/>
      <c r="I140" s="132"/>
      <c r="J140" s="24"/>
      <c r="L140" s="18" t="str">
        <f t="shared" si="14"/>
        <v/>
      </c>
      <c r="M140" s="18" t="str">
        <f t="shared" si="15"/>
        <v/>
      </c>
      <c r="N140" s="18" t="str">
        <f t="shared" si="16"/>
        <v/>
      </c>
      <c r="O140" s="18" t="str">
        <f t="shared" si="17"/>
        <v/>
      </c>
      <c r="P140" s="18" t="str">
        <f t="shared" si="18"/>
        <v/>
      </c>
      <c r="Q140" s="18" t="str">
        <f t="shared" si="19"/>
        <v/>
      </c>
      <c r="R140" s="18" t="str">
        <f t="shared" si="20"/>
        <v/>
      </c>
    </row>
    <row r="141" spans="1:18" ht="22.5" customHeight="1" x14ac:dyDescent="0.25">
      <c r="A141" s="19"/>
      <c r="B141" s="262"/>
      <c r="C141" s="107"/>
      <c r="D141" s="256"/>
      <c r="E141" s="107"/>
      <c r="F141" s="40"/>
      <c r="G141" s="40"/>
      <c r="H141" s="251"/>
      <c r="I141" s="131"/>
      <c r="J141" s="21"/>
      <c r="L141" s="18" t="str">
        <f t="shared" si="14"/>
        <v/>
      </c>
      <c r="M141" s="18" t="str">
        <f t="shared" si="15"/>
        <v/>
      </c>
      <c r="N141" s="18" t="str">
        <f t="shared" si="16"/>
        <v/>
      </c>
      <c r="O141" s="18" t="str">
        <f t="shared" si="17"/>
        <v/>
      </c>
      <c r="P141" s="18" t="str">
        <f t="shared" si="18"/>
        <v/>
      </c>
      <c r="Q141" s="18" t="str">
        <f t="shared" si="19"/>
        <v/>
      </c>
      <c r="R141" s="18" t="str">
        <f t="shared" si="20"/>
        <v/>
      </c>
    </row>
    <row r="142" spans="1:18" ht="22.5" customHeight="1" x14ac:dyDescent="0.25">
      <c r="A142" s="22"/>
      <c r="B142" s="261"/>
      <c r="C142" s="108"/>
      <c r="D142" s="255"/>
      <c r="E142" s="108"/>
      <c r="F142" s="41"/>
      <c r="G142" s="41"/>
      <c r="H142" s="250"/>
      <c r="I142" s="132"/>
      <c r="J142" s="24"/>
      <c r="L142" s="18" t="str">
        <f t="shared" si="14"/>
        <v/>
      </c>
      <c r="M142" s="18" t="str">
        <f t="shared" si="15"/>
        <v/>
      </c>
      <c r="N142" s="18" t="str">
        <f t="shared" si="16"/>
        <v/>
      </c>
      <c r="O142" s="18" t="str">
        <f t="shared" si="17"/>
        <v/>
      </c>
      <c r="P142" s="18" t="str">
        <f t="shared" si="18"/>
        <v/>
      </c>
      <c r="Q142" s="18" t="str">
        <f t="shared" si="19"/>
        <v/>
      </c>
      <c r="R142" s="18" t="str">
        <f t="shared" si="20"/>
        <v/>
      </c>
    </row>
    <row r="143" spans="1:18" ht="22.5" customHeight="1" x14ac:dyDescent="0.25">
      <c r="A143" s="19"/>
      <c r="B143" s="262"/>
      <c r="C143" s="107"/>
      <c r="D143" s="256"/>
      <c r="E143" s="107"/>
      <c r="F143" s="40"/>
      <c r="G143" s="40"/>
      <c r="H143" s="251"/>
      <c r="I143" s="131"/>
      <c r="J143" s="21"/>
      <c r="L143" s="18" t="str">
        <f t="shared" si="14"/>
        <v/>
      </c>
      <c r="M143" s="18" t="str">
        <f t="shared" si="15"/>
        <v/>
      </c>
      <c r="N143" s="18" t="str">
        <f t="shared" si="16"/>
        <v/>
      </c>
      <c r="O143" s="18" t="str">
        <f t="shared" si="17"/>
        <v/>
      </c>
      <c r="P143" s="18" t="str">
        <f t="shared" si="18"/>
        <v/>
      </c>
      <c r="Q143" s="18" t="str">
        <f t="shared" si="19"/>
        <v/>
      </c>
      <c r="R143" s="18" t="str">
        <f t="shared" si="20"/>
        <v/>
      </c>
    </row>
    <row r="144" spans="1:18" ht="22.5" customHeight="1" x14ac:dyDescent="0.25">
      <c r="A144" s="22"/>
      <c r="B144" s="261"/>
      <c r="C144" s="108"/>
      <c r="D144" s="255"/>
      <c r="E144" s="108"/>
      <c r="F144" s="41"/>
      <c r="G144" s="41"/>
      <c r="H144" s="250"/>
      <c r="I144" s="132"/>
      <c r="J144" s="24"/>
      <c r="L144" s="18" t="str">
        <f t="shared" si="14"/>
        <v/>
      </c>
      <c r="M144" s="18" t="str">
        <f t="shared" si="15"/>
        <v/>
      </c>
      <c r="N144" s="18" t="str">
        <f t="shared" si="16"/>
        <v/>
      </c>
      <c r="O144" s="18" t="str">
        <f t="shared" si="17"/>
        <v/>
      </c>
      <c r="P144" s="18" t="str">
        <f t="shared" si="18"/>
        <v/>
      </c>
      <c r="Q144" s="18" t="str">
        <f t="shared" si="19"/>
        <v/>
      </c>
      <c r="R144" s="18" t="str">
        <f t="shared" si="20"/>
        <v/>
      </c>
    </row>
    <row r="145" spans="1:18" ht="22.5" customHeight="1" x14ac:dyDescent="0.25">
      <c r="A145" s="19"/>
      <c r="B145" s="262"/>
      <c r="C145" s="107"/>
      <c r="D145" s="256"/>
      <c r="E145" s="107"/>
      <c r="F145" s="40"/>
      <c r="G145" s="40"/>
      <c r="H145" s="251"/>
      <c r="I145" s="131"/>
      <c r="J145" s="21"/>
      <c r="L145" s="18" t="str">
        <f t="shared" si="14"/>
        <v/>
      </c>
      <c r="M145" s="18" t="str">
        <f t="shared" si="15"/>
        <v/>
      </c>
      <c r="N145" s="18" t="str">
        <f t="shared" si="16"/>
        <v/>
      </c>
      <c r="O145" s="18" t="str">
        <f t="shared" si="17"/>
        <v/>
      </c>
      <c r="P145" s="18" t="str">
        <f t="shared" si="18"/>
        <v/>
      </c>
      <c r="Q145" s="18" t="str">
        <f t="shared" si="19"/>
        <v/>
      </c>
      <c r="R145" s="18" t="str">
        <f t="shared" si="20"/>
        <v/>
      </c>
    </row>
    <row r="146" spans="1:18" ht="22.5" customHeight="1" x14ac:dyDescent="0.25">
      <c r="A146" s="22"/>
      <c r="B146" s="261"/>
      <c r="C146" s="108"/>
      <c r="D146" s="255"/>
      <c r="E146" s="108"/>
      <c r="F146" s="41"/>
      <c r="G146" s="41"/>
      <c r="H146" s="250"/>
      <c r="I146" s="132"/>
      <c r="J146" s="24"/>
      <c r="L146" s="18" t="str">
        <f t="shared" si="14"/>
        <v/>
      </c>
      <c r="M146" s="18" t="str">
        <f t="shared" si="15"/>
        <v/>
      </c>
      <c r="N146" s="18" t="str">
        <f t="shared" si="16"/>
        <v/>
      </c>
      <c r="O146" s="18" t="str">
        <f t="shared" si="17"/>
        <v/>
      </c>
      <c r="P146" s="18" t="str">
        <f t="shared" si="18"/>
        <v/>
      </c>
      <c r="Q146" s="18" t="str">
        <f t="shared" si="19"/>
        <v/>
      </c>
      <c r="R146" s="18" t="str">
        <f t="shared" si="20"/>
        <v/>
      </c>
    </row>
    <row r="147" spans="1:18" ht="22.5" customHeight="1" x14ac:dyDescent="0.25">
      <c r="A147" s="19"/>
      <c r="B147" s="262"/>
      <c r="C147" s="107"/>
      <c r="D147" s="256"/>
      <c r="E147" s="107"/>
      <c r="F147" s="40"/>
      <c r="G147" s="40"/>
      <c r="H147" s="251"/>
      <c r="I147" s="131"/>
      <c r="J147" s="21"/>
      <c r="L147" s="18" t="str">
        <f t="shared" si="14"/>
        <v/>
      </c>
      <c r="M147" s="18" t="str">
        <f t="shared" si="15"/>
        <v/>
      </c>
      <c r="N147" s="18" t="str">
        <f t="shared" si="16"/>
        <v/>
      </c>
      <c r="O147" s="18" t="str">
        <f t="shared" si="17"/>
        <v/>
      </c>
      <c r="P147" s="18" t="str">
        <f t="shared" si="18"/>
        <v/>
      </c>
      <c r="Q147" s="18" t="str">
        <f t="shared" si="19"/>
        <v/>
      </c>
      <c r="R147" s="18" t="str">
        <f t="shared" si="20"/>
        <v/>
      </c>
    </row>
    <row r="148" spans="1:18" ht="22.5" customHeight="1" x14ac:dyDescent="0.25">
      <c r="A148" s="22"/>
      <c r="B148" s="261"/>
      <c r="C148" s="108"/>
      <c r="D148" s="255"/>
      <c r="E148" s="108"/>
      <c r="F148" s="41"/>
      <c r="G148" s="41"/>
      <c r="H148" s="250"/>
      <c r="I148" s="132"/>
      <c r="J148" s="24"/>
      <c r="L148" s="18" t="str">
        <f t="shared" si="14"/>
        <v/>
      </c>
      <c r="M148" s="18" t="str">
        <f t="shared" si="15"/>
        <v/>
      </c>
      <c r="N148" s="18" t="str">
        <f t="shared" si="16"/>
        <v/>
      </c>
      <c r="O148" s="18" t="str">
        <f t="shared" si="17"/>
        <v/>
      </c>
      <c r="P148" s="18" t="str">
        <f t="shared" si="18"/>
        <v/>
      </c>
      <c r="Q148" s="18" t="str">
        <f t="shared" si="19"/>
        <v/>
      </c>
      <c r="R148" s="18" t="str">
        <f t="shared" si="20"/>
        <v/>
      </c>
    </row>
    <row r="149" spans="1:18" ht="22.5" customHeight="1" x14ac:dyDescent="0.25">
      <c r="A149" s="19"/>
      <c r="B149" s="262"/>
      <c r="C149" s="107"/>
      <c r="D149" s="256"/>
      <c r="E149" s="107"/>
      <c r="F149" s="40"/>
      <c r="G149" s="40"/>
      <c r="H149" s="251"/>
      <c r="I149" s="131"/>
      <c r="J149" s="21"/>
      <c r="L149" s="18" t="str">
        <f t="shared" si="14"/>
        <v/>
      </c>
      <c r="M149" s="18" t="str">
        <f t="shared" si="15"/>
        <v/>
      </c>
      <c r="N149" s="18" t="str">
        <f t="shared" si="16"/>
        <v/>
      </c>
      <c r="O149" s="18" t="str">
        <f t="shared" si="17"/>
        <v/>
      </c>
      <c r="P149" s="18" t="str">
        <f t="shared" si="18"/>
        <v/>
      </c>
      <c r="Q149" s="18" t="str">
        <f t="shared" si="19"/>
        <v/>
      </c>
      <c r="R149" s="18" t="str">
        <f t="shared" si="20"/>
        <v/>
      </c>
    </row>
    <row r="150" spans="1:18" ht="22.5" customHeight="1" x14ac:dyDescent="0.25">
      <c r="A150" s="22"/>
      <c r="B150" s="261"/>
      <c r="C150" s="108"/>
      <c r="D150" s="255"/>
      <c r="E150" s="108"/>
      <c r="F150" s="41"/>
      <c r="G150" s="41"/>
      <c r="H150" s="250"/>
      <c r="I150" s="132"/>
      <c r="J150" s="24"/>
      <c r="L150" s="18" t="str">
        <f t="shared" si="14"/>
        <v/>
      </c>
      <c r="M150" s="18" t="str">
        <f t="shared" si="15"/>
        <v/>
      </c>
      <c r="N150" s="18" t="str">
        <f t="shared" si="16"/>
        <v/>
      </c>
      <c r="O150" s="18" t="str">
        <f t="shared" si="17"/>
        <v/>
      </c>
      <c r="P150" s="18" t="str">
        <f t="shared" si="18"/>
        <v/>
      </c>
      <c r="Q150" s="18" t="str">
        <f t="shared" si="19"/>
        <v/>
      </c>
      <c r="R150" s="18" t="str">
        <f t="shared" si="20"/>
        <v/>
      </c>
    </row>
    <row r="151" spans="1:18" ht="22.5" customHeight="1" x14ac:dyDescent="0.25">
      <c r="A151" s="19"/>
      <c r="B151" s="262"/>
      <c r="C151" s="107"/>
      <c r="D151" s="256"/>
      <c r="E151" s="107"/>
      <c r="F151" s="40"/>
      <c r="G151" s="40"/>
      <c r="H151" s="251"/>
      <c r="I151" s="131"/>
      <c r="J151" s="21"/>
      <c r="L151" s="18" t="str">
        <f t="shared" si="14"/>
        <v/>
      </c>
      <c r="M151" s="18" t="str">
        <f t="shared" si="15"/>
        <v/>
      </c>
      <c r="N151" s="18" t="str">
        <f t="shared" si="16"/>
        <v/>
      </c>
      <c r="O151" s="18" t="str">
        <f t="shared" si="17"/>
        <v/>
      </c>
      <c r="P151" s="18" t="str">
        <f t="shared" si="18"/>
        <v/>
      </c>
      <c r="Q151" s="18" t="str">
        <f t="shared" si="19"/>
        <v/>
      </c>
      <c r="R151" s="18" t="str">
        <f t="shared" si="20"/>
        <v/>
      </c>
    </row>
    <row r="152" spans="1:18" ht="22.5" customHeight="1" x14ac:dyDescent="0.25">
      <c r="A152" s="22"/>
      <c r="B152" s="261"/>
      <c r="C152" s="108"/>
      <c r="D152" s="255"/>
      <c r="E152" s="108"/>
      <c r="F152" s="41"/>
      <c r="G152" s="41"/>
      <c r="H152" s="250"/>
      <c r="I152" s="132"/>
      <c r="J152" s="24"/>
      <c r="L152" s="18" t="str">
        <f t="shared" si="14"/>
        <v/>
      </c>
      <c r="M152" s="18" t="str">
        <f t="shared" si="15"/>
        <v/>
      </c>
      <c r="N152" s="18" t="str">
        <f t="shared" si="16"/>
        <v/>
      </c>
      <c r="O152" s="18" t="str">
        <f t="shared" si="17"/>
        <v/>
      </c>
      <c r="P152" s="18" t="str">
        <f t="shared" si="18"/>
        <v/>
      </c>
      <c r="Q152" s="18" t="str">
        <f t="shared" si="19"/>
        <v/>
      </c>
      <c r="R152" s="18" t="str">
        <f t="shared" si="20"/>
        <v/>
      </c>
    </row>
    <row r="153" spans="1:18" ht="22.5" customHeight="1" x14ac:dyDescent="0.25">
      <c r="A153" s="19"/>
      <c r="B153" s="262"/>
      <c r="C153" s="107"/>
      <c r="D153" s="256"/>
      <c r="E153" s="107"/>
      <c r="F153" s="40"/>
      <c r="G153" s="40"/>
      <c r="H153" s="251"/>
      <c r="I153" s="131"/>
      <c r="J153" s="21"/>
      <c r="L153" s="18" t="str">
        <f t="shared" si="14"/>
        <v/>
      </c>
      <c r="M153" s="18" t="str">
        <f t="shared" si="15"/>
        <v/>
      </c>
      <c r="N153" s="18" t="str">
        <f t="shared" si="16"/>
        <v/>
      </c>
      <c r="O153" s="18" t="str">
        <f t="shared" si="17"/>
        <v/>
      </c>
      <c r="P153" s="18" t="str">
        <f t="shared" si="18"/>
        <v/>
      </c>
      <c r="Q153" s="18" t="str">
        <f t="shared" si="19"/>
        <v/>
      </c>
      <c r="R153" s="18" t="str">
        <f t="shared" si="20"/>
        <v/>
      </c>
    </row>
    <row r="154" spans="1:18" ht="22.5" customHeight="1" x14ac:dyDescent="0.25">
      <c r="A154" s="22"/>
      <c r="B154" s="261"/>
      <c r="C154" s="108"/>
      <c r="D154" s="255"/>
      <c r="E154" s="108"/>
      <c r="F154" s="41"/>
      <c r="G154" s="41"/>
      <c r="H154" s="250"/>
      <c r="I154" s="132"/>
      <c r="J154" s="24"/>
      <c r="L154" s="18" t="str">
        <f t="shared" si="14"/>
        <v/>
      </c>
      <c r="M154" s="18" t="str">
        <f t="shared" si="15"/>
        <v/>
      </c>
      <c r="N154" s="18" t="str">
        <f t="shared" si="16"/>
        <v/>
      </c>
      <c r="O154" s="18" t="str">
        <f t="shared" si="17"/>
        <v/>
      </c>
      <c r="P154" s="18" t="str">
        <f t="shared" si="18"/>
        <v/>
      </c>
      <c r="Q154" s="18" t="str">
        <f t="shared" si="19"/>
        <v/>
      </c>
      <c r="R154" s="18" t="str">
        <f t="shared" si="20"/>
        <v/>
      </c>
    </row>
    <row r="155" spans="1:18" ht="22.5" customHeight="1" x14ac:dyDescent="0.25">
      <c r="A155" s="19"/>
      <c r="B155" s="262"/>
      <c r="C155" s="107"/>
      <c r="D155" s="256"/>
      <c r="E155" s="107"/>
      <c r="F155" s="40"/>
      <c r="G155" s="40"/>
      <c r="H155" s="251"/>
      <c r="I155" s="131"/>
      <c r="J155" s="21"/>
      <c r="L155" s="18" t="str">
        <f t="shared" si="14"/>
        <v/>
      </c>
      <c r="M155" s="18" t="str">
        <f t="shared" si="15"/>
        <v/>
      </c>
      <c r="N155" s="18" t="str">
        <f t="shared" si="16"/>
        <v/>
      </c>
      <c r="O155" s="18" t="str">
        <f t="shared" si="17"/>
        <v/>
      </c>
      <c r="P155" s="18" t="str">
        <f t="shared" si="18"/>
        <v/>
      </c>
      <c r="Q155" s="18" t="str">
        <f t="shared" si="19"/>
        <v/>
      </c>
      <c r="R155" s="18" t="str">
        <f t="shared" si="20"/>
        <v/>
      </c>
    </row>
    <row r="156" spans="1:18" ht="22.5" customHeight="1" x14ac:dyDescent="0.25">
      <c r="A156" s="22"/>
      <c r="B156" s="261"/>
      <c r="C156" s="108"/>
      <c r="D156" s="255"/>
      <c r="E156" s="108"/>
      <c r="F156" s="41"/>
      <c r="G156" s="41"/>
      <c r="H156" s="250"/>
      <c r="I156" s="132"/>
      <c r="J156" s="24"/>
      <c r="L156" s="18" t="str">
        <f t="shared" si="14"/>
        <v/>
      </c>
      <c r="M156" s="18" t="str">
        <f t="shared" si="15"/>
        <v/>
      </c>
      <c r="N156" s="18" t="str">
        <f t="shared" si="16"/>
        <v/>
      </c>
      <c r="O156" s="18" t="str">
        <f t="shared" si="17"/>
        <v/>
      </c>
      <c r="P156" s="18" t="str">
        <f t="shared" si="18"/>
        <v/>
      </c>
      <c r="Q156" s="18" t="str">
        <f t="shared" si="19"/>
        <v/>
      </c>
      <c r="R156" s="18" t="str">
        <f t="shared" si="20"/>
        <v/>
      </c>
    </row>
    <row r="157" spans="1:18" ht="22.5" customHeight="1" x14ac:dyDescent="0.25">
      <c r="A157" s="19"/>
      <c r="B157" s="262"/>
      <c r="C157" s="107"/>
      <c r="D157" s="256"/>
      <c r="E157" s="107"/>
      <c r="F157" s="40"/>
      <c r="G157" s="40"/>
      <c r="H157" s="251"/>
      <c r="I157" s="131"/>
      <c r="J157" s="21"/>
      <c r="L157" s="18" t="str">
        <f t="shared" si="14"/>
        <v/>
      </c>
      <c r="M157" s="18" t="str">
        <f t="shared" si="15"/>
        <v/>
      </c>
      <c r="N157" s="18" t="str">
        <f t="shared" si="16"/>
        <v/>
      </c>
      <c r="O157" s="18" t="str">
        <f t="shared" si="17"/>
        <v/>
      </c>
      <c r="P157" s="18" t="str">
        <f t="shared" si="18"/>
        <v/>
      </c>
      <c r="Q157" s="18" t="str">
        <f t="shared" si="19"/>
        <v/>
      </c>
      <c r="R157" s="18" t="str">
        <f t="shared" si="20"/>
        <v/>
      </c>
    </row>
    <row r="158" spans="1:18" ht="22.5" customHeight="1" x14ac:dyDescent="0.25">
      <c r="A158" s="22"/>
      <c r="B158" s="261"/>
      <c r="C158" s="108"/>
      <c r="D158" s="255"/>
      <c r="E158" s="108"/>
      <c r="F158" s="41"/>
      <c r="G158" s="41"/>
      <c r="H158" s="250"/>
      <c r="I158" s="132"/>
      <c r="J158" s="24"/>
      <c r="L158" s="18" t="str">
        <f t="shared" si="14"/>
        <v/>
      </c>
      <c r="M158" s="18" t="str">
        <f t="shared" si="15"/>
        <v/>
      </c>
      <c r="N158" s="18" t="str">
        <f t="shared" si="16"/>
        <v/>
      </c>
      <c r="O158" s="18" t="str">
        <f t="shared" si="17"/>
        <v/>
      </c>
      <c r="P158" s="18" t="str">
        <f t="shared" si="18"/>
        <v/>
      </c>
      <c r="Q158" s="18" t="str">
        <f t="shared" si="19"/>
        <v/>
      </c>
      <c r="R158" s="18" t="str">
        <f t="shared" si="20"/>
        <v/>
      </c>
    </row>
    <row r="159" spans="1:18" ht="22.5" customHeight="1" x14ac:dyDescent="0.25">
      <c r="A159" s="19"/>
      <c r="B159" s="262"/>
      <c r="C159" s="107"/>
      <c r="D159" s="256"/>
      <c r="E159" s="107"/>
      <c r="F159" s="40"/>
      <c r="G159" s="40"/>
      <c r="H159" s="251"/>
      <c r="I159" s="131"/>
      <c r="J159" s="21"/>
      <c r="L159" s="18" t="str">
        <f t="shared" si="14"/>
        <v/>
      </c>
      <c r="M159" s="18" t="str">
        <f t="shared" si="15"/>
        <v/>
      </c>
      <c r="N159" s="18" t="str">
        <f t="shared" si="16"/>
        <v/>
      </c>
      <c r="O159" s="18" t="str">
        <f t="shared" si="17"/>
        <v/>
      </c>
      <c r="P159" s="18" t="str">
        <f t="shared" si="18"/>
        <v/>
      </c>
      <c r="Q159" s="18" t="str">
        <f t="shared" si="19"/>
        <v/>
      </c>
      <c r="R159" s="18" t="str">
        <f t="shared" si="20"/>
        <v/>
      </c>
    </row>
    <row r="160" spans="1:18" ht="22.5" customHeight="1" x14ac:dyDescent="0.25">
      <c r="A160" s="22"/>
      <c r="B160" s="261"/>
      <c r="C160" s="108"/>
      <c r="D160" s="255"/>
      <c r="E160" s="108"/>
      <c r="F160" s="41"/>
      <c r="G160" s="41"/>
      <c r="H160" s="250"/>
      <c r="I160" s="132"/>
      <c r="J160" s="24"/>
      <c r="L160" s="18" t="str">
        <f t="shared" si="14"/>
        <v/>
      </c>
      <c r="M160" s="18" t="str">
        <f t="shared" si="15"/>
        <v/>
      </c>
      <c r="N160" s="18" t="str">
        <f t="shared" si="16"/>
        <v/>
      </c>
      <c r="O160" s="18" t="str">
        <f t="shared" si="17"/>
        <v/>
      </c>
      <c r="P160" s="18" t="str">
        <f t="shared" si="18"/>
        <v/>
      </c>
      <c r="Q160" s="18" t="str">
        <f t="shared" si="19"/>
        <v/>
      </c>
      <c r="R160" s="18" t="str">
        <f t="shared" si="20"/>
        <v/>
      </c>
    </row>
    <row r="161" spans="1:18" ht="22.5" customHeight="1" x14ac:dyDescent="0.25">
      <c r="A161" s="19"/>
      <c r="B161" s="262"/>
      <c r="C161" s="107"/>
      <c r="D161" s="256"/>
      <c r="E161" s="107"/>
      <c r="F161" s="40"/>
      <c r="G161" s="40"/>
      <c r="H161" s="251"/>
      <c r="I161" s="131"/>
      <c r="J161" s="21"/>
      <c r="L161" s="18" t="str">
        <f t="shared" si="14"/>
        <v/>
      </c>
      <c r="M161" s="18" t="str">
        <f t="shared" si="15"/>
        <v/>
      </c>
      <c r="N161" s="18" t="str">
        <f t="shared" si="16"/>
        <v/>
      </c>
      <c r="O161" s="18" t="str">
        <f t="shared" si="17"/>
        <v/>
      </c>
      <c r="P161" s="18" t="str">
        <f t="shared" si="18"/>
        <v/>
      </c>
      <c r="Q161" s="18" t="str">
        <f t="shared" si="19"/>
        <v/>
      </c>
      <c r="R161" s="18" t="str">
        <f t="shared" si="20"/>
        <v/>
      </c>
    </row>
    <row r="162" spans="1:18" ht="22.5" customHeight="1" x14ac:dyDescent="0.25">
      <c r="A162" s="22"/>
      <c r="B162" s="261"/>
      <c r="C162" s="108"/>
      <c r="D162" s="255"/>
      <c r="E162" s="108"/>
      <c r="F162" s="41"/>
      <c r="G162" s="41"/>
      <c r="H162" s="250"/>
      <c r="I162" s="132"/>
      <c r="J162" s="24"/>
      <c r="L162" s="18" t="str">
        <f t="shared" si="14"/>
        <v/>
      </c>
      <c r="M162" s="18" t="str">
        <f t="shared" si="15"/>
        <v/>
      </c>
      <c r="N162" s="18" t="str">
        <f t="shared" si="16"/>
        <v/>
      </c>
      <c r="O162" s="18" t="str">
        <f t="shared" si="17"/>
        <v/>
      </c>
      <c r="P162" s="18" t="str">
        <f t="shared" si="18"/>
        <v/>
      </c>
      <c r="Q162" s="18" t="str">
        <f t="shared" si="19"/>
        <v/>
      </c>
      <c r="R162" s="18" t="str">
        <f t="shared" si="20"/>
        <v/>
      </c>
    </row>
    <row r="163" spans="1:18" ht="22.5" customHeight="1" x14ac:dyDescent="0.25">
      <c r="A163" s="19"/>
      <c r="B163" s="262"/>
      <c r="C163" s="107"/>
      <c r="D163" s="256"/>
      <c r="E163" s="107"/>
      <c r="F163" s="40"/>
      <c r="G163" s="40"/>
      <c r="H163" s="251"/>
      <c r="I163" s="131"/>
      <c r="J163" s="21"/>
      <c r="L163" s="18" t="str">
        <f t="shared" si="14"/>
        <v/>
      </c>
      <c r="M163" s="18" t="str">
        <f t="shared" si="15"/>
        <v/>
      </c>
      <c r="N163" s="18" t="str">
        <f t="shared" si="16"/>
        <v/>
      </c>
      <c r="O163" s="18" t="str">
        <f t="shared" si="17"/>
        <v/>
      </c>
      <c r="P163" s="18" t="str">
        <f t="shared" si="18"/>
        <v/>
      </c>
      <c r="Q163" s="18" t="str">
        <f t="shared" si="19"/>
        <v/>
      </c>
      <c r="R163" s="18" t="str">
        <f t="shared" si="20"/>
        <v/>
      </c>
    </row>
    <row r="164" spans="1:18" ht="22.5" customHeight="1" x14ac:dyDescent="0.25">
      <c r="A164" s="22"/>
      <c r="B164" s="261"/>
      <c r="C164" s="108"/>
      <c r="D164" s="255"/>
      <c r="E164" s="108"/>
      <c r="F164" s="41"/>
      <c r="G164" s="41"/>
      <c r="H164" s="250"/>
      <c r="I164" s="132"/>
      <c r="J164" s="24"/>
      <c r="L164" s="18" t="str">
        <f t="shared" si="14"/>
        <v/>
      </c>
      <c r="M164" s="18" t="str">
        <f t="shared" si="15"/>
        <v/>
      </c>
      <c r="N164" s="18" t="str">
        <f t="shared" si="16"/>
        <v/>
      </c>
      <c r="O164" s="18" t="str">
        <f t="shared" si="17"/>
        <v/>
      </c>
      <c r="P164" s="18" t="str">
        <f t="shared" si="18"/>
        <v/>
      </c>
      <c r="Q164" s="18" t="str">
        <f t="shared" si="19"/>
        <v/>
      </c>
      <c r="R164" s="18" t="str">
        <f t="shared" si="20"/>
        <v/>
      </c>
    </row>
    <row r="165" spans="1:18" ht="22.5" customHeight="1" x14ac:dyDescent="0.25">
      <c r="A165" s="19"/>
      <c r="B165" s="262"/>
      <c r="C165" s="107"/>
      <c r="D165" s="256"/>
      <c r="E165" s="107"/>
      <c r="F165" s="40"/>
      <c r="G165" s="40"/>
      <c r="H165" s="251"/>
      <c r="I165" s="131"/>
      <c r="J165" s="21"/>
      <c r="L165" s="18" t="str">
        <f t="shared" si="14"/>
        <v/>
      </c>
      <c r="M165" s="18" t="str">
        <f t="shared" si="15"/>
        <v/>
      </c>
      <c r="N165" s="18" t="str">
        <f t="shared" si="16"/>
        <v/>
      </c>
      <c r="O165" s="18" t="str">
        <f t="shared" si="17"/>
        <v/>
      </c>
      <c r="P165" s="18" t="str">
        <f t="shared" si="18"/>
        <v/>
      </c>
      <c r="Q165" s="18" t="str">
        <f t="shared" si="19"/>
        <v/>
      </c>
      <c r="R165" s="18" t="str">
        <f t="shared" si="20"/>
        <v/>
      </c>
    </row>
    <row r="166" spans="1:18" ht="22.5" customHeight="1" x14ac:dyDescent="0.25">
      <c r="A166" s="22"/>
      <c r="B166" s="261"/>
      <c r="C166" s="108"/>
      <c r="D166" s="255"/>
      <c r="E166" s="108"/>
      <c r="F166" s="41"/>
      <c r="G166" s="41"/>
      <c r="H166" s="250"/>
      <c r="I166" s="132"/>
      <c r="J166" s="24"/>
      <c r="L166" s="18" t="str">
        <f t="shared" si="14"/>
        <v/>
      </c>
      <c r="M166" s="18" t="str">
        <f t="shared" si="15"/>
        <v/>
      </c>
      <c r="N166" s="18" t="str">
        <f t="shared" si="16"/>
        <v/>
      </c>
      <c r="O166" s="18" t="str">
        <f t="shared" si="17"/>
        <v/>
      </c>
      <c r="P166" s="18" t="str">
        <f t="shared" si="18"/>
        <v/>
      </c>
      <c r="Q166" s="18" t="str">
        <f t="shared" si="19"/>
        <v/>
      </c>
      <c r="R166" s="18" t="str">
        <f t="shared" si="20"/>
        <v/>
      </c>
    </row>
    <row r="167" spans="1:18" ht="22.5" customHeight="1" x14ac:dyDescent="0.25">
      <c r="A167" s="19"/>
      <c r="B167" s="262"/>
      <c r="C167" s="107"/>
      <c r="D167" s="256"/>
      <c r="E167" s="107"/>
      <c r="F167" s="40"/>
      <c r="G167" s="40"/>
      <c r="H167" s="251"/>
      <c r="I167" s="131"/>
      <c r="J167" s="21"/>
      <c r="L167" s="18" t="str">
        <f t="shared" si="14"/>
        <v/>
      </c>
      <c r="M167" s="18" t="str">
        <f t="shared" si="15"/>
        <v/>
      </c>
      <c r="N167" s="18" t="str">
        <f t="shared" si="16"/>
        <v/>
      </c>
      <c r="O167" s="18" t="str">
        <f t="shared" si="17"/>
        <v/>
      </c>
      <c r="P167" s="18" t="str">
        <f t="shared" si="18"/>
        <v/>
      </c>
      <c r="Q167" s="18" t="str">
        <f t="shared" si="19"/>
        <v/>
      </c>
      <c r="R167" s="18" t="str">
        <f t="shared" si="20"/>
        <v/>
      </c>
    </row>
    <row r="168" spans="1:18" ht="22.5" customHeight="1" x14ac:dyDescent="0.25">
      <c r="A168" s="22"/>
      <c r="B168" s="261"/>
      <c r="C168" s="108"/>
      <c r="D168" s="255"/>
      <c r="E168" s="108"/>
      <c r="F168" s="41"/>
      <c r="G168" s="41"/>
      <c r="H168" s="250"/>
      <c r="I168" s="132"/>
      <c r="J168" s="24"/>
      <c r="L168" s="18" t="str">
        <f t="shared" si="14"/>
        <v/>
      </c>
      <c r="M168" s="18" t="str">
        <f t="shared" si="15"/>
        <v/>
      </c>
      <c r="N168" s="18" t="str">
        <f t="shared" si="16"/>
        <v/>
      </c>
      <c r="O168" s="18" t="str">
        <f t="shared" si="17"/>
        <v/>
      </c>
      <c r="P168" s="18" t="str">
        <f t="shared" si="18"/>
        <v/>
      </c>
      <c r="Q168" s="18" t="str">
        <f t="shared" si="19"/>
        <v/>
      </c>
      <c r="R168" s="18" t="str">
        <f t="shared" si="20"/>
        <v/>
      </c>
    </row>
    <row r="169" spans="1:18" ht="22.5" customHeight="1" x14ac:dyDescent="0.25">
      <c r="A169" s="19"/>
      <c r="B169" s="262"/>
      <c r="C169" s="107"/>
      <c r="D169" s="256"/>
      <c r="E169" s="107"/>
      <c r="F169" s="40"/>
      <c r="G169" s="40"/>
      <c r="H169" s="251"/>
      <c r="I169" s="131"/>
      <c r="J169" s="21"/>
      <c r="L169" s="18" t="str">
        <f t="shared" si="14"/>
        <v/>
      </c>
      <c r="M169" s="18" t="str">
        <f t="shared" si="15"/>
        <v/>
      </c>
      <c r="N169" s="18" t="str">
        <f t="shared" si="16"/>
        <v/>
      </c>
      <c r="O169" s="18" t="str">
        <f t="shared" si="17"/>
        <v/>
      </c>
      <c r="P169" s="18" t="str">
        <f t="shared" si="18"/>
        <v/>
      </c>
      <c r="Q169" s="18" t="str">
        <f t="shared" si="19"/>
        <v/>
      </c>
      <c r="R169" s="18" t="str">
        <f t="shared" si="20"/>
        <v/>
      </c>
    </row>
    <row r="170" spans="1:18" ht="22.5" customHeight="1" x14ac:dyDescent="0.25">
      <c r="A170" s="22"/>
      <c r="B170" s="261"/>
      <c r="C170" s="108"/>
      <c r="D170" s="255"/>
      <c r="E170" s="108"/>
      <c r="F170" s="41"/>
      <c r="G170" s="41"/>
      <c r="H170" s="250"/>
      <c r="I170" s="132"/>
      <c r="J170" s="24"/>
      <c r="L170" s="18" t="str">
        <f t="shared" si="14"/>
        <v/>
      </c>
      <c r="M170" s="18" t="str">
        <f t="shared" si="15"/>
        <v/>
      </c>
      <c r="N170" s="18" t="str">
        <f t="shared" si="16"/>
        <v/>
      </c>
      <c r="O170" s="18" t="str">
        <f t="shared" si="17"/>
        <v/>
      </c>
      <c r="P170" s="18" t="str">
        <f t="shared" si="18"/>
        <v/>
      </c>
      <c r="Q170" s="18" t="str">
        <f t="shared" si="19"/>
        <v/>
      </c>
      <c r="R170" s="18" t="str">
        <f t="shared" si="20"/>
        <v/>
      </c>
    </row>
    <row r="171" spans="1:18" ht="22.5" customHeight="1" x14ac:dyDescent="0.25">
      <c r="A171" s="19"/>
      <c r="B171" s="262"/>
      <c r="C171" s="107"/>
      <c r="D171" s="256"/>
      <c r="E171" s="107"/>
      <c r="F171" s="40"/>
      <c r="G171" s="40"/>
      <c r="H171" s="251"/>
      <c r="I171" s="131"/>
      <c r="J171" s="21"/>
      <c r="L171" s="18" t="str">
        <f t="shared" si="14"/>
        <v/>
      </c>
      <c r="M171" s="18" t="str">
        <f t="shared" si="15"/>
        <v/>
      </c>
      <c r="N171" s="18" t="str">
        <f t="shared" si="16"/>
        <v/>
      </c>
      <c r="O171" s="18" t="str">
        <f t="shared" si="17"/>
        <v/>
      </c>
      <c r="P171" s="18" t="str">
        <f t="shared" si="18"/>
        <v/>
      </c>
      <c r="Q171" s="18" t="str">
        <f t="shared" si="19"/>
        <v/>
      </c>
      <c r="R171" s="18" t="str">
        <f t="shared" si="20"/>
        <v/>
      </c>
    </row>
    <row r="172" spans="1:18" ht="22.5" customHeight="1" x14ac:dyDescent="0.25">
      <c r="A172" s="22"/>
      <c r="B172" s="261"/>
      <c r="C172" s="108"/>
      <c r="D172" s="255"/>
      <c r="E172" s="108"/>
      <c r="F172" s="41"/>
      <c r="G172" s="41"/>
      <c r="H172" s="250"/>
      <c r="I172" s="132"/>
      <c r="J172" s="24"/>
      <c r="L172" s="18" t="str">
        <f t="shared" si="14"/>
        <v/>
      </c>
      <c r="M172" s="18" t="str">
        <f t="shared" si="15"/>
        <v/>
      </c>
      <c r="N172" s="18" t="str">
        <f t="shared" si="16"/>
        <v/>
      </c>
      <c r="O172" s="18" t="str">
        <f t="shared" si="17"/>
        <v/>
      </c>
      <c r="P172" s="18" t="str">
        <f t="shared" si="18"/>
        <v/>
      </c>
      <c r="Q172" s="18" t="str">
        <f t="shared" si="19"/>
        <v/>
      </c>
      <c r="R172" s="18" t="str">
        <f t="shared" si="20"/>
        <v/>
      </c>
    </row>
    <row r="173" spans="1:18" ht="22.5" customHeight="1" x14ac:dyDescent="0.25">
      <c r="A173" s="19"/>
      <c r="B173" s="262"/>
      <c r="C173" s="107"/>
      <c r="D173" s="256"/>
      <c r="E173" s="107"/>
      <c r="F173" s="40"/>
      <c r="G173" s="40"/>
      <c r="H173" s="251"/>
      <c r="I173" s="131"/>
      <c r="J173" s="21"/>
      <c r="L173" s="18" t="str">
        <f t="shared" si="14"/>
        <v/>
      </c>
      <c r="M173" s="18" t="str">
        <f t="shared" si="15"/>
        <v/>
      </c>
      <c r="N173" s="18" t="str">
        <f t="shared" si="16"/>
        <v/>
      </c>
      <c r="O173" s="18" t="str">
        <f t="shared" si="17"/>
        <v/>
      </c>
      <c r="P173" s="18" t="str">
        <f t="shared" si="18"/>
        <v/>
      </c>
      <c r="Q173" s="18" t="str">
        <f t="shared" si="19"/>
        <v/>
      </c>
      <c r="R173" s="18" t="str">
        <f t="shared" si="20"/>
        <v/>
      </c>
    </row>
    <row r="174" spans="1:18" ht="22.5" customHeight="1" x14ac:dyDescent="0.25">
      <c r="A174" s="22"/>
      <c r="B174" s="261"/>
      <c r="C174" s="108"/>
      <c r="D174" s="255"/>
      <c r="E174" s="108"/>
      <c r="F174" s="41"/>
      <c r="G174" s="41"/>
      <c r="H174" s="250"/>
      <c r="I174" s="132"/>
      <c r="J174" s="24"/>
      <c r="L174" s="18" t="str">
        <f t="shared" si="14"/>
        <v/>
      </c>
      <c r="M174" s="18" t="str">
        <f t="shared" si="15"/>
        <v/>
      </c>
      <c r="N174" s="18" t="str">
        <f t="shared" si="16"/>
        <v/>
      </c>
      <c r="O174" s="18" t="str">
        <f t="shared" si="17"/>
        <v/>
      </c>
      <c r="P174" s="18" t="str">
        <f t="shared" si="18"/>
        <v/>
      </c>
      <c r="Q174" s="18" t="str">
        <f t="shared" si="19"/>
        <v/>
      </c>
      <c r="R174" s="18" t="str">
        <f t="shared" si="20"/>
        <v/>
      </c>
    </row>
    <row r="175" spans="1:18" ht="22.5" customHeight="1" x14ac:dyDescent="0.25">
      <c r="A175" s="19"/>
      <c r="B175" s="262"/>
      <c r="C175" s="107"/>
      <c r="D175" s="256"/>
      <c r="E175" s="107"/>
      <c r="F175" s="40"/>
      <c r="G175" s="40"/>
      <c r="H175" s="251"/>
      <c r="I175" s="131"/>
      <c r="J175" s="21"/>
      <c r="L175" s="18" t="str">
        <f t="shared" si="14"/>
        <v/>
      </c>
      <c r="M175" s="18" t="str">
        <f t="shared" si="15"/>
        <v/>
      </c>
      <c r="N175" s="18" t="str">
        <f t="shared" si="16"/>
        <v/>
      </c>
      <c r="O175" s="18" t="str">
        <f t="shared" si="17"/>
        <v/>
      </c>
      <c r="P175" s="18" t="str">
        <f t="shared" si="18"/>
        <v/>
      </c>
      <c r="Q175" s="18" t="str">
        <f t="shared" si="19"/>
        <v/>
      </c>
      <c r="R175" s="18" t="str">
        <f t="shared" si="20"/>
        <v/>
      </c>
    </row>
    <row r="176" spans="1:18" ht="22.5" customHeight="1" x14ac:dyDescent="0.25">
      <c r="A176" s="22"/>
      <c r="B176" s="261"/>
      <c r="C176" s="108"/>
      <c r="D176" s="255"/>
      <c r="E176" s="108"/>
      <c r="F176" s="41"/>
      <c r="G176" s="41"/>
      <c r="H176" s="250"/>
      <c r="I176" s="132"/>
      <c r="J176" s="24"/>
      <c r="L176" s="18" t="str">
        <f t="shared" si="14"/>
        <v/>
      </c>
      <c r="M176" s="18" t="str">
        <f t="shared" si="15"/>
        <v/>
      </c>
      <c r="N176" s="18" t="str">
        <f t="shared" si="16"/>
        <v/>
      </c>
      <c r="O176" s="18" t="str">
        <f t="shared" si="17"/>
        <v/>
      </c>
      <c r="P176" s="18" t="str">
        <f t="shared" si="18"/>
        <v/>
      </c>
      <c r="Q176" s="18" t="str">
        <f t="shared" si="19"/>
        <v/>
      </c>
      <c r="R176" s="18" t="str">
        <f t="shared" si="20"/>
        <v/>
      </c>
    </row>
    <row r="177" spans="1:18" ht="22.5" customHeight="1" x14ac:dyDescent="0.25">
      <c r="A177" s="19"/>
      <c r="B177" s="262"/>
      <c r="C177" s="107"/>
      <c r="D177" s="256"/>
      <c r="E177" s="107"/>
      <c r="F177" s="40"/>
      <c r="G177" s="40"/>
      <c r="H177" s="251"/>
      <c r="I177" s="131"/>
      <c r="J177" s="21"/>
      <c r="L177" s="18" t="str">
        <f t="shared" si="14"/>
        <v/>
      </c>
      <c r="M177" s="18" t="str">
        <f t="shared" si="15"/>
        <v/>
      </c>
      <c r="N177" s="18" t="str">
        <f t="shared" si="16"/>
        <v/>
      </c>
      <c r="O177" s="18" t="str">
        <f t="shared" si="17"/>
        <v/>
      </c>
      <c r="P177" s="18" t="str">
        <f t="shared" si="18"/>
        <v/>
      </c>
      <c r="Q177" s="18" t="str">
        <f t="shared" si="19"/>
        <v/>
      </c>
      <c r="R177" s="18" t="str">
        <f t="shared" si="20"/>
        <v/>
      </c>
    </row>
    <row r="178" spans="1:18" ht="22.5" customHeight="1" x14ac:dyDescent="0.25">
      <c r="A178" s="22"/>
      <c r="B178" s="261"/>
      <c r="C178" s="108"/>
      <c r="D178" s="255"/>
      <c r="E178" s="108"/>
      <c r="F178" s="41"/>
      <c r="G178" s="41"/>
      <c r="H178" s="250"/>
      <c r="I178" s="132"/>
      <c r="J178" s="24"/>
      <c r="L178" s="18" t="str">
        <f t="shared" si="14"/>
        <v/>
      </c>
      <c r="M178" s="18" t="str">
        <f t="shared" si="15"/>
        <v/>
      </c>
      <c r="N178" s="18" t="str">
        <f t="shared" si="16"/>
        <v/>
      </c>
      <c r="O178" s="18" t="str">
        <f t="shared" si="17"/>
        <v/>
      </c>
      <c r="P178" s="18" t="str">
        <f t="shared" si="18"/>
        <v/>
      </c>
      <c r="Q178" s="18" t="str">
        <f t="shared" si="19"/>
        <v/>
      </c>
      <c r="R178" s="18" t="str">
        <f t="shared" si="20"/>
        <v/>
      </c>
    </row>
    <row r="179" spans="1:18" ht="22.5" customHeight="1" x14ac:dyDescent="0.25">
      <c r="A179" s="19"/>
      <c r="B179" s="262"/>
      <c r="C179" s="107"/>
      <c r="D179" s="256"/>
      <c r="E179" s="107"/>
      <c r="F179" s="40"/>
      <c r="G179" s="40"/>
      <c r="H179" s="251"/>
      <c r="I179" s="131"/>
      <c r="J179" s="21"/>
      <c r="L179" s="18" t="str">
        <f t="shared" si="14"/>
        <v/>
      </c>
      <c r="M179" s="18" t="str">
        <f t="shared" si="15"/>
        <v/>
      </c>
      <c r="N179" s="18" t="str">
        <f t="shared" si="16"/>
        <v/>
      </c>
      <c r="O179" s="18" t="str">
        <f t="shared" si="17"/>
        <v/>
      </c>
      <c r="P179" s="18" t="str">
        <f t="shared" si="18"/>
        <v/>
      </c>
      <c r="Q179" s="18" t="str">
        <f t="shared" si="19"/>
        <v/>
      </c>
      <c r="R179" s="18" t="str">
        <f t="shared" si="20"/>
        <v/>
      </c>
    </row>
    <row r="180" spans="1:18" ht="22.5" customHeight="1" x14ac:dyDescent="0.25">
      <c r="A180" s="22"/>
      <c r="B180" s="261"/>
      <c r="C180" s="108"/>
      <c r="D180" s="255"/>
      <c r="E180" s="108"/>
      <c r="F180" s="41"/>
      <c r="G180" s="41"/>
      <c r="H180" s="250"/>
      <c r="I180" s="132"/>
      <c r="J180" s="24"/>
      <c r="L180" s="18" t="str">
        <f t="shared" si="14"/>
        <v/>
      </c>
      <c r="M180" s="18" t="str">
        <f t="shared" si="15"/>
        <v/>
      </c>
      <c r="N180" s="18" t="str">
        <f t="shared" si="16"/>
        <v/>
      </c>
      <c r="O180" s="18" t="str">
        <f t="shared" si="17"/>
        <v/>
      </c>
      <c r="P180" s="18" t="str">
        <f t="shared" si="18"/>
        <v/>
      </c>
      <c r="Q180" s="18" t="str">
        <f t="shared" si="19"/>
        <v/>
      </c>
      <c r="R180" s="18" t="str">
        <f t="shared" si="20"/>
        <v/>
      </c>
    </row>
    <row r="181" spans="1:18" ht="22.5" customHeight="1" x14ac:dyDescent="0.25">
      <c r="A181" s="19"/>
      <c r="B181" s="262"/>
      <c r="C181" s="107"/>
      <c r="D181" s="256"/>
      <c r="E181" s="107"/>
      <c r="F181" s="40"/>
      <c r="G181" s="40"/>
      <c r="H181" s="251"/>
      <c r="I181" s="131"/>
      <c r="J181" s="21"/>
      <c r="L181" s="18" t="str">
        <f t="shared" ref="L181:L244" si="21">IF(A181="","",IF(A181="Entrada",D181,""))</f>
        <v/>
      </c>
      <c r="M181" s="18" t="str">
        <f t="shared" ref="M181:M244" si="22">IF(A181="","",IF(A181="Entrada",E181,""))</f>
        <v/>
      </c>
      <c r="N181" s="18" t="str">
        <f t="shared" ref="N181:N244" si="23">IF(A181="","",IF(A181="Entrada",1,""))</f>
        <v/>
      </c>
      <c r="O181" s="18" t="str">
        <f t="shared" ref="O181:O244" si="24">IF(N181=1,G181,"")</f>
        <v/>
      </c>
      <c r="P181" s="18" t="str">
        <f t="shared" ref="P181:P244" si="25">IF(A181="","",IF(A181="Entrada",(L181/10)*O181,""))</f>
        <v/>
      </c>
      <c r="Q181" s="18" t="str">
        <f t="shared" ref="Q181:Q244" si="26">IF(A181="","",IF(A181="Saída",D181,""))</f>
        <v/>
      </c>
      <c r="R181" s="18" t="str">
        <f t="shared" ref="R181:R244" si="27">IF(A181="","",IF(A181="Saída",E181,""))</f>
        <v/>
      </c>
    </row>
    <row r="182" spans="1:18" ht="22.5" customHeight="1" x14ac:dyDescent="0.25">
      <c r="A182" s="22"/>
      <c r="B182" s="261"/>
      <c r="C182" s="108"/>
      <c r="D182" s="255"/>
      <c r="E182" s="108"/>
      <c r="F182" s="41"/>
      <c r="G182" s="41"/>
      <c r="H182" s="250"/>
      <c r="I182" s="132"/>
      <c r="J182" s="24"/>
      <c r="L182" s="18" t="str">
        <f t="shared" si="21"/>
        <v/>
      </c>
      <c r="M182" s="18" t="str">
        <f t="shared" si="22"/>
        <v/>
      </c>
      <c r="N182" s="18" t="str">
        <f t="shared" si="23"/>
        <v/>
      </c>
      <c r="O182" s="18" t="str">
        <f t="shared" si="24"/>
        <v/>
      </c>
      <c r="P182" s="18" t="str">
        <f t="shared" si="25"/>
        <v/>
      </c>
      <c r="Q182" s="18" t="str">
        <f t="shared" si="26"/>
        <v/>
      </c>
      <c r="R182" s="18" t="str">
        <f t="shared" si="27"/>
        <v/>
      </c>
    </row>
    <row r="183" spans="1:18" ht="22.5" customHeight="1" x14ac:dyDescent="0.25">
      <c r="A183" s="19"/>
      <c r="B183" s="262"/>
      <c r="C183" s="107"/>
      <c r="D183" s="256"/>
      <c r="E183" s="107"/>
      <c r="F183" s="40"/>
      <c r="G183" s="40"/>
      <c r="H183" s="251"/>
      <c r="I183" s="131"/>
      <c r="J183" s="21"/>
      <c r="L183" s="18" t="str">
        <f t="shared" si="21"/>
        <v/>
      </c>
      <c r="M183" s="18" t="str">
        <f t="shared" si="22"/>
        <v/>
      </c>
      <c r="N183" s="18" t="str">
        <f t="shared" si="23"/>
        <v/>
      </c>
      <c r="O183" s="18" t="str">
        <f t="shared" si="24"/>
        <v/>
      </c>
      <c r="P183" s="18" t="str">
        <f t="shared" si="25"/>
        <v/>
      </c>
      <c r="Q183" s="18" t="str">
        <f t="shared" si="26"/>
        <v/>
      </c>
      <c r="R183" s="18" t="str">
        <f t="shared" si="27"/>
        <v/>
      </c>
    </row>
    <row r="184" spans="1:18" ht="22.5" customHeight="1" x14ac:dyDescent="0.25">
      <c r="A184" s="22"/>
      <c r="B184" s="261"/>
      <c r="C184" s="108"/>
      <c r="D184" s="255"/>
      <c r="E184" s="108"/>
      <c r="F184" s="41"/>
      <c r="G184" s="41"/>
      <c r="H184" s="250"/>
      <c r="I184" s="132"/>
      <c r="J184" s="24"/>
      <c r="L184" s="18" t="str">
        <f t="shared" si="21"/>
        <v/>
      </c>
      <c r="M184" s="18" t="str">
        <f t="shared" si="22"/>
        <v/>
      </c>
      <c r="N184" s="18" t="str">
        <f t="shared" si="23"/>
        <v/>
      </c>
      <c r="O184" s="18" t="str">
        <f t="shared" si="24"/>
        <v/>
      </c>
      <c r="P184" s="18" t="str">
        <f t="shared" si="25"/>
        <v/>
      </c>
      <c r="Q184" s="18" t="str">
        <f t="shared" si="26"/>
        <v/>
      </c>
      <c r="R184" s="18" t="str">
        <f t="shared" si="27"/>
        <v/>
      </c>
    </row>
    <row r="185" spans="1:18" ht="22.5" customHeight="1" x14ac:dyDescent="0.25">
      <c r="A185" s="19"/>
      <c r="B185" s="262"/>
      <c r="C185" s="107"/>
      <c r="D185" s="256"/>
      <c r="E185" s="107"/>
      <c r="F185" s="40"/>
      <c r="G185" s="40"/>
      <c r="H185" s="251"/>
      <c r="I185" s="131"/>
      <c r="J185" s="21"/>
      <c r="L185" s="18" t="str">
        <f t="shared" si="21"/>
        <v/>
      </c>
      <c r="M185" s="18" t="str">
        <f t="shared" si="22"/>
        <v/>
      </c>
      <c r="N185" s="18" t="str">
        <f t="shared" si="23"/>
        <v/>
      </c>
      <c r="O185" s="18" t="str">
        <f t="shared" si="24"/>
        <v/>
      </c>
      <c r="P185" s="18" t="str">
        <f t="shared" si="25"/>
        <v/>
      </c>
      <c r="Q185" s="18" t="str">
        <f t="shared" si="26"/>
        <v/>
      </c>
      <c r="R185" s="18" t="str">
        <f t="shared" si="27"/>
        <v/>
      </c>
    </row>
    <row r="186" spans="1:18" ht="22.5" customHeight="1" x14ac:dyDescent="0.25">
      <c r="A186" s="22"/>
      <c r="B186" s="261"/>
      <c r="C186" s="108"/>
      <c r="D186" s="255"/>
      <c r="E186" s="108"/>
      <c r="F186" s="41"/>
      <c r="G186" s="41"/>
      <c r="H186" s="250"/>
      <c r="I186" s="132"/>
      <c r="J186" s="24"/>
      <c r="L186" s="18" t="str">
        <f t="shared" si="21"/>
        <v/>
      </c>
      <c r="M186" s="18" t="str">
        <f t="shared" si="22"/>
        <v/>
      </c>
      <c r="N186" s="18" t="str">
        <f t="shared" si="23"/>
        <v/>
      </c>
      <c r="O186" s="18" t="str">
        <f t="shared" si="24"/>
        <v/>
      </c>
      <c r="P186" s="18" t="str">
        <f t="shared" si="25"/>
        <v/>
      </c>
      <c r="Q186" s="18" t="str">
        <f t="shared" si="26"/>
        <v/>
      </c>
      <c r="R186" s="18" t="str">
        <f t="shared" si="27"/>
        <v/>
      </c>
    </row>
    <row r="187" spans="1:18" ht="22.5" customHeight="1" x14ac:dyDescent="0.25">
      <c r="A187" s="19"/>
      <c r="B187" s="262"/>
      <c r="C187" s="107"/>
      <c r="D187" s="256"/>
      <c r="E187" s="107"/>
      <c r="F187" s="40"/>
      <c r="G187" s="40"/>
      <c r="H187" s="251"/>
      <c r="I187" s="131"/>
      <c r="J187" s="21"/>
      <c r="L187" s="18" t="str">
        <f t="shared" si="21"/>
        <v/>
      </c>
      <c r="M187" s="18" t="str">
        <f t="shared" si="22"/>
        <v/>
      </c>
      <c r="N187" s="18" t="str">
        <f t="shared" si="23"/>
        <v/>
      </c>
      <c r="O187" s="18" t="str">
        <f t="shared" si="24"/>
        <v/>
      </c>
      <c r="P187" s="18" t="str">
        <f t="shared" si="25"/>
        <v/>
      </c>
      <c r="Q187" s="18" t="str">
        <f t="shared" si="26"/>
        <v/>
      </c>
      <c r="R187" s="18" t="str">
        <f t="shared" si="27"/>
        <v/>
      </c>
    </row>
    <row r="188" spans="1:18" ht="22.5" customHeight="1" x14ac:dyDescent="0.25">
      <c r="A188" s="22"/>
      <c r="B188" s="261"/>
      <c r="C188" s="108"/>
      <c r="D188" s="255"/>
      <c r="E188" s="108"/>
      <c r="F188" s="41"/>
      <c r="G188" s="41"/>
      <c r="H188" s="250"/>
      <c r="I188" s="132"/>
      <c r="J188" s="24"/>
      <c r="L188" s="18" t="str">
        <f t="shared" si="21"/>
        <v/>
      </c>
      <c r="M188" s="18" t="str">
        <f t="shared" si="22"/>
        <v/>
      </c>
      <c r="N188" s="18" t="str">
        <f t="shared" si="23"/>
        <v/>
      </c>
      <c r="O188" s="18" t="str">
        <f t="shared" si="24"/>
        <v/>
      </c>
      <c r="P188" s="18" t="str">
        <f t="shared" si="25"/>
        <v/>
      </c>
      <c r="Q188" s="18" t="str">
        <f t="shared" si="26"/>
        <v/>
      </c>
      <c r="R188" s="18" t="str">
        <f t="shared" si="27"/>
        <v/>
      </c>
    </row>
    <row r="189" spans="1:18" ht="22.5" customHeight="1" x14ac:dyDescent="0.25">
      <c r="A189" s="19"/>
      <c r="B189" s="262"/>
      <c r="C189" s="107"/>
      <c r="D189" s="256"/>
      <c r="E189" s="107"/>
      <c r="F189" s="40"/>
      <c r="G189" s="40"/>
      <c r="H189" s="251"/>
      <c r="I189" s="131"/>
      <c r="J189" s="21"/>
      <c r="L189" s="18" t="str">
        <f t="shared" si="21"/>
        <v/>
      </c>
      <c r="M189" s="18" t="str">
        <f t="shared" si="22"/>
        <v/>
      </c>
      <c r="N189" s="18" t="str">
        <f t="shared" si="23"/>
        <v/>
      </c>
      <c r="O189" s="18" t="str">
        <f t="shared" si="24"/>
        <v/>
      </c>
      <c r="P189" s="18" t="str">
        <f t="shared" si="25"/>
        <v/>
      </c>
      <c r="Q189" s="18" t="str">
        <f t="shared" si="26"/>
        <v/>
      </c>
      <c r="R189" s="18" t="str">
        <f t="shared" si="27"/>
        <v/>
      </c>
    </row>
    <row r="190" spans="1:18" ht="22.5" customHeight="1" x14ac:dyDescent="0.25">
      <c r="A190" s="22"/>
      <c r="B190" s="261"/>
      <c r="C190" s="108"/>
      <c r="D190" s="255"/>
      <c r="E190" s="108"/>
      <c r="F190" s="41"/>
      <c r="G190" s="41"/>
      <c r="H190" s="250"/>
      <c r="I190" s="132"/>
      <c r="J190" s="24"/>
      <c r="L190" s="18" t="str">
        <f t="shared" si="21"/>
        <v/>
      </c>
      <c r="M190" s="18" t="str">
        <f t="shared" si="22"/>
        <v/>
      </c>
      <c r="N190" s="18" t="str">
        <f t="shared" si="23"/>
        <v/>
      </c>
      <c r="O190" s="18" t="str">
        <f t="shared" si="24"/>
        <v/>
      </c>
      <c r="P190" s="18" t="str">
        <f t="shared" si="25"/>
        <v/>
      </c>
      <c r="Q190" s="18" t="str">
        <f t="shared" si="26"/>
        <v/>
      </c>
      <c r="R190" s="18" t="str">
        <f t="shared" si="27"/>
        <v/>
      </c>
    </row>
    <row r="191" spans="1:18" ht="22.5" customHeight="1" x14ac:dyDescent="0.25">
      <c r="A191" s="19"/>
      <c r="B191" s="262"/>
      <c r="C191" s="107"/>
      <c r="D191" s="256"/>
      <c r="E191" s="107"/>
      <c r="F191" s="40"/>
      <c r="G191" s="40"/>
      <c r="H191" s="251"/>
      <c r="I191" s="131"/>
      <c r="J191" s="21"/>
      <c r="L191" s="18" t="str">
        <f t="shared" si="21"/>
        <v/>
      </c>
      <c r="M191" s="18" t="str">
        <f t="shared" si="22"/>
        <v/>
      </c>
      <c r="N191" s="18" t="str">
        <f t="shared" si="23"/>
        <v/>
      </c>
      <c r="O191" s="18" t="str">
        <f t="shared" si="24"/>
        <v/>
      </c>
      <c r="P191" s="18" t="str">
        <f t="shared" si="25"/>
        <v/>
      </c>
      <c r="Q191" s="18" t="str">
        <f t="shared" si="26"/>
        <v/>
      </c>
      <c r="R191" s="18" t="str">
        <f t="shared" si="27"/>
        <v/>
      </c>
    </row>
    <row r="192" spans="1:18" ht="22.5" customHeight="1" x14ac:dyDescent="0.25">
      <c r="A192" s="22"/>
      <c r="B192" s="261"/>
      <c r="C192" s="108"/>
      <c r="D192" s="255"/>
      <c r="E192" s="108"/>
      <c r="F192" s="41"/>
      <c r="G192" s="41"/>
      <c r="H192" s="250"/>
      <c r="I192" s="132"/>
      <c r="J192" s="24"/>
      <c r="L192" s="18" t="str">
        <f t="shared" si="21"/>
        <v/>
      </c>
      <c r="M192" s="18" t="str">
        <f t="shared" si="22"/>
        <v/>
      </c>
      <c r="N192" s="18" t="str">
        <f t="shared" si="23"/>
        <v/>
      </c>
      <c r="O192" s="18" t="str">
        <f t="shared" si="24"/>
        <v/>
      </c>
      <c r="P192" s="18" t="str">
        <f t="shared" si="25"/>
        <v/>
      </c>
      <c r="Q192" s="18" t="str">
        <f t="shared" si="26"/>
        <v/>
      </c>
      <c r="R192" s="18" t="str">
        <f t="shared" si="27"/>
        <v/>
      </c>
    </row>
    <row r="193" spans="1:18" ht="22.5" customHeight="1" x14ac:dyDescent="0.25">
      <c r="A193" s="19"/>
      <c r="B193" s="262"/>
      <c r="C193" s="107"/>
      <c r="D193" s="256"/>
      <c r="E193" s="107"/>
      <c r="F193" s="40"/>
      <c r="G193" s="40"/>
      <c r="H193" s="251"/>
      <c r="I193" s="131"/>
      <c r="J193" s="21"/>
      <c r="L193" s="18" t="str">
        <f t="shared" si="21"/>
        <v/>
      </c>
      <c r="M193" s="18" t="str">
        <f t="shared" si="22"/>
        <v/>
      </c>
      <c r="N193" s="18" t="str">
        <f t="shared" si="23"/>
        <v/>
      </c>
      <c r="O193" s="18" t="str">
        <f t="shared" si="24"/>
        <v/>
      </c>
      <c r="P193" s="18" t="str">
        <f t="shared" si="25"/>
        <v/>
      </c>
      <c r="Q193" s="18" t="str">
        <f t="shared" si="26"/>
        <v/>
      </c>
      <c r="R193" s="18" t="str">
        <f t="shared" si="27"/>
        <v/>
      </c>
    </row>
    <row r="194" spans="1:18" ht="22.5" customHeight="1" x14ac:dyDescent="0.25">
      <c r="A194" s="22"/>
      <c r="B194" s="261"/>
      <c r="C194" s="108"/>
      <c r="D194" s="255"/>
      <c r="E194" s="108"/>
      <c r="F194" s="41"/>
      <c r="G194" s="41"/>
      <c r="H194" s="250"/>
      <c r="I194" s="132"/>
      <c r="J194" s="24"/>
      <c r="L194" s="18" t="str">
        <f t="shared" si="21"/>
        <v/>
      </c>
      <c r="M194" s="18" t="str">
        <f t="shared" si="22"/>
        <v/>
      </c>
      <c r="N194" s="18" t="str">
        <f t="shared" si="23"/>
        <v/>
      </c>
      <c r="O194" s="18" t="str">
        <f t="shared" si="24"/>
        <v/>
      </c>
      <c r="P194" s="18" t="str">
        <f t="shared" si="25"/>
        <v/>
      </c>
      <c r="Q194" s="18" t="str">
        <f t="shared" si="26"/>
        <v/>
      </c>
      <c r="R194" s="18" t="str">
        <f t="shared" si="27"/>
        <v/>
      </c>
    </row>
    <row r="195" spans="1:18" ht="22.5" customHeight="1" x14ac:dyDescent="0.25">
      <c r="A195" s="19"/>
      <c r="B195" s="262"/>
      <c r="C195" s="107"/>
      <c r="D195" s="256"/>
      <c r="E195" s="107"/>
      <c r="F195" s="40"/>
      <c r="G195" s="40"/>
      <c r="H195" s="251"/>
      <c r="I195" s="131"/>
      <c r="J195" s="21"/>
      <c r="L195" s="18" t="str">
        <f t="shared" si="21"/>
        <v/>
      </c>
      <c r="M195" s="18" t="str">
        <f t="shared" si="22"/>
        <v/>
      </c>
      <c r="N195" s="18" t="str">
        <f t="shared" si="23"/>
        <v/>
      </c>
      <c r="O195" s="18" t="str">
        <f t="shared" si="24"/>
        <v/>
      </c>
      <c r="P195" s="18" t="str">
        <f t="shared" si="25"/>
        <v/>
      </c>
      <c r="Q195" s="18" t="str">
        <f t="shared" si="26"/>
        <v/>
      </c>
      <c r="R195" s="18" t="str">
        <f t="shared" si="27"/>
        <v/>
      </c>
    </row>
    <row r="196" spans="1:18" ht="22.5" customHeight="1" x14ac:dyDescent="0.25">
      <c r="A196" s="22"/>
      <c r="B196" s="261"/>
      <c r="C196" s="108"/>
      <c r="D196" s="255"/>
      <c r="E196" s="108"/>
      <c r="F196" s="41"/>
      <c r="G196" s="41"/>
      <c r="H196" s="250"/>
      <c r="I196" s="132"/>
      <c r="J196" s="24"/>
      <c r="L196" s="18" t="str">
        <f t="shared" si="21"/>
        <v/>
      </c>
      <c r="M196" s="18" t="str">
        <f t="shared" si="22"/>
        <v/>
      </c>
      <c r="N196" s="18" t="str">
        <f t="shared" si="23"/>
        <v/>
      </c>
      <c r="O196" s="18" t="str">
        <f t="shared" si="24"/>
        <v/>
      </c>
      <c r="P196" s="18" t="str">
        <f t="shared" si="25"/>
        <v/>
      </c>
      <c r="Q196" s="18" t="str">
        <f t="shared" si="26"/>
        <v/>
      </c>
      <c r="R196" s="18" t="str">
        <f t="shared" si="27"/>
        <v/>
      </c>
    </row>
    <row r="197" spans="1:18" ht="22.5" customHeight="1" x14ac:dyDescent="0.25">
      <c r="A197" s="19"/>
      <c r="B197" s="262"/>
      <c r="C197" s="107"/>
      <c r="D197" s="256"/>
      <c r="E197" s="107"/>
      <c r="F197" s="40"/>
      <c r="G197" s="40"/>
      <c r="H197" s="251"/>
      <c r="I197" s="131"/>
      <c r="J197" s="21"/>
      <c r="L197" s="18" t="str">
        <f t="shared" si="21"/>
        <v/>
      </c>
      <c r="M197" s="18" t="str">
        <f t="shared" si="22"/>
        <v/>
      </c>
      <c r="N197" s="18" t="str">
        <f t="shared" si="23"/>
        <v/>
      </c>
      <c r="O197" s="18" t="str">
        <f t="shared" si="24"/>
        <v/>
      </c>
      <c r="P197" s="18" t="str">
        <f t="shared" si="25"/>
        <v/>
      </c>
      <c r="Q197" s="18" t="str">
        <f t="shared" si="26"/>
        <v/>
      </c>
      <c r="R197" s="18" t="str">
        <f t="shared" si="27"/>
        <v/>
      </c>
    </row>
    <row r="198" spans="1:18" ht="22.5" customHeight="1" x14ac:dyDescent="0.25">
      <c r="A198" s="22"/>
      <c r="B198" s="261"/>
      <c r="C198" s="108"/>
      <c r="D198" s="255"/>
      <c r="E198" s="108"/>
      <c r="F198" s="41"/>
      <c r="G198" s="41"/>
      <c r="H198" s="250"/>
      <c r="I198" s="132"/>
      <c r="J198" s="24"/>
      <c r="L198" s="18" t="str">
        <f t="shared" si="21"/>
        <v/>
      </c>
      <c r="M198" s="18" t="str">
        <f t="shared" si="22"/>
        <v/>
      </c>
      <c r="N198" s="18" t="str">
        <f t="shared" si="23"/>
        <v/>
      </c>
      <c r="O198" s="18" t="str">
        <f t="shared" si="24"/>
        <v/>
      </c>
      <c r="P198" s="18" t="str">
        <f t="shared" si="25"/>
        <v/>
      </c>
      <c r="Q198" s="18" t="str">
        <f t="shared" si="26"/>
        <v/>
      </c>
      <c r="R198" s="18" t="str">
        <f t="shared" si="27"/>
        <v/>
      </c>
    </row>
    <row r="199" spans="1:18" ht="22.5" customHeight="1" x14ac:dyDescent="0.25">
      <c r="A199" s="19"/>
      <c r="B199" s="262"/>
      <c r="C199" s="107"/>
      <c r="D199" s="256"/>
      <c r="E199" s="107"/>
      <c r="F199" s="40"/>
      <c r="G199" s="40"/>
      <c r="H199" s="251"/>
      <c r="I199" s="131"/>
      <c r="J199" s="21"/>
      <c r="L199" s="18" t="str">
        <f t="shared" si="21"/>
        <v/>
      </c>
      <c r="M199" s="18" t="str">
        <f t="shared" si="22"/>
        <v/>
      </c>
      <c r="N199" s="18" t="str">
        <f t="shared" si="23"/>
        <v/>
      </c>
      <c r="O199" s="18" t="str">
        <f t="shared" si="24"/>
        <v/>
      </c>
      <c r="P199" s="18" t="str">
        <f t="shared" si="25"/>
        <v/>
      </c>
      <c r="Q199" s="18" t="str">
        <f t="shared" si="26"/>
        <v/>
      </c>
      <c r="R199" s="18" t="str">
        <f t="shared" si="27"/>
        <v/>
      </c>
    </row>
    <row r="200" spans="1:18" ht="22.5" customHeight="1" x14ac:dyDescent="0.25">
      <c r="A200" s="22"/>
      <c r="B200" s="261"/>
      <c r="C200" s="108"/>
      <c r="D200" s="255"/>
      <c r="E200" s="108"/>
      <c r="F200" s="41"/>
      <c r="G200" s="41"/>
      <c r="H200" s="250"/>
      <c r="I200" s="132"/>
      <c r="J200" s="24"/>
      <c r="L200" s="18" t="str">
        <f t="shared" si="21"/>
        <v/>
      </c>
      <c r="M200" s="18" t="str">
        <f t="shared" si="22"/>
        <v/>
      </c>
      <c r="N200" s="18" t="str">
        <f t="shared" si="23"/>
        <v/>
      </c>
      <c r="O200" s="18" t="str">
        <f t="shared" si="24"/>
        <v/>
      </c>
      <c r="P200" s="18" t="str">
        <f t="shared" si="25"/>
        <v/>
      </c>
      <c r="Q200" s="18" t="str">
        <f t="shared" si="26"/>
        <v/>
      </c>
      <c r="R200" s="18" t="str">
        <f t="shared" si="27"/>
        <v/>
      </c>
    </row>
    <row r="201" spans="1:18" ht="22.5" customHeight="1" x14ac:dyDescent="0.25">
      <c r="A201" s="19"/>
      <c r="B201" s="262"/>
      <c r="C201" s="107"/>
      <c r="D201" s="256"/>
      <c r="E201" s="107"/>
      <c r="F201" s="40"/>
      <c r="G201" s="40"/>
      <c r="H201" s="251"/>
      <c r="I201" s="131"/>
      <c r="J201" s="21"/>
      <c r="L201" s="18" t="str">
        <f t="shared" si="21"/>
        <v/>
      </c>
      <c r="M201" s="18" t="str">
        <f t="shared" si="22"/>
        <v/>
      </c>
      <c r="N201" s="18" t="str">
        <f t="shared" si="23"/>
        <v/>
      </c>
      <c r="O201" s="18" t="str">
        <f t="shared" si="24"/>
        <v/>
      </c>
      <c r="P201" s="18" t="str">
        <f t="shared" si="25"/>
        <v/>
      </c>
      <c r="Q201" s="18" t="str">
        <f t="shared" si="26"/>
        <v/>
      </c>
      <c r="R201" s="18" t="str">
        <f t="shared" si="27"/>
        <v/>
      </c>
    </row>
    <row r="202" spans="1:18" ht="22.5" customHeight="1" x14ac:dyDescent="0.25">
      <c r="A202" s="22"/>
      <c r="B202" s="261"/>
      <c r="C202" s="108"/>
      <c r="D202" s="255"/>
      <c r="E202" s="108"/>
      <c r="F202" s="41"/>
      <c r="G202" s="41"/>
      <c r="H202" s="250"/>
      <c r="I202" s="132"/>
      <c r="J202" s="24"/>
      <c r="L202" s="18" t="str">
        <f t="shared" si="21"/>
        <v/>
      </c>
      <c r="M202" s="18" t="str">
        <f t="shared" si="22"/>
        <v/>
      </c>
      <c r="N202" s="18" t="str">
        <f t="shared" si="23"/>
        <v/>
      </c>
      <c r="O202" s="18" t="str">
        <f t="shared" si="24"/>
        <v/>
      </c>
      <c r="P202" s="18" t="str">
        <f t="shared" si="25"/>
        <v/>
      </c>
      <c r="Q202" s="18" t="str">
        <f t="shared" si="26"/>
        <v/>
      </c>
      <c r="R202" s="18" t="str">
        <f t="shared" si="27"/>
        <v/>
      </c>
    </row>
    <row r="203" spans="1:18" ht="22.5" customHeight="1" x14ac:dyDescent="0.25">
      <c r="A203" s="19"/>
      <c r="B203" s="262"/>
      <c r="C203" s="107"/>
      <c r="D203" s="256"/>
      <c r="E203" s="107"/>
      <c r="F203" s="40"/>
      <c r="G203" s="40"/>
      <c r="H203" s="251"/>
      <c r="I203" s="131"/>
      <c r="J203" s="21"/>
      <c r="L203" s="18" t="str">
        <f t="shared" si="21"/>
        <v/>
      </c>
      <c r="M203" s="18" t="str">
        <f t="shared" si="22"/>
        <v/>
      </c>
      <c r="N203" s="18" t="str">
        <f t="shared" si="23"/>
        <v/>
      </c>
      <c r="O203" s="18" t="str">
        <f t="shared" si="24"/>
        <v/>
      </c>
      <c r="P203" s="18" t="str">
        <f t="shared" si="25"/>
        <v/>
      </c>
      <c r="Q203" s="18" t="str">
        <f t="shared" si="26"/>
        <v/>
      </c>
      <c r="R203" s="18" t="str">
        <f t="shared" si="27"/>
        <v/>
      </c>
    </row>
    <row r="204" spans="1:18" ht="22.5" customHeight="1" x14ac:dyDescent="0.25">
      <c r="A204" s="22"/>
      <c r="B204" s="261"/>
      <c r="C204" s="108"/>
      <c r="D204" s="255"/>
      <c r="E204" s="108"/>
      <c r="F204" s="41"/>
      <c r="G204" s="41"/>
      <c r="H204" s="250"/>
      <c r="I204" s="132"/>
      <c r="J204" s="24"/>
      <c r="L204" s="18" t="str">
        <f t="shared" si="21"/>
        <v/>
      </c>
      <c r="M204" s="18" t="str">
        <f t="shared" si="22"/>
        <v/>
      </c>
      <c r="N204" s="18" t="str">
        <f t="shared" si="23"/>
        <v/>
      </c>
      <c r="O204" s="18" t="str">
        <f t="shared" si="24"/>
        <v/>
      </c>
      <c r="P204" s="18" t="str">
        <f t="shared" si="25"/>
        <v/>
      </c>
      <c r="Q204" s="18" t="str">
        <f t="shared" si="26"/>
        <v/>
      </c>
      <c r="R204" s="18" t="str">
        <f t="shared" si="27"/>
        <v/>
      </c>
    </row>
    <row r="205" spans="1:18" ht="22.5" customHeight="1" x14ac:dyDescent="0.25">
      <c r="A205" s="19"/>
      <c r="B205" s="262"/>
      <c r="C205" s="107"/>
      <c r="D205" s="256"/>
      <c r="E205" s="107"/>
      <c r="F205" s="40"/>
      <c r="G205" s="40"/>
      <c r="H205" s="251"/>
      <c r="I205" s="131"/>
      <c r="J205" s="21"/>
      <c r="L205" s="18" t="str">
        <f t="shared" si="21"/>
        <v/>
      </c>
      <c r="M205" s="18" t="str">
        <f t="shared" si="22"/>
        <v/>
      </c>
      <c r="N205" s="18" t="str">
        <f t="shared" si="23"/>
        <v/>
      </c>
      <c r="O205" s="18" t="str">
        <f t="shared" si="24"/>
        <v/>
      </c>
      <c r="P205" s="18" t="str">
        <f t="shared" si="25"/>
        <v/>
      </c>
      <c r="Q205" s="18" t="str">
        <f t="shared" si="26"/>
        <v/>
      </c>
      <c r="R205" s="18" t="str">
        <f t="shared" si="27"/>
        <v/>
      </c>
    </row>
    <row r="206" spans="1:18" ht="22.5" customHeight="1" x14ac:dyDescent="0.25">
      <c r="A206" s="22"/>
      <c r="B206" s="261"/>
      <c r="C206" s="108"/>
      <c r="D206" s="255"/>
      <c r="E206" s="108"/>
      <c r="F206" s="41"/>
      <c r="G206" s="41"/>
      <c r="H206" s="250"/>
      <c r="I206" s="132"/>
      <c r="J206" s="24"/>
      <c r="L206" s="18" t="str">
        <f t="shared" si="21"/>
        <v/>
      </c>
      <c r="M206" s="18" t="str">
        <f t="shared" si="22"/>
        <v/>
      </c>
      <c r="N206" s="18" t="str">
        <f t="shared" si="23"/>
        <v/>
      </c>
      <c r="O206" s="18" t="str">
        <f t="shared" si="24"/>
        <v/>
      </c>
      <c r="P206" s="18" t="str">
        <f t="shared" si="25"/>
        <v/>
      </c>
      <c r="Q206" s="18" t="str">
        <f t="shared" si="26"/>
        <v/>
      </c>
      <c r="R206" s="18" t="str">
        <f t="shared" si="27"/>
        <v/>
      </c>
    </row>
    <row r="207" spans="1:18" ht="22.5" customHeight="1" x14ac:dyDescent="0.25">
      <c r="A207" s="19"/>
      <c r="B207" s="262"/>
      <c r="C207" s="107"/>
      <c r="D207" s="256"/>
      <c r="E207" s="107"/>
      <c r="F207" s="40"/>
      <c r="G207" s="40"/>
      <c r="H207" s="251"/>
      <c r="I207" s="131"/>
      <c r="J207" s="21"/>
      <c r="L207" s="18" t="str">
        <f t="shared" si="21"/>
        <v/>
      </c>
      <c r="M207" s="18" t="str">
        <f t="shared" si="22"/>
        <v/>
      </c>
      <c r="N207" s="18" t="str">
        <f t="shared" si="23"/>
        <v/>
      </c>
      <c r="O207" s="18" t="str">
        <f t="shared" si="24"/>
        <v/>
      </c>
      <c r="P207" s="18" t="str">
        <f t="shared" si="25"/>
        <v/>
      </c>
      <c r="Q207" s="18" t="str">
        <f t="shared" si="26"/>
        <v/>
      </c>
      <c r="R207" s="18" t="str">
        <f t="shared" si="27"/>
        <v/>
      </c>
    </row>
    <row r="208" spans="1:18" ht="22.5" customHeight="1" x14ac:dyDescent="0.25">
      <c r="A208" s="22"/>
      <c r="B208" s="261"/>
      <c r="C208" s="108"/>
      <c r="D208" s="255"/>
      <c r="E208" s="108"/>
      <c r="F208" s="41"/>
      <c r="G208" s="41"/>
      <c r="H208" s="250"/>
      <c r="I208" s="132"/>
      <c r="J208" s="24"/>
      <c r="L208" s="18" t="str">
        <f t="shared" si="21"/>
        <v/>
      </c>
      <c r="M208" s="18" t="str">
        <f t="shared" si="22"/>
        <v/>
      </c>
      <c r="N208" s="18" t="str">
        <f t="shared" si="23"/>
        <v/>
      </c>
      <c r="O208" s="18" t="str">
        <f t="shared" si="24"/>
        <v/>
      </c>
      <c r="P208" s="18" t="str">
        <f t="shared" si="25"/>
        <v/>
      </c>
      <c r="Q208" s="18" t="str">
        <f t="shared" si="26"/>
        <v/>
      </c>
      <c r="R208" s="18" t="str">
        <f t="shared" si="27"/>
        <v/>
      </c>
    </row>
    <row r="209" spans="1:18" ht="22.5" customHeight="1" x14ac:dyDescent="0.25">
      <c r="A209" s="19"/>
      <c r="B209" s="262"/>
      <c r="C209" s="107"/>
      <c r="D209" s="256"/>
      <c r="E209" s="107"/>
      <c r="F209" s="40"/>
      <c r="G209" s="40"/>
      <c r="H209" s="251"/>
      <c r="I209" s="131"/>
      <c r="J209" s="21"/>
      <c r="L209" s="18" t="str">
        <f t="shared" si="21"/>
        <v/>
      </c>
      <c r="M209" s="18" t="str">
        <f t="shared" si="22"/>
        <v/>
      </c>
      <c r="N209" s="18" t="str">
        <f t="shared" si="23"/>
        <v/>
      </c>
      <c r="O209" s="18" t="str">
        <f t="shared" si="24"/>
        <v/>
      </c>
      <c r="P209" s="18" t="str">
        <f t="shared" si="25"/>
        <v/>
      </c>
      <c r="Q209" s="18" t="str">
        <f t="shared" si="26"/>
        <v/>
      </c>
      <c r="R209" s="18" t="str">
        <f t="shared" si="27"/>
        <v/>
      </c>
    </row>
    <row r="210" spans="1:18" ht="22.5" customHeight="1" x14ac:dyDescent="0.25">
      <c r="A210" s="22"/>
      <c r="B210" s="261"/>
      <c r="C210" s="108"/>
      <c r="D210" s="255"/>
      <c r="E210" s="108"/>
      <c r="F210" s="41"/>
      <c r="G210" s="41"/>
      <c r="H210" s="250"/>
      <c r="I210" s="132"/>
      <c r="J210" s="24"/>
      <c r="L210" s="18" t="str">
        <f t="shared" si="21"/>
        <v/>
      </c>
      <c r="M210" s="18" t="str">
        <f t="shared" si="22"/>
        <v/>
      </c>
      <c r="N210" s="18" t="str">
        <f t="shared" si="23"/>
        <v/>
      </c>
      <c r="O210" s="18" t="str">
        <f t="shared" si="24"/>
        <v/>
      </c>
      <c r="P210" s="18" t="str">
        <f t="shared" si="25"/>
        <v/>
      </c>
      <c r="Q210" s="18" t="str">
        <f t="shared" si="26"/>
        <v/>
      </c>
      <c r="R210" s="18" t="str">
        <f t="shared" si="27"/>
        <v/>
      </c>
    </row>
    <row r="211" spans="1:18" ht="22.5" customHeight="1" x14ac:dyDescent="0.25">
      <c r="A211" s="19"/>
      <c r="B211" s="262"/>
      <c r="C211" s="107"/>
      <c r="D211" s="256"/>
      <c r="E211" s="107"/>
      <c r="F211" s="40"/>
      <c r="G211" s="40"/>
      <c r="H211" s="251"/>
      <c r="I211" s="131"/>
      <c r="J211" s="21"/>
      <c r="L211" s="18" t="str">
        <f t="shared" si="21"/>
        <v/>
      </c>
      <c r="M211" s="18" t="str">
        <f t="shared" si="22"/>
        <v/>
      </c>
      <c r="N211" s="18" t="str">
        <f t="shared" si="23"/>
        <v/>
      </c>
      <c r="O211" s="18" t="str">
        <f t="shared" si="24"/>
        <v/>
      </c>
      <c r="P211" s="18" t="str">
        <f t="shared" si="25"/>
        <v/>
      </c>
      <c r="Q211" s="18" t="str">
        <f t="shared" si="26"/>
        <v/>
      </c>
      <c r="R211" s="18" t="str">
        <f t="shared" si="27"/>
        <v/>
      </c>
    </row>
    <row r="212" spans="1:18" ht="22.5" customHeight="1" x14ac:dyDescent="0.25">
      <c r="A212" s="22"/>
      <c r="B212" s="261"/>
      <c r="C212" s="108"/>
      <c r="D212" s="255"/>
      <c r="E212" s="108"/>
      <c r="F212" s="41"/>
      <c r="G212" s="41"/>
      <c r="H212" s="250"/>
      <c r="I212" s="132"/>
      <c r="J212" s="24"/>
      <c r="L212" s="18" t="str">
        <f t="shared" si="21"/>
        <v/>
      </c>
      <c r="M212" s="18" t="str">
        <f t="shared" si="22"/>
        <v/>
      </c>
      <c r="N212" s="18" t="str">
        <f t="shared" si="23"/>
        <v/>
      </c>
      <c r="O212" s="18" t="str">
        <f t="shared" si="24"/>
        <v/>
      </c>
      <c r="P212" s="18" t="str">
        <f t="shared" si="25"/>
        <v/>
      </c>
      <c r="Q212" s="18" t="str">
        <f t="shared" si="26"/>
        <v/>
      </c>
      <c r="R212" s="18" t="str">
        <f t="shared" si="27"/>
        <v/>
      </c>
    </row>
    <row r="213" spans="1:18" ht="22.5" customHeight="1" x14ac:dyDescent="0.25">
      <c r="A213" s="19"/>
      <c r="B213" s="262"/>
      <c r="C213" s="107"/>
      <c r="D213" s="256"/>
      <c r="E213" s="107"/>
      <c r="F213" s="40"/>
      <c r="G213" s="40"/>
      <c r="H213" s="251"/>
      <c r="I213" s="131"/>
      <c r="J213" s="21"/>
      <c r="L213" s="18" t="str">
        <f t="shared" si="21"/>
        <v/>
      </c>
      <c r="M213" s="18" t="str">
        <f t="shared" si="22"/>
        <v/>
      </c>
      <c r="N213" s="18" t="str">
        <f t="shared" si="23"/>
        <v/>
      </c>
      <c r="O213" s="18" t="str">
        <f t="shared" si="24"/>
        <v/>
      </c>
      <c r="P213" s="18" t="str">
        <f t="shared" si="25"/>
        <v/>
      </c>
      <c r="Q213" s="18" t="str">
        <f t="shared" si="26"/>
        <v/>
      </c>
      <c r="R213" s="18" t="str">
        <f t="shared" si="27"/>
        <v/>
      </c>
    </row>
    <row r="214" spans="1:18" ht="22.5" customHeight="1" x14ac:dyDescent="0.25">
      <c r="A214" s="22"/>
      <c r="B214" s="261"/>
      <c r="C214" s="108"/>
      <c r="D214" s="255"/>
      <c r="E214" s="108"/>
      <c r="F214" s="41"/>
      <c r="G214" s="41"/>
      <c r="H214" s="250"/>
      <c r="I214" s="132"/>
      <c r="J214" s="24"/>
      <c r="L214" s="18" t="str">
        <f t="shared" si="21"/>
        <v/>
      </c>
      <c r="M214" s="18" t="str">
        <f t="shared" si="22"/>
        <v/>
      </c>
      <c r="N214" s="18" t="str">
        <f t="shared" si="23"/>
        <v/>
      </c>
      <c r="O214" s="18" t="str">
        <f t="shared" si="24"/>
        <v/>
      </c>
      <c r="P214" s="18" t="str">
        <f t="shared" si="25"/>
        <v/>
      </c>
      <c r="Q214" s="18" t="str">
        <f t="shared" si="26"/>
        <v/>
      </c>
      <c r="R214" s="18" t="str">
        <f t="shared" si="27"/>
        <v/>
      </c>
    </row>
    <row r="215" spans="1:18" ht="22.5" customHeight="1" x14ac:dyDescent="0.25">
      <c r="A215" s="19"/>
      <c r="B215" s="262"/>
      <c r="C215" s="107"/>
      <c r="D215" s="256"/>
      <c r="E215" s="107"/>
      <c r="F215" s="40"/>
      <c r="G215" s="40"/>
      <c r="H215" s="251"/>
      <c r="I215" s="131"/>
      <c r="J215" s="21"/>
      <c r="L215" s="18" t="str">
        <f t="shared" si="21"/>
        <v/>
      </c>
      <c r="M215" s="18" t="str">
        <f t="shared" si="22"/>
        <v/>
      </c>
      <c r="N215" s="18" t="str">
        <f t="shared" si="23"/>
        <v/>
      </c>
      <c r="O215" s="18" t="str">
        <f t="shared" si="24"/>
        <v/>
      </c>
      <c r="P215" s="18" t="str">
        <f t="shared" si="25"/>
        <v/>
      </c>
      <c r="Q215" s="18" t="str">
        <f t="shared" si="26"/>
        <v/>
      </c>
      <c r="R215" s="18" t="str">
        <f t="shared" si="27"/>
        <v/>
      </c>
    </row>
    <row r="216" spans="1:18" ht="22.5" customHeight="1" x14ac:dyDescent="0.25">
      <c r="A216" s="22"/>
      <c r="B216" s="261"/>
      <c r="C216" s="108"/>
      <c r="D216" s="255"/>
      <c r="E216" s="108"/>
      <c r="F216" s="41"/>
      <c r="G216" s="41"/>
      <c r="H216" s="250"/>
      <c r="I216" s="132"/>
      <c r="J216" s="24"/>
      <c r="L216" s="18" t="str">
        <f t="shared" si="21"/>
        <v/>
      </c>
      <c r="M216" s="18" t="str">
        <f t="shared" si="22"/>
        <v/>
      </c>
      <c r="N216" s="18" t="str">
        <f t="shared" si="23"/>
        <v/>
      </c>
      <c r="O216" s="18" t="str">
        <f t="shared" si="24"/>
        <v/>
      </c>
      <c r="P216" s="18" t="str">
        <f t="shared" si="25"/>
        <v/>
      </c>
      <c r="Q216" s="18" t="str">
        <f t="shared" si="26"/>
        <v/>
      </c>
      <c r="R216" s="18" t="str">
        <f t="shared" si="27"/>
        <v/>
      </c>
    </row>
    <row r="217" spans="1:18" ht="22.5" customHeight="1" x14ac:dyDescent="0.25">
      <c r="A217" s="19"/>
      <c r="B217" s="262"/>
      <c r="C217" s="107"/>
      <c r="D217" s="256"/>
      <c r="E217" s="107"/>
      <c r="F217" s="40"/>
      <c r="G217" s="40"/>
      <c r="H217" s="251"/>
      <c r="I217" s="131"/>
      <c r="J217" s="21"/>
      <c r="L217" s="18" t="str">
        <f t="shared" si="21"/>
        <v/>
      </c>
      <c r="M217" s="18" t="str">
        <f t="shared" si="22"/>
        <v/>
      </c>
      <c r="N217" s="18" t="str">
        <f t="shared" si="23"/>
        <v/>
      </c>
      <c r="O217" s="18" t="str">
        <f t="shared" si="24"/>
        <v/>
      </c>
      <c r="P217" s="18" t="str">
        <f t="shared" si="25"/>
        <v/>
      </c>
      <c r="Q217" s="18" t="str">
        <f t="shared" si="26"/>
        <v/>
      </c>
      <c r="R217" s="18" t="str">
        <f t="shared" si="27"/>
        <v/>
      </c>
    </row>
    <row r="218" spans="1:18" ht="22.5" customHeight="1" x14ac:dyDescent="0.25">
      <c r="A218" s="22"/>
      <c r="B218" s="261"/>
      <c r="C218" s="108"/>
      <c r="D218" s="255"/>
      <c r="E218" s="108"/>
      <c r="F218" s="41"/>
      <c r="G218" s="41"/>
      <c r="H218" s="250"/>
      <c r="I218" s="132"/>
      <c r="J218" s="24"/>
      <c r="L218" s="18" t="str">
        <f t="shared" si="21"/>
        <v/>
      </c>
      <c r="M218" s="18" t="str">
        <f t="shared" si="22"/>
        <v/>
      </c>
      <c r="N218" s="18" t="str">
        <f t="shared" si="23"/>
        <v/>
      </c>
      <c r="O218" s="18" t="str">
        <f t="shared" si="24"/>
        <v/>
      </c>
      <c r="P218" s="18" t="str">
        <f t="shared" si="25"/>
        <v/>
      </c>
      <c r="Q218" s="18" t="str">
        <f t="shared" si="26"/>
        <v/>
      </c>
      <c r="R218" s="18" t="str">
        <f t="shared" si="27"/>
        <v/>
      </c>
    </row>
    <row r="219" spans="1:18" ht="22.5" customHeight="1" x14ac:dyDescent="0.25">
      <c r="A219" s="19"/>
      <c r="B219" s="262"/>
      <c r="C219" s="107"/>
      <c r="D219" s="256"/>
      <c r="E219" s="107"/>
      <c r="F219" s="40"/>
      <c r="G219" s="40"/>
      <c r="H219" s="251"/>
      <c r="I219" s="131"/>
      <c r="J219" s="21"/>
      <c r="L219" s="18" t="str">
        <f t="shared" si="21"/>
        <v/>
      </c>
      <c r="M219" s="18" t="str">
        <f t="shared" si="22"/>
        <v/>
      </c>
      <c r="N219" s="18" t="str">
        <f t="shared" si="23"/>
        <v/>
      </c>
      <c r="O219" s="18" t="str">
        <f t="shared" si="24"/>
        <v/>
      </c>
      <c r="P219" s="18" t="str">
        <f t="shared" si="25"/>
        <v/>
      </c>
      <c r="Q219" s="18" t="str">
        <f t="shared" si="26"/>
        <v/>
      </c>
      <c r="R219" s="18" t="str">
        <f t="shared" si="27"/>
        <v/>
      </c>
    </row>
    <row r="220" spans="1:18" ht="22.5" customHeight="1" x14ac:dyDescent="0.25">
      <c r="A220" s="22"/>
      <c r="B220" s="261"/>
      <c r="C220" s="108"/>
      <c r="D220" s="255"/>
      <c r="E220" s="108"/>
      <c r="F220" s="41"/>
      <c r="G220" s="41"/>
      <c r="H220" s="250"/>
      <c r="I220" s="132"/>
      <c r="J220" s="24"/>
      <c r="L220" s="18" t="str">
        <f t="shared" si="21"/>
        <v/>
      </c>
      <c r="M220" s="18" t="str">
        <f t="shared" si="22"/>
        <v/>
      </c>
      <c r="N220" s="18" t="str">
        <f t="shared" si="23"/>
        <v/>
      </c>
      <c r="O220" s="18" t="str">
        <f t="shared" si="24"/>
        <v/>
      </c>
      <c r="P220" s="18" t="str">
        <f t="shared" si="25"/>
        <v/>
      </c>
      <c r="Q220" s="18" t="str">
        <f t="shared" si="26"/>
        <v/>
      </c>
      <c r="R220" s="18" t="str">
        <f t="shared" si="27"/>
        <v/>
      </c>
    </row>
    <row r="221" spans="1:18" ht="22.5" customHeight="1" x14ac:dyDescent="0.25">
      <c r="A221" s="19"/>
      <c r="B221" s="262"/>
      <c r="C221" s="107"/>
      <c r="D221" s="256"/>
      <c r="E221" s="107"/>
      <c r="F221" s="40"/>
      <c r="G221" s="40"/>
      <c r="H221" s="251"/>
      <c r="I221" s="131"/>
      <c r="J221" s="21"/>
      <c r="L221" s="18" t="str">
        <f t="shared" si="21"/>
        <v/>
      </c>
      <c r="M221" s="18" t="str">
        <f t="shared" si="22"/>
        <v/>
      </c>
      <c r="N221" s="18" t="str">
        <f t="shared" si="23"/>
        <v/>
      </c>
      <c r="O221" s="18" t="str">
        <f t="shared" si="24"/>
        <v/>
      </c>
      <c r="P221" s="18" t="str">
        <f t="shared" si="25"/>
        <v/>
      </c>
      <c r="Q221" s="18" t="str">
        <f t="shared" si="26"/>
        <v/>
      </c>
      <c r="R221" s="18" t="str">
        <f t="shared" si="27"/>
        <v/>
      </c>
    </row>
    <row r="222" spans="1:18" ht="22.5" customHeight="1" x14ac:dyDescent="0.25">
      <c r="A222" s="22"/>
      <c r="B222" s="261"/>
      <c r="C222" s="108"/>
      <c r="D222" s="255"/>
      <c r="E222" s="108"/>
      <c r="F222" s="41"/>
      <c r="G222" s="41"/>
      <c r="H222" s="250"/>
      <c r="I222" s="132"/>
      <c r="J222" s="24"/>
      <c r="L222" s="18" t="str">
        <f t="shared" si="21"/>
        <v/>
      </c>
      <c r="M222" s="18" t="str">
        <f t="shared" si="22"/>
        <v/>
      </c>
      <c r="N222" s="18" t="str">
        <f t="shared" si="23"/>
        <v/>
      </c>
      <c r="O222" s="18" t="str">
        <f t="shared" si="24"/>
        <v/>
      </c>
      <c r="P222" s="18" t="str">
        <f t="shared" si="25"/>
        <v/>
      </c>
      <c r="Q222" s="18" t="str">
        <f t="shared" si="26"/>
        <v/>
      </c>
      <c r="R222" s="18" t="str">
        <f t="shared" si="27"/>
        <v/>
      </c>
    </row>
    <row r="223" spans="1:18" ht="22.5" customHeight="1" x14ac:dyDescent="0.25">
      <c r="A223" s="19"/>
      <c r="B223" s="262"/>
      <c r="C223" s="107"/>
      <c r="D223" s="256"/>
      <c r="E223" s="107"/>
      <c r="F223" s="40"/>
      <c r="G223" s="40"/>
      <c r="H223" s="251"/>
      <c r="I223" s="131"/>
      <c r="J223" s="21"/>
      <c r="L223" s="18" t="str">
        <f t="shared" si="21"/>
        <v/>
      </c>
      <c r="M223" s="18" t="str">
        <f t="shared" si="22"/>
        <v/>
      </c>
      <c r="N223" s="18" t="str">
        <f t="shared" si="23"/>
        <v/>
      </c>
      <c r="O223" s="18" t="str">
        <f t="shared" si="24"/>
        <v/>
      </c>
      <c r="P223" s="18" t="str">
        <f t="shared" si="25"/>
        <v/>
      </c>
      <c r="Q223" s="18" t="str">
        <f t="shared" si="26"/>
        <v/>
      </c>
      <c r="R223" s="18" t="str">
        <f t="shared" si="27"/>
        <v/>
      </c>
    </row>
    <row r="224" spans="1:18" ht="22.5" customHeight="1" x14ac:dyDescent="0.25">
      <c r="A224" s="22"/>
      <c r="B224" s="261"/>
      <c r="C224" s="108"/>
      <c r="D224" s="255"/>
      <c r="E224" s="108"/>
      <c r="F224" s="41"/>
      <c r="G224" s="41"/>
      <c r="H224" s="250"/>
      <c r="I224" s="132"/>
      <c r="J224" s="24"/>
      <c r="L224" s="18" t="str">
        <f t="shared" si="21"/>
        <v/>
      </c>
      <c r="M224" s="18" t="str">
        <f t="shared" si="22"/>
        <v/>
      </c>
      <c r="N224" s="18" t="str">
        <f t="shared" si="23"/>
        <v/>
      </c>
      <c r="O224" s="18" t="str">
        <f t="shared" si="24"/>
        <v/>
      </c>
      <c r="P224" s="18" t="str">
        <f t="shared" si="25"/>
        <v/>
      </c>
      <c r="Q224" s="18" t="str">
        <f t="shared" si="26"/>
        <v/>
      </c>
      <c r="R224" s="18" t="str">
        <f t="shared" si="27"/>
        <v/>
      </c>
    </row>
    <row r="225" spans="1:18" ht="22.5" customHeight="1" x14ac:dyDescent="0.25">
      <c r="A225" s="19"/>
      <c r="B225" s="262"/>
      <c r="C225" s="107"/>
      <c r="D225" s="256"/>
      <c r="E225" s="107"/>
      <c r="F225" s="40"/>
      <c r="G225" s="40"/>
      <c r="H225" s="251"/>
      <c r="I225" s="131"/>
      <c r="J225" s="21"/>
      <c r="L225" s="18" t="str">
        <f t="shared" si="21"/>
        <v/>
      </c>
      <c r="M225" s="18" t="str">
        <f t="shared" si="22"/>
        <v/>
      </c>
      <c r="N225" s="18" t="str">
        <f t="shared" si="23"/>
        <v/>
      </c>
      <c r="O225" s="18" t="str">
        <f t="shared" si="24"/>
        <v/>
      </c>
      <c r="P225" s="18" t="str">
        <f t="shared" si="25"/>
        <v/>
      </c>
      <c r="Q225" s="18" t="str">
        <f t="shared" si="26"/>
        <v/>
      </c>
      <c r="R225" s="18" t="str">
        <f t="shared" si="27"/>
        <v/>
      </c>
    </row>
    <row r="226" spans="1:18" ht="22.5" customHeight="1" x14ac:dyDescent="0.25">
      <c r="A226" s="22"/>
      <c r="B226" s="261"/>
      <c r="C226" s="108"/>
      <c r="D226" s="255"/>
      <c r="E226" s="108"/>
      <c r="F226" s="41"/>
      <c r="G226" s="41"/>
      <c r="H226" s="250"/>
      <c r="I226" s="132"/>
      <c r="J226" s="24"/>
      <c r="L226" s="18" t="str">
        <f t="shared" si="21"/>
        <v/>
      </c>
      <c r="M226" s="18" t="str">
        <f t="shared" si="22"/>
        <v/>
      </c>
      <c r="N226" s="18" t="str">
        <f t="shared" si="23"/>
        <v/>
      </c>
      <c r="O226" s="18" t="str">
        <f t="shared" si="24"/>
        <v/>
      </c>
      <c r="P226" s="18" t="str">
        <f t="shared" si="25"/>
        <v/>
      </c>
      <c r="Q226" s="18" t="str">
        <f t="shared" si="26"/>
        <v/>
      </c>
      <c r="R226" s="18" t="str">
        <f t="shared" si="27"/>
        <v/>
      </c>
    </row>
    <row r="227" spans="1:18" ht="22.5" customHeight="1" x14ac:dyDescent="0.25">
      <c r="A227" s="19"/>
      <c r="B227" s="262"/>
      <c r="C227" s="107"/>
      <c r="D227" s="256"/>
      <c r="E227" s="107"/>
      <c r="F227" s="40"/>
      <c r="G227" s="40"/>
      <c r="H227" s="251"/>
      <c r="I227" s="131"/>
      <c r="J227" s="21"/>
      <c r="L227" s="18" t="str">
        <f t="shared" si="21"/>
        <v/>
      </c>
      <c r="M227" s="18" t="str">
        <f t="shared" si="22"/>
        <v/>
      </c>
      <c r="N227" s="18" t="str">
        <f t="shared" si="23"/>
        <v/>
      </c>
      <c r="O227" s="18" t="str">
        <f t="shared" si="24"/>
        <v/>
      </c>
      <c r="P227" s="18" t="str">
        <f t="shared" si="25"/>
        <v/>
      </c>
      <c r="Q227" s="18" t="str">
        <f t="shared" si="26"/>
        <v/>
      </c>
      <c r="R227" s="18" t="str">
        <f t="shared" si="27"/>
        <v/>
      </c>
    </row>
    <row r="228" spans="1:18" ht="22.5" customHeight="1" x14ac:dyDescent="0.25">
      <c r="A228" s="22"/>
      <c r="B228" s="261"/>
      <c r="C228" s="108"/>
      <c r="D228" s="255"/>
      <c r="E228" s="108"/>
      <c r="F228" s="41"/>
      <c r="G228" s="41"/>
      <c r="H228" s="250"/>
      <c r="I228" s="132"/>
      <c r="J228" s="24"/>
      <c r="L228" s="18" t="str">
        <f t="shared" si="21"/>
        <v/>
      </c>
      <c r="M228" s="18" t="str">
        <f t="shared" si="22"/>
        <v/>
      </c>
      <c r="N228" s="18" t="str">
        <f t="shared" si="23"/>
        <v/>
      </c>
      <c r="O228" s="18" t="str">
        <f t="shared" si="24"/>
        <v/>
      </c>
      <c r="P228" s="18" t="str">
        <f t="shared" si="25"/>
        <v/>
      </c>
      <c r="Q228" s="18" t="str">
        <f t="shared" si="26"/>
        <v/>
      </c>
      <c r="R228" s="18" t="str">
        <f t="shared" si="27"/>
        <v/>
      </c>
    </row>
    <row r="229" spans="1:18" ht="22.5" customHeight="1" x14ac:dyDescent="0.25">
      <c r="A229" s="19"/>
      <c r="B229" s="262"/>
      <c r="C229" s="107"/>
      <c r="D229" s="256"/>
      <c r="E229" s="107"/>
      <c r="F229" s="40"/>
      <c r="G229" s="40"/>
      <c r="H229" s="251"/>
      <c r="I229" s="131"/>
      <c r="J229" s="21"/>
      <c r="L229" s="18" t="str">
        <f t="shared" si="21"/>
        <v/>
      </c>
      <c r="M229" s="18" t="str">
        <f t="shared" si="22"/>
        <v/>
      </c>
      <c r="N229" s="18" t="str">
        <f t="shared" si="23"/>
        <v/>
      </c>
      <c r="O229" s="18" t="str">
        <f t="shared" si="24"/>
        <v/>
      </c>
      <c r="P229" s="18" t="str">
        <f t="shared" si="25"/>
        <v/>
      </c>
      <c r="Q229" s="18" t="str">
        <f t="shared" si="26"/>
        <v/>
      </c>
      <c r="R229" s="18" t="str">
        <f t="shared" si="27"/>
        <v/>
      </c>
    </row>
    <row r="230" spans="1:18" ht="22.5" customHeight="1" x14ac:dyDescent="0.25">
      <c r="A230" s="22"/>
      <c r="B230" s="261"/>
      <c r="C230" s="108"/>
      <c r="D230" s="255"/>
      <c r="E230" s="108"/>
      <c r="F230" s="41"/>
      <c r="G230" s="41"/>
      <c r="H230" s="250"/>
      <c r="I230" s="132"/>
      <c r="J230" s="24"/>
      <c r="L230" s="18" t="str">
        <f t="shared" si="21"/>
        <v/>
      </c>
      <c r="M230" s="18" t="str">
        <f t="shared" si="22"/>
        <v/>
      </c>
      <c r="N230" s="18" t="str">
        <f t="shared" si="23"/>
        <v/>
      </c>
      <c r="O230" s="18" t="str">
        <f t="shared" si="24"/>
        <v/>
      </c>
      <c r="P230" s="18" t="str">
        <f t="shared" si="25"/>
        <v/>
      </c>
      <c r="Q230" s="18" t="str">
        <f t="shared" si="26"/>
        <v/>
      </c>
      <c r="R230" s="18" t="str">
        <f t="shared" si="27"/>
        <v/>
      </c>
    </row>
    <row r="231" spans="1:18" ht="22.5" customHeight="1" x14ac:dyDescent="0.25">
      <c r="A231" s="19"/>
      <c r="B231" s="262"/>
      <c r="C231" s="107"/>
      <c r="D231" s="256"/>
      <c r="E231" s="107"/>
      <c r="F231" s="40"/>
      <c r="G231" s="40"/>
      <c r="H231" s="251"/>
      <c r="I231" s="131"/>
      <c r="J231" s="21"/>
      <c r="L231" s="18" t="str">
        <f t="shared" si="21"/>
        <v/>
      </c>
      <c r="M231" s="18" t="str">
        <f t="shared" si="22"/>
        <v/>
      </c>
      <c r="N231" s="18" t="str">
        <f t="shared" si="23"/>
        <v/>
      </c>
      <c r="O231" s="18" t="str">
        <f t="shared" si="24"/>
        <v/>
      </c>
      <c r="P231" s="18" t="str">
        <f t="shared" si="25"/>
        <v/>
      </c>
      <c r="Q231" s="18" t="str">
        <f t="shared" si="26"/>
        <v/>
      </c>
      <c r="R231" s="18" t="str">
        <f t="shared" si="27"/>
        <v/>
      </c>
    </row>
    <row r="232" spans="1:18" ht="22.5" customHeight="1" x14ac:dyDescent="0.25">
      <c r="A232" s="22"/>
      <c r="B232" s="261"/>
      <c r="C232" s="108"/>
      <c r="D232" s="255"/>
      <c r="E232" s="108"/>
      <c r="F232" s="41"/>
      <c r="G232" s="41"/>
      <c r="H232" s="250"/>
      <c r="I232" s="132"/>
      <c r="J232" s="24"/>
      <c r="L232" s="18" t="str">
        <f t="shared" si="21"/>
        <v/>
      </c>
      <c r="M232" s="18" t="str">
        <f t="shared" si="22"/>
        <v/>
      </c>
      <c r="N232" s="18" t="str">
        <f t="shared" si="23"/>
        <v/>
      </c>
      <c r="O232" s="18" t="str">
        <f t="shared" si="24"/>
        <v/>
      </c>
      <c r="P232" s="18" t="str">
        <f t="shared" si="25"/>
        <v/>
      </c>
      <c r="Q232" s="18" t="str">
        <f t="shared" si="26"/>
        <v/>
      </c>
      <c r="R232" s="18" t="str">
        <f t="shared" si="27"/>
        <v/>
      </c>
    </row>
    <row r="233" spans="1:18" ht="22.5" customHeight="1" x14ac:dyDescent="0.25">
      <c r="A233" s="19"/>
      <c r="B233" s="262"/>
      <c r="C233" s="107"/>
      <c r="D233" s="256"/>
      <c r="E233" s="107"/>
      <c r="F233" s="40"/>
      <c r="G233" s="40"/>
      <c r="H233" s="251"/>
      <c r="I233" s="131"/>
      <c r="J233" s="21"/>
      <c r="L233" s="18" t="str">
        <f t="shared" si="21"/>
        <v/>
      </c>
      <c r="M233" s="18" t="str">
        <f t="shared" si="22"/>
        <v/>
      </c>
      <c r="N233" s="18" t="str">
        <f t="shared" si="23"/>
        <v/>
      </c>
      <c r="O233" s="18" t="str">
        <f t="shared" si="24"/>
        <v/>
      </c>
      <c r="P233" s="18" t="str">
        <f t="shared" si="25"/>
        <v/>
      </c>
      <c r="Q233" s="18" t="str">
        <f t="shared" si="26"/>
        <v/>
      </c>
      <c r="R233" s="18" t="str">
        <f t="shared" si="27"/>
        <v/>
      </c>
    </row>
    <row r="234" spans="1:18" ht="22.5" customHeight="1" x14ac:dyDescent="0.25">
      <c r="A234" s="22"/>
      <c r="B234" s="261"/>
      <c r="C234" s="108"/>
      <c r="D234" s="255"/>
      <c r="E234" s="108"/>
      <c r="F234" s="41"/>
      <c r="G234" s="41"/>
      <c r="H234" s="250"/>
      <c r="I234" s="132"/>
      <c r="J234" s="24"/>
      <c r="L234" s="18" t="str">
        <f t="shared" si="21"/>
        <v/>
      </c>
      <c r="M234" s="18" t="str">
        <f t="shared" si="22"/>
        <v/>
      </c>
      <c r="N234" s="18" t="str">
        <f t="shared" si="23"/>
        <v/>
      </c>
      <c r="O234" s="18" t="str">
        <f t="shared" si="24"/>
        <v/>
      </c>
      <c r="P234" s="18" t="str">
        <f t="shared" si="25"/>
        <v/>
      </c>
      <c r="Q234" s="18" t="str">
        <f t="shared" si="26"/>
        <v/>
      </c>
      <c r="R234" s="18" t="str">
        <f t="shared" si="27"/>
        <v/>
      </c>
    </row>
    <row r="235" spans="1:18" ht="22.5" customHeight="1" x14ac:dyDescent="0.25">
      <c r="A235" s="19"/>
      <c r="B235" s="262"/>
      <c r="C235" s="107"/>
      <c r="D235" s="256"/>
      <c r="E235" s="107"/>
      <c r="F235" s="40"/>
      <c r="G235" s="40"/>
      <c r="H235" s="251"/>
      <c r="I235" s="131"/>
      <c r="J235" s="21"/>
      <c r="L235" s="18" t="str">
        <f t="shared" si="21"/>
        <v/>
      </c>
      <c r="M235" s="18" t="str">
        <f t="shared" si="22"/>
        <v/>
      </c>
      <c r="N235" s="18" t="str">
        <f t="shared" si="23"/>
        <v/>
      </c>
      <c r="O235" s="18" t="str">
        <f t="shared" si="24"/>
        <v/>
      </c>
      <c r="P235" s="18" t="str">
        <f t="shared" si="25"/>
        <v/>
      </c>
      <c r="Q235" s="18" t="str">
        <f t="shared" si="26"/>
        <v/>
      </c>
      <c r="R235" s="18" t="str">
        <f t="shared" si="27"/>
        <v/>
      </c>
    </row>
    <row r="236" spans="1:18" ht="22.5" customHeight="1" x14ac:dyDescent="0.25">
      <c r="A236" s="22"/>
      <c r="B236" s="261"/>
      <c r="C236" s="108"/>
      <c r="D236" s="255"/>
      <c r="E236" s="108"/>
      <c r="F236" s="41"/>
      <c r="G236" s="41"/>
      <c r="H236" s="250"/>
      <c r="I236" s="132"/>
      <c r="J236" s="24"/>
      <c r="L236" s="18" t="str">
        <f t="shared" si="21"/>
        <v/>
      </c>
      <c r="M236" s="18" t="str">
        <f t="shared" si="22"/>
        <v/>
      </c>
      <c r="N236" s="18" t="str">
        <f t="shared" si="23"/>
        <v/>
      </c>
      <c r="O236" s="18" t="str">
        <f t="shared" si="24"/>
        <v/>
      </c>
      <c r="P236" s="18" t="str">
        <f t="shared" si="25"/>
        <v/>
      </c>
      <c r="Q236" s="18" t="str">
        <f t="shared" si="26"/>
        <v/>
      </c>
      <c r="R236" s="18" t="str">
        <f t="shared" si="27"/>
        <v/>
      </c>
    </row>
    <row r="237" spans="1:18" ht="22.5" customHeight="1" x14ac:dyDescent="0.25">
      <c r="A237" s="19"/>
      <c r="B237" s="262"/>
      <c r="C237" s="107"/>
      <c r="D237" s="256"/>
      <c r="E237" s="107"/>
      <c r="F237" s="40"/>
      <c r="G237" s="40"/>
      <c r="H237" s="251"/>
      <c r="I237" s="131"/>
      <c r="J237" s="21"/>
      <c r="L237" s="18" t="str">
        <f t="shared" si="21"/>
        <v/>
      </c>
      <c r="M237" s="18" t="str">
        <f t="shared" si="22"/>
        <v/>
      </c>
      <c r="N237" s="18" t="str">
        <f t="shared" si="23"/>
        <v/>
      </c>
      <c r="O237" s="18" t="str">
        <f t="shared" si="24"/>
        <v/>
      </c>
      <c r="P237" s="18" t="str">
        <f t="shared" si="25"/>
        <v/>
      </c>
      <c r="Q237" s="18" t="str">
        <f t="shared" si="26"/>
        <v/>
      </c>
      <c r="R237" s="18" t="str">
        <f t="shared" si="27"/>
        <v/>
      </c>
    </row>
    <row r="238" spans="1:18" ht="22.5" customHeight="1" x14ac:dyDescent="0.25">
      <c r="A238" s="22"/>
      <c r="B238" s="261"/>
      <c r="C238" s="108"/>
      <c r="D238" s="255"/>
      <c r="E238" s="108"/>
      <c r="F238" s="41"/>
      <c r="G238" s="41"/>
      <c r="H238" s="250"/>
      <c r="I238" s="132"/>
      <c r="J238" s="24"/>
      <c r="L238" s="18" t="str">
        <f t="shared" si="21"/>
        <v/>
      </c>
      <c r="M238" s="18" t="str">
        <f t="shared" si="22"/>
        <v/>
      </c>
      <c r="N238" s="18" t="str">
        <f t="shared" si="23"/>
        <v/>
      </c>
      <c r="O238" s="18" t="str">
        <f t="shared" si="24"/>
        <v/>
      </c>
      <c r="P238" s="18" t="str">
        <f t="shared" si="25"/>
        <v/>
      </c>
      <c r="Q238" s="18" t="str">
        <f t="shared" si="26"/>
        <v/>
      </c>
      <c r="R238" s="18" t="str">
        <f t="shared" si="27"/>
        <v/>
      </c>
    </row>
    <row r="239" spans="1:18" ht="22.5" customHeight="1" x14ac:dyDescent="0.25">
      <c r="A239" s="19"/>
      <c r="B239" s="262"/>
      <c r="C239" s="107"/>
      <c r="D239" s="256"/>
      <c r="E239" s="107"/>
      <c r="F239" s="40"/>
      <c r="G239" s="40"/>
      <c r="H239" s="251"/>
      <c r="I239" s="131"/>
      <c r="J239" s="21"/>
      <c r="L239" s="18" t="str">
        <f t="shared" si="21"/>
        <v/>
      </c>
      <c r="M239" s="18" t="str">
        <f t="shared" si="22"/>
        <v/>
      </c>
      <c r="N239" s="18" t="str">
        <f t="shared" si="23"/>
        <v/>
      </c>
      <c r="O239" s="18" t="str">
        <f t="shared" si="24"/>
        <v/>
      </c>
      <c r="P239" s="18" t="str">
        <f t="shared" si="25"/>
        <v/>
      </c>
      <c r="Q239" s="18" t="str">
        <f t="shared" si="26"/>
        <v/>
      </c>
      <c r="R239" s="18" t="str">
        <f t="shared" si="27"/>
        <v/>
      </c>
    </row>
    <row r="240" spans="1:18" ht="22.5" customHeight="1" x14ac:dyDescent="0.25">
      <c r="A240" s="22"/>
      <c r="B240" s="261"/>
      <c r="C240" s="108"/>
      <c r="D240" s="255"/>
      <c r="E240" s="108"/>
      <c r="F240" s="41"/>
      <c r="G240" s="41"/>
      <c r="H240" s="250"/>
      <c r="I240" s="132"/>
      <c r="J240" s="24"/>
      <c r="L240" s="18" t="str">
        <f t="shared" si="21"/>
        <v/>
      </c>
      <c r="M240" s="18" t="str">
        <f t="shared" si="22"/>
        <v/>
      </c>
      <c r="N240" s="18" t="str">
        <f t="shared" si="23"/>
        <v/>
      </c>
      <c r="O240" s="18" t="str">
        <f t="shared" si="24"/>
        <v/>
      </c>
      <c r="P240" s="18" t="str">
        <f t="shared" si="25"/>
        <v/>
      </c>
      <c r="Q240" s="18" t="str">
        <f t="shared" si="26"/>
        <v/>
      </c>
      <c r="R240" s="18" t="str">
        <f t="shared" si="27"/>
        <v/>
      </c>
    </row>
    <row r="241" spans="1:18" ht="22.5" customHeight="1" x14ac:dyDescent="0.25">
      <c r="A241" s="19"/>
      <c r="B241" s="262"/>
      <c r="C241" s="107"/>
      <c r="D241" s="256"/>
      <c r="E241" s="107"/>
      <c r="F241" s="40"/>
      <c r="G241" s="40"/>
      <c r="H241" s="251"/>
      <c r="I241" s="131"/>
      <c r="J241" s="21"/>
      <c r="L241" s="18" t="str">
        <f t="shared" si="21"/>
        <v/>
      </c>
      <c r="M241" s="18" t="str">
        <f t="shared" si="22"/>
        <v/>
      </c>
      <c r="N241" s="18" t="str">
        <f t="shared" si="23"/>
        <v/>
      </c>
      <c r="O241" s="18" t="str">
        <f t="shared" si="24"/>
        <v/>
      </c>
      <c r="P241" s="18" t="str">
        <f t="shared" si="25"/>
        <v/>
      </c>
      <c r="Q241" s="18" t="str">
        <f t="shared" si="26"/>
        <v/>
      </c>
      <c r="R241" s="18" t="str">
        <f t="shared" si="27"/>
        <v/>
      </c>
    </row>
    <row r="242" spans="1:18" ht="22.5" customHeight="1" x14ac:dyDescent="0.25">
      <c r="A242" s="22"/>
      <c r="B242" s="261"/>
      <c r="C242" s="108"/>
      <c r="D242" s="255"/>
      <c r="E242" s="108"/>
      <c r="F242" s="41"/>
      <c r="G242" s="41"/>
      <c r="H242" s="250"/>
      <c r="I242" s="132"/>
      <c r="J242" s="24"/>
      <c r="L242" s="18" t="str">
        <f t="shared" si="21"/>
        <v/>
      </c>
      <c r="M242" s="18" t="str">
        <f t="shared" si="22"/>
        <v/>
      </c>
      <c r="N242" s="18" t="str">
        <f t="shared" si="23"/>
        <v/>
      </c>
      <c r="O242" s="18" t="str">
        <f t="shared" si="24"/>
        <v/>
      </c>
      <c r="P242" s="18" t="str">
        <f t="shared" si="25"/>
        <v/>
      </c>
      <c r="Q242" s="18" t="str">
        <f t="shared" si="26"/>
        <v/>
      </c>
      <c r="R242" s="18" t="str">
        <f t="shared" si="27"/>
        <v/>
      </c>
    </row>
    <row r="243" spans="1:18" ht="22.5" customHeight="1" x14ac:dyDescent="0.25">
      <c r="A243" s="19"/>
      <c r="B243" s="262"/>
      <c r="C243" s="107"/>
      <c r="D243" s="256"/>
      <c r="E243" s="107"/>
      <c r="F243" s="40"/>
      <c r="G243" s="40"/>
      <c r="H243" s="251"/>
      <c r="I243" s="131"/>
      <c r="J243" s="21"/>
      <c r="L243" s="18" t="str">
        <f t="shared" si="21"/>
        <v/>
      </c>
      <c r="M243" s="18" t="str">
        <f t="shared" si="22"/>
        <v/>
      </c>
      <c r="N243" s="18" t="str">
        <f t="shared" si="23"/>
        <v/>
      </c>
      <c r="O243" s="18" t="str">
        <f t="shared" si="24"/>
        <v/>
      </c>
      <c r="P243" s="18" t="str">
        <f t="shared" si="25"/>
        <v/>
      </c>
      <c r="Q243" s="18" t="str">
        <f t="shared" si="26"/>
        <v/>
      </c>
      <c r="R243" s="18" t="str">
        <f t="shared" si="27"/>
        <v/>
      </c>
    </row>
    <row r="244" spans="1:18" ht="22.5" customHeight="1" x14ac:dyDescent="0.25">
      <c r="A244" s="22"/>
      <c r="B244" s="261"/>
      <c r="C244" s="108"/>
      <c r="D244" s="255"/>
      <c r="E244" s="108"/>
      <c r="F244" s="41"/>
      <c r="G244" s="41"/>
      <c r="H244" s="250"/>
      <c r="I244" s="132"/>
      <c r="J244" s="24"/>
      <c r="L244" s="18" t="str">
        <f t="shared" si="21"/>
        <v/>
      </c>
      <c r="M244" s="18" t="str">
        <f t="shared" si="22"/>
        <v/>
      </c>
      <c r="N244" s="18" t="str">
        <f t="shared" si="23"/>
        <v/>
      </c>
      <c r="O244" s="18" t="str">
        <f t="shared" si="24"/>
        <v/>
      </c>
      <c r="P244" s="18" t="str">
        <f t="shared" si="25"/>
        <v/>
      </c>
      <c r="Q244" s="18" t="str">
        <f t="shared" si="26"/>
        <v/>
      </c>
      <c r="R244" s="18" t="str">
        <f t="shared" si="27"/>
        <v/>
      </c>
    </row>
    <row r="245" spans="1:18" ht="22.5" customHeight="1" x14ac:dyDescent="0.25">
      <c r="A245" s="19"/>
      <c r="B245" s="262"/>
      <c r="C245" s="107"/>
      <c r="D245" s="256"/>
      <c r="E245" s="107"/>
      <c r="F245" s="40"/>
      <c r="G245" s="40"/>
      <c r="H245" s="251"/>
      <c r="I245" s="131"/>
      <c r="J245" s="21"/>
      <c r="L245" s="18" t="str">
        <f t="shared" ref="L245:L284" si="28">IF(A245="","",IF(A245="Entrada",D245,""))</f>
        <v/>
      </c>
      <c r="M245" s="18" t="str">
        <f t="shared" ref="M245:M284" si="29">IF(A245="","",IF(A245="Entrada",E245,""))</f>
        <v/>
      </c>
      <c r="N245" s="18" t="str">
        <f t="shared" ref="N245:N284" si="30">IF(A245="","",IF(A245="Entrada",1,""))</f>
        <v/>
      </c>
      <c r="O245" s="18" t="str">
        <f t="shared" ref="O245:O284" si="31">IF(N245=1,G245,"")</f>
        <v/>
      </c>
      <c r="P245" s="18" t="str">
        <f t="shared" ref="P245:P284" si="32">IF(A245="","",IF(A245="Entrada",(L245/10)*O245,""))</f>
        <v/>
      </c>
      <c r="Q245" s="18" t="str">
        <f t="shared" ref="Q245:Q284" si="33">IF(A245="","",IF(A245="Saída",D245,""))</f>
        <v/>
      </c>
      <c r="R245" s="18" t="str">
        <f t="shared" ref="R245:R284" si="34">IF(A245="","",IF(A245="Saída",E245,""))</f>
        <v/>
      </c>
    </row>
    <row r="246" spans="1:18" ht="22.5" customHeight="1" x14ac:dyDescent="0.25">
      <c r="A246" s="22"/>
      <c r="B246" s="261"/>
      <c r="C246" s="108"/>
      <c r="D246" s="255"/>
      <c r="E246" s="108"/>
      <c r="F246" s="41"/>
      <c r="G246" s="41"/>
      <c r="H246" s="250"/>
      <c r="I246" s="132"/>
      <c r="J246" s="24"/>
      <c r="L246" s="18" t="str">
        <f t="shared" si="28"/>
        <v/>
      </c>
      <c r="M246" s="18" t="str">
        <f t="shared" si="29"/>
        <v/>
      </c>
      <c r="N246" s="18" t="str">
        <f t="shared" si="30"/>
        <v/>
      </c>
      <c r="O246" s="18" t="str">
        <f t="shared" si="31"/>
        <v/>
      </c>
      <c r="P246" s="18" t="str">
        <f t="shared" si="32"/>
        <v/>
      </c>
      <c r="Q246" s="18" t="str">
        <f t="shared" si="33"/>
        <v/>
      </c>
      <c r="R246" s="18" t="str">
        <f t="shared" si="34"/>
        <v/>
      </c>
    </row>
    <row r="247" spans="1:18" ht="22.5" customHeight="1" x14ac:dyDescent="0.25">
      <c r="A247" s="19"/>
      <c r="B247" s="262"/>
      <c r="C247" s="107"/>
      <c r="D247" s="256"/>
      <c r="E247" s="107"/>
      <c r="F247" s="40"/>
      <c r="G247" s="40"/>
      <c r="H247" s="251"/>
      <c r="I247" s="131"/>
      <c r="J247" s="21"/>
      <c r="L247" s="18" t="str">
        <f t="shared" si="28"/>
        <v/>
      </c>
      <c r="M247" s="18" t="str">
        <f t="shared" si="29"/>
        <v/>
      </c>
      <c r="N247" s="18" t="str">
        <f t="shared" si="30"/>
        <v/>
      </c>
      <c r="O247" s="18" t="str">
        <f t="shared" si="31"/>
        <v/>
      </c>
      <c r="P247" s="18" t="str">
        <f t="shared" si="32"/>
        <v/>
      </c>
      <c r="Q247" s="18" t="str">
        <f t="shared" si="33"/>
        <v/>
      </c>
      <c r="R247" s="18" t="str">
        <f t="shared" si="34"/>
        <v/>
      </c>
    </row>
    <row r="248" spans="1:18" ht="22.5" customHeight="1" x14ac:dyDescent="0.25">
      <c r="A248" s="22"/>
      <c r="B248" s="261"/>
      <c r="C248" s="108"/>
      <c r="D248" s="255"/>
      <c r="E248" s="108"/>
      <c r="F248" s="41"/>
      <c r="G248" s="41"/>
      <c r="H248" s="250"/>
      <c r="I248" s="132"/>
      <c r="J248" s="24"/>
      <c r="L248" s="18" t="str">
        <f t="shared" si="28"/>
        <v/>
      </c>
      <c r="M248" s="18" t="str">
        <f t="shared" si="29"/>
        <v/>
      </c>
      <c r="N248" s="18" t="str">
        <f t="shared" si="30"/>
        <v/>
      </c>
      <c r="O248" s="18" t="str">
        <f t="shared" si="31"/>
        <v/>
      </c>
      <c r="P248" s="18" t="str">
        <f t="shared" si="32"/>
        <v/>
      </c>
      <c r="Q248" s="18" t="str">
        <f t="shared" si="33"/>
        <v/>
      </c>
      <c r="R248" s="18" t="str">
        <f t="shared" si="34"/>
        <v/>
      </c>
    </row>
    <row r="249" spans="1:18" ht="22.5" customHeight="1" x14ac:dyDescent="0.25">
      <c r="A249" s="19"/>
      <c r="B249" s="262"/>
      <c r="C249" s="107"/>
      <c r="D249" s="256"/>
      <c r="E249" s="107"/>
      <c r="F249" s="40"/>
      <c r="G249" s="40"/>
      <c r="H249" s="251"/>
      <c r="I249" s="131"/>
      <c r="J249" s="21"/>
      <c r="L249" s="18" t="str">
        <f t="shared" si="28"/>
        <v/>
      </c>
      <c r="M249" s="18" t="str">
        <f t="shared" si="29"/>
        <v/>
      </c>
      <c r="N249" s="18" t="str">
        <f t="shared" si="30"/>
        <v/>
      </c>
      <c r="O249" s="18" t="str">
        <f t="shared" si="31"/>
        <v/>
      </c>
      <c r="P249" s="18" t="str">
        <f t="shared" si="32"/>
        <v/>
      </c>
      <c r="Q249" s="18" t="str">
        <f t="shared" si="33"/>
        <v/>
      </c>
      <c r="R249" s="18" t="str">
        <f t="shared" si="34"/>
        <v/>
      </c>
    </row>
    <row r="250" spans="1:18" ht="22.5" customHeight="1" x14ac:dyDescent="0.25">
      <c r="A250" s="22"/>
      <c r="B250" s="261"/>
      <c r="C250" s="108"/>
      <c r="D250" s="255"/>
      <c r="E250" s="108"/>
      <c r="F250" s="41"/>
      <c r="G250" s="41"/>
      <c r="H250" s="250"/>
      <c r="I250" s="132"/>
      <c r="J250" s="24"/>
      <c r="L250" s="18" t="str">
        <f t="shared" si="28"/>
        <v/>
      </c>
      <c r="M250" s="18" t="str">
        <f t="shared" si="29"/>
        <v/>
      </c>
      <c r="N250" s="18" t="str">
        <f t="shared" si="30"/>
        <v/>
      </c>
      <c r="O250" s="18" t="str">
        <f t="shared" si="31"/>
        <v/>
      </c>
      <c r="P250" s="18" t="str">
        <f t="shared" si="32"/>
        <v/>
      </c>
      <c r="Q250" s="18" t="str">
        <f t="shared" si="33"/>
        <v/>
      </c>
      <c r="R250" s="18" t="str">
        <f t="shared" si="34"/>
        <v/>
      </c>
    </row>
    <row r="251" spans="1:18" ht="22.5" customHeight="1" x14ac:dyDescent="0.25">
      <c r="A251" s="19"/>
      <c r="B251" s="262"/>
      <c r="C251" s="107"/>
      <c r="D251" s="256"/>
      <c r="E251" s="107"/>
      <c r="F251" s="40"/>
      <c r="G251" s="40"/>
      <c r="H251" s="251"/>
      <c r="I251" s="131"/>
      <c r="J251" s="21"/>
      <c r="L251" s="18" t="str">
        <f t="shared" si="28"/>
        <v/>
      </c>
      <c r="M251" s="18" t="str">
        <f t="shared" si="29"/>
        <v/>
      </c>
      <c r="N251" s="18" t="str">
        <f t="shared" si="30"/>
        <v/>
      </c>
      <c r="O251" s="18" t="str">
        <f t="shared" si="31"/>
        <v/>
      </c>
      <c r="P251" s="18" t="str">
        <f t="shared" si="32"/>
        <v/>
      </c>
      <c r="Q251" s="18" t="str">
        <f t="shared" si="33"/>
        <v/>
      </c>
      <c r="R251" s="18" t="str">
        <f t="shared" si="34"/>
        <v/>
      </c>
    </row>
    <row r="252" spans="1:18" ht="22.5" customHeight="1" x14ac:dyDescent="0.25">
      <c r="A252" s="22"/>
      <c r="B252" s="261"/>
      <c r="C252" s="108"/>
      <c r="D252" s="255"/>
      <c r="E252" s="108"/>
      <c r="F252" s="41"/>
      <c r="G252" s="41"/>
      <c r="H252" s="250"/>
      <c r="I252" s="132"/>
      <c r="J252" s="24"/>
      <c r="L252" s="18" t="str">
        <f t="shared" si="28"/>
        <v/>
      </c>
      <c r="M252" s="18" t="str">
        <f t="shared" si="29"/>
        <v/>
      </c>
      <c r="N252" s="18" t="str">
        <f t="shared" si="30"/>
        <v/>
      </c>
      <c r="O252" s="18" t="str">
        <f t="shared" si="31"/>
        <v/>
      </c>
      <c r="P252" s="18" t="str">
        <f t="shared" si="32"/>
        <v/>
      </c>
      <c r="Q252" s="18" t="str">
        <f t="shared" si="33"/>
        <v/>
      </c>
      <c r="R252" s="18" t="str">
        <f t="shared" si="34"/>
        <v/>
      </c>
    </row>
    <row r="253" spans="1:18" ht="22.5" customHeight="1" x14ac:dyDescent="0.25">
      <c r="A253" s="19"/>
      <c r="B253" s="262"/>
      <c r="C253" s="107"/>
      <c r="D253" s="256"/>
      <c r="E253" s="107"/>
      <c r="F253" s="40"/>
      <c r="G253" s="40"/>
      <c r="H253" s="251"/>
      <c r="I253" s="131"/>
      <c r="J253" s="21"/>
      <c r="L253" s="18" t="str">
        <f t="shared" si="28"/>
        <v/>
      </c>
      <c r="M253" s="18" t="str">
        <f t="shared" si="29"/>
        <v/>
      </c>
      <c r="N253" s="18" t="str">
        <f t="shared" si="30"/>
        <v/>
      </c>
      <c r="O253" s="18" t="str">
        <f t="shared" si="31"/>
        <v/>
      </c>
      <c r="P253" s="18" t="str">
        <f t="shared" si="32"/>
        <v/>
      </c>
      <c r="Q253" s="18" t="str">
        <f t="shared" si="33"/>
        <v/>
      </c>
      <c r="R253" s="18" t="str">
        <f t="shared" si="34"/>
        <v/>
      </c>
    </row>
    <row r="254" spans="1:18" ht="22.5" customHeight="1" x14ac:dyDescent="0.25">
      <c r="A254" s="22"/>
      <c r="B254" s="261"/>
      <c r="C254" s="108"/>
      <c r="D254" s="255"/>
      <c r="E254" s="108"/>
      <c r="F254" s="41"/>
      <c r="G254" s="41"/>
      <c r="H254" s="250"/>
      <c r="I254" s="132"/>
      <c r="J254" s="24"/>
      <c r="L254" s="18" t="str">
        <f t="shared" si="28"/>
        <v/>
      </c>
      <c r="M254" s="18" t="str">
        <f t="shared" si="29"/>
        <v/>
      </c>
      <c r="N254" s="18" t="str">
        <f t="shared" si="30"/>
        <v/>
      </c>
      <c r="O254" s="18" t="str">
        <f t="shared" si="31"/>
        <v/>
      </c>
      <c r="P254" s="18" t="str">
        <f t="shared" si="32"/>
        <v/>
      </c>
      <c r="Q254" s="18" t="str">
        <f t="shared" si="33"/>
        <v/>
      </c>
      <c r="R254" s="18" t="str">
        <f t="shared" si="34"/>
        <v/>
      </c>
    </row>
    <row r="255" spans="1:18" ht="22.5" customHeight="1" x14ac:dyDescent="0.25">
      <c r="A255" s="19"/>
      <c r="B255" s="262"/>
      <c r="C255" s="107"/>
      <c r="D255" s="256"/>
      <c r="E255" s="107"/>
      <c r="F255" s="40"/>
      <c r="G255" s="40"/>
      <c r="H255" s="251"/>
      <c r="I255" s="131"/>
      <c r="J255" s="21"/>
      <c r="L255" s="18" t="str">
        <f t="shared" si="28"/>
        <v/>
      </c>
      <c r="M255" s="18" t="str">
        <f t="shared" si="29"/>
        <v/>
      </c>
      <c r="N255" s="18" t="str">
        <f t="shared" si="30"/>
        <v/>
      </c>
      <c r="O255" s="18" t="str">
        <f t="shared" si="31"/>
        <v/>
      </c>
      <c r="P255" s="18" t="str">
        <f t="shared" si="32"/>
        <v/>
      </c>
      <c r="Q255" s="18" t="str">
        <f t="shared" si="33"/>
        <v/>
      </c>
      <c r="R255" s="18" t="str">
        <f t="shared" si="34"/>
        <v/>
      </c>
    </row>
    <row r="256" spans="1:18" ht="22.5" customHeight="1" x14ac:dyDescent="0.25">
      <c r="A256" s="22"/>
      <c r="B256" s="261"/>
      <c r="C256" s="108"/>
      <c r="D256" s="255"/>
      <c r="E256" s="108"/>
      <c r="F256" s="41"/>
      <c r="G256" s="41"/>
      <c r="H256" s="250"/>
      <c r="I256" s="132"/>
      <c r="J256" s="24"/>
      <c r="L256" s="18" t="str">
        <f t="shared" si="28"/>
        <v/>
      </c>
      <c r="M256" s="18" t="str">
        <f t="shared" si="29"/>
        <v/>
      </c>
      <c r="N256" s="18" t="str">
        <f t="shared" si="30"/>
        <v/>
      </c>
      <c r="O256" s="18" t="str">
        <f t="shared" si="31"/>
        <v/>
      </c>
      <c r="P256" s="18" t="str">
        <f t="shared" si="32"/>
        <v/>
      </c>
      <c r="Q256" s="18" t="str">
        <f t="shared" si="33"/>
        <v/>
      </c>
      <c r="R256" s="18" t="str">
        <f t="shared" si="34"/>
        <v/>
      </c>
    </row>
    <row r="257" spans="1:18" ht="22.5" customHeight="1" x14ac:dyDescent="0.25">
      <c r="A257" s="19"/>
      <c r="B257" s="262"/>
      <c r="C257" s="107"/>
      <c r="D257" s="256"/>
      <c r="E257" s="107"/>
      <c r="F257" s="40"/>
      <c r="G257" s="40"/>
      <c r="H257" s="251"/>
      <c r="I257" s="131"/>
      <c r="J257" s="21"/>
      <c r="L257" s="18" t="str">
        <f t="shared" si="28"/>
        <v/>
      </c>
      <c r="M257" s="18" t="str">
        <f t="shared" si="29"/>
        <v/>
      </c>
      <c r="N257" s="18" t="str">
        <f t="shared" si="30"/>
        <v/>
      </c>
      <c r="O257" s="18" t="str">
        <f t="shared" si="31"/>
        <v/>
      </c>
      <c r="P257" s="18" t="str">
        <f t="shared" si="32"/>
        <v/>
      </c>
      <c r="Q257" s="18" t="str">
        <f t="shared" si="33"/>
        <v/>
      </c>
      <c r="R257" s="18" t="str">
        <f t="shared" si="34"/>
        <v/>
      </c>
    </row>
    <row r="258" spans="1:18" ht="22.5" customHeight="1" x14ac:dyDescent="0.25">
      <c r="A258" s="22"/>
      <c r="B258" s="261"/>
      <c r="C258" s="108"/>
      <c r="D258" s="255"/>
      <c r="E258" s="108"/>
      <c r="F258" s="41"/>
      <c r="G258" s="41"/>
      <c r="H258" s="250"/>
      <c r="I258" s="132"/>
      <c r="J258" s="24"/>
      <c r="L258" s="18" t="str">
        <f t="shared" si="28"/>
        <v/>
      </c>
      <c r="M258" s="18" t="str">
        <f t="shared" si="29"/>
        <v/>
      </c>
      <c r="N258" s="18" t="str">
        <f t="shared" si="30"/>
        <v/>
      </c>
      <c r="O258" s="18" t="str">
        <f t="shared" si="31"/>
        <v/>
      </c>
      <c r="P258" s="18" t="str">
        <f t="shared" si="32"/>
        <v/>
      </c>
      <c r="Q258" s="18" t="str">
        <f t="shared" si="33"/>
        <v/>
      </c>
      <c r="R258" s="18" t="str">
        <f t="shared" si="34"/>
        <v/>
      </c>
    </row>
    <row r="259" spans="1:18" ht="22.5" customHeight="1" x14ac:dyDescent="0.25">
      <c r="A259" s="19"/>
      <c r="B259" s="262"/>
      <c r="C259" s="107"/>
      <c r="D259" s="256"/>
      <c r="E259" s="107"/>
      <c r="F259" s="40"/>
      <c r="G259" s="40"/>
      <c r="H259" s="251"/>
      <c r="I259" s="131"/>
      <c r="J259" s="21"/>
      <c r="L259" s="18" t="str">
        <f t="shared" si="28"/>
        <v/>
      </c>
      <c r="M259" s="18" t="str">
        <f t="shared" si="29"/>
        <v/>
      </c>
      <c r="N259" s="18" t="str">
        <f t="shared" si="30"/>
        <v/>
      </c>
      <c r="O259" s="18" t="str">
        <f t="shared" si="31"/>
        <v/>
      </c>
      <c r="P259" s="18" t="str">
        <f t="shared" si="32"/>
        <v/>
      </c>
      <c r="Q259" s="18" t="str">
        <f t="shared" si="33"/>
        <v/>
      </c>
      <c r="R259" s="18" t="str">
        <f t="shared" si="34"/>
        <v/>
      </c>
    </row>
    <row r="260" spans="1:18" ht="22.5" customHeight="1" x14ac:dyDescent="0.25">
      <c r="A260" s="22"/>
      <c r="B260" s="261"/>
      <c r="C260" s="108"/>
      <c r="D260" s="255"/>
      <c r="E260" s="108"/>
      <c r="F260" s="41"/>
      <c r="G260" s="41"/>
      <c r="H260" s="250"/>
      <c r="I260" s="132"/>
      <c r="J260" s="24"/>
      <c r="L260" s="18" t="str">
        <f t="shared" si="28"/>
        <v/>
      </c>
      <c r="M260" s="18" t="str">
        <f t="shared" si="29"/>
        <v/>
      </c>
      <c r="N260" s="18" t="str">
        <f t="shared" si="30"/>
        <v/>
      </c>
      <c r="O260" s="18" t="str">
        <f t="shared" si="31"/>
        <v/>
      </c>
      <c r="P260" s="18" t="str">
        <f t="shared" si="32"/>
        <v/>
      </c>
      <c r="Q260" s="18" t="str">
        <f t="shared" si="33"/>
        <v/>
      </c>
      <c r="R260" s="18" t="str">
        <f t="shared" si="34"/>
        <v/>
      </c>
    </row>
    <row r="261" spans="1:18" ht="22.5" customHeight="1" x14ac:dyDescent="0.25">
      <c r="A261" s="19"/>
      <c r="B261" s="262"/>
      <c r="C261" s="107"/>
      <c r="D261" s="256"/>
      <c r="E261" s="107"/>
      <c r="F261" s="40"/>
      <c r="G261" s="40"/>
      <c r="H261" s="251"/>
      <c r="I261" s="131"/>
      <c r="J261" s="21"/>
      <c r="L261" s="18" t="str">
        <f t="shared" si="28"/>
        <v/>
      </c>
      <c r="M261" s="18" t="str">
        <f t="shared" si="29"/>
        <v/>
      </c>
      <c r="N261" s="18" t="str">
        <f t="shared" si="30"/>
        <v/>
      </c>
      <c r="O261" s="18" t="str">
        <f t="shared" si="31"/>
        <v/>
      </c>
      <c r="P261" s="18" t="str">
        <f t="shared" si="32"/>
        <v/>
      </c>
      <c r="Q261" s="18" t="str">
        <f t="shared" si="33"/>
        <v/>
      </c>
      <c r="R261" s="18" t="str">
        <f t="shared" si="34"/>
        <v/>
      </c>
    </row>
    <row r="262" spans="1:18" ht="22.5" customHeight="1" x14ac:dyDescent="0.25">
      <c r="A262" s="22"/>
      <c r="B262" s="261"/>
      <c r="C262" s="108"/>
      <c r="D262" s="255"/>
      <c r="E262" s="108"/>
      <c r="F262" s="41"/>
      <c r="G262" s="41"/>
      <c r="H262" s="250"/>
      <c r="I262" s="132"/>
      <c r="J262" s="24"/>
      <c r="L262" s="18" t="str">
        <f t="shared" si="28"/>
        <v/>
      </c>
      <c r="M262" s="18" t="str">
        <f t="shared" si="29"/>
        <v/>
      </c>
      <c r="N262" s="18" t="str">
        <f t="shared" si="30"/>
        <v/>
      </c>
      <c r="O262" s="18" t="str">
        <f t="shared" si="31"/>
        <v/>
      </c>
      <c r="P262" s="18" t="str">
        <f t="shared" si="32"/>
        <v/>
      </c>
      <c r="Q262" s="18" t="str">
        <f t="shared" si="33"/>
        <v/>
      </c>
      <c r="R262" s="18" t="str">
        <f t="shared" si="34"/>
        <v/>
      </c>
    </row>
    <row r="263" spans="1:18" ht="22.5" customHeight="1" x14ac:dyDescent="0.25">
      <c r="A263" s="19"/>
      <c r="B263" s="262"/>
      <c r="C263" s="107"/>
      <c r="D263" s="256"/>
      <c r="E263" s="107"/>
      <c r="F263" s="40"/>
      <c r="G263" s="40"/>
      <c r="H263" s="251"/>
      <c r="I263" s="131"/>
      <c r="J263" s="21"/>
      <c r="L263" s="18" t="str">
        <f t="shared" si="28"/>
        <v/>
      </c>
      <c r="M263" s="18" t="str">
        <f t="shared" si="29"/>
        <v/>
      </c>
      <c r="N263" s="18" t="str">
        <f t="shared" si="30"/>
        <v/>
      </c>
      <c r="O263" s="18" t="str">
        <f t="shared" si="31"/>
        <v/>
      </c>
      <c r="P263" s="18" t="str">
        <f t="shared" si="32"/>
        <v/>
      </c>
      <c r="Q263" s="18" t="str">
        <f t="shared" si="33"/>
        <v/>
      </c>
      <c r="R263" s="18" t="str">
        <f t="shared" si="34"/>
        <v/>
      </c>
    </row>
    <row r="264" spans="1:18" ht="22.5" customHeight="1" x14ac:dyDescent="0.25">
      <c r="A264" s="22"/>
      <c r="B264" s="261"/>
      <c r="C264" s="108"/>
      <c r="D264" s="255"/>
      <c r="E264" s="108"/>
      <c r="F264" s="41"/>
      <c r="G264" s="41"/>
      <c r="H264" s="250"/>
      <c r="I264" s="132"/>
      <c r="J264" s="24"/>
      <c r="L264" s="18" t="str">
        <f t="shared" si="28"/>
        <v/>
      </c>
      <c r="M264" s="18" t="str">
        <f t="shared" si="29"/>
        <v/>
      </c>
      <c r="N264" s="18" t="str">
        <f t="shared" si="30"/>
        <v/>
      </c>
      <c r="O264" s="18" t="str">
        <f t="shared" si="31"/>
        <v/>
      </c>
      <c r="P264" s="18" t="str">
        <f t="shared" si="32"/>
        <v/>
      </c>
      <c r="Q264" s="18" t="str">
        <f t="shared" si="33"/>
        <v/>
      </c>
      <c r="R264" s="18" t="str">
        <f t="shared" si="34"/>
        <v/>
      </c>
    </row>
    <row r="265" spans="1:18" ht="22.5" customHeight="1" x14ac:dyDescent="0.25">
      <c r="A265" s="19"/>
      <c r="B265" s="262"/>
      <c r="C265" s="107"/>
      <c r="D265" s="256"/>
      <c r="E265" s="107"/>
      <c r="F265" s="40"/>
      <c r="G265" s="40"/>
      <c r="H265" s="251"/>
      <c r="I265" s="131"/>
      <c r="J265" s="21"/>
      <c r="L265" s="18" t="str">
        <f t="shared" si="28"/>
        <v/>
      </c>
      <c r="M265" s="18" t="str">
        <f t="shared" si="29"/>
        <v/>
      </c>
      <c r="N265" s="18" t="str">
        <f t="shared" si="30"/>
        <v/>
      </c>
      <c r="O265" s="18" t="str">
        <f t="shared" si="31"/>
        <v/>
      </c>
      <c r="P265" s="18" t="str">
        <f t="shared" si="32"/>
        <v/>
      </c>
      <c r="Q265" s="18" t="str">
        <f t="shared" si="33"/>
        <v/>
      </c>
      <c r="R265" s="18" t="str">
        <f t="shared" si="34"/>
        <v/>
      </c>
    </row>
    <row r="266" spans="1:18" ht="22.5" customHeight="1" x14ac:dyDescent="0.25">
      <c r="A266" s="22"/>
      <c r="B266" s="261"/>
      <c r="C266" s="108"/>
      <c r="D266" s="255"/>
      <c r="E266" s="108"/>
      <c r="F266" s="41"/>
      <c r="G266" s="41"/>
      <c r="H266" s="250"/>
      <c r="I266" s="132"/>
      <c r="J266" s="24"/>
      <c r="L266" s="18" t="str">
        <f t="shared" si="28"/>
        <v/>
      </c>
      <c r="M266" s="18" t="str">
        <f t="shared" si="29"/>
        <v/>
      </c>
      <c r="N266" s="18" t="str">
        <f t="shared" si="30"/>
        <v/>
      </c>
      <c r="O266" s="18" t="str">
        <f t="shared" si="31"/>
        <v/>
      </c>
      <c r="P266" s="18" t="str">
        <f t="shared" si="32"/>
        <v/>
      </c>
      <c r="Q266" s="18" t="str">
        <f t="shared" si="33"/>
        <v/>
      </c>
      <c r="R266" s="18" t="str">
        <f t="shared" si="34"/>
        <v/>
      </c>
    </row>
    <row r="267" spans="1:18" ht="22.5" customHeight="1" x14ac:dyDescent="0.25">
      <c r="A267" s="19"/>
      <c r="B267" s="262"/>
      <c r="C267" s="107"/>
      <c r="D267" s="256"/>
      <c r="E267" s="107"/>
      <c r="F267" s="40"/>
      <c r="G267" s="40"/>
      <c r="H267" s="251"/>
      <c r="I267" s="131"/>
      <c r="J267" s="21"/>
      <c r="L267" s="18" t="str">
        <f t="shared" si="28"/>
        <v/>
      </c>
      <c r="M267" s="18" t="str">
        <f t="shared" si="29"/>
        <v/>
      </c>
      <c r="N267" s="18" t="str">
        <f t="shared" si="30"/>
        <v/>
      </c>
      <c r="O267" s="18" t="str">
        <f t="shared" si="31"/>
        <v/>
      </c>
      <c r="P267" s="18" t="str">
        <f t="shared" si="32"/>
        <v/>
      </c>
      <c r="Q267" s="18" t="str">
        <f t="shared" si="33"/>
        <v/>
      </c>
      <c r="R267" s="18" t="str">
        <f t="shared" si="34"/>
        <v/>
      </c>
    </row>
    <row r="268" spans="1:18" ht="22.5" customHeight="1" x14ac:dyDescent="0.25">
      <c r="A268" s="22"/>
      <c r="B268" s="261"/>
      <c r="C268" s="108"/>
      <c r="D268" s="255"/>
      <c r="E268" s="108"/>
      <c r="F268" s="41"/>
      <c r="G268" s="41"/>
      <c r="H268" s="250"/>
      <c r="I268" s="132"/>
      <c r="J268" s="24"/>
      <c r="L268" s="18" t="str">
        <f t="shared" si="28"/>
        <v/>
      </c>
      <c r="M268" s="18" t="str">
        <f t="shared" si="29"/>
        <v/>
      </c>
      <c r="N268" s="18" t="str">
        <f t="shared" si="30"/>
        <v/>
      </c>
      <c r="O268" s="18" t="str">
        <f t="shared" si="31"/>
        <v/>
      </c>
      <c r="P268" s="18" t="str">
        <f t="shared" si="32"/>
        <v/>
      </c>
      <c r="Q268" s="18" t="str">
        <f t="shared" si="33"/>
        <v/>
      </c>
      <c r="R268" s="18" t="str">
        <f t="shared" si="34"/>
        <v/>
      </c>
    </row>
    <row r="269" spans="1:18" ht="22.5" customHeight="1" x14ac:dyDescent="0.25">
      <c r="A269" s="19"/>
      <c r="B269" s="262"/>
      <c r="C269" s="107"/>
      <c r="D269" s="256"/>
      <c r="E269" s="107"/>
      <c r="F269" s="40"/>
      <c r="G269" s="40"/>
      <c r="H269" s="251"/>
      <c r="I269" s="131"/>
      <c r="J269" s="21"/>
      <c r="L269" s="18" t="str">
        <f t="shared" si="28"/>
        <v/>
      </c>
      <c r="M269" s="18" t="str">
        <f t="shared" si="29"/>
        <v/>
      </c>
      <c r="N269" s="18" t="str">
        <f t="shared" si="30"/>
        <v/>
      </c>
      <c r="O269" s="18" t="str">
        <f t="shared" si="31"/>
        <v/>
      </c>
      <c r="P269" s="18" t="str">
        <f t="shared" si="32"/>
        <v/>
      </c>
      <c r="Q269" s="18" t="str">
        <f t="shared" si="33"/>
        <v/>
      </c>
      <c r="R269" s="18" t="str">
        <f t="shared" si="34"/>
        <v/>
      </c>
    </row>
    <row r="270" spans="1:18" ht="22.5" customHeight="1" x14ac:dyDescent="0.25">
      <c r="A270" s="22"/>
      <c r="B270" s="261"/>
      <c r="C270" s="108"/>
      <c r="D270" s="255"/>
      <c r="E270" s="108"/>
      <c r="F270" s="41"/>
      <c r="G270" s="41"/>
      <c r="H270" s="250"/>
      <c r="I270" s="132"/>
      <c r="J270" s="24"/>
      <c r="L270" s="18" t="str">
        <f t="shared" si="28"/>
        <v/>
      </c>
      <c r="M270" s="18" t="str">
        <f t="shared" si="29"/>
        <v/>
      </c>
      <c r="N270" s="18" t="str">
        <f t="shared" si="30"/>
        <v/>
      </c>
      <c r="O270" s="18" t="str">
        <f t="shared" si="31"/>
        <v/>
      </c>
      <c r="P270" s="18" t="str">
        <f t="shared" si="32"/>
        <v/>
      </c>
      <c r="Q270" s="18" t="str">
        <f t="shared" si="33"/>
        <v/>
      </c>
      <c r="R270" s="18" t="str">
        <f t="shared" si="34"/>
        <v/>
      </c>
    </row>
    <row r="271" spans="1:18" ht="22.5" customHeight="1" x14ac:dyDescent="0.25">
      <c r="A271" s="19"/>
      <c r="B271" s="262"/>
      <c r="C271" s="107"/>
      <c r="D271" s="256"/>
      <c r="E271" s="107"/>
      <c r="F271" s="40"/>
      <c r="G271" s="40"/>
      <c r="H271" s="251"/>
      <c r="I271" s="131"/>
      <c r="J271" s="21"/>
      <c r="L271" s="18" t="str">
        <f t="shared" si="28"/>
        <v/>
      </c>
      <c r="M271" s="18" t="str">
        <f t="shared" si="29"/>
        <v/>
      </c>
      <c r="N271" s="18" t="str">
        <f t="shared" si="30"/>
        <v/>
      </c>
      <c r="O271" s="18" t="str">
        <f t="shared" si="31"/>
        <v/>
      </c>
      <c r="P271" s="18" t="str">
        <f t="shared" si="32"/>
        <v/>
      </c>
      <c r="Q271" s="18" t="str">
        <f t="shared" si="33"/>
        <v/>
      </c>
      <c r="R271" s="18" t="str">
        <f t="shared" si="34"/>
        <v/>
      </c>
    </row>
    <row r="272" spans="1:18" ht="22.5" customHeight="1" x14ac:dyDescent="0.25">
      <c r="A272" s="22"/>
      <c r="B272" s="261"/>
      <c r="C272" s="108"/>
      <c r="D272" s="255"/>
      <c r="E272" s="108"/>
      <c r="F272" s="41"/>
      <c r="G272" s="41"/>
      <c r="H272" s="250"/>
      <c r="I272" s="132"/>
      <c r="J272" s="24"/>
      <c r="L272" s="18" t="str">
        <f t="shared" si="28"/>
        <v/>
      </c>
      <c r="M272" s="18" t="str">
        <f t="shared" si="29"/>
        <v/>
      </c>
      <c r="N272" s="18" t="str">
        <f t="shared" si="30"/>
        <v/>
      </c>
      <c r="O272" s="18" t="str">
        <f t="shared" si="31"/>
        <v/>
      </c>
      <c r="P272" s="18" t="str">
        <f t="shared" si="32"/>
        <v/>
      </c>
      <c r="Q272" s="18" t="str">
        <f t="shared" si="33"/>
        <v/>
      </c>
      <c r="R272" s="18" t="str">
        <f t="shared" si="34"/>
        <v/>
      </c>
    </row>
    <row r="273" spans="1:16378" ht="22.5" customHeight="1" x14ac:dyDescent="0.25">
      <c r="A273" s="19"/>
      <c r="B273" s="262"/>
      <c r="C273" s="107"/>
      <c r="D273" s="256"/>
      <c r="E273" s="107"/>
      <c r="F273" s="40"/>
      <c r="G273" s="40"/>
      <c r="H273" s="251"/>
      <c r="I273" s="131"/>
      <c r="J273" s="21"/>
      <c r="L273" s="18" t="str">
        <f t="shared" si="28"/>
        <v/>
      </c>
      <c r="M273" s="18" t="str">
        <f t="shared" si="29"/>
        <v/>
      </c>
      <c r="N273" s="18" t="str">
        <f t="shared" si="30"/>
        <v/>
      </c>
      <c r="O273" s="18" t="str">
        <f t="shared" si="31"/>
        <v/>
      </c>
      <c r="P273" s="18" t="str">
        <f t="shared" si="32"/>
        <v/>
      </c>
      <c r="Q273" s="18" t="str">
        <f t="shared" si="33"/>
        <v/>
      </c>
      <c r="R273" s="18" t="str">
        <f t="shared" si="34"/>
        <v/>
      </c>
    </row>
    <row r="274" spans="1:16378" ht="22.5" customHeight="1" x14ac:dyDescent="0.25">
      <c r="A274" s="22"/>
      <c r="B274" s="261"/>
      <c r="C274" s="108"/>
      <c r="D274" s="255"/>
      <c r="E274" s="108"/>
      <c r="F274" s="41"/>
      <c r="G274" s="41"/>
      <c r="H274" s="250"/>
      <c r="I274" s="132"/>
      <c r="J274" s="24"/>
      <c r="L274" s="18" t="str">
        <f t="shared" si="28"/>
        <v/>
      </c>
      <c r="M274" s="18" t="str">
        <f t="shared" si="29"/>
        <v/>
      </c>
      <c r="N274" s="18" t="str">
        <f t="shared" si="30"/>
        <v/>
      </c>
      <c r="O274" s="18" t="str">
        <f t="shared" si="31"/>
        <v/>
      </c>
      <c r="P274" s="18" t="str">
        <f t="shared" si="32"/>
        <v/>
      </c>
      <c r="Q274" s="18" t="str">
        <f t="shared" si="33"/>
        <v/>
      </c>
      <c r="R274" s="18" t="str">
        <f t="shared" si="34"/>
        <v/>
      </c>
    </row>
    <row r="275" spans="1:16378" ht="22.5" customHeight="1" x14ac:dyDescent="0.25">
      <c r="A275" s="19"/>
      <c r="B275" s="262"/>
      <c r="C275" s="107"/>
      <c r="D275" s="256"/>
      <c r="E275" s="107"/>
      <c r="F275" s="40"/>
      <c r="G275" s="40"/>
      <c r="H275" s="251"/>
      <c r="I275" s="131"/>
      <c r="J275" s="21"/>
      <c r="L275" s="18" t="str">
        <f t="shared" si="28"/>
        <v/>
      </c>
      <c r="M275" s="18" t="str">
        <f t="shared" si="29"/>
        <v/>
      </c>
      <c r="N275" s="18" t="str">
        <f t="shared" si="30"/>
        <v/>
      </c>
      <c r="O275" s="18" t="str">
        <f t="shared" si="31"/>
        <v/>
      </c>
      <c r="P275" s="18" t="str">
        <f t="shared" si="32"/>
        <v/>
      </c>
      <c r="Q275" s="18" t="str">
        <f t="shared" si="33"/>
        <v/>
      </c>
      <c r="R275" s="18" t="str">
        <f t="shared" si="34"/>
        <v/>
      </c>
    </row>
    <row r="276" spans="1:16378" ht="22.5" customHeight="1" x14ac:dyDescent="0.25">
      <c r="A276" s="22"/>
      <c r="B276" s="261"/>
      <c r="C276" s="108"/>
      <c r="D276" s="255"/>
      <c r="E276" s="108"/>
      <c r="F276" s="41"/>
      <c r="G276" s="41"/>
      <c r="H276" s="250"/>
      <c r="I276" s="132"/>
      <c r="J276" s="24"/>
      <c r="L276" s="18" t="str">
        <f t="shared" si="28"/>
        <v/>
      </c>
      <c r="M276" s="18" t="str">
        <f t="shared" si="29"/>
        <v/>
      </c>
      <c r="N276" s="18" t="str">
        <f t="shared" si="30"/>
        <v/>
      </c>
      <c r="O276" s="18" t="str">
        <f t="shared" si="31"/>
        <v/>
      </c>
      <c r="P276" s="18" t="str">
        <f t="shared" si="32"/>
        <v/>
      </c>
      <c r="Q276" s="18" t="str">
        <f t="shared" si="33"/>
        <v/>
      </c>
      <c r="R276" s="18" t="str">
        <f t="shared" si="34"/>
        <v/>
      </c>
    </row>
    <row r="277" spans="1:16378" ht="22.5" customHeight="1" x14ac:dyDescent="0.25">
      <c r="A277" s="19"/>
      <c r="B277" s="262"/>
      <c r="C277" s="107"/>
      <c r="D277" s="256"/>
      <c r="E277" s="107"/>
      <c r="F277" s="40"/>
      <c r="G277" s="40"/>
      <c r="H277" s="251"/>
      <c r="I277" s="131"/>
      <c r="J277" s="21"/>
      <c r="L277" s="18" t="str">
        <f t="shared" si="28"/>
        <v/>
      </c>
      <c r="M277" s="18" t="str">
        <f t="shared" si="29"/>
        <v/>
      </c>
      <c r="N277" s="18" t="str">
        <f t="shared" si="30"/>
        <v/>
      </c>
      <c r="O277" s="18" t="str">
        <f t="shared" si="31"/>
        <v/>
      </c>
      <c r="P277" s="18" t="str">
        <f t="shared" si="32"/>
        <v/>
      </c>
      <c r="Q277" s="18" t="str">
        <f t="shared" si="33"/>
        <v/>
      </c>
      <c r="R277" s="18" t="str">
        <f t="shared" si="34"/>
        <v/>
      </c>
    </row>
    <row r="278" spans="1:16378" ht="22.5" customHeight="1" x14ac:dyDescent="0.25">
      <c r="A278" s="22"/>
      <c r="B278" s="261"/>
      <c r="C278" s="108"/>
      <c r="D278" s="255"/>
      <c r="E278" s="108"/>
      <c r="F278" s="41"/>
      <c r="G278" s="41"/>
      <c r="H278" s="250"/>
      <c r="I278" s="132"/>
      <c r="J278" s="24"/>
      <c r="L278" s="18" t="str">
        <f t="shared" si="28"/>
        <v/>
      </c>
      <c r="M278" s="18" t="str">
        <f t="shared" si="29"/>
        <v/>
      </c>
      <c r="N278" s="18" t="str">
        <f t="shared" si="30"/>
        <v/>
      </c>
      <c r="O278" s="18" t="str">
        <f t="shared" si="31"/>
        <v/>
      </c>
      <c r="P278" s="18" t="str">
        <f t="shared" si="32"/>
        <v/>
      </c>
      <c r="Q278" s="18" t="str">
        <f t="shared" si="33"/>
        <v/>
      </c>
      <c r="R278" s="18" t="str">
        <f t="shared" si="34"/>
        <v/>
      </c>
    </row>
    <row r="279" spans="1:16378" ht="22.5" customHeight="1" x14ac:dyDescent="0.25">
      <c r="A279" s="19"/>
      <c r="B279" s="262"/>
      <c r="C279" s="107"/>
      <c r="D279" s="256"/>
      <c r="E279" s="107"/>
      <c r="F279" s="40"/>
      <c r="G279" s="40"/>
      <c r="H279" s="251"/>
      <c r="I279" s="131"/>
      <c r="J279" s="21"/>
      <c r="L279" s="18" t="str">
        <f t="shared" si="28"/>
        <v/>
      </c>
      <c r="M279" s="18" t="str">
        <f t="shared" si="29"/>
        <v/>
      </c>
      <c r="N279" s="18" t="str">
        <f t="shared" si="30"/>
        <v/>
      </c>
      <c r="O279" s="18" t="str">
        <f t="shared" si="31"/>
        <v/>
      </c>
      <c r="P279" s="18" t="str">
        <f t="shared" si="32"/>
        <v/>
      </c>
      <c r="Q279" s="18" t="str">
        <f t="shared" si="33"/>
        <v/>
      </c>
      <c r="R279" s="18" t="str">
        <f t="shared" si="34"/>
        <v/>
      </c>
    </row>
    <row r="280" spans="1:16378" ht="22.5" customHeight="1" x14ac:dyDescent="0.25">
      <c r="A280" s="22"/>
      <c r="B280" s="261"/>
      <c r="C280" s="108"/>
      <c r="D280" s="255"/>
      <c r="E280" s="108"/>
      <c r="F280" s="41"/>
      <c r="G280" s="41"/>
      <c r="H280" s="250"/>
      <c r="I280" s="132"/>
      <c r="J280" s="24"/>
      <c r="L280" s="18" t="str">
        <f t="shared" si="28"/>
        <v/>
      </c>
      <c r="M280" s="18" t="str">
        <f t="shared" si="29"/>
        <v/>
      </c>
      <c r="N280" s="18" t="str">
        <f t="shared" si="30"/>
        <v/>
      </c>
      <c r="O280" s="18" t="str">
        <f t="shared" si="31"/>
        <v/>
      </c>
      <c r="P280" s="18" t="str">
        <f t="shared" si="32"/>
        <v/>
      </c>
      <c r="Q280" s="18" t="str">
        <f t="shared" si="33"/>
        <v/>
      </c>
      <c r="R280" s="18" t="str">
        <f t="shared" si="34"/>
        <v/>
      </c>
    </row>
    <row r="281" spans="1:16378" ht="22.5" customHeight="1" x14ac:dyDescent="0.25">
      <c r="A281" s="19"/>
      <c r="B281" s="262"/>
      <c r="C281" s="107"/>
      <c r="D281" s="256"/>
      <c r="E281" s="107"/>
      <c r="F281" s="40"/>
      <c r="G281" s="40"/>
      <c r="H281" s="251"/>
      <c r="I281" s="131"/>
      <c r="J281" s="21"/>
      <c r="L281" s="18" t="str">
        <f t="shared" si="28"/>
        <v/>
      </c>
      <c r="M281" s="18" t="str">
        <f t="shared" si="29"/>
        <v/>
      </c>
      <c r="N281" s="18" t="str">
        <f t="shared" si="30"/>
        <v/>
      </c>
      <c r="O281" s="18" t="str">
        <f t="shared" si="31"/>
        <v/>
      </c>
      <c r="P281" s="18" t="str">
        <f t="shared" si="32"/>
        <v/>
      </c>
      <c r="Q281" s="18" t="str">
        <f t="shared" si="33"/>
        <v/>
      </c>
      <c r="R281" s="18" t="str">
        <f t="shared" si="34"/>
        <v/>
      </c>
    </row>
    <row r="282" spans="1:16378" ht="22.5" customHeight="1" x14ac:dyDescent="0.25">
      <c r="A282" s="22"/>
      <c r="B282" s="261"/>
      <c r="C282" s="108"/>
      <c r="D282" s="255"/>
      <c r="E282" s="108"/>
      <c r="F282" s="41"/>
      <c r="G282" s="41"/>
      <c r="H282" s="250"/>
      <c r="I282" s="132"/>
      <c r="J282" s="24"/>
      <c r="L282" s="18" t="str">
        <f t="shared" si="28"/>
        <v/>
      </c>
      <c r="M282" s="18" t="str">
        <f t="shared" si="29"/>
        <v/>
      </c>
      <c r="N282" s="18" t="str">
        <f t="shared" si="30"/>
        <v/>
      </c>
      <c r="O282" s="18" t="str">
        <f t="shared" si="31"/>
        <v/>
      </c>
      <c r="P282" s="18" t="str">
        <f t="shared" si="32"/>
        <v/>
      </c>
      <c r="Q282" s="18" t="str">
        <f t="shared" si="33"/>
        <v/>
      </c>
      <c r="R282" s="18" t="str">
        <f t="shared" si="34"/>
        <v/>
      </c>
    </row>
    <row r="283" spans="1:16378" ht="22.5" customHeight="1" x14ac:dyDescent="0.25">
      <c r="A283" s="19"/>
      <c r="B283" s="262"/>
      <c r="C283" s="107"/>
      <c r="D283" s="256"/>
      <c r="E283" s="107"/>
      <c r="F283" s="40"/>
      <c r="G283" s="40"/>
      <c r="H283" s="251"/>
      <c r="I283" s="131"/>
      <c r="J283" s="21"/>
      <c r="L283" s="18" t="str">
        <f t="shared" si="28"/>
        <v/>
      </c>
      <c r="M283" s="18" t="str">
        <f t="shared" si="29"/>
        <v/>
      </c>
      <c r="N283" s="18" t="str">
        <f t="shared" si="30"/>
        <v/>
      </c>
      <c r="O283" s="18" t="str">
        <f t="shared" si="31"/>
        <v/>
      </c>
      <c r="P283" s="18" t="str">
        <f t="shared" si="32"/>
        <v/>
      </c>
      <c r="Q283" s="18" t="str">
        <f t="shared" si="33"/>
        <v/>
      </c>
      <c r="R283" s="18" t="str">
        <f t="shared" si="34"/>
        <v/>
      </c>
    </row>
    <row r="284" spans="1:16378" ht="22.5" customHeight="1" thickBot="1" x14ac:dyDescent="0.3">
      <c r="A284" s="25"/>
      <c r="B284" s="263"/>
      <c r="C284" s="109"/>
      <c r="D284" s="257"/>
      <c r="E284" s="109"/>
      <c r="F284" s="42"/>
      <c r="G284" s="42"/>
      <c r="H284" s="252"/>
      <c r="I284" s="133"/>
      <c r="J284" s="27"/>
      <c r="L284" s="18" t="str">
        <f t="shared" si="28"/>
        <v/>
      </c>
      <c r="M284" s="18" t="str">
        <f t="shared" si="29"/>
        <v/>
      </c>
      <c r="N284" s="18" t="str">
        <f t="shared" si="30"/>
        <v/>
      </c>
      <c r="O284" s="18" t="str">
        <f t="shared" si="31"/>
        <v/>
      </c>
      <c r="P284" s="18" t="str">
        <f t="shared" si="32"/>
        <v/>
      </c>
      <c r="Q284" s="18" t="str">
        <f t="shared" si="33"/>
        <v/>
      </c>
      <c r="R284" s="18" t="str">
        <f t="shared" si="34"/>
        <v/>
      </c>
    </row>
    <row r="285" spans="1:16378" ht="22.5" customHeight="1" x14ac:dyDescent="0.25">
      <c r="A285" s="18">
        <v>0</v>
      </c>
      <c r="B285" s="110">
        <v>0</v>
      </c>
      <c r="C285" s="110">
        <v>0</v>
      </c>
      <c r="D285" s="258">
        <v>0</v>
      </c>
      <c r="E285" s="110">
        <v>0</v>
      </c>
      <c r="F285" s="33">
        <v>0</v>
      </c>
      <c r="G285" s="18">
        <v>0</v>
      </c>
      <c r="H285" s="119">
        <v>0</v>
      </c>
      <c r="I285" s="18">
        <v>0</v>
      </c>
      <c r="J285" s="18">
        <v>0</v>
      </c>
      <c r="K285" s="18">
        <v>0</v>
      </c>
      <c r="L285" s="18">
        <v>0</v>
      </c>
      <c r="M285" s="18">
        <v>0</v>
      </c>
      <c r="N285" s="18">
        <v>0</v>
      </c>
      <c r="O285" s="18">
        <v>0</v>
      </c>
      <c r="P285" s="18">
        <v>0</v>
      </c>
      <c r="Q285" s="18">
        <v>0</v>
      </c>
      <c r="R285" s="18">
        <v>0</v>
      </c>
      <c r="S285" s="18">
        <v>0</v>
      </c>
      <c r="T285" s="18">
        <v>0</v>
      </c>
      <c r="U285" s="18">
        <v>0</v>
      </c>
      <c r="V285" s="18">
        <v>0</v>
      </c>
      <c r="W285" s="18">
        <v>0</v>
      </c>
      <c r="X285" s="18">
        <v>0</v>
      </c>
      <c r="Y285" s="18">
        <v>0</v>
      </c>
      <c r="Z285" s="18">
        <v>0</v>
      </c>
      <c r="AA285" s="18">
        <v>0</v>
      </c>
      <c r="AB285" s="18">
        <v>0</v>
      </c>
      <c r="AC285" s="18">
        <v>0</v>
      </c>
      <c r="AD285" s="18">
        <v>0</v>
      </c>
      <c r="AE285" s="18">
        <v>0</v>
      </c>
      <c r="AF285" s="18">
        <v>0</v>
      </c>
      <c r="AG285" s="18">
        <v>0</v>
      </c>
      <c r="AH285" s="18">
        <v>0</v>
      </c>
      <c r="AI285" s="18">
        <v>0</v>
      </c>
      <c r="AJ285" s="18">
        <v>0</v>
      </c>
      <c r="AK285" s="18">
        <v>0</v>
      </c>
      <c r="AL285" s="18">
        <v>0</v>
      </c>
      <c r="AM285" s="18">
        <v>0</v>
      </c>
      <c r="AN285" s="18">
        <v>0</v>
      </c>
      <c r="AO285" s="18">
        <v>0</v>
      </c>
      <c r="AP285" s="18">
        <v>0</v>
      </c>
      <c r="AQ285" s="18">
        <v>0</v>
      </c>
      <c r="AR285" s="18">
        <v>0</v>
      </c>
      <c r="AS285" s="18">
        <v>0</v>
      </c>
      <c r="AT285" s="18">
        <v>0</v>
      </c>
      <c r="AU285" s="18">
        <v>0</v>
      </c>
      <c r="AV285" s="18">
        <v>0</v>
      </c>
      <c r="AW285" s="18">
        <v>0</v>
      </c>
      <c r="AX285" s="18">
        <v>0</v>
      </c>
      <c r="AY285" s="18">
        <v>0</v>
      </c>
      <c r="AZ285" s="18">
        <v>0</v>
      </c>
      <c r="BA285" s="18">
        <v>0</v>
      </c>
      <c r="BB285" s="18">
        <v>0</v>
      </c>
      <c r="BC285" s="18">
        <v>0</v>
      </c>
      <c r="BD285" s="18">
        <v>0</v>
      </c>
      <c r="BE285" s="18">
        <v>0</v>
      </c>
      <c r="BF285" s="18">
        <v>0</v>
      </c>
      <c r="BG285" s="18">
        <v>0</v>
      </c>
      <c r="BH285" s="18">
        <v>0</v>
      </c>
      <c r="BI285" s="18">
        <v>0</v>
      </c>
      <c r="BJ285" s="18">
        <v>0</v>
      </c>
      <c r="BK285" s="18">
        <v>0</v>
      </c>
      <c r="BL285" s="18">
        <v>0</v>
      </c>
      <c r="BM285" s="18">
        <v>0</v>
      </c>
      <c r="BN285" s="18">
        <v>0</v>
      </c>
      <c r="BO285" s="18">
        <v>0</v>
      </c>
      <c r="BP285" s="18">
        <v>0</v>
      </c>
      <c r="BQ285" s="18">
        <v>0</v>
      </c>
      <c r="BR285" s="18">
        <v>0</v>
      </c>
      <c r="BS285" s="18">
        <v>0</v>
      </c>
      <c r="BT285" s="18">
        <v>0</v>
      </c>
      <c r="BU285" s="18">
        <v>0</v>
      </c>
      <c r="BV285" s="18">
        <v>0</v>
      </c>
      <c r="BW285" s="18">
        <v>0</v>
      </c>
      <c r="BX285" s="18">
        <v>0</v>
      </c>
      <c r="BY285" s="18">
        <v>0</v>
      </c>
      <c r="BZ285" s="18">
        <v>0</v>
      </c>
      <c r="CA285" s="18">
        <v>0</v>
      </c>
      <c r="CB285" s="18">
        <v>0</v>
      </c>
      <c r="CC285" s="18">
        <v>0</v>
      </c>
      <c r="CD285" s="18">
        <v>0</v>
      </c>
      <c r="CE285" s="18">
        <v>0</v>
      </c>
      <c r="CF285" s="18">
        <v>0</v>
      </c>
      <c r="CG285" s="18">
        <v>0</v>
      </c>
      <c r="CH285" s="18">
        <v>0</v>
      </c>
      <c r="CI285" s="18">
        <v>0</v>
      </c>
      <c r="CJ285" s="18">
        <v>0</v>
      </c>
      <c r="CK285" s="18">
        <v>0</v>
      </c>
      <c r="CL285" s="18">
        <v>0</v>
      </c>
      <c r="CM285" s="18">
        <v>0</v>
      </c>
      <c r="CN285" s="18">
        <v>0</v>
      </c>
      <c r="CO285" s="18">
        <v>0</v>
      </c>
      <c r="CP285" s="18">
        <v>0</v>
      </c>
      <c r="CQ285" s="18">
        <v>0</v>
      </c>
      <c r="CR285" s="18">
        <v>0</v>
      </c>
      <c r="CS285" s="18">
        <v>0</v>
      </c>
      <c r="CT285" s="18">
        <v>0</v>
      </c>
      <c r="CU285" s="18">
        <v>0</v>
      </c>
      <c r="CV285" s="18">
        <v>0</v>
      </c>
      <c r="CW285" s="18">
        <v>0</v>
      </c>
      <c r="CX285" s="18">
        <v>0</v>
      </c>
      <c r="CY285" s="18">
        <v>0</v>
      </c>
      <c r="CZ285" s="18">
        <v>0</v>
      </c>
      <c r="DA285" s="18">
        <v>0</v>
      </c>
      <c r="DB285" s="18">
        <v>0</v>
      </c>
      <c r="DC285" s="18">
        <v>0</v>
      </c>
      <c r="DD285" s="18">
        <v>0</v>
      </c>
      <c r="DE285" s="18">
        <v>0</v>
      </c>
      <c r="DF285" s="18">
        <v>0</v>
      </c>
      <c r="DG285" s="18">
        <v>0</v>
      </c>
      <c r="DH285" s="18">
        <v>0</v>
      </c>
      <c r="DI285" s="18">
        <v>0</v>
      </c>
      <c r="DJ285" s="18">
        <v>0</v>
      </c>
      <c r="DK285" s="18">
        <v>0</v>
      </c>
      <c r="DL285" s="18">
        <v>0</v>
      </c>
      <c r="DM285" s="18">
        <v>0</v>
      </c>
      <c r="DN285" s="18">
        <v>0</v>
      </c>
      <c r="DO285" s="18">
        <v>0</v>
      </c>
      <c r="DP285" s="18">
        <v>0</v>
      </c>
      <c r="DQ285" s="18">
        <v>0</v>
      </c>
      <c r="DR285" s="18">
        <v>0</v>
      </c>
      <c r="DS285" s="18">
        <v>0</v>
      </c>
      <c r="DT285" s="18">
        <v>0</v>
      </c>
      <c r="DU285" s="18">
        <v>0</v>
      </c>
      <c r="DV285" s="18">
        <v>0</v>
      </c>
      <c r="DW285" s="18">
        <v>0</v>
      </c>
      <c r="DX285" s="18">
        <v>0</v>
      </c>
      <c r="DY285" s="18">
        <v>0</v>
      </c>
      <c r="DZ285" s="18">
        <v>0</v>
      </c>
      <c r="EA285" s="18">
        <v>0</v>
      </c>
      <c r="EB285" s="18">
        <v>0</v>
      </c>
      <c r="EC285" s="18">
        <v>0</v>
      </c>
      <c r="ED285" s="18">
        <v>0</v>
      </c>
      <c r="EE285" s="18">
        <v>0</v>
      </c>
      <c r="EF285" s="18">
        <v>0</v>
      </c>
      <c r="EG285" s="18">
        <v>0</v>
      </c>
      <c r="EH285" s="18">
        <v>0</v>
      </c>
      <c r="EI285" s="18">
        <v>0</v>
      </c>
      <c r="EJ285" s="18">
        <v>0</v>
      </c>
      <c r="EK285" s="18">
        <v>0</v>
      </c>
      <c r="EL285" s="18">
        <v>0</v>
      </c>
      <c r="EM285" s="18">
        <v>0</v>
      </c>
      <c r="EN285" s="18">
        <v>0</v>
      </c>
      <c r="EO285" s="18">
        <v>0</v>
      </c>
      <c r="EP285" s="18">
        <v>0</v>
      </c>
      <c r="EQ285" s="18">
        <v>0</v>
      </c>
      <c r="ER285" s="18">
        <v>0</v>
      </c>
      <c r="ES285" s="18">
        <v>0</v>
      </c>
      <c r="ET285" s="18">
        <v>0</v>
      </c>
      <c r="EU285" s="18">
        <v>0</v>
      </c>
      <c r="EV285" s="18">
        <v>0</v>
      </c>
      <c r="EW285" s="18">
        <v>0</v>
      </c>
      <c r="EX285" s="18">
        <v>0</v>
      </c>
      <c r="EY285" s="18">
        <v>0</v>
      </c>
      <c r="EZ285" s="18">
        <v>0</v>
      </c>
      <c r="FA285" s="18">
        <v>0</v>
      </c>
      <c r="FB285" s="18">
        <v>0</v>
      </c>
      <c r="FC285" s="18">
        <v>0</v>
      </c>
      <c r="FD285" s="18">
        <v>0</v>
      </c>
      <c r="FE285" s="18">
        <v>0</v>
      </c>
      <c r="FF285" s="18">
        <v>0</v>
      </c>
      <c r="FG285" s="18">
        <v>0</v>
      </c>
      <c r="FH285" s="18">
        <v>0</v>
      </c>
      <c r="FI285" s="18">
        <v>0</v>
      </c>
      <c r="FJ285" s="18">
        <v>0</v>
      </c>
      <c r="FK285" s="18">
        <v>0</v>
      </c>
      <c r="FL285" s="18">
        <v>0</v>
      </c>
      <c r="FM285" s="18">
        <v>0</v>
      </c>
      <c r="FN285" s="18">
        <v>0</v>
      </c>
      <c r="FO285" s="18">
        <v>0</v>
      </c>
      <c r="FP285" s="18">
        <v>0</v>
      </c>
      <c r="FQ285" s="18">
        <v>0</v>
      </c>
      <c r="FR285" s="18">
        <v>0</v>
      </c>
      <c r="FS285" s="18">
        <v>0</v>
      </c>
      <c r="FT285" s="18">
        <v>0</v>
      </c>
      <c r="FU285" s="18">
        <v>0</v>
      </c>
      <c r="FV285" s="18">
        <v>0</v>
      </c>
      <c r="FW285" s="18">
        <v>0</v>
      </c>
      <c r="FX285" s="18">
        <v>0</v>
      </c>
      <c r="FY285" s="18">
        <v>0</v>
      </c>
      <c r="FZ285" s="18">
        <v>0</v>
      </c>
      <c r="GA285" s="18">
        <v>0</v>
      </c>
      <c r="GB285" s="18">
        <v>0</v>
      </c>
      <c r="GC285" s="18">
        <v>0</v>
      </c>
      <c r="GD285" s="18">
        <v>0</v>
      </c>
      <c r="GE285" s="18">
        <v>0</v>
      </c>
      <c r="GF285" s="18">
        <v>0</v>
      </c>
      <c r="GG285" s="18">
        <v>0</v>
      </c>
      <c r="GH285" s="18">
        <v>0</v>
      </c>
      <c r="GI285" s="18">
        <v>0</v>
      </c>
      <c r="GJ285" s="18">
        <v>0</v>
      </c>
      <c r="GK285" s="18">
        <v>0</v>
      </c>
      <c r="GL285" s="18">
        <v>0</v>
      </c>
      <c r="GM285" s="18">
        <v>0</v>
      </c>
      <c r="GN285" s="18">
        <v>0</v>
      </c>
      <c r="GO285" s="18">
        <v>0</v>
      </c>
      <c r="GP285" s="18">
        <v>0</v>
      </c>
      <c r="GQ285" s="18">
        <v>0</v>
      </c>
      <c r="GR285" s="18">
        <v>0</v>
      </c>
      <c r="GS285" s="18">
        <v>0</v>
      </c>
      <c r="GT285" s="18">
        <v>0</v>
      </c>
      <c r="GU285" s="18">
        <v>0</v>
      </c>
      <c r="GV285" s="18">
        <v>0</v>
      </c>
      <c r="GW285" s="18">
        <v>0</v>
      </c>
      <c r="GX285" s="18">
        <v>0</v>
      </c>
      <c r="GY285" s="18">
        <v>0</v>
      </c>
      <c r="GZ285" s="18">
        <v>0</v>
      </c>
      <c r="HA285" s="18">
        <v>0</v>
      </c>
      <c r="HB285" s="18">
        <v>0</v>
      </c>
      <c r="HC285" s="18">
        <v>0</v>
      </c>
      <c r="HD285" s="18">
        <v>0</v>
      </c>
      <c r="HE285" s="18">
        <v>0</v>
      </c>
      <c r="HF285" s="18">
        <v>0</v>
      </c>
      <c r="HG285" s="18">
        <v>0</v>
      </c>
      <c r="HH285" s="18">
        <v>0</v>
      </c>
      <c r="HI285" s="18">
        <v>0</v>
      </c>
      <c r="HJ285" s="18">
        <v>0</v>
      </c>
      <c r="HK285" s="18">
        <v>0</v>
      </c>
      <c r="HL285" s="18">
        <v>0</v>
      </c>
      <c r="HM285" s="18">
        <v>0</v>
      </c>
      <c r="HN285" s="18">
        <v>0</v>
      </c>
      <c r="HO285" s="18">
        <v>0</v>
      </c>
      <c r="HP285" s="18">
        <v>0</v>
      </c>
      <c r="HQ285" s="18">
        <v>0</v>
      </c>
      <c r="HR285" s="18">
        <v>0</v>
      </c>
      <c r="HS285" s="18">
        <v>0</v>
      </c>
      <c r="HT285" s="18">
        <v>0</v>
      </c>
      <c r="HU285" s="18">
        <v>0</v>
      </c>
      <c r="HV285" s="18">
        <v>0</v>
      </c>
      <c r="HW285" s="18">
        <v>0</v>
      </c>
      <c r="HX285" s="18">
        <v>0</v>
      </c>
      <c r="HY285" s="18">
        <v>0</v>
      </c>
      <c r="HZ285" s="18">
        <v>0</v>
      </c>
      <c r="IA285" s="18">
        <v>0</v>
      </c>
      <c r="IB285" s="18">
        <v>0</v>
      </c>
      <c r="IC285" s="18">
        <v>0</v>
      </c>
      <c r="ID285" s="18">
        <v>0</v>
      </c>
      <c r="IE285" s="18">
        <v>0</v>
      </c>
      <c r="IF285" s="18">
        <v>0</v>
      </c>
      <c r="IG285" s="18">
        <v>0</v>
      </c>
      <c r="IH285" s="18">
        <v>0</v>
      </c>
      <c r="II285" s="18">
        <v>0</v>
      </c>
      <c r="IJ285" s="18">
        <v>0</v>
      </c>
      <c r="IK285" s="18">
        <v>0</v>
      </c>
      <c r="IL285" s="18">
        <v>0</v>
      </c>
      <c r="IM285" s="18">
        <v>0</v>
      </c>
      <c r="IN285" s="18">
        <v>0</v>
      </c>
      <c r="IO285" s="18">
        <v>0</v>
      </c>
      <c r="IP285" s="18">
        <v>0</v>
      </c>
      <c r="IQ285" s="18">
        <v>0</v>
      </c>
      <c r="IR285" s="18">
        <v>0</v>
      </c>
      <c r="IS285" s="18">
        <v>0</v>
      </c>
      <c r="IT285" s="18">
        <v>0</v>
      </c>
      <c r="IU285" s="18">
        <v>0</v>
      </c>
      <c r="IV285" s="18">
        <v>0</v>
      </c>
      <c r="IW285" s="18">
        <v>0</v>
      </c>
      <c r="IX285" s="18">
        <v>0</v>
      </c>
      <c r="IY285" s="18">
        <v>0</v>
      </c>
      <c r="IZ285" s="18">
        <v>0</v>
      </c>
      <c r="JA285" s="18">
        <v>0</v>
      </c>
      <c r="JB285" s="18">
        <v>0</v>
      </c>
      <c r="JC285" s="18">
        <v>0</v>
      </c>
      <c r="JD285" s="18">
        <v>0</v>
      </c>
      <c r="JE285" s="18">
        <v>0</v>
      </c>
      <c r="JF285" s="18">
        <v>0</v>
      </c>
      <c r="JG285" s="18">
        <v>0</v>
      </c>
      <c r="JH285" s="18">
        <v>0</v>
      </c>
      <c r="JI285" s="18">
        <v>0</v>
      </c>
      <c r="JJ285" s="18">
        <v>0</v>
      </c>
      <c r="JK285" s="18">
        <v>0</v>
      </c>
      <c r="JL285" s="18">
        <v>0</v>
      </c>
      <c r="JM285" s="18">
        <v>0</v>
      </c>
      <c r="JN285" s="18">
        <v>0</v>
      </c>
      <c r="JO285" s="18">
        <v>0</v>
      </c>
      <c r="JP285" s="18">
        <v>0</v>
      </c>
      <c r="JQ285" s="18">
        <v>0</v>
      </c>
      <c r="JR285" s="18">
        <v>0</v>
      </c>
      <c r="JS285" s="18">
        <v>0</v>
      </c>
      <c r="JT285" s="18">
        <v>0</v>
      </c>
      <c r="JU285" s="18">
        <v>0</v>
      </c>
      <c r="JV285" s="18">
        <v>0</v>
      </c>
      <c r="JW285" s="18">
        <v>0</v>
      </c>
      <c r="JX285" s="18">
        <v>0</v>
      </c>
      <c r="JY285" s="18">
        <v>0</v>
      </c>
      <c r="JZ285" s="18">
        <v>0</v>
      </c>
      <c r="KA285" s="18">
        <v>0</v>
      </c>
      <c r="KB285" s="18">
        <v>0</v>
      </c>
      <c r="KC285" s="18">
        <v>0</v>
      </c>
      <c r="KD285" s="18">
        <v>0</v>
      </c>
      <c r="KE285" s="18">
        <v>0</v>
      </c>
      <c r="KF285" s="18">
        <v>0</v>
      </c>
      <c r="KG285" s="18">
        <v>0</v>
      </c>
      <c r="KH285" s="18">
        <v>0</v>
      </c>
      <c r="KI285" s="18">
        <v>0</v>
      </c>
      <c r="KJ285" s="18">
        <v>0</v>
      </c>
      <c r="KK285" s="18">
        <v>0</v>
      </c>
      <c r="KL285" s="18">
        <v>0</v>
      </c>
      <c r="KM285" s="18">
        <v>0</v>
      </c>
      <c r="KN285" s="18">
        <v>0</v>
      </c>
      <c r="KO285" s="18">
        <v>0</v>
      </c>
      <c r="KP285" s="18">
        <v>0</v>
      </c>
      <c r="KQ285" s="18">
        <v>0</v>
      </c>
      <c r="KR285" s="18">
        <v>0</v>
      </c>
      <c r="KS285" s="18">
        <v>0</v>
      </c>
      <c r="KT285" s="18">
        <v>0</v>
      </c>
      <c r="KU285" s="18">
        <v>0</v>
      </c>
      <c r="KV285" s="18">
        <v>0</v>
      </c>
      <c r="KW285" s="18">
        <v>0</v>
      </c>
      <c r="KX285" s="18">
        <v>0</v>
      </c>
      <c r="KY285" s="18">
        <v>0</v>
      </c>
      <c r="KZ285" s="18">
        <v>0</v>
      </c>
      <c r="LA285" s="18">
        <v>0</v>
      </c>
      <c r="LB285" s="18">
        <v>0</v>
      </c>
      <c r="LC285" s="18">
        <v>0</v>
      </c>
      <c r="LD285" s="18">
        <v>0</v>
      </c>
      <c r="LE285" s="18">
        <v>0</v>
      </c>
      <c r="LF285" s="18">
        <v>0</v>
      </c>
      <c r="LG285" s="18">
        <v>0</v>
      </c>
      <c r="LH285" s="18">
        <v>0</v>
      </c>
      <c r="LI285" s="18">
        <v>0</v>
      </c>
      <c r="LJ285" s="18">
        <v>0</v>
      </c>
      <c r="LK285" s="18">
        <v>0</v>
      </c>
      <c r="LL285" s="18">
        <v>0</v>
      </c>
      <c r="LM285" s="18">
        <v>0</v>
      </c>
      <c r="LN285" s="18">
        <v>0</v>
      </c>
      <c r="LO285" s="18">
        <v>0</v>
      </c>
      <c r="LP285" s="18">
        <v>0</v>
      </c>
      <c r="LQ285" s="18">
        <v>0</v>
      </c>
      <c r="LR285" s="18">
        <v>0</v>
      </c>
      <c r="LS285" s="18">
        <v>0</v>
      </c>
      <c r="LT285" s="18">
        <v>0</v>
      </c>
      <c r="LU285" s="18">
        <v>0</v>
      </c>
      <c r="LV285" s="18">
        <v>0</v>
      </c>
      <c r="LW285" s="18">
        <v>0</v>
      </c>
      <c r="LX285" s="18">
        <v>0</v>
      </c>
      <c r="LY285" s="18">
        <v>0</v>
      </c>
      <c r="LZ285" s="18">
        <v>0</v>
      </c>
      <c r="MA285" s="18">
        <v>0</v>
      </c>
      <c r="MB285" s="18">
        <v>0</v>
      </c>
      <c r="MC285" s="18">
        <v>0</v>
      </c>
      <c r="MD285" s="18">
        <v>0</v>
      </c>
      <c r="ME285" s="18">
        <v>0</v>
      </c>
      <c r="MF285" s="18">
        <v>0</v>
      </c>
      <c r="MG285" s="18">
        <v>0</v>
      </c>
      <c r="MH285" s="18">
        <v>0</v>
      </c>
      <c r="MI285" s="18">
        <v>0</v>
      </c>
      <c r="MJ285" s="18">
        <v>0</v>
      </c>
      <c r="MK285" s="18">
        <v>0</v>
      </c>
      <c r="ML285" s="18">
        <v>0</v>
      </c>
      <c r="MM285" s="18">
        <v>0</v>
      </c>
      <c r="MN285" s="18">
        <v>0</v>
      </c>
      <c r="MO285" s="18">
        <v>0</v>
      </c>
      <c r="MP285" s="18">
        <v>0</v>
      </c>
      <c r="MQ285" s="18">
        <v>0</v>
      </c>
      <c r="MR285" s="18">
        <v>0</v>
      </c>
      <c r="MS285" s="18">
        <v>0</v>
      </c>
      <c r="MT285" s="18">
        <v>0</v>
      </c>
      <c r="MU285" s="18">
        <v>0</v>
      </c>
      <c r="MV285" s="18">
        <v>0</v>
      </c>
      <c r="MW285" s="18">
        <v>0</v>
      </c>
      <c r="MX285" s="18">
        <v>0</v>
      </c>
      <c r="MY285" s="18">
        <v>0</v>
      </c>
      <c r="MZ285" s="18">
        <v>0</v>
      </c>
      <c r="NA285" s="18">
        <v>0</v>
      </c>
      <c r="NB285" s="18">
        <v>0</v>
      </c>
      <c r="NC285" s="18">
        <v>0</v>
      </c>
      <c r="ND285" s="18">
        <v>0</v>
      </c>
      <c r="NE285" s="18">
        <v>0</v>
      </c>
      <c r="NF285" s="18">
        <v>0</v>
      </c>
      <c r="NG285" s="18">
        <v>0</v>
      </c>
      <c r="NH285" s="18">
        <v>0</v>
      </c>
      <c r="NI285" s="18">
        <v>0</v>
      </c>
      <c r="NJ285" s="18">
        <v>0</v>
      </c>
      <c r="NK285" s="18">
        <v>0</v>
      </c>
      <c r="NL285" s="18">
        <v>0</v>
      </c>
      <c r="NM285" s="18">
        <v>0</v>
      </c>
      <c r="NN285" s="18">
        <v>0</v>
      </c>
      <c r="NO285" s="18">
        <v>0</v>
      </c>
      <c r="NP285" s="18">
        <v>0</v>
      </c>
      <c r="NQ285" s="18">
        <v>0</v>
      </c>
      <c r="NR285" s="18">
        <v>0</v>
      </c>
      <c r="NS285" s="18">
        <v>0</v>
      </c>
      <c r="NT285" s="18">
        <v>0</v>
      </c>
      <c r="NU285" s="18">
        <v>0</v>
      </c>
      <c r="NV285" s="18">
        <v>0</v>
      </c>
      <c r="NW285" s="18">
        <v>0</v>
      </c>
      <c r="NX285" s="18">
        <v>0</v>
      </c>
      <c r="NY285" s="18">
        <v>0</v>
      </c>
      <c r="NZ285" s="18">
        <v>0</v>
      </c>
      <c r="OA285" s="18">
        <v>0</v>
      </c>
      <c r="OB285" s="18">
        <v>0</v>
      </c>
      <c r="OC285" s="18">
        <v>0</v>
      </c>
      <c r="OD285" s="18">
        <v>0</v>
      </c>
      <c r="OE285" s="18">
        <v>0</v>
      </c>
      <c r="OF285" s="18">
        <v>0</v>
      </c>
      <c r="OG285" s="18">
        <v>0</v>
      </c>
      <c r="OH285" s="18">
        <v>0</v>
      </c>
      <c r="OI285" s="18">
        <v>0</v>
      </c>
      <c r="OJ285" s="18">
        <v>0</v>
      </c>
      <c r="OK285" s="18">
        <v>0</v>
      </c>
      <c r="OL285" s="18">
        <v>0</v>
      </c>
      <c r="OM285" s="18">
        <v>0</v>
      </c>
      <c r="ON285" s="18">
        <v>0</v>
      </c>
      <c r="OO285" s="18">
        <v>0</v>
      </c>
      <c r="OP285" s="18">
        <v>0</v>
      </c>
      <c r="OQ285" s="18">
        <v>0</v>
      </c>
      <c r="OR285" s="18">
        <v>0</v>
      </c>
      <c r="OS285" s="18">
        <v>0</v>
      </c>
      <c r="OT285" s="18">
        <v>0</v>
      </c>
      <c r="OU285" s="18">
        <v>0</v>
      </c>
      <c r="OV285" s="18">
        <v>0</v>
      </c>
      <c r="OW285" s="18">
        <v>0</v>
      </c>
      <c r="OX285" s="18">
        <v>0</v>
      </c>
      <c r="OY285" s="18">
        <v>0</v>
      </c>
      <c r="OZ285" s="18">
        <v>0</v>
      </c>
      <c r="PA285" s="18">
        <v>0</v>
      </c>
      <c r="PB285" s="18">
        <v>0</v>
      </c>
      <c r="PC285" s="18">
        <v>0</v>
      </c>
      <c r="PD285" s="18">
        <v>0</v>
      </c>
      <c r="PE285" s="18">
        <v>0</v>
      </c>
      <c r="PF285" s="18">
        <v>0</v>
      </c>
      <c r="PG285" s="18">
        <v>0</v>
      </c>
      <c r="PH285" s="18">
        <v>0</v>
      </c>
      <c r="PI285" s="18">
        <v>0</v>
      </c>
      <c r="PJ285" s="18">
        <v>0</v>
      </c>
      <c r="PK285" s="18">
        <v>0</v>
      </c>
      <c r="PL285" s="18">
        <v>0</v>
      </c>
      <c r="PM285" s="18">
        <v>0</v>
      </c>
      <c r="PN285" s="18">
        <v>0</v>
      </c>
      <c r="PO285" s="18">
        <v>0</v>
      </c>
      <c r="PP285" s="18">
        <v>0</v>
      </c>
      <c r="PQ285" s="18">
        <v>0</v>
      </c>
      <c r="PR285" s="18">
        <v>0</v>
      </c>
      <c r="PS285" s="18">
        <v>0</v>
      </c>
      <c r="PT285" s="18">
        <v>0</v>
      </c>
      <c r="PU285" s="18">
        <v>0</v>
      </c>
      <c r="PV285" s="18">
        <v>0</v>
      </c>
      <c r="PW285" s="18">
        <v>0</v>
      </c>
      <c r="PX285" s="18">
        <v>0</v>
      </c>
      <c r="PY285" s="18">
        <v>0</v>
      </c>
      <c r="PZ285" s="18">
        <v>0</v>
      </c>
      <c r="QA285" s="18">
        <v>0</v>
      </c>
      <c r="QB285" s="18">
        <v>0</v>
      </c>
      <c r="QC285" s="18">
        <v>0</v>
      </c>
      <c r="QD285" s="18">
        <v>0</v>
      </c>
      <c r="QE285" s="18">
        <v>0</v>
      </c>
      <c r="QF285" s="18">
        <v>0</v>
      </c>
      <c r="QG285" s="18">
        <v>0</v>
      </c>
      <c r="QH285" s="18">
        <v>0</v>
      </c>
      <c r="QI285" s="18">
        <v>0</v>
      </c>
      <c r="QJ285" s="18">
        <v>0</v>
      </c>
      <c r="QK285" s="18">
        <v>0</v>
      </c>
      <c r="QL285" s="18">
        <v>0</v>
      </c>
      <c r="QM285" s="18">
        <v>0</v>
      </c>
      <c r="QN285" s="18">
        <v>0</v>
      </c>
      <c r="QO285" s="18">
        <v>0</v>
      </c>
      <c r="QP285" s="18">
        <v>0</v>
      </c>
      <c r="QQ285" s="18">
        <v>0</v>
      </c>
      <c r="QR285" s="18">
        <v>0</v>
      </c>
      <c r="QS285" s="18">
        <v>0</v>
      </c>
      <c r="QT285" s="18">
        <v>0</v>
      </c>
      <c r="QU285" s="18">
        <v>0</v>
      </c>
      <c r="QV285" s="18">
        <v>0</v>
      </c>
      <c r="QW285" s="18">
        <v>0</v>
      </c>
      <c r="QX285" s="18">
        <v>0</v>
      </c>
      <c r="QY285" s="18">
        <v>0</v>
      </c>
      <c r="QZ285" s="18">
        <v>0</v>
      </c>
      <c r="RA285" s="18">
        <v>0</v>
      </c>
      <c r="RB285" s="18">
        <v>0</v>
      </c>
      <c r="RC285" s="18">
        <v>0</v>
      </c>
      <c r="RD285" s="18">
        <v>0</v>
      </c>
      <c r="RE285" s="18">
        <v>0</v>
      </c>
      <c r="RF285" s="18">
        <v>0</v>
      </c>
      <c r="RG285" s="18">
        <v>0</v>
      </c>
      <c r="RH285" s="18">
        <v>0</v>
      </c>
      <c r="RI285" s="18">
        <v>0</v>
      </c>
      <c r="RJ285" s="18">
        <v>0</v>
      </c>
      <c r="RK285" s="18">
        <v>0</v>
      </c>
      <c r="RL285" s="18">
        <v>0</v>
      </c>
      <c r="RM285" s="18">
        <v>0</v>
      </c>
      <c r="RN285" s="18">
        <v>0</v>
      </c>
      <c r="RO285" s="18">
        <v>0</v>
      </c>
      <c r="RP285" s="18">
        <v>0</v>
      </c>
      <c r="RQ285" s="18">
        <v>0</v>
      </c>
      <c r="RR285" s="18">
        <v>0</v>
      </c>
      <c r="RS285" s="18">
        <v>0</v>
      </c>
      <c r="RT285" s="18">
        <v>0</v>
      </c>
      <c r="RU285" s="18">
        <v>0</v>
      </c>
      <c r="RV285" s="18">
        <v>0</v>
      </c>
      <c r="RW285" s="18">
        <v>0</v>
      </c>
      <c r="RX285" s="18">
        <v>0</v>
      </c>
      <c r="RY285" s="18">
        <v>0</v>
      </c>
      <c r="RZ285" s="18">
        <v>0</v>
      </c>
      <c r="SA285" s="18">
        <v>0</v>
      </c>
      <c r="SB285" s="18">
        <v>0</v>
      </c>
      <c r="SC285" s="18">
        <v>0</v>
      </c>
      <c r="SD285" s="18">
        <v>0</v>
      </c>
      <c r="SE285" s="18">
        <v>0</v>
      </c>
      <c r="SF285" s="18">
        <v>0</v>
      </c>
      <c r="SG285" s="18">
        <v>0</v>
      </c>
      <c r="SH285" s="18">
        <v>0</v>
      </c>
      <c r="SI285" s="18">
        <v>0</v>
      </c>
      <c r="SJ285" s="18">
        <v>0</v>
      </c>
      <c r="SK285" s="18">
        <v>0</v>
      </c>
      <c r="SL285" s="18">
        <v>0</v>
      </c>
      <c r="SM285" s="18">
        <v>0</v>
      </c>
      <c r="SN285" s="18">
        <v>0</v>
      </c>
      <c r="SO285" s="18">
        <v>0</v>
      </c>
      <c r="SP285" s="18">
        <v>0</v>
      </c>
      <c r="SQ285" s="18">
        <v>0</v>
      </c>
      <c r="SR285" s="18">
        <v>0</v>
      </c>
      <c r="SS285" s="18">
        <v>0</v>
      </c>
      <c r="ST285" s="18">
        <v>0</v>
      </c>
      <c r="SU285" s="18">
        <v>0</v>
      </c>
      <c r="SV285" s="18">
        <v>0</v>
      </c>
      <c r="SW285" s="18">
        <v>0</v>
      </c>
      <c r="SX285" s="18">
        <v>0</v>
      </c>
      <c r="SY285" s="18">
        <v>0</v>
      </c>
      <c r="SZ285" s="18">
        <v>0</v>
      </c>
      <c r="TA285" s="18">
        <v>0</v>
      </c>
      <c r="TB285" s="18">
        <v>0</v>
      </c>
      <c r="TC285" s="18">
        <v>0</v>
      </c>
      <c r="TD285" s="18">
        <v>0</v>
      </c>
      <c r="TE285" s="18">
        <v>0</v>
      </c>
      <c r="TF285" s="18">
        <v>0</v>
      </c>
      <c r="TG285" s="18">
        <v>0</v>
      </c>
      <c r="TH285" s="18">
        <v>0</v>
      </c>
      <c r="TI285" s="18">
        <v>0</v>
      </c>
      <c r="TJ285" s="18">
        <v>0</v>
      </c>
      <c r="TK285" s="18">
        <v>0</v>
      </c>
      <c r="TL285" s="18">
        <v>0</v>
      </c>
      <c r="TM285" s="18">
        <v>0</v>
      </c>
      <c r="TN285" s="18">
        <v>0</v>
      </c>
      <c r="TO285" s="18">
        <v>0</v>
      </c>
      <c r="TP285" s="18">
        <v>0</v>
      </c>
      <c r="TQ285" s="18">
        <v>0</v>
      </c>
      <c r="TR285" s="18">
        <v>0</v>
      </c>
      <c r="TS285" s="18">
        <v>0</v>
      </c>
      <c r="TT285" s="18">
        <v>0</v>
      </c>
      <c r="TU285" s="18">
        <v>0</v>
      </c>
      <c r="TV285" s="18">
        <v>0</v>
      </c>
      <c r="TW285" s="18">
        <v>0</v>
      </c>
      <c r="TX285" s="18">
        <v>0</v>
      </c>
      <c r="TY285" s="18">
        <v>0</v>
      </c>
      <c r="TZ285" s="18">
        <v>0</v>
      </c>
      <c r="UA285" s="18">
        <v>0</v>
      </c>
      <c r="UB285" s="18">
        <v>0</v>
      </c>
      <c r="UC285" s="18">
        <v>0</v>
      </c>
      <c r="UD285" s="18">
        <v>0</v>
      </c>
      <c r="UE285" s="18">
        <v>0</v>
      </c>
      <c r="UF285" s="18">
        <v>0</v>
      </c>
      <c r="UG285" s="18">
        <v>0</v>
      </c>
      <c r="UH285" s="18">
        <v>0</v>
      </c>
      <c r="UI285" s="18">
        <v>0</v>
      </c>
      <c r="UJ285" s="18">
        <v>0</v>
      </c>
      <c r="UK285" s="18">
        <v>0</v>
      </c>
      <c r="UL285" s="18">
        <v>0</v>
      </c>
      <c r="UM285" s="18">
        <v>0</v>
      </c>
      <c r="UN285" s="18">
        <v>0</v>
      </c>
      <c r="UO285" s="18">
        <v>0</v>
      </c>
      <c r="UP285" s="18">
        <v>0</v>
      </c>
      <c r="UQ285" s="18">
        <v>0</v>
      </c>
      <c r="UR285" s="18">
        <v>0</v>
      </c>
      <c r="US285" s="18">
        <v>0</v>
      </c>
      <c r="UT285" s="18">
        <v>0</v>
      </c>
      <c r="UU285" s="18">
        <v>0</v>
      </c>
      <c r="UV285" s="18">
        <v>0</v>
      </c>
      <c r="UW285" s="18">
        <v>0</v>
      </c>
      <c r="UX285" s="18">
        <v>0</v>
      </c>
      <c r="UY285" s="18">
        <v>0</v>
      </c>
      <c r="UZ285" s="18">
        <v>0</v>
      </c>
      <c r="VA285" s="18">
        <v>0</v>
      </c>
      <c r="VB285" s="18">
        <v>0</v>
      </c>
      <c r="VC285" s="18">
        <v>0</v>
      </c>
      <c r="VD285" s="18">
        <v>0</v>
      </c>
      <c r="VE285" s="18">
        <v>0</v>
      </c>
      <c r="VF285" s="18">
        <v>0</v>
      </c>
      <c r="VG285" s="18">
        <v>0</v>
      </c>
      <c r="VH285" s="18">
        <v>0</v>
      </c>
      <c r="VI285" s="18">
        <v>0</v>
      </c>
      <c r="VJ285" s="18">
        <v>0</v>
      </c>
      <c r="VK285" s="18">
        <v>0</v>
      </c>
      <c r="VL285" s="18">
        <v>0</v>
      </c>
      <c r="VM285" s="18">
        <v>0</v>
      </c>
      <c r="VN285" s="18">
        <v>0</v>
      </c>
      <c r="VO285" s="18">
        <v>0</v>
      </c>
      <c r="VP285" s="18">
        <v>0</v>
      </c>
      <c r="VQ285" s="18">
        <v>0</v>
      </c>
      <c r="VR285" s="18">
        <v>0</v>
      </c>
      <c r="VS285" s="18">
        <v>0</v>
      </c>
      <c r="VT285" s="18">
        <v>0</v>
      </c>
      <c r="VU285" s="18">
        <v>0</v>
      </c>
      <c r="VV285" s="18">
        <v>0</v>
      </c>
      <c r="VW285" s="18">
        <v>0</v>
      </c>
      <c r="VX285" s="18">
        <v>0</v>
      </c>
      <c r="VY285" s="18">
        <v>0</v>
      </c>
      <c r="VZ285" s="18">
        <v>0</v>
      </c>
      <c r="WA285" s="18">
        <v>0</v>
      </c>
      <c r="WB285" s="18">
        <v>0</v>
      </c>
      <c r="WC285" s="18">
        <v>0</v>
      </c>
      <c r="WD285" s="18">
        <v>0</v>
      </c>
      <c r="WE285" s="18">
        <v>0</v>
      </c>
      <c r="WF285" s="18">
        <v>0</v>
      </c>
      <c r="WG285" s="18">
        <v>0</v>
      </c>
      <c r="WH285" s="18">
        <v>0</v>
      </c>
      <c r="WI285" s="18">
        <v>0</v>
      </c>
      <c r="WJ285" s="18">
        <v>0</v>
      </c>
      <c r="WK285" s="18">
        <v>0</v>
      </c>
      <c r="WL285" s="18">
        <v>0</v>
      </c>
      <c r="WM285" s="18">
        <v>0</v>
      </c>
      <c r="WN285" s="18">
        <v>0</v>
      </c>
      <c r="WO285" s="18">
        <v>0</v>
      </c>
      <c r="WP285" s="18">
        <v>0</v>
      </c>
      <c r="WQ285" s="18">
        <v>0</v>
      </c>
      <c r="WR285" s="18">
        <v>0</v>
      </c>
      <c r="WS285" s="18">
        <v>0</v>
      </c>
      <c r="WT285" s="18">
        <v>0</v>
      </c>
      <c r="WU285" s="18">
        <v>0</v>
      </c>
      <c r="WV285" s="18">
        <v>0</v>
      </c>
      <c r="WW285" s="18">
        <v>0</v>
      </c>
      <c r="WX285" s="18">
        <v>0</v>
      </c>
      <c r="WY285" s="18">
        <v>0</v>
      </c>
      <c r="WZ285" s="18">
        <v>0</v>
      </c>
      <c r="XA285" s="18">
        <v>0</v>
      </c>
      <c r="XB285" s="18">
        <v>0</v>
      </c>
      <c r="XC285" s="18">
        <v>0</v>
      </c>
      <c r="XD285" s="18">
        <v>0</v>
      </c>
      <c r="XE285" s="18">
        <v>0</v>
      </c>
      <c r="XF285" s="18">
        <v>0</v>
      </c>
      <c r="XG285" s="18">
        <v>0</v>
      </c>
      <c r="XH285" s="18">
        <v>0</v>
      </c>
      <c r="XI285" s="18">
        <v>0</v>
      </c>
      <c r="XJ285" s="18">
        <v>0</v>
      </c>
      <c r="XK285" s="18">
        <v>0</v>
      </c>
      <c r="XL285" s="18">
        <v>0</v>
      </c>
      <c r="XM285" s="18">
        <v>0</v>
      </c>
      <c r="XN285" s="18">
        <v>0</v>
      </c>
      <c r="XO285" s="18">
        <v>0</v>
      </c>
      <c r="XP285" s="18">
        <v>0</v>
      </c>
      <c r="XQ285" s="18">
        <v>0</v>
      </c>
      <c r="XR285" s="18">
        <v>0</v>
      </c>
      <c r="XS285" s="18">
        <v>0</v>
      </c>
      <c r="XT285" s="18">
        <v>0</v>
      </c>
      <c r="XU285" s="18">
        <v>0</v>
      </c>
      <c r="XV285" s="18">
        <v>0</v>
      </c>
      <c r="XW285" s="18">
        <v>0</v>
      </c>
      <c r="XX285" s="18">
        <v>0</v>
      </c>
      <c r="XY285" s="18">
        <v>0</v>
      </c>
      <c r="XZ285" s="18">
        <v>0</v>
      </c>
      <c r="YA285" s="18">
        <v>0</v>
      </c>
      <c r="YB285" s="18">
        <v>0</v>
      </c>
      <c r="YC285" s="18">
        <v>0</v>
      </c>
      <c r="YD285" s="18">
        <v>0</v>
      </c>
      <c r="YE285" s="18">
        <v>0</v>
      </c>
      <c r="YF285" s="18">
        <v>0</v>
      </c>
      <c r="YG285" s="18">
        <v>0</v>
      </c>
      <c r="YH285" s="18">
        <v>0</v>
      </c>
      <c r="YI285" s="18">
        <v>0</v>
      </c>
      <c r="YJ285" s="18">
        <v>0</v>
      </c>
      <c r="YK285" s="18">
        <v>0</v>
      </c>
      <c r="YL285" s="18">
        <v>0</v>
      </c>
      <c r="YM285" s="18">
        <v>0</v>
      </c>
      <c r="YN285" s="18">
        <v>0</v>
      </c>
      <c r="YO285" s="18">
        <v>0</v>
      </c>
      <c r="YP285" s="18">
        <v>0</v>
      </c>
      <c r="YQ285" s="18">
        <v>0</v>
      </c>
      <c r="YR285" s="18">
        <v>0</v>
      </c>
      <c r="YS285" s="18">
        <v>0</v>
      </c>
      <c r="YT285" s="18">
        <v>0</v>
      </c>
      <c r="YU285" s="18">
        <v>0</v>
      </c>
      <c r="YV285" s="18">
        <v>0</v>
      </c>
      <c r="YW285" s="18">
        <v>0</v>
      </c>
      <c r="YX285" s="18">
        <v>0</v>
      </c>
      <c r="YY285" s="18">
        <v>0</v>
      </c>
      <c r="YZ285" s="18">
        <v>0</v>
      </c>
      <c r="ZA285" s="18">
        <v>0</v>
      </c>
      <c r="ZB285" s="18">
        <v>0</v>
      </c>
      <c r="ZC285" s="18">
        <v>0</v>
      </c>
      <c r="ZD285" s="18">
        <v>0</v>
      </c>
      <c r="ZE285" s="18">
        <v>0</v>
      </c>
      <c r="ZF285" s="18">
        <v>0</v>
      </c>
      <c r="ZG285" s="18">
        <v>0</v>
      </c>
      <c r="ZH285" s="18">
        <v>0</v>
      </c>
      <c r="ZI285" s="18">
        <v>0</v>
      </c>
      <c r="ZJ285" s="18">
        <v>0</v>
      </c>
      <c r="ZK285" s="18">
        <v>0</v>
      </c>
      <c r="ZL285" s="18">
        <v>0</v>
      </c>
      <c r="ZM285" s="18">
        <v>0</v>
      </c>
      <c r="ZN285" s="18">
        <v>0</v>
      </c>
      <c r="ZO285" s="18">
        <v>0</v>
      </c>
      <c r="ZP285" s="18">
        <v>0</v>
      </c>
      <c r="ZQ285" s="18">
        <v>0</v>
      </c>
      <c r="ZR285" s="18">
        <v>0</v>
      </c>
      <c r="ZS285" s="18">
        <v>0</v>
      </c>
      <c r="ZT285" s="18">
        <v>0</v>
      </c>
      <c r="ZU285" s="18">
        <v>0</v>
      </c>
      <c r="ZV285" s="18">
        <v>0</v>
      </c>
      <c r="ZW285" s="18">
        <v>0</v>
      </c>
      <c r="ZX285" s="18">
        <v>0</v>
      </c>
      <c r="ZY285" s="18">
        <v>0</v>
      </c>
      <c r="ZZ285" s="18">
        <v>0</v>
      </c>
      <c r="AAA285" s="18">
        <v>0</v>
      </c>
      <c r="AAB285" s="18">
        <v>0</v>
      </c>
      <c r="AAC285" s="18">
        <v>0</v>
      </c>
      <c r="AAD285" s="18">
        <v>0</v>
      </c>
      <c r="AAE285" s="18">
        <v>0</v>
      </c>
      <c r="AAF285" s="18">
        <v>0</v>
      </c>
      <c r="AAG285" s="18">
        <v>0</v>
      </c>
      <c r="AAH285" s="18">
        <v>0</v>
      </c>
      <c r="AAI285" s="18">
        <v>0</v>
      </c>
      <c r="AAJ285" s="18">
        <v>0</v>
      </c>
      <c r="AAK285" s="18">
        <v>0</v>
      </c>
      <c r="AAL285" s="18">
        <v>0</v>
      </c>
      <c r="AAM285" s="18">
        <v>0</v>
      </c>
      <c r="AAN285" s="18">
        <v>0</v>
      </c>
      <c r="AAO285" s="18">
        <v>0</v>
      </c>
      <c r="AAP285" s="18">
        <v>0</v>
      </c>
      <c r="AAQ285" s="18">
        <v>0</v>
      </c>
      <c r="AAR285" s="18">
        <v>0</v>
      </c>
      <c r="AAS285" s="18">
        <v>0</v>
      </c>
      <c r="AAT285" s="18">
        <v>0</v>
      </c>
      <c r="AAU285" s="18">
        <v>0</v>
      </c>
      <c r="AAV285" s="18">
        <v>0</v>
      </c>
      <c r="AAW285" s="18">
        <v>0</v>
      </c>
      <c r="AAX285" s="18">
        <v>0</v>
      </c>
      <c r="AAY285" s="18">
        <v>0</v>
      </c>
      <c r="AAZ285" s="18">
        <v>0</v>
      </c>
      <c r="ABA285" s="18">
        <v>0</v>
      </c>
      <c r="ABB285" s="18">
        <v>0</v>
      </c>
      <c r="ABC285" s="18">
        <v>0</v>
      </c>
      <c r="ABD285" s="18">
        <v>0</v>
      </c>
      <c r="ABE285" s="18">
        <v>0</v>
      </c>
      <c r="ABF285" s="18">
        <v>0</v>
      </c>
      <c r="ABG285" s="18">
        <v>0</v>
      </c>
      <c r="ABH285" s="18">
        <v>0</v>
      </c>
      <c r="ABI285" s="18">
        <v>0</v>
      </c>
      <c r="ABJ285" s="18">
        <v>0</v>
      </c>
      <c r="ABK285" s="18">
        <v>0</v>
      </c>
      <c r="ABL285" s="18">
        <v>0</v>
      </c>
      <c r="ABM285" s="18">
        <v>0</v>
      </c>
      <c r="ABN285" s="18">
        <v>0</v>
      </c>
      <c r="ABO285" s="18">
        <v>0</v>
      </c>
      <c r="ABP285" s="18">
        <v>0</v>
      </c>
      <c r="ABQ285" s="18">
        <v>0</v>
      </c>
      <c r="ABR285" s="18">
        <v>0</v>
      </c>
      <c r="ABS285" s="18">
        <v>0</v>
      </c>
      <c r="ABT285" s="18">
        <v>0</v>
      </c>
      <c r="ABU285" s="18">
        <v>0</v>
      </c>
      <c r="ABV285" s="18">
        <v>0</v>
      </c>
      <c r="ABW285" s="18">
        <v>0</v>
      </c>
      <c r="ABX285" s="18">
        <v>0</v>
      </c>
      <c r="ABY285" s="18">
        <v>0</v>
      </c>
      <c r="ABZ285" s="18">
        <v>0</v>
      </c>
      <c r="ACA285" s="18">
        <v>0</v>
      </c>
      <c r="ACB285" s="18">
        <v>0</v>
      </c>
      <c r="ACC285" s="18">
        <v>0</v>
      </c>
      <c r="ACD285" s="18">
        <v>0</v>
      </c>
      <c r="ACE285" s="18">
        <v>0</v>
      </c>
      <c r="ACF285" s="18">
        <v>0</v>
      </c>
      <c r="ACG285" s="18">
        <v>0</v>
      </c>
      <c r="ACH285" s="18">
        <v>0</v>
      </c>
      <c r="ACI285" s="18">
        <v>0</v>
      </c>
      <c r="ACJ285" s="18">
        <v>0</v>
      </c>
      <c r="ACK285" s="18">
        <v>0</v>
      </c>
      <c r="ACL285" s="18">
        <v>0</v>
      </c>
      <c r="ACM285" s="18">
        <v>0</v>
      </c>
      <c r="ACN285" s="18">
        <v>0</v>
      </c>
      <c r="ACO285" s="18">
        <v>0</v>
      </c>
      <c r="ACP285" s="18">
        <v>0</v>
      </c>
      <c r="ACQ285" s="18">
        <v>0</v>
      </c>
      <c r="ACR285" s="18">
        <v>0</v>
      </c>
      <c r="ACS285" s="18">
        <v>0</v>
      </c>
      <c r="ACT285" s="18">
        <v>0</v>
      </c>
      <c r="ACU285" s="18">
        <v>0</v>
      </c>
      <c r="ACV285" s="18">
        <v>0</v>
      </c>
      <c r="ACW285" s="18">
        <v>0</v>
      </c>
      <c r="ACX285" s="18">
        <v>0</v>
      </c>
      <c r="ACY285" s="18">
        <v>0</v>
      </c>
      <c r="ACZ285" s="18">
        <v>0</v>
      </c>
      <c r="ADA285" s="18">
        <v>0</v>
      </c>
      <c r="ADB285" s="18">
        <v>0</v>
      </c>
      <c r="ADC285" s="18">
        <v>0</v>
      </c>
      <c r="ADD285" s="18">
        <v>0</v>
      </c>
      <c r="ADE285" s="18">
        <v>0</v>
      </c>
      <c r="ADF285" s="18">
        <v>0</v>
      </c>
      <c r="ADG285" s="18">
        <v>0</v>
      </c>
      <c r="ADH285" s="18">
        <v>0</v>
      </c>
      <c r="ADI285" s="18">
        <v>0</v>
      </c>
      <c r="ADJ285" s="18">
        <v>0</v>
      </c>
      <c r="ADK285" s="18">
        <v>0</v>
      </c>
      <c r="ADL285" s="18">
        <v>0</v>
      </c>
      <c r="ADM285" s="18">
        <v>0</v>
      </c>
      <c r="ADN285" s="18">
        <v>0</v>
      </c>
      <c r="ADO285" s="18">
        <v>0</v>
      </c>
      <c r="ADP285" s="18">
        <v>0</v>
      </c>
      <c r="ADQ285" s="18">
        <v>0</v>
      </c>
      <c r="ADR285" s="18">
        <v>0</v>
      </c>
      <c r="ADS285" s="18">
        <v>0</v>
      </c>
      <c r="ADT285" s="18">
        <v>0</v>
      </c>
      <c r="ADU285" s="18">
        <v>0</v>
      </c>
      <c r="ADV285" s="18">
        <v>0</v>
      </c>
      <c r="ADW285" s="18">
        <v>0</v>
      </c>
      <c r="ADX285" s="18">
        <v>0</v>
      </c>
      <c r="ADY285" s="18">
        <v>0</v>
      </c>
      <c r="ADZ285" s="18">
        <v>0</v>
      </c>
      <c r="AEA285" s="18">
        <v>0</v>
      </c>
      <c r="AEB285" s="18">
        <v>0</v>
      </c>
      <c r="AEC285" s="18">
        <v>0</v>
      </c>
      <c r="AED285" s="18">
        <v>0</v>
      </c>
      <c r="AEE285" s="18">
        <v>0</v>
      </c>
      <c r="AEF285" s="18">
        <v>0</v>
      </c>
      <c r="AEG285" s="18">
        <v>0</v>
      </c>
      <c r="AEH285" s="18">
        <v>0</v>
      </c>
      <c r="AEI285" s="18">
        <v>0</v>
      </c>
      <c r="AEJ285" s="18">
        <v>0</v>
      </c>
      <c r="AEK285" s="18">
        <v>0</v>
      </c>
      <c r="AEL285" s="18">
        <v>0</v>
      </c>
      <c r="AEM285" s="18">
        <v>0</v>
      </c>
      <c r="AEN285" s="18">
        <v>0</v>
      </c>
      <c r="AEO285" s="18">
        <v>0</v>
      </c>
      <c r="AEP285" s="18">
        <v>0</v>
      </c>
      <c r="AEQ285" s="18">
        <v>0</v>
      </c>
      <c r="AER285" s="18">
        <v>0</v>
      </c>
      <c r="AES285" s="18">
        <v>0</v>
      </c>
      <c r="AET285" s="18">
        <v>0</v>
      </c>
      <c r="AEU285" s="18">
        <v>0</v>
      </c>
      <c r="AEV285" s="18">
        <v>0</v>
      </c>
      <c r="AEW285" s="18">
        <v>0</v>
      </c>
      <c r="AEX285" s="18">
        <v>0</v>
      </c>
      <c r="AEY285" s="18">
        <v>0</v>
      </c>
      <c r="AEZ285" s="18">
        <v>0</v>
      </c>
      <c r="AFA285" s="18">
        <v>0</v>
      </c>
      <c r="AFB285" s="18">
        <v>0</v>
      </c>
      <c r="AFC285" s="18">
        <v>0</v>
      </c>
      <c r="AFD285" s="18">
        <v>0</v>
      </c>
      <c r="AFE285" s="18">
        <v>0</v>
      </c>
      <c r="AFF285" s="18">
        <v>0</v>
      </c>
      <c r="AFG285" s="18">
        <v>0</v>
      </c>
      <c r="AFH285" s="18">
        <v>0</v>
      </c>
      <c r="AFI285" s="18">
        <v>0</v>
      </c>
      <c r="AFJ285" s="18">
        <v>0</v>
      </c>
      <c r="AFK285" s="18">
        <v>0</v>
      </c>
      <c r="AFL285" s="18">
        <v>0</v>
      </c>
      <c r="AFM285" s="18">
        <v>0</v>
      </c>
      <c r="AFN285" s="18">
        <v>0</v>
      </c>
      <c r="AFO285" s="18">
        <v>0</v>
      </c>
      <c r="AFP285" s="18">
        <v>0</v>
      </c>
      <c r="AFQ285" s="18">
        <v>0</v>
      </c>
      <c r="AFR285" s="18">
        <v>0</v>
      </c>
      <c r="AFS285" s="18">
        <v>0</v>
      </c>
      <c r="AFT285" s="18">
        <v>0</v>
      </c>
      <c r="AFU285" s="18">
        <v>0</v>
      </c>
      <c r="AFV285" s="18">
        <v>0</v>
      </c>
      <c r="AFW285" s="18">
        <v>0</v>
      </c>
      <c r="AFX285" s="18">
        <v>0</v>
      </c>
      <c r="AFY285" s="18">
        <v>0</v>
      </c>
      <c r="AFZ285" s="18">
        <v>0</v>
      </c>
      <c r="AGA285" s="18">
        <v>0</v>
      </c>
      <c r="AGB285" s="18">
        <v>0</v>
      </c>
      <c r="AGC285" s="18">
        <v>0</v>
      </c>
      <c r="AGD285" s="18">
        <v>0</v>
      </c>
      <c r="AGE285" s="18">
        <v>0</v>
      </c>
      <c r="AGF285" s="18">
        <v>0</v>
      </c>
      <c r="AGG285" s="18">
        <v>0</v>
      </c>
      <c r="AGH285" s="18">
        <v>0</v>
      </c>
      <c r="AGI285" s="18">
        <v>0</v>
      </c>
      <c r="AGJ285" s="18">
        <v>0</v>
      </c>
      <c r="AGK285" s="18">
        <v>0</v>
      </c>
      <c r="AGL285" s="18">
        <v>0</v>
      </c>
      <c r="AGM285" s="18">
        <v>0</v>
      </c>
      <c r="AGN285" s="18">
        <v>0</v>
      </c>
      <c r="AGO285" s="18">
        <v>0</v>
      </c>
      <c r="AGP285" s="18">
        <v>0</v>
      </c>
      <c r="AGQ285" s="18">
        <v>0</v>
      </c>
      <c r="AGR285" s="18">
        <v>0</v>
      </c>
      <c r="AGS285" s="18">
        <v>0</v>
      </c>
      <c r="AGT285" s="18">
        <v>0</v>
      </c>
      <c r="AGU285" s="18">
        <v>0</v>
      </c>
      <c r="AGV285" s="18">
        <v>0</v>
      </c>
      <c r="AGW285" s="18">
        <v>0</v>
      </c>
      <c r="AGX285" s="18">
        <v>0</v>
      </c>
      <c r="AGY285" s="18">
        <v>0</v>
      </c>
      <c r="AGZ285" s="18">
        <v>0</v>
      </c>
      <c r="AHA285" s="18">
        <v>0</v>
      </c>
      <c r="AHB285" s="18">
        <v>0</v>
      </c>
      <c r="AHC285" s="18">
        <v>0</v>
      </c>
      <c r="AHD285" s="18">
        <v>0</v>
      </c>
      <c r="AHE285" s="18">
        <v>0</v>
      </c>
      <c r="AHF285" s="18">
        <v>0</v>
      </c>
      <c r="AHG285" s="18">
        <v>0</v>
      </c>
      <c r="AHH285" s="18">
        <v>0</v>
      </c>
      <c r="AHI285" s="18">
        <v>0</v>
      </c>
      <c r="AHJ285" s="18">
        <v>0</v>
      </c>
      <c r="AHK285" s="18">
        <v>0</v>
      </c>
      <c r="AHL285" s="18">
        <v>0</v>
      </c>
      <c r="AHM285" s="18">
        <v>0</v>
      </c>
      <c r="AHN285" s="18">
        <v>0</v>
      </c>
      <c r="AHO285" s="18">
        <v>0</v>
      </c>
      <c r="AHP285" s="18">
        <v>0</v>
      </c>
      <c r="AHQ285" s="18">
        <v>0</v>
      </c>
      <c r="AHR285" s="18">
        <v>0</v>
      </c>
      <c r="AHS285" s="18">
        <v>0</v>
      </c>
      <c r="AHT285" s="18">
        <v>0</v>
      </c>
      <c r="AHU285" s="18">
        <v>0</v>
      </c>
      <c r="AHV285" s="18">
        <v>0</v>
      </c>
      <c r="AHW285" s="18">
        <v>0</v>
      </c>
      <c r="AHX285" s="18">
        <v>0</v>
      </c>
      <c r="AHY285" s="18">
        <v>0</v>
      </c>
      <c r="AHZ285" s="18">
        <v>0</v>
      </c>
      <c r="AIA285" s="18">
        <v>0</v>
      </c>
      <c r="AIB285" s="18">
        <v>0</v>
      </c>
      <c r="AIC285" s="18">
        <v>0</v>
      </c>
      <c r="AID285" s="18">
        <v>0</v>
      </c>
      <c r="AIE285" s="18">
        <v>0</v>
      </c>
      <c r="AIF285" s="18">
        <v>0</v>
      </c>
      <c r="AIG285" s="18">
        <v>0</v>
      </c>
      <c r="AIH285" s="18">
        <v>0</v>
      </c>
      <c r="AII285" s="18">
        <v>0</v>
      </c>
      <c r="AIJ285" s="18">
        <v>0</v>
      </c>
      <c r="AIK285" s="18">
        <v>0</v>
      </c>
      <c r="AIL285" s="18">
        <v>0</v>
      </c>
      <c r="AIM285" s="18">
        <v>0</v>
      </c>
      <c r="AIN285" s="18">
        <v>0</v>
      </c>
      <c r="AIO285" s="18">
        <v>0</v>
      </c>
      <c r="AIP285" s="18">
        <v>0</v>
      </c>
      <c r="AIQ285" s="18">
        <v>0</v>
      </c>
      <c r="AIR285" s="18">
        <v>0</v>
      </c>
      <c r="AIS285" s="18">
        <v>0</v>
      </c>
      <c r="AIT285" s="18">
        <v>0</v>
      </c>
      <c r="AIU285" s="18">
        <v>0</v>
      </c>
      <c r="AIV285" s="18">
        <v>0</v>
      </c>
      <c r="AIW285" s="18">
        <v>0</v>
      </c>
      <c r="AIX285" s="18">
        <v>0</v>
      </c>
      <c r="AIY285" s="18">
        <v>0</v>
      </c>
      <c r="AIZ285" s="18">
        <v>0</v>
      </c>
      <c r="AJA285" s="18">
        <v>0</v>
      </c>
      <c r="AJB285" s="18">
        <v>0</v>
      </c>
      <c r="AJC285" s="18">
        <v>0</v>
      </c>
      <c r="AJD285" s="18">
        <v>0</v>
      </c>
      <c r="AJE285" s="18">
        <v>0</v>
      </c>
      <c r="AJF285" s="18">
        <v>0</v>
      </c>
      <c r="AJG285" s="18">
        <v>0</v>
      </c>
      <c r="AJH285" s="18">
        <v>0</v>
      </c>
      <c r="AJI285" s="18">
        <v>0</v>
      </c>
      <c r="AJJ285" s="18">
        <v>0</v>
      </c>
      <c r="AJK285" s="18">
        <v>0</v>
      </c>
      <c r="AJL285" s="18">
        <v>0</v>
      </c>
      <c r="AJM285" s="18">
        <v>0</v>
      </c>
      <c r="AJN285" s="18">
        <v>0</v>
      </c>
      <c r="AJO285" s="18">
        <v>0</v>
      </c>
      <c r="AJP285" s="18">
        <v>0</v>
      </c>
      <c r="AJQ285" s="18">
        <v>0</v>
      </c>
      <c r="AJR285" s="18">
        <v>0</v>
      </c>
      <c r="AJS285" s="18">
        <v>0</v>
      </c>
      <c r="AJT285" s="18">
        <v>0</v>
      </c>
      <c r="AJU285" s="18">
        <v>0</v>
      </c>
      <c r="AJV285" s="18">
        <v>0</v>
      </c>
      <c r="AJW285" s="18">
        <v>0</v>
      </c>
      <c r="AJX285" s="18">
        <v>0</v>
      </c>
      <c r="AJY285" s="18">
        <v>0</v>
      </c>
      <c r="AJZ285" s="18">
        <v>0</v>
      </c>
      <c r="AKA285" s="18">
        <v>0</v>
      </c>
      <c r="AKB285" s="18">
        <v>0</v>
      </c>
      <c r="AKC285" s="18">
        <v>0</v>
      </c>
      <c r="AKD285" s="18">
        <v>0</v>
      </c>
      <c r="AKE285" s="18">
        <v>0</v>
      </c>
      <c r="AKF285" s="18">
        <v>0</v>
      </c>
      <c r="AKG285" s="18">
        <v>0</v>
      </c>
      <c r="AKH285" s="18">
        <v>0</v>
      </c>
      <c r="AKI285" s="18">
        <v>0</v>
      </c>
      <c r="AKJ285" s="18">
        <v>0</v>
      </c>
      <c r="AKK285" s="18">
        <v>0</v>
      </c>
      <c r="AKL285" s="18">
        <v>0</v>
      </c>
      <c r="AKM285" s="18">
        <v>0</v>
      </c>
      <c r="AKN285" s="18">
        <v>0</v>
      </c>
      <c r="AKO285" s="18">
        <v>0</v>
      </c>
      <c r="AKP285" s="18">
        <v>0</v>
      </c>
      <c r="AKQ285" s="18">
        <v>0</v>
      </c>
      <c r="AKR285" s="18">
        <v>0</v>
      </c>
      <c r="AKS285" s="18">
        <v>0</v>
      </c>
      <c r="AKT285" s="18">
        <v>0</v>
      </c>
      <c r="AKU285" s="18">
        <v>0</v>
      </c>
      <c r="AKV285" s="18">
        <v>0</v>
      </c>
      <c r="AKW285" s="18">
        <v>0</v>
      </c>
      <c r="AKX285" s="18">
        <v>0</v>
      </c>
      <c r="AKY285" s="18">
        <v>0</v>
      </c>
      <c r="AKZ285" s="18">
        <v>0</v>
      </c>
      <c r="ALA285" s="18">
        <v>0</v>
      </c>
      <c r="ALB285" s="18">
        <v>0</v>
      </c>
      <c r="ALC285" s="18">
        <v>0</v>
      </c>
      <c r="ALD285" s="18">
        <v>0</v>
      </c>
      <c r="ALE285" s="18">
        <v>0</v>
      </c>
      <c r="ALF285" s="18">
        <v>0</v>
      </c>
      <c r="ALG285" s="18">
        <v>0</v>
      </c>
      <c r="ALH285" s="18">
        <v>0</v>
      </c>
      <c r="ALI285" s="18">
        <v>0</v>
      </c>
      <c r="ALJ285" s="18">
        <v>0</v>
      </c>
      <c r="ALK285" s="18">
        <v>0</v>
      </c>
      <c r="ALL285" s="18">
        <v>0</v>
      </c>
      <c r="ALM285" s="18">
        <v>0</v>
      </c>
      <c r="ALN285" s="18">
        <v>0</v>
      </c>
      <c r="ALO285" s="18">
        <v>0</v>
      </c>
      <c r="ALP285" s="18">
        <v>0</v>
      </c>
      <c r="ALQ285" s="18">
        <v>0</v>
      </c>
      <c r="ALR285" s="18">
        <v>0</v>
      </c>
      <c r="ALS285" s="18">
        <v>0</v>
      </c>
      <c r="ALT285" s="18">
        <v>0</v>
      </c>
      <c r="ALU285" s="18">
        <v>0</v>
      </c>
      <c r="ALV285" s="18">
        <v>0</v>
      </c>
      <c r="ALW285" s="18">
        <v>0</v>
      </c>
      <c r="ALX285" s="18">
        <v>0</v>
      </c>
      <c r="ALY285" s="18">
        <v>0</v>
      </c>
      <c r="ALZ285" s="18">
        <v>0</v>
      </c>
      <c r="AMA285" s="18">
        <v>0</v>
      </c>
      <c r="AMB285" s="18">
        <v>0</v>
      </c>
      <c r="AMC285" s="18">
        <v>0</v>
      </c>
      <c r="AMD285" s="18">
        <v>0</v>
      </c>
      <c r="AME285" s="18">
        <v>0</v>
      </c>
      <c r="AMF285" s="18">
        <v>0</v>
      </c>
      <c r="AMG285" s="18">
        <v>0</v>
      </c>
      <c r="AMH285" s="18">
        <v>0</v>
      </c>
      <c r="AMI285" s="18">
        <v>0</v>
      </c>
      <c r="AMJ285" s="18">
        <v>0</v>
      </c>
      <c r="AMK285" s="18">
        <v>0</v>
      </c>
      <c r="AML285" s="18">
        <v>0</v>
      </c>
      <c r="AMM285" s="18">
        <v>0</v>
      </c>
      <c r="AMN285" s="18">
        <v>0</v>
      </c>
      <c r="AMO285" s="18">
        <v>0</v>
      </c>
      <c r="AMP285" s="18">
        <v>0</v>
      </c>
      <c r="AMQ285" s="18">
        <v>0</v>
      </c>
      <c r="AMR285" s="18">
        <v>0</v>
      </c>
      <c r="AMS285" s="18">
        <v>0</v>
      </c>
      <c r="AMT285" s="18">
        <v>0</v>
      </c>
      <c r="AMU285" s="18">
        <v>0</v>
      </c>
      <c r="AMV285" s="18">
        <v>0</v>
      </c>
      <c r="AMW285" s="18">
        <v>0</v>
      </c>
      <c r="AMX285" s="18">
        <v>0</v>
      </c>
      <c r="AMY285" s="18">
        <v>0</v>
      </c>
      <c r="AMZ285" s="18">
        <v>0</v>
      </c>
      <c r="ANA285" s="18">
        <v>0</v>
      </c>
      <c r="ANB285" s="18">
        <v>0</v>
      </c>
      <c r="ANC285" s="18">
        <v>0</v>
      </c>
      <c r="AND285" s="18">
        <v>0</v>
      </c>
      <c r="ANE285" s="18">
        <v>0</v>
      </c>
      <c r="ANF285" s="18">
        <v>0</v>
      </c>
      <c r="ANG285" s="18">
        <v>0</v>
      </c>
      <c r="ANH285" s="18">
        <v>0</v>
      </c>
      <c r="ANI285" s="18">
        <v>0</v>
      </c>
      <c r="ANJ285" s="18">
        <v>0</v>
      </c>
      <c r="ANK285" s="18">
        <v>0</v>
      </c>
      <c r="ANL285" s="18">
        <v>0</v>
      </c>
      <c r="ANM285" s="18">
        <v>0</v>
      </c>
      <c r="ANN285" s="18">
        <v>0</v>
      </c>
      <c r="ANO285" s="18">
        <v>0</v>
      </c>
      <c r="ANP285" s="18">
        <v>0</v>
      </c>
      <c r="ANQ285" s="18">
        <v>0</v>
      </c>
      <c r="ANR285" s="18">
        <v>0</v>
      </c>
      <c r="ANS285" s="18">
        <v>0</v>
      </c>
      <c r="ANT285" s="18">
        <v>0</v>
      </c>
      <c r="ANU285" s="18">
        <v>0</v>
      </c>
      <c r="ANV285" s="18">
        <v>0</v>
      </c>
      <c r="ANW285" s="18">
        <v>0</v>
      </c>
      <c r="ANX285" s="18">
        <v>0</v>
      </c>
      <c r="ANY285" s="18">
        <v>0</v>
      </c>
      <c r="ANZ285" s="18">
        <v>0</v>
      </c>
      <c r="AOA285" s="18">
        <v>0</v>
      </c>
      <c r="AOB285" s="18">
        <v>0</v>
      </c>
      <c r="AOC285" s="18">
        <v>0</v>
      </c>
      <c r="AOD285" s="18">
        <v>0</v>
      </c>
      <c r="AOE285" s="18">
        <v>0</v>
      </c>
      <c r="AOF285" s="18">
        <v>0</v>
      </c>
      <c r="AOG285" s="18">
        <v>0</v>
      </c>
      <c r="AOH285" s="18">
        <v>0</v>
      </c>
      <c r="AOI285" s="18">
        <v>0</v>
      </c>
      <c r="AOJ285" s="18">
        <v>0</v>
      </c>
      <c r="AOK285" s="18">
        <v>0</v>
      </c>
      <c r="AOL285" s="18">
        <v>0</v>
      </c>
      <c r="AOM285" s="18">
        <v>0</v>
      </c>
      <c r="AON285" s="18">
        <v>0</v>
      </c>
      <c r="AOO285" s="18">
        <v>0</v>
      </c>
      <c r="AOP285" s="18">
        <v>0</v>
      </c>
      <c r="AOQ285" s="18">
        <v>0</v>
      </c>
      <c r="AOR285" s="18">
        <v>0</v>
      </c>
      <c r="AOS285" s="18">
        <v>0</v>
      </c>
      <c r="AOT285" s="18">
        <v>0</v>
      </c>
      <c r="AOU285" s="18">
        <v>0</v>
      </c>
      <c r="AOV285" s="18">
        <v>0</v>
      </c>
      <c r="AOW285" s="18">
        <v>0</v>
      </c>
      <c r="AOX285" s="18">
        <v>0</v>
      </c>
      <c r="AOY285" s="18">
        <v>0</v>
      </c>
      <c r="AOZ285" s="18">
        <v>0</v>
      </c>
      <c r="APA285" s="18">
        <v>0</v>
      </c>
      <c r="APB285" s="18">
        <v>0</v>
      </c>
      <c r="APC285" s="18">
        <v>0</v>
      </c>
      <c r="APD285" s="18">
        <v>0</v>
      </c>
      <c r="APE285" s="18">
        <v>0</v>
      </c>
      <c r="APF285" s="18">
        <v>0</v>
      </c>
      <c r="APG285" s="18">
        <v>0</v>
      </c>
      <c r="APH285" s="18">
        <v>0</v>
      </c>
      <c r="API285" s="18">
        <v>0</v>
      </c>
      <c r="APJ285" s="18">
        <v>0</v>
      </c>
      <c r="APK285" s="18">
        <v>0</v>
      </c>
      <c r="APL285" s="18">
        <v>0</v>
      </c>
      <c r="APM285" s="18">
        <v>0</v>
      </c>
      <c r="APN285" s="18">
        <v>0</v>
      </c>
      <c r="APO285" s="18">
        <v>0</v>
      </c>
      <c r="APP285" s="18">
        <v>0</v>
      </c>
      <c r="APQ285" s="18">
        <v>0</v>
      </c>
      <c r="APR285" s="18">
        <v>0</v>
      </c>
      <c r="APS285" s="18">
        <v>0</v>
      </c>
      <c r="APT285" s="18">
        <v>0</v>
      </c>
      <c r="APU285" s="18">
        <v>0</v>
      </c>
      <c r="APV285" s="18">
        <v>0</v>
      </c>
      <c r="APW285" s="18">
        <v>0</v>
      </c>
      <c r="APX285" s="18">
        <v>0</v>
      </c>
      <c r="APY285" s="18">
        <v>0</v>
      </c>
      <c r="APZ285" s="18">
        <v>0</v>
      </c>
      <c r="AQA285" s="18">
        <v>0</v>
      </c>
      <c r="AQB285" s="18">
        <v>0</v>
      </c>
      <c r="AQC285" s="18">
        <v>0</v>
      </c>
      <c r="AQD285" s="18">
        <v>0</v>
      </c>
      <c r="AQE285" s="18">
        <v>0</v>
      </c>
      <c r="AQF285" s="18">
        <v>0</v>
      </c>
      <c r="AQG285" s="18">
        <v>0</v>
      </c>
      <c r="AQH285" s="18">
        <v>0</v>
      </c>
      <c r="AQI285" s="18">
        <v>0</v>
      </c>
      <c r="AQJ285" s="18">
        <v>0</v>
      </c>
      <c r="AQK285" s="18">
        <v>0</v>
      </c>
      <c r="AQL285" s="18">
        <v>0</v>
      </c>
      <c r="AQM285" s="18">
        <v>0</v>
      </c>
      <c r="AQN285" s="18">
        <v>0</v>
      </c>
      <c r="AQO285" s="18">
        <v>0</v>
      </c>
      <c r="AQP285" s="18">
        <v>0</v>
      </c>
      <c r="AQQ285" s="18">
        <v>0</v>
      </c>
      <c r="AQR285" s="18">
        <v>0</v>
      </c>
      <c r="AQS285" s="18">
        <v>0</v>
      </c>
      <c r="AQT285" s="18">
        <v>0</v>
      </c>
      <c r="AQU285" s="18">
        <v>0</v>
      </c>
      <c r="AQV285" s="18">
        <v>0</v>
      </c>
      <c r="AQW285" s="18">
        <v>0</v>
      </c>
      <c r="AQX285" s="18">
        <v>0</v>
      </c>
      <c r="AQY285" s="18">
        <v>0</v>
      </c>
      <c r="AQZ285" s="18">
        <v>0</v>
      </c>
      <c r="ARA285" s="18">
        <v>0</v>
      </c>
      <c r="ARB285" s="18">
        <v>0</v>
      </c>
      <c r="ARC285" s="18">
        <v>0</v>
      </c>
      <c r="ARD285" s="18">
        <v>0</v>
      </c>
      <c r="ARE285" s="18">
        <v>0</v>
      </c>
      <c r="ARF285" s="18">
        <v>0</v>
      </c>
      <c r="ARG285" s="18">
        <v>0</v>
      </c>
      <c r="ARH285" s="18">
        <v>0</v>
      </c>
      <c r="ARI285" s="18">
        <v>0</v>
      </c>
      <c r="ARJ285" s="18">
        <v>0</v>
      </c>
      <c r="ARK285" s="18">
        <v>0</v>
      </c>
      <c r="ARL285" s="18">
        <v>0</v>
      </c>
      <c r="ARM285" s="18">
        <v>0</v>
      </c>
      <c r="ARN285" s="18">
        <v>0</v>
      </c>
      <c r="ARO285" s="18">
        <v>0</v>
      </c>
      <c r="ARP285" s="18">
        <v>0</v>
      </c>
      <c r="ARQ285" s="18">
        <v>0</v>
      </c>
      <c r="ARR285" s="18">
        <v>0</v>
      </c>
      <c r="ARS285" s="18">
        <v>0</v>
      </c>
      <c r="ART285" s="18">
        <v>0</v>
      </c>
      <c r="ARU285" s="18">
        <v>0</v>
      </c>
      <c r="ARV285" s="18">
        <v>0</v>
      </c>
      <c r="ARW285" s="18">
        <v>0</v>
      </c>
      <c r="ARX285" s="18">
        <v>0</v>
      </c>
      <c r="ARY285" s="18">
        <v>0</v>
      </c>
      <c r="ARZ285" s="18">
        <v>0</v>
      </c>
      <c r="ASA285" s="18">
        <v>0</v>
      </c>
      <c r="ASB285" s="18">
        <v>0</v>
      </c>
      <c r="ASC285" s="18">
        <v>0</v>
      </c>
      <c r="ASD285" s="18">
        <v>0</v>
      </c>
      <c r="ASE285" s="18">
        <v>0</v>
      </c>
      <c r="ASF285" s="18">
        <v>0</v>
      </c>
      <c r="ASG285" s="18">
        <v>0</v>
      </c>
      <c r="ASH285" s="18">
        <v>0</v>
      </c>
      <c r="ASI285" s="18">
        <v>0</v>
      </c>
      <c r="ASJ285" s="18">
        <v>0</v>
      </c>
      <c r="ASK285" s="18">
        <v>0</v>
      </c>
      <c r="ASL285" s="18">
        <v>0</v>
      </c>
      <c r="ASM285" s="18">
        <v>0</v>
      </c>
      <c r="ASN285" s="18">
        <v>0</v>
      </c>
      <c r="ASO285" s="18">
        <v>0</v>
      </c>
      <c r="ASP285" s="18">
        <v>0</v>
      </c>
      <c r="ASQ285" s="18">
        <v>0</v>
      </c>
      <c r="ASR285" s="18">
        <v>0</v>
      </c>
      <c r="ASS285" s="18">
        <v>0</v>
      </c>
      <c r="AST285" s="18">
        <v>0</v>
      </c>
      <c r="ASU285" s="18">
        <v>0</v>
      </c>
      <c r="ASV285" s="18">
        <v>0</v>
      </c>
      <c r="ASW285" s="18">
        <v>0</v>
      </c>
      <c r="ASX285" s="18">
        <v>0</v>
      </c>
      <c r="ASY285" s="18">
        <v>0</v>
      </c>
      <c r="ASZ285" s="18">
        <v>0</v>
      </c>
      <c r="ATA285" s="18">
        <v>0</v>
      </c>
      <c r="ATB285" s="18">
        <v>0</v>
      </c>
      <c r="ATC285" s="18">
        <v>0</v>
      </c>
      <c r="ATD285" s="18">
        <v>0</v>
      </c>
      <c r="ATE285" s="18">
        <v>0</v>
      </c>
      <c r="ATF285" s="18">
        <v>0</v>
      </c>
      <c r="ATG285" s="18">
        <v>0</v>
      </c>
      <c r="ATH285" s="18">
        <v>0</v>
      </c>
      <c r="ATI285" s="18">
        <v>0</v>
      </c>
      <c r="ATJ285" s="18">
        <v>0</v>
      </c>
      <c r="ATK285" s="18">
        <v>0</v>
      </c>
      <c r="ATL285" s="18">
        <v>0</v>
      </c>
      <c r="ATM285" s="18">
        <v>0</v>
      </c>
      <c r="ATN285" s="18">
        <v>0</v>
      </c>
      <c r="ATO285" s="18">
        <v>0</v>
      </c>
      <c r="ATP285" s="18">
        <v>0</v>
      </c>
      <c r="ATQ285" s="18">
        <v>0</v>
      </c>
      <c r="ATR285" s="18">
        <v>0</v>
      </c>
      <c r="ATS285" s="18">
        <v>0</v>
      </c>
      <c r="ATT285" s="18">
        <v>0</v>
      </c>
      <c r="ATU285" s="18">
        <v>0</v>
      </c>
      <c r="ATV285" s="18">
        <v>0</v>
      </c>
      <c r="ATW285" s="18">
        <v>0</v>
      </c>
      <c r="ATX285" s="18">
        <v>0</v>
      </c>
      <c r="ATY285" s="18">
        <v>0</v>
      </c>
      <c r="ATZ285" s="18">
        <v>0</v>
      </c>
      <c r="AUA285" s="18">
        <v>0</v>
      </c>
      <c r="AUB285" s="18">
        <v>0</v>
      </c>
      <c r="AUC285" s="18">
        <v>0</v>
      </c>
      <c r="AUD285" s="18">
        <v>0</v>
      </c>
      <c r="AUE285" s="18">
        <v>0</v>
      </c>
      <c r="AUF285" s="18">
        <v>0</v>
      </c>
      <c r="AUG285" s="18">
        <v>0</v>
      </c>
      <c r="AUH285" s="18">
        <v>0</v>
      </c>
      <c r="AUI285" s="18">
        <v>0</v>
      </c>
      <c r="AUJ285" s="18">
        <v>0</v>
      </c>
      <c r="AUK285" s="18">
        <v>0</v>
      </c>
      <c r="AUL285" s="18">
        <v>0</v>
      </c>
      <c r="AUM285" s="18">
        <v>0</v>
      </c>
      <c r="AUN285" s="18">
        <v>0</v>
      </c>
      <c r="AUO285" s="18">
        <v>0</v>
      </c>
      <c r="AUP285" s="18">
        <v>0</v>
      </c>
      <c r="AUQ285" s="18">
        <v>0</v>
      </c>
      <c r="AUR285" s="18">
        <v>0</v>
      </c>
      <c r="AUS285" s="18">
        <v>0</v>
      </c>
      <c r="AUT285" s="18">
        <v>0</v>
      </c>
      <c r="AUU285" s="18">
        <v>0</v>
      </c>
      <c r="AUV285" s="18">
        <v>0</v>
      </c>
      <c r="AUW285" s="18">
        <v>0</v>
      </c>
      <c r="AUX285" s="18">
        <v>0</v>
      </c>
      <c r="AUY285" s="18">
        <v>0</v>
      </c>
      <c r="AUZ285" s="18">
        <v>0</v>
      </c>
      <c r="AVA285" s="18">
        <v>0</v>
      </c>
      <c r="AVB285" s="18">
        <v>0</v>
      </c>
      <c r="AVC285" s="18">
        <v>0</v>
      </c>
      <c r="AVD285" s="18">
        <v>0</v>
      </c>
      <c r="AVE285" s="18">
        <v>0</v>
      </c>
      <c r="AVF285" s="18">
        <v>0</v>
      </c>
      <c r="AVG285" s="18">
        <v>0</v>
      </c>
      <c r="AVH285" s="18">
        <v>0</v>
      </c>
      <c r="AVI285" s="18">
        <v>0</v>
      </c>
      <c r="AVJ285" s="18">
        <v>0</v>
      </c>
      <c r="AVK285" s="18">
        <v>0</v>
      </c>
      <c r="AVL285" s="18">
        <v>0</v>
      </c>
      <c r="AVM285" s="18">
        <v>0</v>
      </c>
      <c r="AVN285" s="18">
        <v>0</v>
      </c>
      <c r="AVO285" s="18">
        <v>0</v>
      </c>
      <c r="AVP285" s="18">
        <v>0</v>
      </c>
      <c r="AVQ285" s="18">
        <v>0</v>
      </c>
      <c r="AVR285" s="18">
        <v>0</v>
      </c>
      <c r="AVS285" s="18">
        <v>0</v>
      </c>
      <c r="AVT285" s="18">
        <v>0</v>
      </c>
      <c r="AVU285" s="18">
        <v>0</v>
      </c>
      <c r="AVV285" s="18">
        <v>0</v>
      </c>
      <c r="AVW285" s="18">
        <v>0</v>
      </c>
      <c r="AVX285" s="18">
        <v>0</v>
      </c>
      <c r="AVY285" s="18">
        <v>0</v>
      </c>
      <c r="AVZ285" s="18">
        <v>0</v>
      </c>
      <c r="AWA285" s="18">
        <v>0</v>
      </c>
      <c r="AWB285" s="18">
        <v>0</v>
      </c>
      <c r="AWC285" s="18">
        <v>0</v>
      </c>
      <c r="AWD285" s="18">
        <v>0</v>
      </c>
      <c r="AWE285" s="18">
        <v>0</v>
      </c>
      <c r="AWF285" s="18">
        <v>0</v>
      </c>
      <c r="AWG285" s="18">
        <v>0</v>
      </c>
      <c r="AWH285" s="18">
        <v>0</v>
      </c>
      <c r="AWI285" s="18">
        <v>0</v>
      </c>
      <c r="AWJ285" s="18">
        <v>0</v>
      </c>
      <c r="AWK285" s="18">
        <v>0</v>
      </c>
      <c r="AWL285" s="18">
        <v>0</v>
      </c>
      <c r="AWM285" s="18">
        <v>0</v>
      </c>
      <c r="AWN285" s="18">
        <v>0</v>
      </c>
      <c r="AWO285" s="18">
        <v>0</v>
      </c>
      <c r="AWP285" s="18">
        <v>0</v>
      </c>
      <c r="AWQ285" s="18">
        <v>0</v>
      </c>
      <c r="AWR285" s="18">
        <v>0</v>
      </c>
      <c r="AWS285" s="18">
        <v>0</v>
      </c>
      <c r="AWT285" s="18">
        <v>0</v>
      </c>
      <c r="AWU285" s="18">
        <v>0</v>
      </c>
      <c r="AWV285" s="18">
        <v>0</v>
      </c>
      <c r="AWW285" s="18">
        <v>0</v>
      </c>
      <c r="AWX285" s="18">
        <v>0</v>
      </c>
      <c r="AWY285" s="18">
        <v>0</v>
      </c>
      <c r="AWZ285" s="18">
        <v>0</v>
      </c>
      <c r="AXA285" s="18">
        <v>0</v>
      </c>
      <c r="AXB285" s="18">
        <v>0</v>
      </c>
      <c r="AXC285" s="18">
        <v>0</v>
      </c>
      <c r="AXD285" s="18">
        <v>0</v>
      </c>
      <c r="AXE285" s="18">
        <v>0</v>
      </c>
      <c r="AXF285" s="18">
        <v>0</v>
      </c>
      <c r="AXG285" s="18">
        <v>0</v>
      </c>
      <c r="AXH285" s="18">
        <v>0</v>
      </c>
      <c r="AXI285" s="18">
        <v>0</v>
      </c>
      <c r="AXJ285" s="18">
        <v>0</v>
      </c>
      <c r="AXK285" s="18">
        <v>0</v>
      </c>
      <c r="AXL285" s="18">
        <v>0</v>
      </c>
      <c r="AXM285" s="18">
        <v>0</v>
      </c>
      <c r="AXN285" s="18">
        <v>0</v>
      </c>
      <c r="AXO285" s="18">
        <v>0</v>
      </c>
      <c r="AXP285" s="18">
        <v>0</v>
      </c>
      <c r="AXQ285" s="18">
        <v>0</v>
      </c>
      <c r="AXR285" s="18">
        <v>0</v>
      </c>
      <c r="AXS285" s="18">
        <v>0</v>
      </c>
      <c r="AXT285" s="18">
        <v>0</v>
      </c>
      <c r="AXU285" s="18">
        <v>0</v>
      </c>
      <c r="AXV285" s="18">
        <v>0</v>
      </c>
      <c r="AXW285" s="18">
        <v>0</v>
      </c>
      <c r="AXX285" s="18">
        <v>0</v>
      </c>
      <c r="AXY285" s="18">
        <v>0</v>
      </c>
      <c r="AXZ285" s="18">
        <v>0</v>
      </c>
      <c r="AYA285" s="18">
        <v>0</v>
      </c>
      <c r="AYB285" s="18">
        <v>0</v>
      </c>
      <c r="AYC285" s="18">
        <v>0</v>
      </c>
      <c r="AYD285" s="18">
        <v>0</v>
      </c>
      <c r="AYE285" s="18">
        <v>0</v>
      </c>
      <c r="AYF285" s="18">
        <v>0</v>
      </c>
      <c r="AYG285" s="18">
        <v>0</v>
      </c>
      <c r="AYH285" s="18">
        <v>0</v>
      </c>
      <c r="AYI285" s="18">
        <v>0</v>
      </c>
      <c r="AYJ285" s="18">
        <v>0</v>
      </c>
      <c r="AYK285" s="18">
        <v>0</v>
      </c>
      <c r="AYL285" s="18">
        <v>0</v>
      </c>
      <c r="AYM285" s="18">
        <v>0</v>
      </c>
      <c r="AYN285" s="18">
        <v>0</v>
      </c>
      <c r="AYO285" s="18">
        <v>0</v>
      </c>
      <c r="AYP285" s="18">
        <v>0</v>
      </c>
      <c r="AYQ285" s="18">
        <v>0</v>
      </c>
      <c r="AYR285" s="18">
        <v>0</v>
      </c>
      <c r="AYS285" s="18">
        <v>0</v>
      </c>
      <c r="AYT285" s="18">
        <v>0</v>
      </c>
      <c r="AYU285" s="18">
        <v>0</v>
      </c>
      <c r="AYV285" s="18">
        <v>0</v>
      </c>
      <c r="AYW285" s="18">
        <v>0</v>
      </c>
      <c r="AYX285" s="18">
        <v>0</v>
      </c>
      <c r="AYY285" s="18">
        <v>0</v>
      </c>
      <c r="AYZ285" s="18">
        <v>0</v>
      </c>
      <c r="AZA285" s="18">
        <v>0</v>
      </c>
      <c r="AZB285" s="18">
        <v>0</v>
      </c>
      <c r="AZC285" s="18">
        <v>0</v>
      </c>
      <c r="AZD285" s="18">
        <v>0</v>
      </c>
      <c r="AZE285" s="18">
        <v>0</v>
      </c>
      <c r="AZF285" s="18">
        <v>0</v>
      </c>
      <c r="AZG285" s="18">
        <v>0</v>
      </c>
      <c r="AZH285" s="18">
        <v>0</v>
      </c>
      <c r="AZI285" s="18">
        <v>0</v>
      </c>
      <c r="AZJ285" s="18">
        <v>0</v>
      </c>
      <c r="AZK285" s="18">
        <v>0</v>
      </c>
      <c r="AZL285" s="18">
        <v>0</v>
      </c>
      <c r="AZM285" s="18">
        <v>0</v>
      </c>
      <c r="AZN285" s="18">
        <v>0</v>
      </c>
      <c r="AZO285" s="18">
        <v>0</v>
      </c>
      <c r="AZP285" s="18">
        <v>0</v>
      </c>
      <c r="AZQ285" s="18">
        <v>0</v>
      </c>
      <c r="AZR285" s="18">
        <v>0</v>
      </c>
      <c r="AZS285" s="18">
        <v>0</v>
      </c>
      <c r="AZT285" s="18">
        <v>0</v>
      </c>
      <c r="AZU285" s="18">
        <v>0</v>
      </c>
      <c r="AZV285" s="18">
        <v>0</v>
      </c>
      <c r="AZW285" s="18">
        <v>0</v>
      </c>
      <c r="AZX285" s="18">
        <v>0</v>
      </c>
      <c r="AZY285" s="18">
        <v>0</v>
      </c>
      <c r="AZZ285" s="18">
        <v>0</v>
      </c>
      <c r="BAA285" s="18">
        <v>0</v>
      </c>
      <c r="BAB285" s="18">
        <v>0</v>
      </c>
      <c r="BAC285" s="18">
        <v>0</v>
      </c>
      <c r="BAD285" s="18">
        <v>0</v>
      </c>
      <c r="BAE285" s="18">
        <v>0</v>
      </c>
      <c r="BAF285" s="18">
        <v>0</v>
      </c>
      <c r="BAG285" s="18">
        <v>0</v>
      </c>
      <c r="BAH285" s="18">
        <v>0</v>
      </c>
      <c r="BAI285" s="18">
        <v>0</v>
      </c>
      <c r="BAJ285" s="18">
        <v>0</v>
      </c>
      <c r="BAK285" s="18">
        <v>0</v>
      </c>
      <c r="BAL285" s="18">
        <v>0</v>
      </c>
      <c r="BAM285" s="18">
        <v>0</v>
      </c>
      <c r="BAN285" s="18">
        <v>0</v>
      </c>
      <c r="BAO285" s="18">
        <v>0</v>
      </c>
      <c r="BAP285" s="18">
        <v>0</v>
      </c>
      <c r="BAQ285" s="18">
        <v>0</v>
      </c>
      <c r="BAR285" s="18">
        <v>0</v>
      </c>
      <c r="BAS285" s="18">
        <v>0</v>
      </c>
      <c r="BAT285" s="18">
        <v>0</v>
      </c>
      <c r="BAU285" s="18">
        <v>0</v>
      </c>
      <c r="BAV285" s="18">
        <v>0</v>
      </c>
      <c r="BAW285" s="18">
        <v>0</v>
      </c>
      <c r="BAX285" s="18">
        <v>0</v>
      </c>
      <c r="BAY285" s="18">
        <v>0</v>
      </c>
      <c r="BAZ285" s="18">
        <v>0</v>
      </c>
      <c r="BBA285" s="18">
        <v>0</v>
      </c>
      <c r="BBB285" s="18">
        <v>0</v>
      </c>
      <c r="BBC285" s="18">
        <v>0</v>
      </c>
      <c r="BBD285" s="18">
        <v>0</v>
      </c>
      <c r="BBE285" s="18">
        <v>0</v>
      </c>
      <c r="BBF285" s="18">
        <v>0</v>
      </c>
      <c r="BBG285" s="18">
        <v>0</v>
      </c>
      <c r="BBH285" s="18">
        <v>0</v>
      </c>
      <c r="BBI285" s="18">
        <v>0</v>
      </c>
      <c r="BBJ285" s="18">
        <v>0</v>
      </c>
      <c r="BBK285" s="18">
        <v>0</v>
      </c>
      <c r="BBL285" s="18">
        <v>0</v>
      </c>
      <c r="BBM285" s="18">
        <v>0</v>
      </c>
      <c r="BBN285" s="18">
        <v>0</v>
      </c>
      <c r="BBO285" s="18">
        <v>0</v>
      </c>
      <c r="BBP285" s="18">
        <v>0</v>
      </c>
      <c r="BBQ285" s="18">
        <v>0</v>
      </c>
      <c r="BBR285" s="18">
        <v>0</v>
      </c>
      <c r="BBS285" s="18">
        <v>0</v>
      </c>
      <c r="BBT285" s="18">
        <v>0</v>
      </c>
      <c r="BBU285" s="18">
        <v>0</v>
      </c>
      <c r="BBV285" s="18">
        <v>0</v>
      </c>
      <c r="BBW285" s="18">
        <v>0</v>
      </c>
      <c r="BBX285" s="18">
        <v>0</v>
      </c>
      <c r="BBY285" s="18">
        <v>0</v>
      </c>
      <c r="BBZ285" s="18">
        <v>0</v>
      </c>
      <c r="BCA285" s="18">
        <v>0</v>
      </c>
      <c r="BCB285" s="18">
        <v>0</v>
      </c>
      <c r="BCC285" s="18">
        <v>0</v>
      </c>
      <c r="BCD285" s="18">
        <v>0</v>
      </c>
      <c r="BCE285" s="18">
        <v>0</v>
      </c>
      <c r="BCF285" s="18">
        <v>0</v>
      </c>
      <c r="BCG285" s="18">
        <v>0</v>
      </c>
      <c r="BCH285" s="18">
        <v>0</v>
      </c>
      <c r="BCI285" s="18">
        <v>0</v>
      </c>
      <c r="BCJ285" s="18">
        <v>0</v>
      </c>
      <c r="BCK285" s="18">
        <v>0</v>
      </c>
      <c r="BCL285" s="18">
        <v>0</v>
      </c>
      <c r="BCM285" s="18">
        <v>0</v>
      </c>
      <c r="BCN285" s="18">
        <v>0</v>
      </c>
      <c r="BCO285" s="18">
        <v>0</v>
      </c>
      <c r="BCP285" s="18">
        <v>0</v>
      </c>
      <c r="BCQ285" s="18">
        <v>0</v>
      </c>
      <c r="BCR285" s="18">
        <v>0</v>
      </c>
      <c r="BCS285" s="18">
        <v>0</v>
      </c>
      <c r="BCT285" s="18">
        <v>0</v>
      </c>
      <c r="BCU285" s="18">
        <v>0</v>
      </c>
      <c r="BCV285" s="18">
        <v>0</v>
      </c>
      <c r="BCW285" s="18">
        <v>0</v>
      </c>
      <c r="BCX285" s="18">
        <v>0</v>
      </c>
      <c r="BCY285" s="18">
        <v>0</v>
      </c>
      <c r="BCZ285" s="18">
        <v>0</v>
      </c>
      <c r="BDA285" s="18">
        <v>0</v>
      </c>
      <c r="BDB285" s="18">
        <v>0</v>
      </c>
      <c r="BDC285" s="18">
        <v>0</v>
      </c>
      <c r="BDD285" s="18">
        <v>0</v>
      </c>
      <c r="BDE285" s="18">
        <v>0</v>
      </c>
      <c r="BDF285" s="18">
        <v>0</v>
      </c>
      <c r="BDG285" s="18">
        <v>0</v>
      </c>
      <c r="BDH285" s="18">
        <v>0</v>
      </c>
      <c r="BDI285" s="18">
        <v>0</v>
      </c>
      <c r="BDJ285" s="18">
        <v>0</v>
      </c>
      <c r="BDK285" s="18">
        <v>0</v>
      </c>
      <c r="BDL285" s="18">
        <v>0</v>
      </c>
      <c r="BDM285" s="18">
        <v>0</v>
      </c>
      <c r="BDN285" s="18">
        <v>0</v>
      </c>
      <c r="BDO285" s="18">
        <v>0</v>
      </c>
      <c r="BDP285" s="18">
        <v>0</v>
      </c>
      <c r="BDQ285" s="18">
        <v>0</v>
      </c>
      <c r="BDR285" s="18">
        <v>0</v>
      </c>
      <c r="BDS285" s="18">
        <v>0</v>
      </c>
      <c r="BDT285" s="18">
        <v>0</v>
      </c>
      <c r="BDU285" s="18">
        <v>0</v>
      </c>
      <c r="BDV285" s="18">
        <v>0</v>
      </c>
      <c r="BDW285" s="18">
        <v>0</v>
      </c>
      <c r="BDX285" s="18">
        <v>0</v>
      </c>
      <c r="BDY285" s="18">
        <v>0</v>
      </c>
      <c r="BDZ285" s="18">
        <v>0</v>
      </c>
      <c r="BEA285" s="18">
        <v>0</v>
      </c>
      <c r="BEB285" s="18">
        <v>0</v>
      </c>
      <c r="BEC285" s="18">
        <v>0</v>
      </c>
      <c r="BED285" s="18">
        <v>0</v>
      </c>
      <c r="BEE285" s="18">
        <v>0</v>
      </c>
      <c r="BEF285" s="18">
        <v>0</v>
      </c>
      <c r="BEG285" s="18">
        <v>0</v>
      </c>
      <c r="BEH285" s="18">
        <v>0</v>
      </c>
      <c r="BEI285" s="18">
        <v>0</v>
      </c>
      <c r="BEJ285" s="18">
        <v>0</v>
      </c>
      <c r="BEK285" s="18">
        <v>0</v>
      </c>
      <c r="BEL285" s="18">
        <v>0</v>
      </c>
      <c r="BEM285" s="18">
        <v>0</v>
      </c>
      <c r="BEN285" s="18">
        <v>0</v>
      </c>
      <c r="BEO285" s="18">
        <v>0</v>
      </c>
      <c r="BEP285" s="18">
        <v>0</v>
      </c>
      <c r="BEQ285" s="18">
        <v>0</v>
      </c>
      <c r="BER285" s="18">
        <v>0</v>
      </c>
      <c r="BES285" s="18">
        <v>0</v>
      </c>
      <c r="BET285" s="18">
        <v>0</v>
      </c>
      <c r="BEU285" s="18">
        <v>0</v>
      </c>
      <c r="BEV285" s="18">
        <v>0</v>
      </c>
      <c r="BEW285" s="18">
        <v>0</v>
      </c>
      <c r="BEX285" s="18">
        <v>0</v>
      </c>
      <c r="BEY285" s="18">
        <v>0</v>
      </c>
      <c r="BEZ285" s="18">
        <v>0</v>
      </c>
      <c r="BFA285" s="18">
        <v>0</v>
      </c>
      <c r="BFB285" s="18">
        <v>0</v>
      </c>
      <c r="BFC285" s="18">
        <v>0</v>
      </c>
      <c r="BFD285" s="18">
        <v>0</v>
      </c>
      <c r="BFE285" s="18">
        <v>0</v>
      </c>
      <c r="BFF285" s="18">
        <v>0</v>
      </c>
      <c r="BFG285" s="18">
        <v>0</v>
      </c>
      <c r="BFH285" s="18">
        <v>0</v>
      </c>
      <c r="BFI285" s="18">
        <v>0</v>
      </c>
      <c r="BFJ285" s="18">
        <v>0</v>
      </c>
      <c r="BFK285" s="18">
        <v>0</v>
      </c>
      <c r="BFL285" s="18">
        <v>0</v>
      </c>
      <c r="BFM285" s="18">
        <v>0</v>
      </c>
      <c r="BFN285" s="18">
        <v>0</v>
      </c>
      <c r="BFO285" s="18">
        <v>0</v>
      </c>
      <c r="BFP285" s="18">
        <v>0</v>
      </c>
      <c r="BFQ285" s="18">
        <v>0</v>
      </c>
      <c r="BFR285" s="18">
        <v>0</v>
      </c>
      <c r="BFS285" s="18">
        <v>0</v>
      </c>
      <c r="BFT285" s="18">
        <v>0</v>
      </c>
      <c r="BFU285" s="18">
        <v>0</v>
      </c>
      <c r="BFV285" s="18">
        <v>0</v>
      </c>
      <c r="BFW285" s="18">
        <v>0</v>
      </c>
      <c r="BFX285" s="18">
        <v>0</v>
      </c>
      <c r="BFY285" s="18">
        <v>0</v>
      </c>
      <c r="BFZ285" s="18">
        <v>0</v>
      </c>
      <c r="BGA285" s="18">
        <v>0</v>
      </c>
      <c r="BGB285" s="18">
        <v>0</v>
      </c>
      <c r="BGC285" s="18">
        <v>0</v>
      </c>
      <c r="BGD285" s="18">
        <v>0</v>
      </c>
      <c r="BGE285" s="18">
        <v>0</v>
      </c>
      <c r="BGF285" s="18">
        <v>0</v>
      </c>
      <c r="BGG285" s="18">
        <v>0</v>
      </c>
      <c r="BGH285" s="18">
        <v>0</v>
      </c>
      <c r="BGI285" s="18">
        <v>0</v>
      </c>
      <c r="BGJ285" s="18">
        <v>0</v>
      </c>
      <c r="BGK285" s="18">
        <v>0</v>
      </c>
      <c r="BGL285" s="18">
        <v>0</v>
      </c>
      <c r="BGM285" s="18">
        <v>0</v>
      </c>
      <c r="BGN285" s="18">
        <v>0</v>
      </c>
      <c r="BGO285" s="18">
        <v>0</v>
      </c>
      <c r="BGP285" s="18">
        <v>0</v>
      </c>
      <c r="BGQ285" s="18">
        <v>0</v>
      </c>
      <c r="BGR285" s="18">
        <v>0</v>
      </c>
      <c r="BGS285" s="18">
        <v>0</v>
      </c>
      <c r="BGT285" s="18">
        <v>0</v>
      </c>
      <c r="BGU285" s="18">
        <v>0</v>
      </c>
      <c r="BGV285" s="18">
        <v>0</v>
      </c>
      <c r="BGW285" s="18">
        <v>0</v>
      </c>
      <c r="BGX285" s="18">
        <v>0</v>
      </c>
      <c r="BGY285" s="18">
        <v>0</v>
      </c>
      <c r="BGZ285" s="18">
        <v>0</v>
      </c>
      <c r="BHA285" s="18">
        <v>0</v>
      </c>
      <c r="BHB285" s="18">
        <v>0</v>
      </c>
      <c r="BHC285" s="18">
        <v>0</v>
      </c>
      <c r="BHD285" s="18">
        <v>0</v>
      </c>
      <c r="BHE285" s="18">
        <v>0</v>
      </c>
      <c r="BHF285" s="18">
        <v>0</v>
      </c>
      <c r="BHG285" s="18">
        <v>0</v>
      </c>
      <c r="BHH285" s="18">
        <v>0</v>
      </c>
      <c r="BHI285" s="18">
        <v>0</v>
      </c>
      <c r="BHJ285" s="18">
        <v>0</v>
      </c>
      <c r="BHK285" s="18">
        <v>0</v>
      </c>
      <c r="BHL285" s="18">
        <v>0</v>
      </c>
      <c r="BHM285" s="18">
        <v>0</v>
      </c>
      <c r="BHN285" s="18">
        <v>0</v>
      </c>
      <c r="BHO285" s="18">
        <v>0</v>
      </c>
      <c r="BHP285" s="18">
        <v>0</v>
      </c>
      <c r="BHQ285" s="18">
        <v>0</v>
      </c>
      <c r="BHR285" s="18">
        <v>0</v>
      </c>
      <c r="BHS285" s="18">
        <v>0</v>
      </c>
      <c r="BHT285" s="18">
        <v>0</v>
      </c>
      <c r="BHU285" s="18">
        <v>0</v>
      </c>
      <c r="BHV285" s="18">
        <v>0</v>
      </c>
      <c r="BHW285" s="18">
        <v>0</v>
      </c>
      <c r="BHX285" s="18">
        <v>0</v>
      </c>
      <c r="BHY285" s="18">
        <v>0</v>
      </c>
      <c r="BHZ285" s="18">
        <v>0</v>
      </c>
      <c r="BIA285" s="18">
        <v>0</v>
      </c>
      <c r="BIB285" s="18">
        <v>0</v>
      </c>
      <c r="BIC285" s="18">
        <v>0</v>
      </c>
      <c r="BID285" s="18">
        <v>0</v>
      </c>
      <c r="BIE285" s="18">
        <v>0</v>
      </c>
      <c r="BIF285" s="18">
        <v>0</v>
      </c>
      <c r="BIG285" s="18">
        <v>0</v>
      </c>
      <c r="BIH285" s="18">
        <v>0</v>
      </c>
      <c r="BII285" s="18">
        <v>0</v>
      </c>
      <c r="BIJ285" s="18">
        <v>0</v>
      </c>
      <c r="BIK285" s="18">
        <v>0</v>
      </c>
      <c r="BIL285" s="18">
        <v>0</v>
      </c>
      <c r="BIM285" s="18">
        <v>0</v>
      </c>
      <c r="BIN285" s="18">
        <v>0</v>
      </c>
      <c r="BIO285" s="18">
        <v>0</v>
      </c>
      <c r="BIP285" s="18">
        <v>0</v>
      </c>
      <c r="BIQ285" s="18">
        <v>0</v>
      </c>
      <c r="BIR285" s="18">
        <v>0</v>
      </c>
      <c r="BIS285" s="18">
        <v>0</v>
      </c>
      <c r="BIT285" s="18">
        <v>0</v>
      </c>
      <c r="BIU285" s="18">
        <v>0</v>
      </c>
      <c r="BIV285" s="18">
        <v>0</v>
      </c>
      <c r="BIW285" s="18">
        <v>0</v>
      </c>
      <c r="BIX285" s="18">
        <v>0</v>
      </c>
      <c r="BIY285" s="18">
        <v>0</v>
      </c>
      <c r="BIZ285" s="18">
        <v>0</v>
      </c>
      <c r="BJA285" s="18">
        <v>0</v>
      </c>
      <c r="BJB285" s="18">
        <v>0</v>
      </c>
      <c r="BJC285" s="18">
        <v>0</v>
      </c>
      <c r="BJD285" s="18">
        <v>0</v>
      </c>
      <c r="BJE285" s="18">
        <v>0</v>
      </c>
      <c r="BJF285" s="18">
        <v>0</v>
      </c>
      <c r="BJG285" s="18">
        <v>0</v>
      </c>
      <c r="BJH285" s="18">
        <v>0</v>
      </c>
      <c r="BJI285" s="18">
        <v>0</v>
      </c>
      <c r="BJJ285" s="18">
        <v>0</v>
      </c>
      <c r="BJK285" s="18">
        <v>0</v>
      </c>
      <c r="BJL285" s="18">
        <v>0</v>
      </c>
      <c r="BJM285" s="18">
        <v>0</v>
      </c>
      <c r="BJN285" s="18">
        <v>0</v>
      </c>
      <c r="BJO285" s="18">
        <v>0</v>
      </c>
      <c r="BJP285" s="18">
        <v>0</v>
      </c>
      <c r="BJQ285" s="18">
        <v>0</v>
      </c>
      <c r="BJR285" s="18">
        <v>0</v>
      </c>
      <c r="BJS285" s="18">
        <v>0</v>
      </c>
      <c r="BJT285" s="18">
        <v>0</v>
      </c>
      <c r="BJU285" s="18">
        <v>0</v>
      </c>
      <c r="BJV285" s="18">
        <v>0</v>
      </c>
      <c r="BJW285" s="18">
        <v>0</v>
      </c>
      <c r="BJX285" s="18">
        <v>0</v>
      </c>
      <c r="BJY285" s="18">
        <v>0</v>
      </c>
      <c r="BJZ285" s="18">
        <v>0</v>
      </c>
      <c r="BKA285" s="18">
        <v>0</v>
      </c>
      <c r="BKB285" s="18">
        <v>0</v>
      </c>
      <c r="BKC285" s="18">
        <v>0</v>
      </c>
      <c r="BKD285" s="18">
        <v>0</v>
      </c>
      <c r="BKE285" s="18">
        <v>0</v>
      </c>
      <c r="BKF285" s="18">
        <v>0</v>
      </c>
      <c r="BKG285" s="18">
        <v>0</v>
      </c>
      <c r="BKH285" s="18">
        <v>0</v>
      </c>
      <c r="BKI285" s="18">
        <v>0</v>
      </c>
      <c r="BKJ285" s="18">
        <v>0</v>
      </c>
      <c r="BKK285" s="18">
        <v>0</v>
      </c>
      <c r="BKL285" s="18">
        <v>0</v>
      </c>
      <c r="BKM285" s="18">
        <v>0</v>
      </c>
      <c r="BKN285" s="18">
        <v>0</v>
      </c>
      <c r="BKO285" s="18">
        <v>0</v>
      </c>
      <c r="BKP285" s="18">
        <v>0</v>
      </c>
      <c r="BKQ285" s="18">
        <v>0</v>
      </c>
      <c r="BKR285" s="18">
        <v>0</v>
      </c>
      <c r="BKS285" s="18">
        <v>0</v>
      </c>
      <c r="BKT285" s="18">
        <v>0</v>
      </c>
      <c r="BKU285" s="18">
        <v>0</v>
      </c>
      <c r="BKV285" s="18">
        <v>0</v>
      </c>
      <c r="BKW285" s="18">
        <v>0</v>
      </c>
      <c r="BKX285" s="18">
        <v>0</v>
      </c>
      <c r="BKY285" s="18">
        <v>0</v>
      </c>
      <c r="BKZ285" s="18">
        <v>0</v>
      </c>
      <c r="BLA285" s="18">
        <v>0</v>
      </c>
      <c r="BLB285" s="18">
        <v>0</v>
      </c>
      <c r="BLC285" s="18">
        <v>0</v>
      </c>
      <c r="BLD285" s="18">
        <v>0</v>
      </c>
      <c r="BLE285" s="18">
        <v>0</v>
      </c>
      <c r="BLF285" s="18">
        <v>0</v>
      </c>
      <c r="BLG285" s="18">
        <v>0</v>
      </c>
      <c r="BLH285" s="18">
        <v>0</v>
      </c>
      <c r="BLI285" s="18">
        <v>0</v>
      </c>
      <c r="BLJ285" s="18">
        <v>0</v>
      </c>
      <c r="BLK285" s="18">
        <v>0</v>
      </c>
      <c r="BLL285" s="18">
        <v>0</v>
      </c>
      <c r="BLM285" s="18">
        <v>0</v>
      </c>
      <c r="BLN285" s="18">
        <v>0</v>
      </c>
      <c r="BLO285" s="18">
        <v>0</v>
      </c>
      <c r="BLP285" s="18">
        <v>0</v>
      </c>
      <c r="BLQ285" s="18">
        <v>0</v>
      </c>
      <c r="BLR285" s="18">
        <v>0</v>
      </c>
      <c r="BLS285" s="18">
        <v>0</v>
      </c>
      <c r="BLT285" s="18">
        <v>0</v>
      </c>
      <c r="BLU285" s="18">
        <v>0</v>
      </c>
      <c r="BLV285" s="18">
        <v>0</v>
      </c>
      <c r="BLW285" s="18">
        <v>0</v>
      </c>
      <c r="BLX285" s="18">
        <v>0</v>
      </c>
      <c r="BLY285" s="18">
        <v>0</v>
      </c>
      <c r="BLZ285" s="18">
        <v>0</v>
      </c>
      <c r="BMA285" s="18">
        <v>0</v>
      </c>
      <c r="BMB285" s="18">
        <v>0</v>
      </c>
      <c r="BMC285" s="18">
        <v>0</v>
      </c>
      <c r="BMD285" s="18">
        <v>0</v>
      </c>
      <c r="BME285" s="18">
        <v>0</v>
      </c>
      <c r="BMF285" s="18">
        <v>0</v>
      </c>
      <c r="BMG285" s="18">
        <v>0</v>
      </c>
      <c r="BMH285" s="18">
        <v>0</v>
      </c>
      <c r="BMI285" s="18">
        <v>0</v>
      </c>
      <c r="BMJ285" s="18">
        <v>0</v>
      </c>
      <c r="BMK285" s="18">
        <v>0</v>
      </c>
      <c r="BML285" s="18">
        <v>0</v>
      </c>
      <c r="BMM285" s="18">
        <v>0</v>
      </c>
      <c r="BMN285" s="18">
        <v>0</v>
      </c>
      <c r="BMO285" s="18">
        <v>0</v>
      </c>
      <c r="BMP285" s="18">
        <v>0</v>
      </c>
      <c r="BMQ285" s="18">
        <v>0</v>
      </c>
      <c r="BMR285" s="18">
        <v>0</v>
      </c>
      <c r="BMS285" s="18">
        <v>0</v>
      </c>
      <c r="BMT285" s="18">
        <v>0</v>
      </c>
      <c r="BMU285" s="18">
        <v>0</v>
      </c>
      <c r="BMV285" s="18">
        <v>0</v>
      </c>
      <c r="BMW285" s="18">
        <v>0</v>
      </c>
      <c r="BMX285" s="18">
        <v>0</v>
      </c>
      <c r="BMY285" s="18">
        <v>0</v>
      </c>
      <c r="BMZ285" s="18">
        <v>0</v>
      </c>
      <c r="BNA285" s="18">
        <v>0</v>
      </c>
      <c r="BNB285" s="18">
        <v>0</v>
      </c>
      <c r="BNC285" s="18">
        <v>0</v>
      </c>
      <c r="BND285" s="18">
        <v>0</v>
      </c>
      <c r="BNE285" s="18">
        <v>0</v>
      </c>
      <c r="BNF285" s="18">
        <v>0</v>
      </c>
      <c r="BNG285" s="18">
        <v>0</v>
      </c>
      <c r="BNH285" s="18">
        <v>0</v>
      </c>
      <c r="BNI285" s="18">
        <v>0</v>
      </c>
      <c r="BNJ285" s="18">
        <v>0</v>
      </c>
      <c r="BNK285" s="18">
        <v>0</v>
      </c>
      <c r="BNL285" s="18">
        <v>0</v>
      </c>
      <c r="BNM285" s="18">
        <v>0</v>
      </c>
      <c r="BNN285" s="18">
        <v>0</v>
      </c>
      <c r="BNO285" s="18">
        <v>0</v>
      </c>
      <c r="BNP285" s="18">
        <v>0</v>
      </c>
      <c r="BNQ285" s="18">
        <v>0</v>
      </c>
      <c r="BNR285" s="18">
        <v>0</v>
      </c>
      <c r="BNS285" s="18">
        <v>0</v>
      </c>
      <c r="BNT285" s="18">
        <v>0</v>
      </c>
      <c r="BNU285" s="18">
        <v>0</v>
      </c>
      <c r="BNV285" s="18">
        <v>0</v>
      </c>
      <c r="BNW285" s="18">
        <v>0</v>
      </c>
      <c r="BNX285" s="18">
        <v>0</v>
      </c>
      <c r="BNY285" s="18">
        <v>0</v>
      </c>
      <c r="BNZ285" s="18">
        <v>0</v>
      </c>
      <c r="BOA285" s="18">
        <v>0</v>
      </c>
      <c r="BOB285" s="18">
        <v>0</v>
      </c>
      <c r="BOC285" s="18">
        <v>0</v>
      </c>
      <c r="BOD285" s="18">
        <v>0</v>
      </c>
      <c r="BOE285" s="18">
        <v>0</v>
      </c>
      <c r="BOF285" s="18">
        <v>0</v>
      </c>
      <c r="BOG285" s="18">
        <v>0</v>
      </c>
      <c r="BOH285" s="18">
        <v>0</v>
      </c>
      <c r="BOI285" s="18">
        <v>0</v>
      </c>
      <c r="BOJ285" s="18">
        <v>0</v>
      </c>
      <c r="BOK285" s="18">
        <v>0</v>
      </c>
      <c r="BOL285" s="18">
        <v>0</v>
      </c>
      <c r="BOM285" s="18">
        <v>0</v>
      </c>
      <c r="BON285" s="18">
        <v>0</v>
      </c>
      <c r="BOO285" s="18">
        <v>0</v>
      </c>
      <c r="BOP285" s="18">
        <v>0</v>
      </c>
      <c r="BOQ285" s="18">
        <v>0</v>
      </c>
      <c r="BOR285" s="18">
        <v>0</v>
      </c>
      <c r="BOS285" s="18">
        <v>0</v>
      </c>
      <c r="BOT285" s="18">
        <v>0</v>
      </c>
      <c r="BOU285" s="18">
        <v>0</v>
      </c>
      <c r="BOV285" s="18">
        <v>0</v>
      </c>
      <c r="BOW285" s="18">
        <v>0</v>
      </c>
      <c r="BOX285" s="18">
        <v>0</v>
      </c>
      <c r="BOY285" s="18">
        <v>0</v>
      </c>
      <c r="BOZ285" s="18">
        <v>0</v>
      </c>
      <c r="BPA285" s="18">
        <v>0</v>
      </c>
      <c r="BPB285" s="18">
        <v>0</v>
      </c>
      <c r="BPC285" s="18">
        <v>0</v>
      </c>
      <c r="BPD285" s="18">
        <v>0</v>
      </c>
      <c r="BPE285" s="18">
        <v>0</v>
      </c>
      <c r="BPF285" s="18">
        <v>0</v>
      </c>
      <c r="BPG285" s="18">
        <v>0</v>
      </c>
      <c r="BPH285" s="18">
        <v>0</v>
      </c>
      <c r="BPI285" s="18">
        <v>0</v>
      </c>
      <c r="BPJ285" s="18">
        <v>0</v>
      </c>
      <c r="BPK285" s="18">
        <v>0</v>
      </c>
      <c r="BPL285" s="18">
        <v>0</v>
      </c>
      <c r="BPM285" s="18">
        <v>0</v>
      </c>
      <c r="BPN285" s="18">
        <v>0</v>
      </c>
      <c r="BPO285" s="18">
        <v>0</v>
      </c>
      <c r="BPP285" s="18">
        <v>0</v>
      </c>
      <c r="BPQ285" s="18">
        <v>0</v>
      </c>
      <c r="BPR285" s="18">
        <v>0</v>
      </c>
      <c r="BPS285" s="18">
        <v>0</v>
      </c>
      <c r="BPT285" s="18">
        <v>0</v>
      </c>
      <c r="BPU285" s="18">
        <v>0</v>
      </c>
      <c r="BPV285" s="18">
        <v>0</v>
      </c>
      <c r="BPW285" s="18">
        <v>0</v>
      </c>
      <c r="BPX285" s="18">
        <v>0</v>
      </c>
      <c r="BPY285" s="18">
        <v>0</v>
      </c>
      <c r="BPZ285" s="18">
        <v>0</v>
      </c>
      <c r="BQA285" s="18">
        <v>0</v>
      </c>
      <c r="BQB285" s="18">
        <v>0</v>
      </c>
      <c r="BQC285" s="18">
        <v>0</v>
      </c>
      <c r="BQD285" s="18">
        <v>0</v>
      </c>
      <c r="BQE285" s="18">
        <v>0</v>
      </c>
      <c r="BQF285" s="18">
        <v>0</v>
      </c>
      <c r="BQG285" s="18">
        <v>0</v>
      </c>
      <c r="BQH285" s="18">
        <v>0</v>
      </c>
      <c r="BQI285" s="18">
        <v>0</v>
      </c>
      <c r="BQJ285" s="18">
        <v>0</v>
      </c>
      <c r="BQK285" s="18">
        <v>0</v>
      </c>
      <c r="BQL285" s="18">
        <v>0</v>
      </c>
      <c r="BQM285" s="18">
        <v>0</v>
      </c>
      <c r="BQN285" s="18">
        <v>0</v>
      </c>
      <c r="BQO285" s="18">
        <v>0</v>
      </c>
      <c r="BQP285" s="18">
        <v>0</v>
      </c>
      <c r="BQQ285" s="18">
        <v>0</v>
      </c>
      <c r="BQR285" s="18">
        <v>0</v>
      </c>
      <c r="BQS285" s="18">
        <v>0</v>
      </c>
      <c r="BQT285" s="18">
        <v>0</v>
      </c>
      <c r="BQU285" s="18">
        <v>0</v>
      </c>
      <c r="BQV285" s="18">
        <v>0</v>
      </c>
      <c r="BQW285" s="18">
        <v>0</v>
      </c>
      <c r="BQX285" s="18">
        <v>0</v>
      </c>
      <c r="BQY285" s="18">
        <v>0</v>
      </c>
      <c r="BQZ285" s="18">
        <v>0</v>
      </c>
      <c r="BRA285" s="18">
        <v>0</v>
      </c>
      <c r="BRB285" s="18">
        <v>0</v>
      </c>
      <c r="BRC285" s="18">
        <v>0</v>
      </c>
      <c r="BRD285" s="18">
        <v>0</v>
      </c>
      <c r="BRE285" s="18">
        <v>0</v>
      </c>
      <c r="BRF285" s="18">
        <v>0</v>
      </c>
      <c r="BRG285" s="18">
        <v>0</v>
      </c>
      <c r="BRH285" s="18">
        <v>0</v>
      </c>
      <c r="BRI285" s="18">
        <v>0</v>
      </c>
      <c r="BRJ285" s="18">
        <v>0</v>
      </c>
      <c r="BRK285" s="18">
        <v>0</v>
      </c>
      <c r="BRL285" s="18">
        <v>0</v>
      </c>
      <c r="BRM285" s="18">
        <v>0</v>
      </c>
      <c r="BRN285" s="18">
        <v>0</v>
      </c>
      <c r="BRO285" s="18">
        <v>0</v>
      </c>
      <c r="BRP285" s="18">
        <v>0</v>
      </c>
      <c r="BRQ285" s="18">
        <v>0</v>
      </c>
      <c r="BRR285" s="18">
        <v>0</v>
      </c>
      <c r="BRS285" s="18">
        <v>0</v>
      </c>
      <c r="BRT285" s="18">
        <v>0</v>
      </c>
      <c r="BRU285" s="18">
        <v>0</v>
      </c>
      <c r="BRV285" s="18">
        <v>0</v>
      </c>
      <c r="BRW285" s="18">
        <v>0</v>
      </c>
      <c r="BRX285" s="18">
        <v>0</v>
      </c>
      <c r="BRY285" s="18">
        <v>0</v>
      </c>
      <c r="BRZ285" s="18">
        <v>0</v>
      </c>
      <c r="BSA285" s="18">
        <v>0</v>
      </c>
      <c r="BSB285" s="18">
        <v>0</v>
      </c>
      <c r="BSC285" s="18">
        <v>0</v>
      </c>
      <c r="BSD285" s="18">
        <v>0</v>
      </c>
      <c r="BSE285" s="18">
        <v>0</v>
      </c>
      <c r="BSF285" s="18">
        <v>0</v>
      </c>
      <c r="BSG285" s="18">
        <v>0</v>
      </c>
      <c r="BSH285" s="18">
        <v>0</v>
      </c>
      <c r="BSI285" s="18">
        <v>0</v>
      </c>
      <c r="BSJ285" s="18">
        <v>0</v>
      </c>
      <c r="BSK285" s="18">
        <v>0</v>
      </c>
      <c r="BSL285" s="18">
        <v>0</v>
      </c>
      <c r="BSM285" s="18">
        <v>0</v>
      </c>
      <c r="BSN285" s="18">
        <v>0</v>
      </c>
      <c r="BSO285" s="18">
        <v>0</v>
      </c>
      <c r="BSP285" s="18">
        <v>0</v>
      </c>
      <c r="BSQ285" s="18">
        <v>0</v>
      </c>
      <c r="BSR285" s="18">
        <v>0</v>
      </c>
      <c r="BSS285" s="18">
        <v>0</v>
      </c>
      <c r="BST285" s="18">
        <v>0</v>
      </c>
      <c r="BSU285" s="18">
        <v>0</v>
      </c>
      <c r="BSV285" s="18">
        <v>0</v>
      </c>
      <c r="BSW285" s="18">
        <v>0</v>
      </c>
      <c r="BSX285" s="18">
        <v>0</v>
      </c>
      <c r="BSY285" s="18">
        <v>0</v>
      </c>
      <c r="BSZ285" s="18">
        <v>0</v>
      </c>
      <c r="BTA285" s="18">
        <v>0</v>
      </c>
      <c r="BTB285" s="18">
        <v>0</v>
      </c>
      <c r="BTC285" s="18">
        <v>0</v>
      </c>
      <c r="BTD285" s="18">
        <v>0</v>
      </c>
      <c r="BTE285" s="18">
        <v>0</v>
      </c>
      <c r="BTF285" s="18">
        <v>0</v>
      </c>
      <c r="BTG285" s="18">
        <v>0</v>
      </c>
      <c r="BTH285" s="18">
        <v>0</v>
      </c>
      <c r="BTI285" s="18">
        <v>0</v>
      </c>
      <c r="BTJ285" s="18">
        <v>0</v>
      </c>
      <c r="BTK285" s="18">
        <v>0</v>
      </c>
      <c r="BTL285" s="18">
        <v>0</v>
      </c>
      <c r="BTM285" s="18">
        <v>0</v>
      </c>
      <c r="BTN285" s="18">
        <v>0</v>
      </c>
      <c r="BTO285" s="18">
        <v>0</v>
      </c>
      <c r="BTP285" s="18">
        <v>0</v>
      </c>
      <c r="BTQ285" s="18">
        <v>0</v>
      </c>
      <c r="BTR285" s="18">
        <v>0</v>
      </c>
      <c r="BTS285" s="18">
        <v>0</v>
      </c>
      <c r="BTT285" s="18">
        <v>0</v>
      </c>
      <c r="BTU285" s="18">
        <v>0</v>
      </c>
      <c r="BTV285" s="18">
        <v>0</v>
      </c>
      <c r="BTW285" s="18">
        <v>0</v>
      </c>
      <c r="BTX285" s="18">
        <v>0</v>
      </c>
      <c r="BTY285" s="18">
        <v>0</v>
      </c>
      <c r="BTZ285" s="18">
        <v>0</v>
      </c>
      <c r="BUA285" s="18">
        <v>0</v>
      </c>
      <c r="BUB285" s="18">
        <v>0</v>
      </c>
      <c r="BUC285" s="18">
        <v>0</v>
      </c>
      <c r="BUD285" s="18">
        <v>0</v>
      </c>
      <c r="BUE285" s="18">
        <v>0</v>
      </c>
      <c r="BUF285" s="18">
        <v>0</v>
      </c>
      <c r="BUG285" s="18">
        <v>0</v>
      </c>
      <c r="BUH285" s="18">
        <v>0</v>
      </c>
      <c r="BUI285" s="18">
        <v>0</v>
      </c>
      <c r="BUJ285" s="18">
        <v>0</v>
      </c>
      <c r="BUK285" s="18">
        <v>0</v>
      </c>
      <c r="BUL285" s="18">
        <v>0</v>
      </c>
      <c r="BUM285" s="18">
        <v>0</v>
      </c>
      <c r="BUN285" s="18">
        <v>0</v>
      </c>
      <c r="BUO285" s="18">
        <v>0</v>
      </c>
      <c r="BUP285" s="18">
        <v>0</v>
      </c>
      <c r="BUQ285" s="18">
        <v>0</v>
      </c>
      <c r="BUR285" s="18">
        <v>0</v>
      </c>
      <c r="BUS285" s="18">
        <v>0</v>
      </c>
      <c r="BUT285" s="18">
        <v>0</v>
      </c>
      <c r="BUU285" s="18">
        <v>0</v>
      </c>
      <c r="BUV285" s="18">
        <v>0</v>
      </c>
      <c r="BUW285" s="18">
        <v>0</v>
      </c>
      <c r="BUX285" s="18">
        <v>0</v>
      </c>
      <c r="BUY285" s="18">
        <v>0</v>
      </c>
      <c r="BUZ285" s="18">
        <v>0</v>
      </c>
      <c r="BVA285" s="18">
        <v>0</v>
      </c>
      <c r="BVB285" s="18">
        <v>0</v>
      </c>
      <c r="BVC285" s="18">
        <v>0</v>
      </c>
      <c r="BVD285" s="18">
        <v>0</v>
      </c>
      <c r="BVE285" s="18">
        <v>0</v>
      </c>
      <c r="BVF285" s="18">
        <v>0</v>
      </c>
      <c r="BVG285" s="18">
        <v>0</v>
      </c>
      <c r="BVH285" s="18">
        <v>0</v>
      </c>
      <c r="BVI285" s="18">
        <v>0</v>
      </c>
      <c r="BVJ285" s="18">
        <v>0</v>
      </c>
      <c r="BVK285" s="18">
        <v>0</v>
      </c>
      <c r="BVL285" s="18">
        <v>0</v>
      </c>
      <c r="BVM285" s="18">
        <v>0</v>
      </c>
      <c r="BVN285" s="18">
        <v>0</v>
      </c>
      <c r="BVO285" s="18">
        <v>0</v>
      </c>
      <c r="BVP285" s="18">
        <v>0</v>
      </c>
      <c r="BVQ285" s="18">
        <v>0</v>
      </c>
      <c r="BVR285" s="18">
        <v>0</v>
      </c>
      <c r="BVS285" s="18">
        <v>0</v>
      </c>
      <c r="BVT285" s="18">
        <v>0</v>
      </c>
      <c r="BVU285" s="18">
        <v>0</v>
      </c>
      <c r="BVV285" s="18">
        <v>0</v>
      </c>
      <c r="BVW285" s="18">
        <v>0</v>
      </c>
      <c r="BVX285" s="18">
        <v>0</v>
      </c>
      <c r="BVY285" s="18">
        <v>0</v>
      </c>
      <c r="BVZ285" s="18">
        <v>0</v>
      </c>
      <c r="BWA285" s="18">
        <v>0</v>
      </c>
      <c r="BWB285" s="18">
        <v>0</v>
      </c>
      <c r="BWC285" s="18">
        <v>0</v>
      </c>
      <c r="BWD285" s="18">
        <v>0</v>
      </c>
      <c r="BWE285" s="18">
        <v>0</v>
      </c>
      <c r="BWF285" s="18">
        <v>0</v>
      </c>
      <c r="BWG285" s="18">
        <v>0</v>
      </c>
      <c r="BWH285" s="18">
        <v>0</v>
      </c>
      <c r="BWI285" s="18">
        <v>0</v>
      </c>
      <c r="BWJ285" s="18">
        <v>0</v>
      </c>
      <c r="BWK285" s="18">
        <v>0</v>
      </c>
      <c r="BWL285" s="18">
        <v>0</v>
      </c>
      <c r="BWM285" s="18">
        <v>0</v>
      </c>
      <c r="BWN285" s="18">
        <v>0</v>
      </c>
      <c r="BWO285" s="18">
        <v>0</v>
      </c>
      <c r="BWP285" s="18">
        <v>0</v>
      </c>
      <c r="BWQ285" s="18">
        <v>0</v>
      </c>
      <c r="BWR285" s="18">
        <v>0</v>
      </c>
      <c r="BWS285" s="18">
        <v>0</v>
      </c>
      <c r="BWT285" s="18">
        <v>0</v>
      </c>
      <c r="BWU285" s="18">
        <v>0</v>
      </c>
      <c r="BWV285" s="18">
        <v>0</v>
      </c>
      <c r="BWW285" s="18">
        <v>0</v>
      </c>
      <c r="BWX285" s="18">
        <v>0</v>
      </c>
      <c r="BWY285" s="18">
        <v>0</v>
      </c>
      <c r="BWZ285" s="18">
        <v>0</v>
      </c>
      <c r="BXA285" s="18">
        <v>0</v>
      </c>
      <c r="BXB285" s="18">
        <v>0</v>
      </c>
      <c r="BXC285" s="18">
        <v>0</v>
      </c>
      <c r="BXD285" s="18">
        <v>0</v>
      </c>
      <c r="BXE285" s="18">
        <v>0</v>
      </c>
      <c r="BXF285" s="18">
        <v>0</v>
      </c>
      <c r="BXG285" s="18">
        <v>0</v>
      </c>
      <c r="BXH285" s="18">
        <v>0</v>
      </c>
      <c r="BXI285" s="18">
        <v>0</v>
      </c>
      <c r="BXJ285" s="18">
        <v>0</v>
      </c>
      <c r="BXK285" s="18">
        <v>0</v>
      </c>
      <c r="BXL285" s="18">
        <v>0</v>
      </c>
      <c r="BXM285" s="18">
        <v>0</v>
      </c>
      <c r="BXN285" s="18">
        <v>0</v>
      </c>
      <c r="BXO285" s="18">
        <v>0</v>
      </c>
      <c r="BXP285" s="18">
        <v>0</v>
      </c>
      <c r="BXQ285" s="18">
        <v>0</v>
      </c>
      <c r="BXR285" s="18">
        <v>0</v>
      </c>
      <c r="BXS285" s="18">
        <v>0</v>
      </c>
      <c r="BXT285" s="18">
        <v>0</v>
      </c>
      <c r="BXU285" s="18">
        <v>0</v>
      </c>
      <c r="BXV285" s="18">
        <v>0</v>
      </c>
      <c r="BXW285" s="18">
        <v>0</v>
      </c>
      <c r="BXX285" s="18">
        <v>0</v>
      </c>
      <c r="BXY285" s="18">
        <v>0</v>
      </c>
      <c r="BXZ285" s="18">
        <v>0</v>
      </c>
      <c r="BYA285" s="18">
        <v>0</v>
      </c>
      <c r="BYB285" s="18">
        <v>0</v>
      </c>
      <c r="BYC285" s="18">
        <v>0</v>
      </c>
      <c r="BYD285" s="18">
        <v>0</v>
      </c>
      <c r="BYE285" s="18">
        <v>0</v>
      </c>
      <c r="BYF285" s="18">
        <v>0</v>
      </c>
      <c r="BYG285" s="18">
        <v>0</v>
      </c>
      <c r="BYH285" s="18">
        <v>0</v>
      </c>
      <c r="BYI285" s="18">
        <v>0</v>
      </c>
      <c r="BYJ285" s="18">
        <v>0</v>
      </c>
      <c r="BYK285" s="18">
        <v>0</v>
      </c>
      <c r="BYL285" s="18">
        <v>0</v>
      </c>
      <c r="BYM285" s="18">
        <v>0</v>
      </c>
      <c r="BYN285" s="18">
        <v>0</v>
      </c>
      <c r="BYO285" s="18">
        <v>0</v>
      </c>
      <c r="BYP285" s="18">
        <v>0</v>
      </c>
      <c r="BYQ285" s="18">
        <v>0</v>
      </c>
      <c r="BYR285" s="18">
        <v>0</v>
      </c>
      <c r="BYS285" s="18">
        <v>0</v>
      </c>
      <c r="BYT285" s="18">
        <v>0</v>
      </c>
      <c r="BYU285" s="18">
        <v>0</v>
      </c>
      <c r="BYV285" s="18">
        <v>0</v>
      </c>
      <c r="BYW285" s="18">
        <v>0</v>
      </c>
      <c r="BYX285" s="18">
        <v>0</v>
      </c>
      <c r="BYY285" s="18">
        <v>0</v>
      </c>
      <c r="BYZ285" s="18">
        <v>0</v>
      </c>
      <c r="BZA285" s="18">
        <v>0</v>
      </c>
      <c r="BZB285" s="18">
        <v>0</v>
      </c>
      <c r="BZC285" s="18">
        <v>0</v>
      </c>
      <c r="BZD285" s="18">
        <v>0</v>
      </c>
      <c r="BZE285" s="18">
        <v>0</v>
      </c>
      <c r="BZF285" s="18">
        <v>0</v>
      </c>
      <c r="BZG285" s="18">
        <v>0</v>
      </c>
      <c r="BZH285" s="18">
        <v>0</v>
      </c>
      <c r="BZI285" s="18">
        <v>0</v>
      </c>
      <c r="BZJ285" s="18">
        <v>0</v>
      </c>
      <c r="BZK285" s="18">
        <v>0</v>
      </c>
      <c r="BZL285" s="18">
        <v>0</v>
      </c>
      <c r="BZM285" s="18">
        <v>0</v>
      </c>
      <c r="BZN285" s="18">
        <v>0</v>
      </c>
      <c r="BZO285" s="18">
        <v>0</v>
      </c>
      <c r="BZP285" s="18">
        <v>0</v>
      </c>
      <c r="BZQ285" s="18">
        <v>0</v>
      </c>
      <c r="BZR285" s="18">
        <v>0</v>
      </c>
      <c r="BZS285" s="18">
        <v>0</v>
      </c>
      <c r="BZT285" s="18">
        <v>0</v>
      </c>
      <c r="BZU285" s="18">
        <v>0</v>
      </c>
      <c r="BZV285" s="18">
        <v>0</v>
      </c>
      <c r="BZW285" s="18">
        <v>0</v>
      </c>
      <c r="BZX285" s="18">
        <v>0</v>
      </c>
      <c r="BZY285" s="18">
        <v>0</v>
      </c>
      <c r="BZZ285" s="18">
        <v>0</v>
      </c>
      <c r="CAA285" s="18">
        <v>0</v>
      </c>
      <c r="CAB285" s="18">
        <v>0</v>
      </c>
      <c r="CAC285" s="18">
        <v>0</v>
      </c>
      <c r="CAD285" s="18">
        <v>0</v>
      </c>
      <c r="CAE285" s="18">
        <v>0</v>
      </c>
      <c r="CAF285" s="18">
        <v>0</v>
      </c>
      <c r="CAG285" s="18">
        <v>0</v>
      </c>
      <c r="CAH285" s="18">
        <v>0</v>
      </c>
      <c r="CAI285" s="18">
        <v>0</v>
      </c>
      <c r="CAJ285" s="18">
        <v>0</v>
      </c>
      <c r="CAK285" s="18">
        <v>0</v>
      </c>
      <c r="CAL285" s="18">
        <v>0</v>
      </c>
      <c r="CAM285" s="18">
        <v>0</v>
      </c>
      <c r="CAN285" s="18">
        <v>0</v>
      </c>
      <c r="CAO285" s="18">
        <v>0</v>
      </c>
      <c r="CAP285" s="18">
        <v>0</v>
      </c>
      <c r="CAQ285" s="18">
        <v>0</v>
      </c>
      <c r="CAR285" s="18">
        <v>0</v>
      </c>
      <c r="CAS285" s="18">
        <v>0</v>
      </c>
      <c r="CAT285" s="18">
        <v>0</v>
      </c>
      <c r="CAU285" s="18">
        <v>0</v>
      </c>
      <c r="CAV285" s="18">
        <v>0</v>
      </c>
      <c r="CAW285" s="18">
        <v>0</v>
      </c>
      <c r="CAX285" s="18">
        <v>0</v>
      </c>
      <c r="CAY285" s="18">
        <v>0</v>
      </c>
      <c r="CAZ285" s="18">
        <v>0</v>
      </c>
      <c r="CBA285" s="18">
        <v>0</v>
      </c>
      <c r="CBB285" s="18">
        <v>0</v>
      </c>
      <c r="CBC285" s="18">
        <v>0</v>
      </c>
      <c r="CBD285" s="18">
        <v>0</v>
      </c>
      <c r="CBE285" s="18">
        <v>0</v>
      </c>
      <c r="CBF285" s="18">
        <v>0</v>
      </c>
      <c r="CBG285" s="18">
        <v>0</v>
      </c>
      <c r="CBH285" s="18">
        <v>0</v>
      </c>
      <c r="CBI285" s="18">
        <v>0</v>
      </c>
      <c r="CBJ285" s="18">
        <v>0</v>
      </c>
      <c r="CBK285" s="18">
        <v>0</v>
      </c>
      <c r="CBL285" s="18">
        <v>0</v>
      </c>
      <c r="CBM285" s="18">
        <v>0</v>
      </c>
      <c r="CBN285" s="18">
        <v>0</v>
      </c>
      <c r="CBO285" s="18">
        <v>0</v>
      </c>
      <c r="CBP285" s="18">
        <v>0</v>
      </c>
      <c r="CBQ285" s="18">
        <v>0</v>
      </c>
      <c r="CBR285" s="18">
        <v>0</v>
      </c>
      <c r="CBS285" s="18">
        <v>0</v>
      </c>
      <c r="CBT285" s="18">
        <v>0</v>
      </c>
      <c r="CBU285" s="18">
        <v>0</v>
      </c>
      <c r="CBV285" s="18">
        <v>0</v>
      </c>
      <c r="CBW285" s="18">
        <v>0</v>
      </c>
      <c r="CBX285" s="18">
        <v>0</v>
      </c>
      <c r="CBY285" s="18">
        <v>0</v>
      </c>
      <c r="CBZ285" s="18">
        <v>0</v>
      </c>
      <c r="CCA285" s="18">
        <v>0</v>
      </c>
      <c r="CCB285" s="18">
        <v>0</v>
      </c>
      <c r="CCC285" s="18">
        <v>0</v>
      </c>
      <c r="CCD285" s="18">
        <v>0</v>
      </c>
      <c r="CCE285" s="18">
        <v>0</v>
      </c>
      <c r="CCF285" s="18">
        <v>0</v>
      </c>
      <c r="CCG285" s="18">
        <v>0</v>
      </c>
      <c r="CCH285" s="18">
        <v>0</v>
      </c>
      <c r="CCI285" s="18">
        <v>0</v>
      </c>
      <c r="CCJ285" s="18">
        <v>0</v>
      </c>
      <c r="CCK285" s="18">
        <v>0</v>
      </c>
      <c r="CCL285" s="18">
        <v>0</v>
      </c>
      <c r="CCM285" s="18">
        <v>0</v>
      </c>
      <c r="CCN285" s="18">
        <v>0</v>
      </c>
      <c r="CCO285" s="18">
        <v>0</v>
      </c>
      <c r="CCP285" s="18">
        <v>0</v>
      </c>
      <c r="CCQ285" s="18">
        <v>0</v>
      </c>
      <c r="CCR285" s="18">
        <v>0</v>
      </c>
      <c r="CCS285" s="18">
        <v>0</v>
      </c>
      <c r="CCT285" s="18">
        <v>0</v>
      </c>
      <c r="CCU285" s="18">
        <v>0</v>
      </c>
      <c r="CCV285" s="18">
        <v>0</v>
      </c>
      <c r="CCW285" s="18">
        <v>0</v>
      </c>
      <c r="CCX285" s="18">
        <v>0</v>
      </c>
      <c r="CCY285" s="18">
        <v>0</v>
      </c>
      <c r="CCZ285" s="18">
        <v>0</v>
      </c>
      <c r="CDA285" s="18">
        <v>0</v>
      </c>
      <c r="CDB285" s="18">
        <v>0</v>
      </c>
      <c r="CDC285" s="18">
        <v>0</v>
      </c>
      <c r="CDD285" s="18">
        <v>0</v>
      </c>
      <c r="CDE285" s="18">
        <v>0</v>
      </c>
      <c r="CDF285" s="18">
        <v>0</v>
      </c>
      <c r="CDG285" s="18">
        <v>0</v>
      </c>
      <c r="CDH285" s="18">
        <v>0</v>
      </c>
      <c r="CDI285" s="18">
        <v>0</v>
      </c>
      <c r="CDJ285" s="18">
        <v>0</v>
      </c>
      <c r="CDK285" s="18">
        <v>0</v>
      </c>
      <c r="CDL285" s="18">
        <v>0</v>
      </c>
      <c r="CDM285" s="18">
        <v>0</v>
      </c>
      <c r="CDN285" s="18">
        <v>0</v>
      </c>
      <c r="CDO285" s="18">
        <v>0</v>
      </c>
      <c r="CDP285" s="18">
        <v>0</v>
      </c>
      <c r="CDQ285" s="18">
        <v>0</v>
      </c>
      <c r="CDR285" s="18">
        <v>0</v>
      </c>
      <c r="CDS285" s="18">
        <v>0</v>
      </c>
      <c r="CDT285" s="18">
        <v>0</v>
      </c>
      <c r="CDU285" s="18">
        <v>0</v>
      </c>
      <c r="CDV285" s="18">
        <v>0</v>
      </c>
      <c r="CDW285" s="18">
        <v>0</v>
      </c>
      <c r="CDX285" s="18">
        <v>0</v>
      </c>
      <c r="CDY285" s="18">
        <v>0</v>
      </c>
      <c r="CDZ285" s="18">
        <v>0</v>
      </c>
      <c r="CEA285" s="18">
        <v>0</v>
      </c>
      <c r="CEB285" s="18">
        <v>0</v>
      </c>
      <c r="CEC285" s="18">
        <v>0</v>
      </c>
      <c r="CED285" s="18">
        <v>0</v>
      </c>
      <c r="CEE285" s="18">
        <v>0</v>
      </c>
      <c r="CEF285" s="18">
        <v>0</v>
      </c>
      <c r="CEG285" s="18">
        <v>0</v>
      </c>
      <c r="CEH285" s="18">
        <v>0</v>
      </c>
      <c r="CEI285" s="18">
        <v>0</v>
      </c>
      <c r="CEJ285" s="18">
        <v>0</v>
      </c>
      <c r="CEK285" s="18">
        <v>0</v>
      </c>
      <c r="CEL285" s="18">
        <v>0</v>
      </c>
      <c r="CEM285" s="18">
        <v>0</v>
      </c>
      <c r="CEN285" s="18">
        <v>0</v>
      </c>
      <c r="CEO285" s="18">
        <v>0</v>
      </c>
      <c r="CEP285" s="18">
        <v>0</v>
      </c>
      <c r="CEQ285" s="18">
        <v>0</v>
      </c>
      <c r="CER285" s="18">
        <v>0</v>
      </c>
      <c r="CES285" s="18">
        <v>0</v>
      </c>
      <c r="CET285" s="18">
        <v>0</v>
      </c>
      <c r="CEU285" s="18">
        <v>0</v>
      </c>
      <c r="CEV285" s="18">
        <v>0</v>
      </c>
      <c r="CEW285" s="18">
        <v>0</v>
      </c>
      <c r="CEX285" s="18">
        <v>0</v>
      </c>
      <c r="CEY285" s="18">
        <v>0</v>
      </c>
      <c r="CEZ285" s="18">
        <v>0</v>
      </c>
      <c r="CFA285" s="18">
        <v>0</v>
      </c>
      <c r="CFB285" s="18">
        <v>0</v>
      </c>
      <c r="CFC285" s="18">
        <v>0</v>
      </c>
      <c r="CFD285" s="18">
        <v>0</v>
      </c>
      <c r="CFE285" s="18">
        <v>0</v>
      </c>
      <c r="CFF285" s="18">
        <v>0</v>
      </c>
      <c r="CFG285" s="18">
        <v>0</v>
      </c>
      <c r="CFH285" s="18">
        <v>0</v>
      </c>
      <c r="CFI285" s="18">
        <v>0</v>
      </c>
      <c r="CFJ285" s="18">
        <v>0</v>
      </c>
      <c r="CFK285" s="18">
        <v>0</v>
      </c>
      <c r="CFL285" s="18">
        <v>0</v>
      </c>
      <c r="CFM285" s="18">
        <v>0</v>
      </c>
      <c r="CFN285" s="18">
        <v>0</v>
      </c>
      <c r="CFO285" s="18">
        <v>0</v>
      </c>
      <c r="CFP285" s="18">
        <v>0</v>
      </c>
      <c r="CFQ285" s="18">
        <v>0</v>
      </c>
      <c r="CFR285" s="18">
        <v>0</v>
      </c>
      <c r="CFS285" s="18">
        <v>0</v>
      </c>
      <c r="CFT285" s="18">
        <v>0</v>
      </c>
      <c r="CFU285" s="18">
        <v>0</v>
      </c>
      <c r="CFV285" s="18">
        <v>0</v>
      </c>
      <c r="CFW285" s="18">
        <v>0</v>
      </c>
      <c r="CFX285" s="18">
        <v>0</v>
      </c>
      <c r="CFY285" s="18">
        <v>0</v>
      </c>
      <c r="CFZ285" s="18">
        <v>0</v>
      </c>
      <c r="CGA285" s="18">
        <v>0</v>
      </c>
      <c r="CGB285" s="18">
        <v>0</v>
      </c>
      <c r="CGC285" s="18">
        <v>0</v>
      </c>
      <c r="CGD285" s="18">
        <v>0</v>
      </c>
      <c r="CGE285" s="18">
        <v>0</v>
      </c>
      <c r="CGF285" s="18">
        <v>0</v>
      </c>
      <c r="CGG285" s="18">
        <v>0</v>
      </c>
      <c r="CGH285" s="18">
        <v>0</v>
      </c>
      <c r="CGI285" s="18">
        <v>0</v>
      </c>
      <c r="CGJ285" s="18">
        <v>0</v>
      </c>
      <c r="CGK285" s="18">
        <v>0</v>
      </c>
      <c r="CGL285" s="18">
        <v>0</v>
      </c>
      <c r="CGM285" s="18">
        <v>0</v>
      </c>
      <c r="CGN285" s="18">
        <v>0</v>
      </c>
      <c r="CGO285" s="18">
        <v>0</v>
      </c>
      <c r="CGP285" s="18">
        <v>0</v>
      </c>
      <c r="CGQ285" s="18">
        <v>0</v>
      </c>
      <c r="CGR285" s="18">
        <v>0</v>
      </c>
      <c r="CGS285" s="18">
        <v>0</v>
      </c>
      <c r="CGT285" s="18">
        <v>0</v>
      </c>
      <c r="CGU285" s="18">
        <v>0</v>
      </c>
      <c r="CGV285" s="18">
        <v>0</v>
      </c>
      <c r="CGW285" s="18">
        <v>0</v>
      </c>
      <c r="CGX285" s="18">
        <v>0</v>
      </c>
      <c r="CGY285" s="18">
        <v>0</v>
      </c>
      <c r="CGZ285" s="18">
        <v>0</v>
      </c>
      <c r="CHA285" s="18">
        <v>0</v>
      </c>
      <c r="CHB285" s="18">
        <v>0</v>
      </c>
      <c r="CHC285" s="18">
        <v>0</v>
      </c>
      <c r="CHD285" s="18">
        <v>0</v>
      </c>
      <c r="CHE285" s="18">
        <v>0</v>
      </c>
      <c r="CHF285" s="18">
        <v>0</v>
      </c>
      <c r="CHG285" s="18">
        <v>0</v>
      </c>
      <c r="CHH285" s="18">
        <v>0</v>
      </c>
      <c r="CHI285" s="18">
        <v>0</v>
      </c>
      <c r="CHJ285" s="18">
        <v>0</v>
      </c>
      <c r="CHK285" s="18">
        <v>0</v>
      </c>
      <c r="CHL285" s="18">
        <v>0</v>
      </c>
      <c r="CHM285" s="18">
        <v>0</v>
      </c>
      <c r="CHN285" s="18">
        <v>0</v>
      </c>
      <c r="CHO285" s="18">
        <v>0</v>
      </c>
      <c r="CHP285" s="18">
        <v>0</v>
      </c>
      <c r="CHQ285" s="18">
        <v>0</v>
      </c>
      <c r="CHR285" s="18">
        <v>0</v>
      </c>
      <c r="CHS285" s="18">
        <v>0</v>
      </c>
      <c r="CHT285" s="18">
        <v>0</v>
      </c>
      <c r="CHU285" s="18">
        <v>0</v>
      </c>
      <c r="CHV285" s="18">
        <v>0</v>
      </c>
      <c r="CHW285" s="18">
        <v>0</v>
      </c>
      <c r="CHX285" s="18">
        <v>0</v>
      </c>
      <c r="CHY285" s="18">
        <v>0</v>
      </c>
      <c r="CHZ285" s="18">
        <v>0</v>
      </c>
      <c r="CIA285" s="18">
        <v>0</v>
      </c>
      <c r="CIB285" s="18">
        <v>0</v>
      </c>
      <c r="CIC285" s="18">
        <v>0</v>
      </c>
      <c r="CID285" s="18">
        <v>0</v>
      </c>
      <c r="CIE285" s="18">
        <v>0</v>
      </c>
      <c r="CIF285" s="18">
        <v>0</v>
      </c>
      <c r="CIG285" s="18">
        <v>0</v>
      </c>
      <c r="CIH285" s="18">
        <v>0</v>
      </c>
      <c r="CII285" s="18">
        <v>0</v>
      </c>
      <c r="CIJ285" s="18">
        <v>0</v>
      </c>
      <c r="CIK285" s="18">
        <v>0</v>
      </c>
      <c r="CIL285" s="18">
        <v>0</v>
      </c>
      <c r="CIM285" s="18">
        <v>0</v>
      </c>
      <c r="CIN285" s="18">
        <v>0</v>
      </c>
      <c r="CIO285" s="18">
        <v>0</v>
      </c>
      <c r="CIP285" s="18">
        <v>0</v>
      </c>
      <c r="CIQ285" s="18">
        <v>0</v>
      </c>
      <c r="CIR285" s="18">
        <v>0</v>
      </c>
      <c r="CIS285" s="18">
        <v>0</v>
      </c>
      <c r="CIT285" s="18">
        <v>0</v>
      </c>
      <c r="CIU285" s="18">
        <v>0</v>
      </c>
      <c r="CIV285" s="18">
        <v>0</v>
      </c>
      <c r="CIW285" s="18">
        <v>0</v>
      </c>
      <c r="CIX285" s="18">
        <v>0</v>
      </c>
      <c r="CIY285" s="18">
        <v>0</v>
      </c>
      <c r="CIZ285" s="18">
        <v>0</v>
      </c>
      <c r="CJA285" s="18">
        <v>0</v>
      </c>
      <c r="CJB285" s="18">
        <v>0</v>
      </c>
      <c r="CJC285" s="18">
        <v>0</v>
      </c>
      <c r="CJD285" s="18">
        <v>0</v>
      </c>
      <c r="CJE285" s="18">
        <v>0</v>
      </c>
      <c r="CJF285" s="18">
        <v>0</v>
      </c>
      <c r="CJG285" s="18">
        <v>0</v>
      </c>
      <c r="CJH285" s="18">
        <v>0</v>
      </c>
      <c r="CJI285" s="18">
        <v>0</v>
      </c>
      <c r="CJJ285" s="18">
        <v>0</v>
      </c>
      <c r="CJK285" s="18">
        <v>0</v>
      </c>
      <c r="CJL285" s="18">
        <v>0</v>
      </c>
      <c r="CJM285" s="18">
        <v>0</v>
      </c>
      <c r="CJN285" s="18">
        <v>0</v>
      </c>
      <c r="CJO285" s="18">
        <v>0</v>
      </c>
      <c r="CJP285" s="18">
        <v>0</v>
      </c>
      <c r="CJQ285" s="18">
        <v>0</v>
      </c>
      <c r="CJR285" s="18">
        <v>0</v>
      </c>
      <c r="CJS285" s="18">
        <v>0</v>
      </c>
      <c r="CJT285" s="18">
        <v>0</v>
      </c>
      <c r="CJU285" s="18">
        <v>0</v>
      </c>
      <c r="CJV285" s="18">
        <v>0</v>
      </c>
      <c r="CJW285" s="18">
        <v>0</v>
      </c>
      <c r="CJX285" s="18">
        <v>0</v>
      </c>
      <c r="CJY285" s="18">
        <v>0</v>
      </c>
      <c r="CJZ285" s="18">
        <v>0</v>
      </c>
      <c r="CKA285" s="18">
        <v>0</v>
      </c>
      <c r="CKB285" s="18">
        <v>0</v>
      </c>
      <c r="CKC285" s="18">
        <v>0</v>
      </c>
      <c r="CKD285" s="18">
        <v>0</v>
      </c>
      <c r="CKE285" s="18">
        <v>0</v>
      </c>
      <c r="CKF285" s="18">
        <v>0</v>
      </c>
      <c r="CKG285" s="18">
        <v>0</v>
      </c>
      <c r="CKH285" s="18">
        <v>0</v>
      </c>
      <c r="CKI285" s="18">
        <v>0</v>
      </c>
      <c r="CKJ285" s="18">
        <v>0</v>
      </c>
      <c r="CKK285" s="18">
        <v>0</v>
      </c>
      <c r="CKL285" s="18">
        <v>0</v>
      </c>
      <c r="CKM285" s="18">
        <v>0</v>
      </c>
      <c r="CKN285" s="18">
        <v>0</v>
      </c>
      <c r="CKO285" s="18">
        <v>0</v>
      </c>
      <c r="CKP285" s="18">
        <v>0</v>
      </c>
      <c r="CKQ285" s="18">
        <v>0</v>
      </c>
      <c r="CKR285" s="18">
        <v>0</v>
      </c>
      <c r="CKS285" s="18">
        <v>0</v>
      </c>
      <c r="CKT285" s="18">
        <v>0</v>
      </c>
      <c r="CKU285" s="18">
        <v>0</v>
      </c>
      <c r="CKV285" s="18">
        <v>0</v>
      </c>
      <c r="CKW285" s="18">
        <v>0</v>
      </c>
      <c r="CKX285" s="18">
        <v>0</v>
      </c>
      <c r="CKY285" s="18">
        <v>0</v>
      </c>
      <c r="CKZ285" s="18">
        <v>0</v>
      </c>
      <c r="CLA285" s="18">
        <v>0</v>
      </c>
      <c r="CLB285" s="18">
        <v>0</v>
      </c>
      <c r="CLC285" s="18">
        <v>0</v>
      </c>
      <c r="CLD285" s="18">
        <v>0</v>
      </c>
      <c r="CLE285" s="18">
        <v>0</v>
      </c>
      <c r="CLF285" s="18">
        <v>0</v>
      </c>
      <c r="CLG285" s="18">
        <v>0</v>
      </c>
      <c r="CLH285" s="18">
        <v>0</v>
      </c>
      <c r="CLI285" s="18">
        <v>0</v>
      </c>
      <c r="CLJ285" s="18">
        <v>0</v>
      </c>
      <c r="CLK285" s="18">
        <v>0</v>
      </c>
      <c r="CLL285" s="18">
        <v>0</v>
      </c>
      <c r="CLM285" s="18">
        <v>0</v>
      </c>
      <c r="CLN285" s="18">
        <v>0</v>
      </c>
      <c r="CLO285" s="18">
        <v>0</v>
      </c>
      <c r="CLP285" s="18">
        <v>0</v>
      </c>
      <c r="CLQ285" s="18">
        <v>0</v>
      </c>
      <c r="CLR285" s="18">
        <v>0</v>
      </c>
      <c r="CLS285" s="18">
        <v>0</v>
      </c>
      <c r="CLT285" s="18">
        <v>0</v>
      </c>
      <c r="CLU285" s="18">
        <v>0</v>
      </c>
      <c r="CLV285" s="18">
        <v>0</v>
      </c>
      <c r="CLW285" s="18">
        <v>0</v>
      </c>
      <c r="CLX285" s="18">
        <v>0</v>
      </c>
      <c r="CLY285" s="18">
        <v>0</v>
      </c>
      <c r="CLZ285" s="18">
        <v>0</v>
      </c>
      <c r="CMA285" s="18">
        <v>0</v>
      </c>
      <c r="CMB285" s="18">
        <v>0</v>
      </c>
      <c r="CMC285" s="18">
        <v>0</v>
      </c>
      <c r="CMD285" s="18">
        <v>0</v>
      </c>
      <c r="CME285" s="18">
        <v>0</v>
      </c>
      <c r="CMF285" s="18">
        <v>0</v>
      </c>
      <c r="CMG285" s="18">
        <v>0</v>
      </c>
      <c r="CMH285" s="18">
        <v>0</v>
      </c>
      <c r="CMI285" s="18">
        <v>0</v>
      </c>
      <c r="CMJ285" s="18">
        <v>0</v>
      </c>
      <c r="CMK285" s="18">
        <v>0</v>
      </c>
      <c r="CML285" s="18">
        <v>0</v>
      </c>
      <c r="CMM285" s="18">
        <v>0</v>
      </c>
      <c r="CMN285" s="18">
        <v>0</v>
      </c>
      <c r="CMO285" s="18">
        <v>0</v>
      </c>
      <c r="CMP285" s="18">
        <v>0</v>
      </c>
      <c r="CMQ285" s="18">
        <v>0</v>
      </c>
      <c r="CMR285" s="18">
        <v>0</v>
      </c>
      <c r="CMS285" s="18">
        <v>0</v>
      </c>
      <c r="CMT285" s="18">
        <v>0</v>
      </c>
      <c r="CMU285" s="18">
        <v>0</v>
      </c>
      <c r="CMV285" s="18">
        <v>0</v>
      </c>
      <c r="CMW285" s="18">
        <v>0</v>
      </c>
      <c r="CMX285" s="18">
        <v>0</v>
      </c>
      <c r="CMY285" s="18">
        <v>0</v>
      </c>
      <c r="CMZ285" s="18">
        <v>0</v>
      </c>
      <c r="CNA285" s="18">
        <v>0</v>
      </c>
      <c r="CNB285" s="18">
        <v>0</v>
      </c>
      <c r="CNC285" s="18">
        <v>0</v>
      </c>
      <c r="CND285" s="18">
        <v>0</v>
      </c>
      <c r="CNE285" s="18">
        <v>0</v>
      </c>
      <c r="CNF285" s="18">
        <v>0</v>
      </c>
      <c r="CNG285" s="18">
        <v>0</v>
      </c>
      <c r="CNH285" s="18">
        <v>0</v>
      </c>
      <c r="CNI285" s="18">
        <v>0</v>
      </c>
      <c r="CNJ285" s="18">
        <v>0</v>
      </c>
      <c r="CNK285" s="18">
        <v>0</v>
      </c>
      <c r="CNL285" s="18">
        <v>0</v>
      </c>
      <c r="CNM285" s="18">
        <v>0</v>
      </c>
      <c r="CNN285" s="18">
        <v>0</v>
      </c>
      <c r="CNO285" s="18">
        <v>0</v>
      </c>
      <c r="CNP285" s="18">
        <v>0</v>
      </c>
      <c r="CNQ285" s="18">
        <v>0</v>
      </c>
      <c r="CNR285" s="18">
        <v>0</v>
      </c>
      <c r="CNS285" s="18">
        <v>0</v>
      </c>
      <c r="CNT285" s="18">
        <v>0</v>
      </c>
      <c r="CNU285" s="18">
        <v>0</v>
      </c>
      <c r="CNV285" s="18">
        <v>0</v>
      </c>
      <c r="CNW285" s="18">
        <v>0</v>
      </c>
      <c r="CNX285" s="18">
        <v>0</v>
      </c>
      <c r="CNY285" s="18">
        <v>0</v>
      </c>
      <c r="CNZ285" s="18">
        <v>0</v>
      </c>
      <c r="COA285" s="18">
        <v>0</v>
      </c>
      <c r="COB285" s="18">
        <v>0</v>
      </c>
      <c r="COC285" s="18">
        <v>0</v>
      </c>
      <c r="COD285" s="18">
        <v>0</v>
      </c>
      <c r="COE285" s="18">
        <v>0</v>
      </c>
      <c r="COF285" s="18">
        <v>0</v>
      </c>
      <c r="COG285" s="18">
        <v>0</v>
      </c>
      <c r="COH285" s="18">
        <v>0</v>
      </c>
      <c r="COI285" s="18">
        <v>0</v>
      </c>
      <c r="COJ285" s="18">
        <v>0</v>
      </c>
      <c r="COK285" s="18">
        <v>0</v>
      </c>
      <c r="COL285" s="18">
        <v>0</v>
      </c>
      <c r="COM285" s="18">
        <v>0</v>
      </c>
      <c r="CON285" s="18">
        <v>0</v>
      </c>
      <c r="COO285" s="18">
        <v>0</v>
      </c>
      <c r="COP285" s="18">
        <v>0</v>
      </c>
      <c r="COQ285" s="18">
        <v>0</v>
      </c>
      <c r="COR285" s="18">
        <v>0</v>
      </c>
      <c r="COS285" s="18">
        <v>0</v>
      </c>
      <c r="COT285" s="18">
        <v>0</v>
      </c>
      <c r="COU285" s="18">
        <v>0</v>
      </c>
      <c r="COV285" s="18">
        <v>0</v>
      </c>
      <c r="COW285" s="18">
        <v>0</v>
      </c>
      <c r="COX285" s="18">
        <v>0</v>
      </c>
      <c r="COY285" s="18">
        <v>0</v>
      </c>
      <c r="COZ285" s="18">
        <v>0</v>
      </c>
      <c r="CPA285" s="18">
        <v>0</v>
      </c>
      <c r="CPB285" s="18">
        <v>0</v>
      </c>
      <c r="CPC285" s="18">
        <v>0</v>
      </c>
      <c r="CPD285" s="18">
        <v>0</v>
      </c>
      <c r="CPE285" s="18">
        <v>0</v>
      </c>
      <c r="CPF285" s="18">
        <v>0</v>
      </c>
      <c r="CPG285" s="18">
        <v>0</v>
      </c>
      <c r="CPH285" s="18">
        <v>0</v>
      </c>
      <c r="CPI285" s="18">
        <v>0</v>
      </c>
      <c r="CPJ285" s="18">
        <v>0</v>
      </c>
      <c r="CPK285" s="18">
        <v>0</v>
      </c>
      <c r="CPL285" s="18">
        <v>0</v>
      </c>
      <c r="CPM285" s="18">
        <v>0</v>
      </c>
      <c r="CPN285" s="18">
        <v>0</v>
      </c>
      <c r="CPO285" s="18">
        <v>0</v>
      </c>
      <c r="CPP285" s="18">
        <v>0</v>
      </c>
      <c r="CPQ285" s="18">
        <v>0</v>
      </c>
      <c r="CPR285" s="18">
        <v>0</v>
      </c>
      <c r="CPS285" s="18">
        <v>0</v>
      </c>
      <c r="CPT285" s="18">
        <v>0</v>
      </c>
      <c r="CPU285" s="18">
        <v>0</v>
      </c>
      <c r="CPV285" s="18">
        <v>0</v>
      </c>
      <c r="CPW285" s="18">
        <v>0</v>
      </c>
      <c r="CPX285" s="18">
        <v>0</v>
      </c>
      <c r="CPY285" s="18">
        <v>0</v>
      </c>
      <c r="CPZ285" s="18">
        <v>0</v>
      </c>
      <c r="CQA285" s="18">
        <v>0</v>
      </c>
      <c r="CQB285" s="18">
        <v>0</v>
      </c>
      <c r="CQC285" s="18">
        <v>0</v>
      </c>
      <c r="CQD285" s="18">
        <v>0</v>
      </c>
      <c r="CQE285" s="18">
        <v>0</v>
      </c>
      <c r="CQF285" s="18">
        <v>0</v>
      </c>
      <c r="CQG285" s="18">
        <v>0</v>
      </c>
      <c r="CQH285" s="18">
        <v>0</v>
      </c>
      <c r="CQI285" s="18">
        <v>0</v>
      </c>
      <c r="CQJ285" s="18">
        <v>0</v>
      </c>
      <c r="CQK285" s="18">
        <v>0</v>
      </c>
      <c r="CQL285" s="18">
        <v>0</v>
      </c>
      <c r="CQM285" s="18">
        <v>0</v>
      </c>
      <c r="CQN285" s="18">
        <v>0</v>
      </c>
      <c r="CQO285" s="18">
        <v>0</v>
      </c>
      <c r="CQP285" s="18">
        <v>0</v>
      </c>
      <c r="CQQ285" s="18">
        <v>0</v>
      </c>
      <c r="CQR285" s="18">
        <v>0</v>
      </c>
      <c r="CQS285" s="18">
        <v>0</v>
      </c>
      <c r="CQT285" s="18">
        <v>0</v>
      </c>
      <c r="CQU285" s="18">
        <v>0</v>
      </c>
      <c r="CQV285" s="18">
        <v>0</v>
      </c>
      <c r="CQW285" s="18">
        <v>0</v>
      </c>
      <c r="CQX285" s="18">
        <v>0</v>
      </c>
      <c r="CQY285" s="18">
        <v>0</v>
      </c>
      <c r="CQZ285" s="18">
        <v>0</v>
      </c>
      <c r="CRA285" s="18">
        <v>0</v>
      </c>
      <c r="CRB285" s="18">
        <v>0</v>
      </c>
      <c r="CRC285" s="18">
        <v>0</v>
      </c>
      <c r="CRD285" s="18">
        <v>0</v>
      </c>
      <c r="CRE285" s="18">
        <v>0</v>
      </c>
      <c r="CRF285" s="18">
        <v>0</v>
      </c>
      <c r="CRG285" s="18">
        <v>0</v>
      </c>
      <c r="CRH285" s="18">
        <v>0</v>
      </c>
      <c r="CRI285" s="18">
        <v>0</v>
      </c>
      <c r="CRJ285" s="18">
        <v>0</v>
      </c>
      <c r="CRK285" s="18">
        <v>0</v>
      </c>
      <c r="CRL285" s="18">
        <v>0</v>
      </c>
      <c r="CRM285" s="18">
        <v>0</v>
      </c>
      <c r="CRN285" s="18">
        <v>0</v>
      </c>
      <c r="CRO285" s="18">
        <v>0</v>
      </c>
      <c r="CRP285" s="18">
        <v>0</v>
      </c>
      <c r="CRQ285" s="18">
        <v>0</v>
      </c>
      <c r="CRR285" s="18">
        <v>0</v>
      </c>
      <c r="CRS285" s="18">
        <v>0</v>
      </c>
      <c r="CRT285" s="18">
        <v>0</v>
      </c>
      <c r="CRU285" s="18">
        <v>0</v>
      </c>
      <c r="CRV285" s="18">
        <v>0</v>
      </c>
      <c r="CRW285" s="18">
        <v>0</v>
      </c>
      <c r="CRX285" s="18">
        <v>0</v>
      </c>
      <c r="CRY285" s="18">
        <v>0</v>
      </c>
      <c r="CRZ285" s="18">
        <v>0</v>
      </c>
      <c r="CSA285" s="18">
        <v>0</v>
      </c>
      <c r="CSB285" s="18">
        <v>0</v>
      </c>
      <c r="CSC285" s="18">
        <v>0</v>
      </c>
      <c r="CSD285" s="18">
        <v>0</v>
      </c>
      <c r="CSE285" s="18">
        <v>0</v>
      </c>
      <c r="CSF285" s="18">
        <v>0</v>
      </c>
      <c r="CSG285" s="18">
        <v>0</v>
      </c>
      <c r="CSH285" s="18">
        <v>0</v>
      </c>
      <c r="CSI285" s="18">
        <v>0</v>
      </c>
      <c r="CSJ285" s="18">
        <v>0</v>
      </c>
      <c r="CSK285" s="18">
        <v>0</v>
      </c>
      <c r="CSL285" s="18">
        <v>0</v>
      </c>
      <c r="CSM285" s="18">
        <v>0</v>
      </c>
      <c r="CSN285" s="18">
        <v>0</v>
      </c>
      <c r="CSO285" s="18">
        <v>0</v>
      </c>
      <c r="CSP285" s="18">
        <v>0</v>
      </c>
      <c r="CSQ285" s="18">
        <v>0</v>
      </c>
      <c r="CSR285" s="18">
        <v>0</v>
      </c>
      <c r="CSS285" s="18">
        <v>0</v>
      </c>
      <c r="CST285" s="18">
        <v>0</v>
      </c>
      <c r="CSU285" s="18">
        <v>0</v>
      </c>
      <c r="CSV285" s="18">
        <v>0</v>
      </c>
      <c r="CSW285" s="18">
        <v>0</v>
      </c>
      <c r="CSX285" s="18">
        <v>0</v>
      </c>
      <c r="CSY285" s="18">
        <v>0</v>
      </c>
      <c r="CSZ285" s="18">
        <v>0</v>
      </c>
      <c r="CTA285" s="18">
        <v>0</v>
      </c>
      <c r="CTB285" s="18">
        <v>0</v>
      </c>
      <c r="CTC285" s="18">
        <v>0</v>
      </c>
      <c r="CTD285" s="18">
        <v>0</v>
      </c>
      <c r="CTE285" s="18">
        <v>0</v>
      </c>
      <c r="CTF285" s="18">
        <v>0</v>
      </c>
      <c r="CTG285" s="18">
        <v>0</v>
      </c>
      <c r="CTH285" s="18">
        <v>0</v>
      </c>
      <c r="CTI285" s="18">
        <v>0</v>
      </c>
      <c r="CTJ285" s="18">
        <v>0</v>
      </c>
      <c r="CTK285" s="18">
        <v>0</v>
      </c>
      <c r="CTL285" s="18">
        <v>0</v>
      </c>
      <c r="CTM285" s="18">
        <v>0</v>
      </c>
      <c r="CTN285" s="18">
        <v>0</v>
      </c>
      <c r="CTO285" s="18">
        <v>0</v>
      </c>
      <c r="CTP285" s="18">
        <v>0</v>
      </c>
      <c r="CTQ285" s="18">
        <v>0</v>
      </c>
      <c r="CTR285" s="18">
        <v>0</v>
      </c>
      <c r="CTS285" s="18">
        <v>0</v>
      </c>
      <c r="CTT285" s="18">
        <v>0</v>
      </c>
      <c r="CTU285" s="18">
        <v>0</v>
      </c>
      <c r="CTV285" s="18">
        <v>0</v>
      </c>
      <c r="CTW285" s="18">
        <v>0</v>
      </c>
      <c r="CTX285" s="18">
        <v>0</v>
      </c>
      <c r="CTY285" s="18">
        <v>0</v>
      </c>
      <c r="CTZ285" s="18">
        <v>0</v>
      </c>
      <c r="CUA285" s="18">
        <v>0</v>
      </c>
      <c r="CUB285" s="18">
        <v>0</v>
      </c>
      <c r="CUC285" s="18">
        <v>0</v>
      </c>
      <c r="CUD285" s="18">
        <v>0</v>
      </c>
      <c r="CUE285" s="18">
        <v>0</v>
      </c>
      <c r="CUF285" s="18">
        <v>0</v>
      </c>
      <c r="CUG285" s="18">
        <v>0</v>
      </c>
      <c r="CUH285" s="18">
        <v>0</v>
      </c>
      <c r="CUI285" s="18">
        <v>0</v>
      </c>
      <c r="CUJ285" s="18">
        <v>0</v>
      </c>
      <c r="CUK285" s="18">
        <v>0</v>
      </c>
      <c r="CUL285" s="18">
        <v>0</v>
      </c>
      <c r="CUM285" s="18">
        <v>0</v>
      </c>
      <c r="CUN285" s="18">
        <v>0</v>
      </c>
      <c r="CUO285" s="18">
        <v>0</v>
      </c>
      <c r="CUP285" s="18">
        <v>0</v>
      </c>
      <c r="CUQ285" s="18">
        <v>0</v>
      </c>
      <c r="CUR285" s="18">
        <v>0</v>
      </c>
      <c r="CUS285" s="18">
        <v>0</v>
      </c>
      <c r="CUT285" s="18">
        <v>0</v>
      </c>
      <c r="CUU285" s="18">
        <v>0</v>
      </c>
      <c r="CUV285" s="18">
        <v>0</v>
      </c>
      <c r="CUW285" s="18">
        <v>0</v>
      </c>
      <c r="CUX285" s="18">
        <v>0</v>
      </c>
      <c r="CUY285" s="18">
        <v>0</v>
      </c>
      <c r="CUZ285" s="18">
        <v>0</v>
      </c>
      <c r="CVA285" s="18">
        <v>0</v>
      </c>
      <c r="CVB285" s="18">
        <v>0</v>
      </c>
      <c r="CVC285" s="18">
        <v>0</v>
      </c>
      <c r="CVD285" s="18">
        <v>0</v>
      </c>
      <c r="CVE285" s="18">
        <v>0</v>
      </c>
      <c r="CVF285" s="18">
        <v>0</v>
      </c>
      <c r="CVG285" s="18">
        <v>0</v>
      </c>
      <c r="CVH285" s="18">
        <v>0</v>
      </c>
      <c r="CVI285" s="18">
        <v>0</v>
      </c>
      <c r="CVJ285" s="18">
        <v>0</v>
      </c>
      <c r="CVK285" s="18">
        <v>0</v>
      </c>
      <c r="CVL285" s="18">
        <v>0</v>
      </c>
      <c r="CVM285" s="18">
        <v>0</v>
      </c>
      <c r="CVN285" s="18">
        <v>0</v>
      </c>
      <c r="CVO285" s="18">
        <v>0</v>
      </c>
      <c r="CVP285" s="18">
        <v>0</v>
      </c>
      <c r="CVQ285" s="18">
        <v>0</v>
      </c>
      <c r="CVR285" s="18">
        <v>0</v>
      </c>
      <c r="CVS285" s="18">
        <v>0</v>
      </c>
      <c r="CVT285" s="18">
        <v>0</v>
      </c>
      <c r="CVU285" s="18">
        <v>0</v>
      </c>
      <c r="CVV285" s="18">
        <v>0</v>
      </c>
      <c r="CVW285" s="18">
        <v>0</v>
      </c>
      <c r="CVX285" s="18">
        <v>0</v>
      </c>
      <c r="CVY285" s="18">
        <v>0</v>
      </c>
      <c r="CVZ285" s="18">
        <v>0</v>
      </c>
      <c r="CWA285" s="18">
        <v>0</v>
      </c>
      <c r="CWB285" s="18">
        <v>0</v>
      </c>
      <c r="CWC285" s="18">
        <v>0</v>
      </c>
      <c r="CWD285" s="18">
        <v>0</v>
      </c>
      <c r="CWE285" s="18">
        <v>0</v>
      </c>
      <c r="CWF285" s="18">
        <v>0</v>
      </c>
      <c r="CWG285" s="18">
        <v>0</v>
      </c>
      <c r="CWH285" s="18">
        <v>0</v>
      </c>
      <c r="CWI285" s="18">
        <v>0</v>
      </c>
      <c r="CWJ285" s="18">
        <v>0</v>
      </c>
      <c r="CWK285" s="18">
        <v>0</v>
      </c>
      <c r="CWL285" s="18">
        <v>0</v>
      </c>
      <c r="CWM285" s="18">
        <v>0</v>
      </c>
      <c r="CWN285" s="18">
        <v>0</v>
      </c>
      <c r="CWO285" s="18">
        <v>0</v>
      </c>
      <c r="CWP285" s="18">
        <v>0</v>
      </c>
      <c r="CWQ285" s="18">
        <v>0</v>
      </c>
      <c r="CWR285" s="18">
        <v>0</v>
      </c>
      <c r="CWS285" s="18">
        <v>0</v>
      </c>
      <c r="CWT285" s="18">
        <v>0</v>
      </c>
      <c r="CWU285" s="18">
        <v>0</v>
      </c>
      <c r="CWV285" s="18">
        <v>0</v>
      </c>
      <c r="CWW285" s="18">
        <v>0</v>
      </c>
      <c r="CWX285" s="18">
        <v>0</v>
      </c>
      <c r="CWY285" s="18">
        <v>0</v>
      </c>
      <c r="CWZ285" s="18">
        <v>0</v>
      </c>
      <c r="CXA285" s="18">
        <v>0</v>
      </c>
      <c r="CXB285" s="18">
        <v>0</v>
      </c>
      <c r="CXC285" s="18">
        <v>0</v>
      </c>
      <c r="CXD285" s="18">
        <v>0</v>
      </c>
      <c r="CXE285" s="18">
        <v>0</v>
      </c>
      <c r="CXF285" s="18">
        <v>0</v>
      </c>
      <c r="CXG285" s="18">
        <v>0</v>
      </c>
      <c r="CXH285" s="18">
        <v>0</v>
      </c>
      <c r="CXI285" s="18">
        <v>0</v>
      </c>
      <c r="CXJ285" s="18">
        <v>0</v>
      </c>
      <c r="CXK285" s="18">
        <v>0</v>
      </c>
      <c r="CXL285" s="18">
        <v>0</v>
      </c>
      <c r="CXM285" s="18">
        <v>0</v>
      </c>
      <c r="CXN285" s="18">
        <v>0</v>
      </c>
      <c r="CXO285" s="18">
        <v>0</v>
      </c>
      <c r="CXP285" s="18">
        <v>0</v>
      </c>
      <c r="CXQ285" s="18">
        <v>0</v>
      </c>
      <c r="CXR285" s="18">
        <v>0</v>
      </c>
      <c r="CXS285" s="18">
        <v>0</v>
      </c>
      <c r="CXT285" s="18">
        <v>0</v>
      </c>
      <c r="CXU285" s="18">
        <v>0</v>
      </c>
      <c r="CXV285" s="18">
        <v>0</v>
      </c>
      <c r="CXW285" s="18">
        <v>0</v>
      </c>
      <c r="CXX285" s="18">
        <v>0</v>
      </c>
      <c r="CXY285" s="18">
        <v>0</v>
      </c>
      <c r="CXZ285" s="18">
        <v>0</v>
      </c>
      <c r="CYA285" s="18">
        <v>0</v>
      </c>
      <c r="CYB285" s="18">
        <v>0</v>
      </c>
      <c r="CYC285" s="18">
        <v>0</v>
      </c>
      <c r="CYD285" s="18">
        <v>0</v>
      </c>
      <c r="CYE285" s="18">
        <v>0</v>
      </c>
      <c r="CYF285" s="18">
        <v>0</v>
      </c>
      <c r="CYG285" s="18">
        <v>0</v>
      </c>
      <c r="CYH285" s="18">
        <v>0</v>
      </c>
      <c r="CYI285" s="18">
        <v>0</v>
      </c>
      <c r="CYJ285" s="18">
        <v>0</v>
      </c>
      <c r="CYK285" s="18">
        <v>0</v>
      </c>
      <c r="CYL285" s="18">
        <v>0</v>
      </c>
      <c r="CYM285" s="18">
        <v>0</v>
      </c>
      <c r="CYN285" s="18">
        <v>0</v>
      </c>
      <c r="CYO285" s="18">
        <v>0</v>
      </c>
      <c r="CYP285" s="18">
        <v>0</v>
      </c>
      <c r="CYQ285" s="18">
        <v>0</v>
      </c>
      <c r="CYR285" s="18">
        <v>0</v>
      </c>
      <c r="CYS285" s="18">
        <v>0</v>
      </c>
      <c r="CYT285" s="18">
        <v>0</v>
      </c>
      <c r="CYU285" s="18">
        <v>0</v>
      </c>
      <c r="CYV285" s="18">
        <v>0</v>
      </c>
      <c r="CYW285" s="18">
        <v>0</v>
      </c>
      <c r="CYX285" s="18">
        <v>0</v>
      </c>
      <c r="CYY285" s="18">
        <v>0</v>
      </c>
      <c r="CYZ285" s="18">
        <v>0</v>
      </c>
      <c r="CZA285" s="18">
        <v>0</v>
      </c>
      <c r="CZB285" s="18">
        <v>0</v>
      </c>
      <c r="CZC285" s="18">
        <v>0</v>
      </c>
      <c r="CZD285" s="18">
        <v>0</v>
      </c>
      <c r="CZE285" s="18">
        <v>0</v>
      </c>
      <c r="CZF285" s="18">
        <v>0</v>
      </c>
      <c r="CZG285" s="18">
        <v>0</v>
      </c>
      <c r="CZH285" s="18">
        <v>0</v>
      </c>
      <c r="CZI285" s="18">
        <v>0</v>
      </c>
      <c r="CZJ285" s="18">
        <v>0</v>
      </c>
      <c r="CZK285" s="18">
        <v>0</v>
      </c>
      <c r="CZL285" s="18">
        <v>0</v>
      </c>
      <c r="CZM285" s="18">
        <v>0</v>
      </c>
      <c r="CZN285" s="18">
        <v>0</v>
      </c>
      <c r="CZO285" s="18">
        <v>0</v>
      </c>
      <c r="CZP285" s="18">
        <v>0</v>
      </c>
      <c r="CZQ285" s="18">
        <v>0</v>
      </c>
      <c r="CZR285" s="18">
        <v>0</v>
      </c>
      <c r="CZS285" s="18">
        <v>0</v>
      </c>
      <c r="CZT285" s="18">
        <v>0</v>
      </c>
      <c r="CZU285" s="18">
        <v>0</v>
      </c>
      <c r="CZV285" s="18">
        <v>0</v>
      </c>
      <c r="CZW285" s="18">
        <v>0</v>
      </c>
      <c r="CZX285" s="18">
        <v>0</v>
      </c>
      <c r="CZY285" s="18">
        <v>0</v>
      </c>
      <c r="CZZ285" s="18">
        <v>0</v>
      </c>
      <c r="DAA285" s="18">
        <v>0</v>
      </c>
      <c r="DAB285" s="18">
        <v>0</v>
      </c>
      <c r="DAC285" s="18">
        <v>0</v>
      </c>
      <c r="DAD285" s="18">
        <v>0</v>
      </c>
      <c r="DAE285" s="18">
        <v>0</v>
      </c>
      <c r="DAF285" s="18">
        <v>0</v>
      </c>
      <c r="DAG285" s="18">
        <v>0</v>
      </c>
      <c r="DAH285" s="18">
        <v>0</v>
      </c>
      <c r="DAI285" s="18">
        <v>0</v>
      </c>
      <c r="DAJ285" s="18">
        <v>0</v>
      </c>
      <c r="DAK285" s="18">
        <v>0</v>
      </c>
      <c r="DAL285" s="18">
        <v>0</v>
      </c>
      <c r="DAM285" s="18">
        <v>0</v>
      </c>
      <c r="DAN285" s="18">
        <v>0</v>
      </c>
      <c r="DAO285" s="18">
        <v>0</v>
      </c>
      <c r="DAP285" s="18">
        <v>0</v>
      </c>
      <c r="DAQ285" s="18">
        <v>0</v>
      </c>
      <c r="DAR285" s="18">
        <v>0</v>
      </c>
      <c r="DAS285" s="18">
        <v>0</v>
      </c>
      <c r="DAT285" s="18">
        <v>0</v>
      </c>
      <c r="DAU285" s="18">
        <v>0</v>
      </c>
      <c r="DAV285" s="18">
        <v>0</v>
      </c>
      <c r="DAW285" s="18">
        <v>0</v>
      </c>
      <c r="DAX285" s="18">
        <v>0</v>
      </c>
      <c r="DAY285" s="18">
        <v>0</v>
      </c>
      <c r="DAZ285" s="18">
        <v>0</v>
      </c>
      <c r="DBA285" s="18">
        <v>0</v>
      </c>
      <c r="DBB285" s="18">
        <v>0</v>
      </c>
      <c r="DBC285" s="18">
        <v>0</v>
      </c>
      <c r="DBD285" s="18">
        <v>0</v>
      </c>
      <c r="DBE285" s="18">
        <v>0</v>
      </c>
      <c r="DBF285" s="18">
        <v>0</v>
      </c>
      <c r="DBG285" s="18">
        <v>0</v>
      </c>
      <c r="DBH285" s="18">
        <v>0</v>
      </c>
      <c r="DBI285" s="18">
        <v>0</v>
      </c>
      <c r="DBJ285" s="18">
        <v>0</v>
      </c>
      <c r="DBK285" s="18">
        <v>0</v>
      </c>
      <c r="DBL285" s="18">
        <v>0</v>
      </c>
      <c r="DBM285" s="18">
        <v>0</v>
      </c>
      <c r="DBN285" s="18">
        <v>0</v>
      </c>
      <c r="DBO285" s="18">
        <v>0</v>
      </c>
      <c r="DBP285" s="18">
        <v>0</v>
      </c>
      <c r="DBQ285" s="18">
        <v>0</v>
      </c>
      <c r="DBR285" s="18">
        <v>0</v>
      </c>
      <c r="DBS285" s="18">
        <v>0</v>
      </c>
      <c r="DBT285" s="18">
        <v>0</v>
      </c>
      <c r="DBU285" s="18">
        <v>0</v>
      </c>
      <c r="DBV285" s="18">
        <v>0</v>
      </c>
      <c r="DBW285" s="18">
        <v>0</v>
      </c>
      <c r="DBX285" s="18">
        <v>0</v>
      </c>
      <c r="DBY285" s="18">
        <v>0</v>
      </c>
      <c r="DBZ285" s="18">
        <v>0</v>
      </c>
      <c r="DCA285" s="18">
        <v>0</v>
      </c>
      <c r="DCB285" s="18">
        <v>0</v>
      </c>
      <c r="DCC285" s="18">
        <v>0</v>
      </c>
      <c r="DCD285" s="18">
        <v>0</v>
      </c>
      <c r="DCE285" s="18">
        <v>0</v>
      </c>
      <c r="DCF285" s="18">
        <v>0</v>
      </c>
      <c r="DCG285" s="18">
        <v>0</v>
      </c>
      <c r="DCH285" s="18">
        <v>0</v>
      </c>
      <c r="DCI285" s="18">
        <v>0</v>
      </c>
      <c r="DCJ285" s="18">
        <v>0</v>
      </c>
      <c r="DCK285" s="18">
        <v>0</v>
      </c>
      <c r="DCL285" s="18">
        <v>0</v>
      </c>
      <c r="DCM285" s="18">
        <v>0</v>
      </c>
      <c r="DCN285" s="18">
        <v>0</v>
      </c>
      <c r="DCO285" s="18">
        <v>0</v>
      </c>
      <c r="DCP285" s="18">
        <v>0</v>
      </c>
      <c r="DCQ285" s="18">
        <v>0</v>
      </c>
      <c r="DCR285" s="18">
        <v>0</v>
      </c>
      <c r="DCS285" s="18">
        <v>0</v>
      </c>
      <c r="DCT285" s="18">
        <v>0</v>
      </c>
      <c r="DCU285" s="18">
        <v>0</v>
      </c>
      <c r="DCV285" s="18">
        <v>0</v>
      </c>
      <c r="DCW285" s="18">
        <v>0</v>
      </c>
      <c r="DCX285" s="18">
        <v>0</v>
      </c>
      <c r="DCY285" s="18">
        <v>0</v>
      </c>
      <c r="DCZ285" s="18">
        <v>0</v>
      </c>
      <c r="DDA285" s="18">
        <v>0</v>
      </c>
      <c r="DDB285" s="18">
        <v>0</v>
      </c>
      <c r="DDC285" s="18">
        <v>0</v>
      </c>
      <c r="DDD285" s="18">
        <v>0</v>
      </c>
      <c r="DDE285" s="18">
        <v>0</v>
      </c>
      <c r="DDF285" s="18">
        <v>0</v>
      </c>
      <c r="DDG285" s="18">
        <v>0</v>
      </c>
      <c r="DDH285" s="18">
        <v>0</v>
      </c>
      <c r="DDI285" s="18">
        <v>0</v>
      </c>
      <c r="DDJ285" s="18">
        <v>0</v>
      </c>
      <c r="DDK285" s="18">
        <v>0</v>
      </c>
      <c r="DDL285" s="18">
        <v>0</v>
      </c>
      <c r="DDM285" s="18">
        <v>0</v>
      </c>
      <c r="DDN285" s="18">
        <v>0</v>
      </c>
      <c r="DDO285" s="18">
        <v>0</v>
      </c>
      <c r="DDP285" s="18">
        <v>0</v>
      </c>
      <c r="DDQ285" s="18">
        <v>0</v>
      </c>
      <c r="DDR285" s="18">
        <v>0</v>
      </c>
      <c r="DDS285" s="18">
        <v>0</v>
      </c>
      <c r="DDT285" s="18">
        <v>0</v>
      </c>
      <c r="DDU285" s="18">
        <v>0</v>
      </c>
      <c r="DDV285" s="18">
        <v>0</v>
      </c>
      <c r="DDW285" s="18">
        <v>0</v>
      </c>
      <c r="DDX285" s="18">
        <v>0</v>
      </c>
      <c r="DDY285" s="18">
        <v>0</v>
      </c>
      <c r="DDZ285" s="18">
        <v>0</v>
      </c>
      <c r="DEA285" s="18">
        <v>0</v>
      </c>
      <c r="DEB285" s="18">
        <v>0</v>
      </c>
      <c r="DEC285" s="18">
        <v>0</v>
      </c>
      <c r="DED285" s="18">
        <v>0</v>
      </c>
      <c r="DEE285" s="18">
        <v>0</v>
      </c>
      <c r="DEF285" s="18">
        <v>0</v>
      </c>
      <c r="DEG285" s="18">
        <v>0</v>
      </c>
      <c r="DEH285" s="18">
        <v>0</v>
      </c>
      <c r="DEI285" s="18">
        <v>0</v>
      </c>
      <c r="DEJ285" s="18">
        <v>0</v>
      </c>
      <c r="DEK285" s="18">
        <v>0</v>
      </c>
      <c r="DEL285" s="18">
        <v>0</v>
      </c>
      <c r="DEM285" s="18">
        <v>0</v>
      </c>
      <c r="DEN285" s="18">
        <v>0</v>
      </c>
      <c r="DEO285" s="18">
        <v>0</v>
      </c>
      <c r="DEP285" s="18">
        <v>0</v>
      </c>
      <c r="DEQ285" s="18">
        <v>0</v>
      </c>
      <c r="DER285" s="18">
        <v>0</v>
      </c>
      <c r="DES285" s="18">
        <v>0</v>
      </c>
      <c r="DET285" s="18">
        <v>0</v>
      </c>
      <c r="DEU285" s="18">
        <v>0</v>
      </c>
      <c r="DEV285" s="18">
        <v>0</v>
      </c>
      <c r="DEW285" s="18">
        <v>0</v>
      </c>
      <c r="DEX285" s="18">
        <v>0</v>
      </c>
      <c r="DEY285" s="18">
        <v>0</v>
      </c>
      <c r="DEZ285" s="18">
        <v>0</v>
      </c>
      <c r="DFA285" s="18">
        <v>0</v>
      </c>
      <c r="DFB285" s="18">
        <v>0</v>
      </c>
      <c r="DFC285" s="18">
        <v>0</v>
      </c>
      <c r="DFD285" s="18">
        <v>0</v>
      </c>
      <c r="DFE285" s="18">
        <v>0</v>
      </c>
      <c r="DFF285" s="18">
        <v>0</v>
      </c>
      <c r="DFG285" s="18">
        <v>0</v>
      </c>
      <c r="DFH285" s="18">
        <v>0</v>
      </c>
      <c r="DFI285" s="18">
        <v>0</v>
      </c>
      <c r="DFJ285" s="18">
        <v>0</v>
      </c>
      <c r="DFK285" s="18">
        <v>0</v>
      </c>
      <c r="DFL285" s="18">
        <v>0</v>
      </c>
      <c r="DFM285" s="18">
        <v>0</v>
      </c>
      <c r="DFN285" s="18">
        <v>0</v>
      </c>
      <c r="DFO285" s="18">
        <v>0</v>
      </c>
      <c r="DFP285" s="18">
        <v>0</v>
      </c>
      <c r="DFQ285" s="18">
        <v>0</v>
      </c>
      <c r="DFR285" s="18">
        <v>0</v>
      </c>
      <c r="DFS285" s="18">
        <v>0</v>
      </c>
      <c r="DFT285" s="18">
        <v>0</v>
      </c>
      <c r="DFU285" s="18">
        <v>0</v>
      </c>
      <c r="DFV285" s="18">
        <v>0</v>
      </c>
      <c r="DFW285" s="18">
        <v>0</v>
      </c>
      <c r="DFX285" s="18">
        <v>0</v>
      </c>
      <c r="DFY285" s="18">
        <v>0</v>
      </c>
      <c r="DFZ285" s="18">
        <v>0</v>
      </c>
      <c r="DGA285" s="18">
        <v>0</v>
      </c>
      <c r="DGB285" s="18">
        <v>0</v>
      </c>
      <c r="DGC285" s="18">
        <v>0</v>
      </c>
      <c r="DGD285" s="18">
        <v>0</v>
      </c>
      <c r="DGE285" s="18">
        <v>0</v>
      </c>
      <c r="DGF285" s="18">
        <v>0</v>
      </c>
      <c r="DGG285" s="18">
        <v>0</v>
      </c>
      <c r="DGH285" s="18">
        <v>0</v>
      </c>
      <c r="DGI285" s="18">
        <v>0</v>
      </c>
      <c r="DGJ285" s="18">
        <v>0</v>
      </c>
      <c r="DGK285" s="18">
        <v>0</v>
      </c>
      <c r="DGL285" s="18">
        <v>0</v>
      </c>
      <c r="DGM285" s="18">
        <v>0</v>
      </c>
      <c r="DGN285" s="18">
        <v>0</v>
      </c>
      <c r="DGO285" s="18">
        <v>0</v>
      </c>
      <c r="DGP285" s="18">
        <v>0</v>
      </c>
      <c r="DGQ285" s="18">
        <v>0</v>
      </c>
      <c r="DGR285" s="18">
        <v>0</v>
      </c>
      <c r="DGS285" s="18">
        <v>0</v>
      </c>
      <c r="DGT285" s="18">
        <v>0</v>
      </c>
      <c r="DGU285" s="18">
        <v>0</v>
      </c>
      <c r="DGV285" s="18">
        <v>0</v>
      </c>
      <c r="DGW285" s="18">
        <v>0</v>
      </c>
      <c r="DGX285" s="18">
        <v>0</v>
      </c>
      <c r="DGY285" s="18">
        <v>0</v>
      </c>
      <c r="DGZ285" s="18">
        <v>0</v>
      </c>
      <c r="DHA285" s="18">
        <v>0</v>
      </c>
      <c r="DHB285" s="18">
        <v>0</v>
      </c>
      <c r="DHC285" s="18">
        <v>0</v>
      </c>
      <c r="DHD285" s="18">
        <v>0</v>
      </c>
      <c r="DHE285" s="18">
        <v>0</v>
      </c>
      <c r="DHF285" s="18">
        <v>0</v>
      </c>
      <c r="DHG285" s="18">
        <v>0</v>
      </c>
      <c r="DHH285" s="18">
        <v>0</v>
      </c>
      <c r="DHI285" s="18">
        <v>0</v>
      </c>
      <c r="DHJ285" s="18">
        <v>0</v>
      </c>
      <c r="DHK285" s="18">
        <v>0</v>
      </c>
      <c r="DHL285" s="18">
        <v>0</v>
      </c>
      <c r="DHM285" s="18">
        <v>0</v>
      </c>
      <c r="DHN285" s="18">
        <v>0</v>
      </c>
      <c r="DHO285" s="18">
        <v>0</v>
      </c>
      <c r="DHP285" s="18">
        <v>0</v>
      </c>
      <c r="DHQ285" s="18">
        <v>0</v>
      </c>
      <c r="DHR285" s="18">
        <v>0</v>
      </c>
      <c r="DHS285" s="18">
        <v>0</v>
      </c>
      <c r="DHT285" s="18">
        <v>0</v>
      </c>
      <c r="DHU285" s="18">
        <v>0</v>
      </c>
      <c r="DHV285" s="18">
        <v>0</v>
      </c>
      <c r="DHW285" s="18">
        <v>0</v>
      </c>
      <c r="DHX285" s="18">
        <v>0</v>
      </c>
      <c r="DHY285" s="18">
        <v>0</v>
      </c>
      <c r="DHZ285" s="18">
        <v>0</v>
      </c>
      <c r="DIA285" s="18">
        <v>0</v>
      </c>
      <c r="DIB285" s="18">
        <v>0</v>
      </c>
      <c r="DIC285" s="18">
        <v>0</v>
      </c>
      <c r="DID285" s="18">
        <v>0</v>
      </c>
      <c r="DIE285" s="18">
        <v>0</v>
      </c>
      <c r="DIF285" s="18">
        <v>0</v>
      </c>
      <c r="DIG285" s="18">
        <v>0</v>
      </c>
      <c r="DIH285" s="18">
        <v>0</v>
      </c>
      <c r="DII285" s="18">
        <v>0</v>
      </c>
      <c r="DIJ285" s="18">
        <v>0</v>
      </c>
      <c r="DIK285" s="18">
        <v>0</v>
      </c>
      <c r="DIL285" s="18">
        <v>0</v>
      </c>
      <c r="DIM285" s="18">
        <v>0</v>
      </c>
      <c r="DIN285" s="18">
        <v>0</v>
      </c>
      <c r="DIO285" s="18">
        <v>0</v>
      </c>
      <c r="DIP285" s="18">
        <v>0</v>
      </c>
      <c r="DIQ285" s="18">
        <v>0</v>
      </c>
      <c r="DIR285" s="18">
        <v>0</v>
      </c>
      <c r="DIS285" s="18">
        <v>0</v>
      </c>
      <c r="DIT285" s="18">
        <v>0</v>
      </c>
      <c r="DIU285" s="18">
        <v>0</v>
      </c>
      <c r="DIV285" s="18">
        <v>0</v>
      </c>
      <c r="DIW285" s="18">
        <v>0</v>
      </c>
      <c r="DIX285" s="18">
        <v>0</v>
      </c>
      <c r="DIY285" s="18">
        <v>0</v>
      </c>
      <c r="DIZ285" s="18">
        <v>0</v>
      </c>
      <c r="DJA285" s="18">
        <v>0</v>
      </c>
      <c r="DJB285" s="18">
        <v>0</v>
      </c>
      <c r="DJC285" s="18">
        <v>0</v>
      </c>
      <c r="DJD285" s="18">
        <v>0</v>
      </c>
      <c r="DJE285" s="18">
        <v>0</v>
      </c>
      <c r="DJF285" s="18">
        <v>0</v>
      </c>
      <c r="DJG285" s="18">
        <v>0</v>
      </c>
      <c r="DJH285" s="18">
        <v>0</v>
      </c>
      <c r="DJI285" s="18">
        <v>0</v>
      </c>
      <c r="DJJ285" s="18">
        <v>0</v>
      </c>
      <c r="DJK285" s="18">
        <v>0</v>
      </c>
      <c r="DJL285" s="18">
        <v>0</v>
      </c>
      <c r="DJM285" s="18">
        <v>0</v>
      </c>
      <c r="DJN285" s="18">
        <v>0</v>
      </c>
      <c r="DJO285" s="18">
        <v>0</v>
      </c>
      <c r="DJP285" s="18">
        <v>0</v>
      </c>
      <c r="DJQ285" s="18">
        <v>0</v>
      </c>
      <c r="DJR285" s="18">
        <v>0</v>
      </c>
      <c r="DJS285" s="18">
        <v>0</v>
      </c>
      <c r="DJT285" s="18">
        <v>0</v>
      </c>
      <c r="DJU285" s="18">
        <v>0</v>
      </c>
      <c r="DJV285" s="18">
        <v>0</v>
      </c>
      <c r="DJW285" s="18">
        <v>0</v>
      </c>
      <c r="DJX285" s="18">
        <v>0</v>
      </c>
      <c r="DJY285" s="18">
        <v>0</v>
      </c>
      <c r="DJZ285" s="18">
        <v>0</v>
      </c>
      <c r="DKA285" s="18">
        <v>0</v>
      </c>
      <c r="DKB285" s="18">
        <v>0</v>
      </c>
      <c r="DKC285" s="18">
        <v>0</v>
      </c>
      <c r="DKD285" s="18">
        <v>0</v>
      </c>
      <c r="DKE285" s="18">
        <v>0</v>
      </c>
      <c r="DKF285" s="18">
        <v>0</v>
      </c>
      <c r="DKG285" s="18">
        <v>0</v>
      </c>
      <c r="DKH285" s="18">
        <v>0</v>
      </c>
      <c r="DKI285" s="18">
        <v>0</v>
      </c>
      <c r="DKJ285" s="18">
        <v>0</v>
      </c>
      <c r="DKK285" s="18">
        <v>0</v>
      </c>
      <c r="DKL285" s="18">
        <v>0</v>
      </c>
      <c r="DKM285" s="18">
        <v>0</v>
      </c>
      <c r="DKN285" s="18">
        <v>0</v>
      </c>
      <c r="DKO285" s="18">
        <v>0</v>
      </c>
      <c r="DKP285" s="18">
        <v>0</v>
      </c>
      <c r="DKQ285" s="18">
        <v>0</v>
      </c>
      <c r="DKR285" s="18">
        <v>0</v>
      </c>
      <c r="DKS285" s="18">
        <v>0</v>
      </c>
      <c r="DKT285" s="18">
        <v>0</v>
      </c>
      <c r="DKU285" s="18">
        <v>0</v>
      </c>
      <c r="DKV285" s="18">
        <v>0</v>
      </c>
      <c r="DKW285" s="18">
        <v>0</v>
      </c>
      <c r="DKX285" s="18">
        <v>0</v>
      </c>
      <c r="DKY285" s="18">
        <v>0</v>
      </c>
      <c r="DKZ285" s="18">
        <v>0</v>
      </c>
      <c r="DLA285" s="18">
        <v>0</v>
      </c>
      <c r="DLB285" s="18">
        <v>0</v>
      </c>
      <c r="DLC285" s="18">
        <v>0</v>
      </c>
      <c r="DLD285" s="18">
        <v>0</v>
      </c>
      <c r="DLE285" s="18">
        <v>0</v>
      </c>
      <c r="DLF285" s="18">
        <v>0</v>
      </c>
      <c r="DLG285" s="18">
        <v>0</v>
      </c>
      <c r="DLH285" s="18">
        <v>0</v>
      </c>
      <c r="DLI285" s="18">
        <v>0</v>
      </c>
      <c r="DLJ285" s="18">
        <v>0</v>
      </c>
      <c r="DLK285" s="18">
        <v>0</v>
      </c>
      <c r="DLL285" s="18">
        <v>0</v>
      </c>
      <c r="DLM285" s="18">
        <v>0</v>
      </c>
      <c r="DLN285" s="18">
        <v>0</v>
      </c>
      <c r="DLO285" s="18">
        <v>0</v>
      </c>
      <c r="DLP285" s="18">
        <v>0</v>
      </c>
      <c r="DLQ285" s="18">
        <v>0</v>
      </c>
      <c r="DLR285" s="18">
        <v>0</v>
      </c>
      <c r="DLS285" s="18">
        <v>0</v>
      </c>
      <c r="DLT285" s="18">
        <v>0</v>
      </c>
      <c r="DLU285" s="18">
        <v>0</v>
      </c>
      <c r="DLV285" s="18">
        <v>0</v>
      </c>
      <c r="DLW285" s="18">
        <v>0</v>
      </c>
      <c r="DLX285" s="18">
        <v>0</v>
      </c>
      <c r="DLY285" s="18">
        <v>0</v>
      </c>
      <c r="DLZ285" s="18">
        <v>0</v>
      </c>
      <c r="DMA285" s="18">
        <v>0</v>
      </c>
      <c r="DMB285" s="18">
        <v>0</v>
      </c>
      <c r="DMC285" s="18">
        <v>0</v>
      </c>
      <c r="DMD285" s="18">
        <v>0</v>
      </c>
      <c r="DME285" s="18">
        <v>0</v>
      </c>
      <c r="DMF285" s="18">
        <v>0</v>
      </c>
      <c r="DMG285" s="18">
        <v>0</v>
      </c>
      <c r="DMH285" s="18">
        <v>0</v>
      </c>
      <c r="DMI285" s="18">
        <v>0</v>
      </c>
      <c r="DMJ285" s="18">
        <v>0</v>
      </c>
      <c r="DMK285" s="18">
        <v>0</v>
      </c>
      <c r="DML285" s="18">
        <v>0</v>
      </c>
      <c r="DMM285" s="18">
        <v>0</v>
      </c>
      <c r="DMN285" s="18">
        <v>0</v>
      </c>
      <c r="DMO285" s="18">
        <v>0</v>
      </c>
      <c r="DMP285" s="18">
        <v>0</v>
      </c>
      <c r="DMQ285" s="18">
        <v>0</v>
      </c>
      <c r="DMR285" s="18">
        <v>0</v>
      </c>
      <c r="DMS285" s="18">
        <v>0</v>
      </c>
      <c r="DMT285" s="18">
        <v>0</v>
      </c>
      <c r="DMU285" s="18">
        <v>0</v>
      </c>
      <c r="DMV285" s="18">
        <v>0</v>
      </c>
      <c r="DMW285" s="18">
        <v>0</v>
      </c>
      <c r="DMX285" s="18">
        <v>0</v>
      </c>
      <c r="DMY285" s="18">
        <v>0</v>
      </c>
      <c r="DMZ285" s="18">
        <v>0</v>
      </c>
      <c r="DNA285" s="18">
        <v>0</v>
      </c>
      <c r="DNB285" s="18">
        <v>0</v>
      </c>
      <c r="DNC285" s="18">
        <v>0</v>
      </c>
      <c r="DND285" s="18">
        <v>0</v>
      </c>
      <c r="DNE285" s="18">
        <v>0</v>
      </c>
      <c r="DNF285" s="18">
        <v>0</v>
      </c>
      <c r="DNG285" s="18">
        <v>0</v>
      </c>
      <c r="DNH285" s="18">
        <v>0</v>
      </c>
      <c r="DNI285" s="18">
        <v>0</v>
      </c>
      <c r="DNJ285" s="18">
        <v>0</v>
      </c>
      <c r="DNK285" s="18">
        <v>0</v>
      </c>
      <c r="DNL285" s="18">
        <v>0</v>
      </c>
      <c r="DNM285" s="18">
        <v>0</v>
      </c>
      <c r="DNN285" s="18">
        <v>0</v>
      </c>
      <c r="DNO285" s="18">
        <v>0</v>
      </c>
      <c r="DNP285" s="18">
        <v>0</v>
      </c>
      <c r="DNQ285" s="18">
        <v>0</v>
      </c>
      <c r="DNR285" s="18">
        <v>0</v>
      </c>
      <c r="DNS285" s="18">
        <v>0</v>
      </c>
      <c r="DNT285" s="18">
        <v>0</v>
      </c>
      <c r="DNU285" s="18">
        <v>0</v>
      </c>
      <c r="DNV285" s="18">
        <v>0</v>
      </c>
      <c r="DNW285" s="18">
        <v>0</v>
      </c>
      <c r="DNX285" s="18">
        <v>0</v>
      </c>
      <c r="DNY285" s="18">
        <v>0</v>
      </c>
      <c r="DNZ285" s="18">
        <v>0</v>
      </c>
      <c r="DOA285" s="18">
        <v>0</v>
      </c>
      <c r="DOB285" s="18">
        <v>0</v>
      </c>
      <c r="DOC285" s="18">
        <v>0</v>
      </c>
      <c r="DOD285" s="18">
        <v>0</v>
      </c>
      <c r="DOE285" s="18">
        <v>0</v>
      </c>
      <c r="DOF285" s="18">
        <v>0</v>
      </c>
      <c r="DOG285" s="18">
        <v>0</v>
      </c>
      <c r="DOH285" s="18">
        <v>0</v>
      </c>
      <c r="DOI285" s="18">
        <v>0</v>
      </c>
      <c r="DOJ285" s="18">
        <v>0</v>
      </c>
      <c r="DOK285" s="18">
        <v>0</v>
      </c>
      <c r="DOL285" s="18">
        <v>0</v>
      </c>
      <c r="DOM285" s="18">
        <v>0</v>
      </c>
      <c r="DON285" s="18">
        <v>0</v>
      </c>
      <c r="DOO285" s="18">
        <v>0</v>
      </c>
      <c r="DOP285" s="18">
        <v>0</v>
      </c>
      <c r="DOQ285" s="18">
        <v>0</v>
      </c>
      <c r="DOR285" s="18">
        <v>0</v>
      </c>
      <c r="DOS285" s="18">
        <v>0</v>
      </c>
      <c r="DOT285" s="18">
        <v>0</v>
      </c>
      <c r="DOU285" s="18">
        <v>0</v>
      </c>
      <c r="DOV285" s="18">
        <v>0</v>
      </c>
      <c r="DOW285" s="18">
        <v>0</v>
      </c>
      <c r="DOX285" s="18">
        <v>0</v>
      </c>
      <c r="DOY285" s="18">
        <v>0</v>
      </c>
      <c r="DOZ285" s="18">
        <v>0</v>
      </c>
      <c r="DPA285" s="18">
        <v>0</v>
      </c>
      <c r="DPB285" s="18">
        <v>0</v>
      </c>
      <c r="DPC285" s="18">
        <v>0</v>
      </c>
      <c r="DPD285" s="18">
        <v>0</v>
      </c>
      <c r="DPE285" s="18">
        <v>0</v>
      </c>
      <c r="DPF285" s="18">
        <v>0</v>
      </c>
      <c r="DPG285" s="18">
        <v>0</v>
      </c>
      <c r="DPH285" s="18">
        <v>0</v>
      </c>
      <c r="DPI285" s="18">
        <v>0</v>
      </c>
      <c r="DPJ285" s="18">
        <v>0</v>
      </c>
      <c r="DPK285" s="18">
        <v>0</v>
      </c>
      <c r="DPL285" s="18">
        <v>0</v>
      </c>
      <c r="DPM285" s="18">
        <v>0</v>
      </c>
      <c r="DPN285" s="18">
        <v>0</v>
      </c>
      <c r="DPO285" s="18">
        <v>0</v>
      </c>
      <c r="DPP285" s="18">
        <v>0</v>
      </c>
      <c r="DPQ285" s="18">
        <v>0</v>
      </c>
      <c r="DPR285" s="18">
        <v>0</v>
      </c>
      <c r="DPS285" s="18">
        <v>0</v>
      </c>
      <c r="DPT285" s="18">
        <v>0</v>
      </c>
      <c r="DPU285" s="18">
        <v>0</v>
      </c>
      <c r="DPV285" s="18">
        <v>0</v>
      </c>
      <c r="DPW285" s="18">
        <v>0</v>
      </c>
      <c r="DPX285" s="18">
        <v>0</v>
      </c>
      <c r="DPY285" s="18">
        <v>0</v>
      </c>
      <c r="DPZ285" s="18">
        <v>0</v>
      </c>
      <c r="DQA285" s="18">
        <v>0</v>
      </c>
      <c r="DQB285" s="18">
        <v>0</v>
      </c>
      <c r="DQC285" s="18">
        <v>0</v>
      </c>
      <c r="DQD285" s="18">
        <v>0</v>
      </c>
      <c r="DQE285" s="18">
        <v>0</v>
      </c>
      <c r="DQF285" s="18">
        <v>0</v>
      </c>
      <c r="DQG285" s="18">
        <v>0</v>
      </c>
      <c r="DQH285" s="18">
        <v>0</v>
      </c>
      <c r="DQI285" s="18">
        <v>0</v>
      </c>
      <c r="DQJ285" s="18">
        <v>0</v>
      </c>
      <c r="DQK285" s="18">
        <v>0</v>
      </c>
      <c r="DQL285" s="18">
        <v>0</v>
      </c>
      <c r="DQM285" s="18">
        <v>0</v>
      </c>
      <c r="DQN285" s="18">
        <v>0</v>
      </c>
      <c r="DQO285" s="18">
        <v>0</v>
      </c>
      <c r="DQP285" s="18">
        <v>0</v>
      </c>
      <c r="DQQ285" s="18">
        <v>0</v>
      </c>
      <c r="DQR285" s="18">
        <v>0</v>
      </c>
      <c r="DQS285" s="18">
        <v>0</v>
      </c>
      <c r="DQT285" s="18">
        <v>0</v>
      </c>
      <c r="DQU285" s="18">
        <v>0</v>
      </c>
      <c r="DQV285" s="18">
        <v>0</v>
      </c>
      <c r="DQW285" s="18">
        <v>0</v>
      </c>
      <c r="DQX285" s="18">
        <v>0</v>
      </c>
      <c r="DQY285" s="18">
        <v>0</v>
      </c>
      <c r="DQZ285" s="18">
        <v>0</v>
      </c>
      <c r="DRA285" s="18">
        <v>0</v>
      </c>
      <c r="DRB285" s="18">
        <v>0</v>
      </c>
      <c r="DRC285" s="18">
        <v>0</v>
      </c>
      <c r="DRD285" s="18">
        <v>0</v>
      </c>
      <c r="DRE285" s="18">
        <v>0</v>
      </c>
      <c r="DRF285" s="18">
        <v>0</v>
      </c>
      <c r="DRG285" s="18">
        <v>0</v>
      </c>
      <c r="DRH285" s="18">
        <v>0</v>
      </c>
      <c r="DRI285" s="18">
        <v>0</v>
      </c>
      <c r="DRJ285" s="18">
        <v>0</v>
      </c>
      <c r="DRK285" s="18">
        <v>0</v>
      </c>
      <c r="DRL285" s="18">
        <v>0</v>
      </c>
      <c r="DRM285" s="18">
        <v>0</v>
      </c>
      <c r="DRN285" s="18">
        <v>0</v>
      </c>
      <c r="DRO285" s="18">
        <v>0</v>
      </c>
      <c r="DRP285" s="18">
        <v>0</v>
      </c>
      <c r="DRQ285" s="18">
        <v>0</v>
      </c>
      <c r="DRR285" s="18">
        <v>0</v>
      </c>
      <c r="DRS285" s="18">
        <v>0</v>
      </c>
      <c r="DRT285" s="18">
        <v>0</v>
      </c>
      <c r="DRU285" s="18">
        <v>0</v>
      </c>
      <c r="DRV285" s="18">
        <v>0</v>
      </c>
      <c r="DRW285" s="18">
        <v>0</v>
      </c>
      <c r="DRX285" s="18">
        <v>0</v>
      </c>
      <c r="DRY285" s="18">
        <v>0</v>
      </c>
      <c r="DRZ285" s="18">
        <v>0</v>
      </c>
      <c r="DSA285" s="18">
        <v>0</v>
      </c>
      <c r="DSB285" s="18">
        <v>0</v>
      </c>
      <c r="DSC285" s="18">
        <v>0</v>
      </c>
      <c r="DSD285" s="18">
        <v>0</v>
      </c>
      <c r="DSE285" s="18">
        <v>0</v>
      </c>
      <c r="DSF285" s="18">
        <v>0</v>
      </c>
      <c r="DSG285" s="18">
        <v>0</v>
      </c>
      <c r="DSH285" s="18">
        <v>0</v>
      </c>
      <c r="DSI285" s="18">
        <v>0</v>
      </c>
      <c r="DSJ285" s="18">
        <v>0</v>
      </c>
      <c r="DSK285" s="18">
        <v>0</v>
      </c>
      <c r="DSL285" s="18">
        <v>0</v>
      </c>
      <c r="DSM285" s="18">
        <v>0</v>
      </c>
      <c r="DSN285" s="18">
        <v>0</v>
      </c>
      <c r="DSO285" s="18">
        <v>0</v>
      </c>
      <c r="DSP285" s="18">
        <v>0</v>
      </c>
      <c r="DSQ285" s="18">
        <v>0</v>
      </c>
      <c r="DSR285" s="18">
        <v>0</v>
      </c>
      <c r="DSS285" s="18">
        <v>0</v>
      </c>
      <c r="DST285" s="18">
        <v>0</v>
      </c>
      <c r="DSU285" s="18">
        <v>0</v>
      </c>
      <c r="DSV285" s="18">
        <v>0</v>
      </c>
      <c r="DSW285" s="18">
        <v>0</v>
      </c>
      <c r="DSX285" s="18">
        <v>0</v>
      </c>
      <c r="DSY285" s="18">
        <v>0</v>
      </c>
      <c r="DSZ285" s="18">
        <v>0</v>
      </c>
      <c r="DTA285" s="18">
        <v>0</v>
      </c>
      <c r="DTB285" s="18">
        <v>0</v>
      </c>
      <c r="DTC285" s="18">
        <v>0</v>
      </c>
      <c r="DTD285" s="18">
        <v>0</v>
      </c>
      <c r="DTE285" s="18">
        <v>0</v>
      </c>
      <c r="DTF285" s="18">
        <v>0</v>
      </c>
      <c r="DTG285" s="18">
        <v>0</v>
      </c>
      <c r="DTH285" s="18">
        <v>0</v>
      </c>
      <c r="DTI285" s="18">
        <v>0</v>
      </c>
      <c r="DTJ285" s="18">
        <v>0</v>
      </c>
      <c r="DTK285" s="18">
        <v>0</v>
      </c>
      <c r="DTL285" s="18">
        <v>0</v>
      </c>
      <c r="DTM285" s="18">
        <v>0</v>
      </c>
      <c r="DTN285" s="18">
        <v>0</v>
      </c>
      <c r="DTO285" s="18">
        <v>0</v>
      </c>
      <c r="DTP285" s="18">
        <v>0</v>
      </c>
      <c r="DTQ285" s="18">
        <v>0</v>
      </c>
      <c r="DTR285" s="18">
        <v>0</v>
      </c>
      <c r="DTS285" s="18">
        <v>0</v>
      </c>
      <c r="DTT285" s="18">
        <v>0</v>
      </c>
      <c r="DTU285" s="18">
        <v>0</v>
      </c>
      <c r="DTV285" s="18">
        <v>0</v>
      </c>
      <c r="DTW285" s="18">
        <v>0</v>
      </c>
      <c r="DTX285" s="18">
        <v>0</v>
      </c>
      <c r="DTY285" s="18">
        <v>0</v>
      </c>
      <c r="DTZ285" s="18">
        <v>0</v>
      </c>
      <c r="DUA285" s="18">
        <v>0</v>
      </c>
      <c r="DUB285" s="18">
        <v>0</v>
      </c>
      <c r="DUC285" s="18">
        <v>0</v>
      </c>
      <c r="DUD285" s="18">
        <v>0</v>
      </c>
      <c r="DUE285" s="18">
        <v>0</v>
      </c>
      <c r="DUF285" s="18">
        <v>0</v>
      </c>
      <c r="DUG285" s="18">
        <v>0</v>
      </c>
      <c r="DUH285" s="18">
        <v>0</v>
      </c>
      <c r="DUI285" s="18">
        <v>0</v>
      </c>
      <c r="DUJ285" s="18">
        <v>0</v>
      </c>
      <c r="DUK285" s="18">
        <v>0</v>
      </c>
      <c r="DUL285" s="18">
        <v>0</v>
      </c>
      <c r="DUM285" s="18">
        <v>0</v>
      </c>
      <c r="DUN285" s="18">
        <v>0</v>
      </c>
      <c r="DUO285" s="18">
        <v>0</v>
      </c>
      <c r="DUP285" s="18">
        <v>0</v>
      </c>
      <c r="DUQ285" s="18">
        <v>0</v>
      </c>
      <c r="DUR285" s="18">
        <v>0</v>
      </c>
      <c r="DUS285" s="18">
        <v>0</v>
      </c>
      <c r="DUT285" s="18">
        <v>0</v>
      </c>
      <c r="DUU285" s="18">
        <v>0</v>
      </c>
      <c r="DUV285" s="18">
        <v>0</v>
      </c>
      <c r="DUW285" s="18">
        <v>0</v>
      </c>
      <c r="DUX285" s="18">
        <v>0</v>
      </c>
      <c r="DUY285" s="18">
        <v>0</v>
      </c>
      <c r="DUZ285" s="18">
        <v>0</v>
      </c>
      <c r="DVA285" s="18">
        <v>0</v>
      </c>
      <c r="DVB285" s="18">
        <v>0</v>
      </c>
      <c r="DVC285" s="18">
        <v>0</v>
      </c>
      <c r="DVD285" s="18">
        <v>0</v>
      </c>
      <c r="DVE285" s="18">
        <v>0</v>
      </c>
      <c r="DVF285" s="18">
        <v>0</v>
      </c>
      <c r="DVG285" s="18">
        <v>0</v>
      </c>
      <c r="DVH285" s="18">
        <v>0</v>
      </c>
      <c r="DVI285" s="18">
        <v>0</v>
      </c>
      <c r="DVJ285" s="18">
        <v>0</v>
      </c>
      <c r="DVK285" s="18">
        <v>0</v>
      </c>
      <c r="DVL285" s="18">
        <v>0</v>
      </c>
      <c r="DVM285" s="18">
        <v>0</v>
      </c>
      <c r="DVN285" s="18">
        <v>0</v>
      </c>
      <c r="DVO285" s="18">
        <v>0</v>
      </c>
      <c r="DVP285" s="18">
        <v>0</v>
      </c>
      <c r="DVQ285" s="18">
        <v>0</v>
      </c>
      <c r="DVR285" s="18">
        <v>0</v>
      </c>
      <c r="DVS285" s="18">
        <v>0</v>
      </c>
      <c r="DVT285" s="18">
        <v>0</v>
      </c>
      <c r="DVU285" s="18">
        <v>0</v>
      </c>
      <c r="DVV285" s="18">
        <v>0</v>
      </c>
      <c r="DVW285" s="18">
        <v>0</v>
      </c>
      <c r="DVX285" s="18">
        <v>0</v>
      </c>
      <c r="DVY285" s="18">
        <v>0</v>
      </c>
      <c r="DVZ285" s="18">
        <v>0</v>
      </c>
      <c r="DWA285" s="18">
        <v>0</v>
      </c>
      <c r="DWB285" s="18">
        <v>0</v>
      </c>
      <c r="DWC285" s="18">
        <v>0</v>
      </c>
      <c r="DWD285" s="18">
        <v>0</v>
      </c>
      <c r="DWE285" s="18">
        <v>0</v>
      </c>
      <c r="DWF285" s="18">
        <v>0</v>
      </c>
      <c r="DWG285" s="18">
        <v>0</v>
      </c>
      <c r="DWH285" s="18">
        <v>0</v>
      </c>
      <c r="DWI285" s="18">
        <v>0</v>
      </c>
      <c r="DWJ285" s="18">
        <v>0</v>
      </c>
      <c r="DWK285" s="18">
        <v>0</v>
      </c>
      <c r="DWL285" s="18">
        <v>0</v>
      </c>
      <c r="DWM285" s="18">
        <v>0</v>
      </c>
      <c r="DWN285" s="18">
        <v>0</v>
      </c>
      <c r="DWO285" s="18">
        <v>0</v>
      </c>
      <c r="DWP285" s="18">
        <v>0</v>
      </c>
      <c r="DWQ285" s="18">
        <v>0</v>
      </c>
      <c r="DWR285" s="18">
        <v>0</v>
      </c>
      <c r="DWS285" s="18">
        <v>0</v>
      </c>
      <c r="DWT285" s="18">
        <v>0</v>
      </c>
      <c r="DWU285" s="18">
        <v>0</v>
      </c>
      <c r="DWV285" s="18">
        <v>0</v>
      </c>
      <c r="DWW285" s="18">
        <v>0</v>
      </c>
      <c r="DWX285" s="18">
        <v>0</v>
      </c>
      <c r="DWY285" s="18">
        <v>0</v>
      </c>
      <c r="DWZ285" s="18">
        <v>0</v>
      </c>
      <c r="DXA285" s="18">
        <v>0</v>
      </c>
      <c r="DXB285" s="18">
        <v>0</v>
      </c>
      <c r="DXC285" s="18">
        <v>0</v>
      </c>
      <c r="DXD285" s="18">
        <v>0</v>
      </c>
      <c r="DXE285" s="18">
        <v>0</v>
      </c>
      <c r="DXF285" s="18">
        <v>0</v>
      </c>
      <c r="DXG285" s="18">
        <v>0</v>
      </c>
      <c r="DXH285" s="18">
        <v>0</v>
      </c>
      <c r="DXI285" s="18">
        <v>0</v>
      </c>
      <c r="DXJ285" s="18">
        <v>0</v>
      </c>
      <c r="DXK285" s="18">
        <v>0</v>
      </c>
      <c r="DXL285" s="18">
        <v>0</v>
      </c>
      <c r="DXM285" s="18">
        <v>0</v>
      </c>
      <c r="DXN285" s="18">
        <v>0</v>
      </c>
      <c r="DXO285" s="18">
        <v>0</v>
      </c>
      <c r="DXP285" s="18">
        <v>0</v>
      </c>
      <c r="DXQ285" s="18">
        <v>0</v>
      </c>
      <c r="DXR285" s="18">
        <v>0</v>
      </c>
      <c r="DXS285" s="18">
        <v>0</v>
      </c>
      <c r="DXT285" s="18">
        <v>0</v>
      </c>
      <c r="DXU285" s="18">
        <v>0</v>
      </c>
      <c r="DXV285" s="18">
        <v>0</v>
      </c>
      <c r="DXW285" s="18">
        <v>0</v>
      </c>
      <c r="DXX285" s="18">
        <v>0</v>
      </c>
      <c r="DXY285" s="18">
        <v>0</v>
      </c>
      <c r="DXZ285" s="18">
        <v>0</v>
      </c>
      <c r="DYA285" s="18">
        <v>0</v>
      </c>
      <c r="DYB285" s="18">
        <v>0</v>
      </c>
      <c r="DYC285" s="18">
        <v>0</v>
      </c>
      <c r="DYD285" s="18">
        <v>0</v>
      </c>
      <c r="DYE285" s="18">
        <v>0</v>
      </c>
      <c r="DYF285" s="18">
        <v>0</v>
      </c>
      <c r="DYG285" s="18">
        <v>0</v>
      </c>
      <c r="DYH285" s="18">
        <v>0</v>
      </c>
      <c r="DYI285" s="18">
        <v>0</v>
      </c>
      <c r="DYJ285" s="18">
        <v>0</v>
      </c>
      <c r="DYK285" s="18">
        <v>0</v>
      </c>
      <c r="DYL285" s="18">
        <v>0</v>
      </c>
      <c r="DYM285" s="18">
        <v>0</v>
      </c>
      <c r="DYN285" s="18">
        <v>0</v>
      </c>
      <c r="DYO285" s="18">
        <v>0</v>
      </c>
      <c r="DYP285" s="18">
        <v>0</v>
      </c>
      <c r="DYQ285" s="18">
        <v>0</v>
      </c>
      <c r="DYR285" s="18">
        <v>0</v>
      </c>
      <c r="DYS285" s="18">
        <v>0</v>
      </c>
      <c r="DYT285" s="18">
        <v>0</v>
      </c>
      <c r="DYU285" s="18">
        <v>0</v>
      </c>
      <c r="DYV285" s="18">
        <v>0</v>
      </c>
      <c r="DYW285" s="18">
        <v>0</v>
      </c>
      <c r="DYX285" s="18">
        <v>0</v>
      </c>
      <c r="DYY285" s="18">
        <v>0</v>
      </c>
      <c r="DYZ285" s="18">
        <v>0</v>
      </c>
      <c r="DZA285" s="18">
        <v>0</v>
      </c>
      <c r="DZB285" s="18">
        <v>0</v>
      </c>
      <c r="DZC285" s="18">
        <v>0</v>
      </c>
      <c r="DZD285" s="18">
        <v>0</v>
      </c>
      <c r="DZE285" s="18">
        <v>0</v>
      </c>
      <c r="DZF285" s="18">
        <v>0</v>
      </c>
      <c r="DZG285" s="18">
        <v>0</v>
      </c>
      <c r="DZH285" s="18">
        <v>0</v>
      </c>
      <c r="DZI285" s="18">
        <v>0</v>
      </c>
      <c r="DZJ285" s="18">
        <v>0</v>
      </c>
      <c r="DZK285" s="18">
        <v>0</v>
      </c>
      <c r="DZL285" s="18">
        <v>0</v>
      </c>
      <c r="DZM285" s="18">
        <v>0</v>
      </c>
      <c r="DZN285" s="18">
        <v>0</v>
      </c>
      <c r="DZO285" s="18">
        <v>0</v>
      </c>
      <c r="DZP285" s="18">
        <v>0</v>
      </c>
      <c r="DZQ285" s="18">
        <v>0</v>
      </c>
      <c r="DZR285" s="18">
        <v>0</v>
      </c>
      <c r="DZS285" s="18">
        <v>0</v>
      </c>
      <c r="DZT285" s="18">
        <v>0</v>
      </c>
      <c r="DZU285" s="18">
        <v>0</v>
      </c>
      <c r="DZV285" s="18">
        <v>0</v>
      </c>
      <c r="DZW285" s="18">
        <v>0</v>
      </c>
      <c r="DZX285" s="18">
        <v>0</v>
      </c>
      <c r="DZY285" s="18">
        <v>0</v>
      </c>
      <c r="DZZ285" s="18">
        <v>0</v>
      </c>
      <c r="EAA285" s="18">
        <v>0</v>
      </c>
      <c r="EAB285" s="18">
        <v>0</v>
      </c>
      <c r="EAC285" s="18">
        <v>0</v>
      </c>
      <c r="EAD285" s="18">
        <v>0</v>
      </c>
      <c r="EAE285" s="18">
        <v>0</v>
      </c>
      <c r="EAF285" s="18">
        <v>0</v>
      </c>
      <c r="EAG285" s="18">
        <v>0</v>
      </c>
      <c r="EAH285" s="18">
        <v>0</v>
      </c>
      <c r="EAI285" s="18">
        <v>0</v>
      </c>
      <c r="EAJ285" s="18">
        <v>0</v>
      </c>
      <c r="EAK285" s="18">
        <v>0</v>
      </c>
      <c r="EAL285" s="18">
        <v>0</v>
      </c>
      <c r="EAM285" s="18">
        <v>0</v>
      </c>
      <c r="EAN285" s="18">
        <v>0</v>
      </c>
      <c r="EAO285" s="18">
        <v>0</v>
      </c>
      <c r="EAP285" s="18">
        <v>0</v>
      </c>
      <c r="EAQ285" s="18">
        <v>0</v>
      </c>
      <c r="EAR285" s="18">
        <v>0</v>
      </c>
      <c r="EAS285" s="18">
        <v>0</v>
      </c>
      <c r="EAT285" s="18">
        <v>0</v>
      </c>
      <c r="EAU285" s="18">
        <v>0</v>
      </c>
      <c r="EAV285" s="18">
        <v>0</v>
      </c>
      <c r="EAW285" s="18">
        <v>0</v>
      </c>
      <c r="EAX285" s="18">
        <v>0</v>
      </c>
      <c r="EAY285" s="18">
        <v>0</v>
      </c>
      <c r="EAZ285" s="18">
        <v>0</v>
      </c>
      <c r="EBA285" s="18">
        <v>0</v>
      </c>
      <c r="EBB285" s="18">
        <v>0</v>
      </c>
      <c r="EBC285" s="18">
        <v>0</v>
      </c>
      <c r="EBD285" s="18">
        <v>0</v>
      </c>
      <c r="EBE285" s="18">
        <v>0</v>
      </c>
      <c r="EBF285" s="18">
        <v>0</v>
      </c>
      <c r="EBG285" s="18">
        <v>0</v>
      </c>
      <c r="EBH285" s="18">
        <v>0</v>
      </c>
      <c r="EBI285" s="18">
        <v>0</v>
      </c>
      <c r="EBJ285" s="18">
        <v>0</v>
      </c>
      <c r="EBK285" s="18">
        <v>0</v>
      </c>
      <c r="EBL285" s="18">
        <v>0</v>
      </c>
      <c r="EBM285" s="18">
        <v>0</v>
      </c>
      <c r="EBN285" s="18">
        <v>0</v>
      </c>
      <c r="EBO285" s="18">
        <v>0</v>
      </c>
      <c r="EBP285" s="18">
        <v>0</v>
      </c>
      <c r="EBQ285" s="18">
        <v>0</v>
      </c>
      <c r="EBR285" s="18">
        <v>0</v>
      </c>
      <c r="EBS285" s="18">
        <v>0</v>
      </c>
      <c r="EBT285" s="18">
        <v>0</v>
      </c>
      <c r="EBU285" s="18">
        <v>0</v>
      </c>
      <c r="EBV285" s="18">
        <v>0</v>
      </c>
      <c r="EBW285" s="18">
        <v>0</v>
      </c>
      <c r="EBX285" s="18">
        <v>0</v>
      </c>
      <c r="EBY285" s="18">
        <v>0</v>
      </c>
      <c r="EBZ285" s="18">
        <v>0</v>
      </c>
      <c r="ECA285" s="18">
        <v>0</v>
      </c>
      <c r="ECB285" s="18">
        <v>0</v>
      </c>
      <c r="ECC285" s="18">
        <v>0</v>
      </c>
      <c r="ECD285" s="18">
        <v>0</v>
      </c>
      <c r="ECE285" s="18">
        <v>0</v>
      </c>
      <c r="ECF285" s="18">
        <v>0</v>
      </c>
      <c r="ECG285" s="18">
        <v>0</v>
      </c>
      <c r="ECH285" s="18">
        <v>0</v>
      </c>
      <c r="ECI285" s="18">
        <v>0</v>
      </c>
      <c r="ECJ285" s="18">
        <v>0</v>
      </c>
      <c r="ECK285" s="18">
        <v>0</v>
      </c>
      <c r="ECL285" s="18">
        <v>0</v>
      </c>
      <c r="ECM285" s="18">
        <v>0</v>
      </c>
      <c r="ECN285" s="18">
        <v>0</v>
      </c>
      <c r="ECO285" s="18">
        <v>0</v>
      </c>
      <c r="ECP285" s="18">
        <v>0</v>
      </c>
      <c r="ECQ285" s="18">
        <v>0</v>
      </c>
      <c r="ECR285" s="18">
        <v>0</v>
      </c>
      <c r="ECS285" s="18">
        <v>0</v>
      </c>
      <c r="ECT285" s="18">
        <v>0</v>
      </c>
      <c r="ECU285" s="18">
        <v>0</v>
      </c>
      <c r="ECV285" s="18">
        <v>0</v>
      </c>
      <c r="ECW285" s="18">
        <v>0</v>
      </c>
      <c r="ECX285" s="18">
        <v>0</v>
      </c>
      <c r="ECY285" s="18">
        <v>0</v>
      </c>
      <c r="ECZ285" s="18">
        <v>0</v>
      </c>
      <c r="EDA285" s="18">
        <v>0</v>
      </c>
      <c r="EDB285" s="18">
        <v>0</v>
      </c>
      <c r="EDC285" s="18">
        <v>0</v>
      </c>
      <c r="EDD285" s="18">
        <v>0</v>
      </c>
      <c r="EDE285" s="18">
        <v>0</v>
      </c>
      <c r="EDF285" s="18">
        <v>0</v>
      </c>
      <c r="EDG285" s="18">
        <v>0</v>
      </c>
      <c r="EDH285" s="18">
        <v>0</v>
      </c>
      <c r="EDI285" s="18">
        <v>0</v>
      </c>
      <c r="EDJ285" s="18">
        <v>0</v>
      </c>
      <c r="EDK285" s="18">
        <v>0</v>
      </c>
      <c r="EDL285" s="18">
        <v>0</v>
      </c>
      <c r="EDM285" s="18">
        <v>0</v>
      </c>
      <c r="EDN285" s="18">
        <v>0</v>
      </c>
      <c r="EDO285" s="18">
        <v>0</v>
      </c>
      <c r="EDP285" s="18">
        <v>0</v>
      </c>
      <c r="EDQ285" s="18">
        <v>0</v>
      </c>
      <c r="EDR285" s="18">
        <v>0</v>
      </c>
      <c r="EDS285" s="18">
        <v>0</v>
      </c>
      <c r="EDT285" s="18">
        <v>0</v>
      </c>
      <c r="EDU285" s="18">
        <v>0</v>
      </c>
      <c r="EDV285" s="18">
        <v>0</v>
      </c>
      <c r="EDW285" s="18">
        <v>0</v>
      </c>
      <c r="EDX285" s="18">
        <v>0</v>
      </c>
      <c r="EDY285" s="18">
        <v>0</v>
      </c>
      <c r="EDZ285" s="18">
        <v>0</v>
      </c>
      <c r="EEA285" s="18">
        <v>0</v>
      </c>
      <c r="EEB285" s="18">
        <v>0</v>
      </c>
      <c r="EEC285" s="18">
        <v>0</v>
      </c>
      <c r="EED285" s="18">
        <v>0</v>
      </c>
      <c r="EEE285" s="18">
        <v>0</v>
      </c>
      <c r="EEF285" s="18">
        <v>0</v>
      </c>
      <c r="EEG285" s="18">
        <v>0</v>
      </c>
      <c r="EEH285" s="18">
        <v>0</v>
      </c>
      <c r="EEI285" s="18">
        <v>0</v>
      </c>
      <c r="EEJ285" s="18">
        <v>0</v>
      </c>
      <c r="EEK285" s="18">
        <v>0</v>
      </c>
      <c r="EEL285" s="18">
        <v>0</v>
      </c>
      <c r="EEM285" s="18">
        <v>0</v>
      </c>
      <c r="EEN285" s="18">
        <v>0</v>
      </c>
      <c r="EEO285" s="18">
        <v>0</v>
      </c>
      <c r="EEP285" s="18">
        <v>0</v>
      </c>
      <c r="EEQ285" s="18">
        <v>0</v>
      </c>
      <c r="EER285" s="18">
        <v>0</v>
      </c>
      <c r="EES285" s="18">
        <v>0</v>
      </c>
      <c r="EET285" s="18">
        <v>0</v>
      </c>
      <c r="EEU285" s="18">
        <v>0</v>
      </c>
      <c r="EEV285" s="18">
        <v>0</v>
      </c>
      <c r="EEW285" s="18">
        <v>0</v>
      </c>
      <c r="EEX285" s="18">
        <v>0</v>
      </c>
      <c r="EEY285" s="18">
        <v>0</v>
      </c>
      <c r="EEZ285" s="18">
        <v>0</v>
      </c>
      <c r="EFA285" s="18">
        <v>0</v>
      </c>
      <c r="EFB285" s="18">
        <v>0</v>
      </c>
      <c r="EFC285" s="18">
        <v>0</v>
      </c>
      <c r="EFD285" s="18">
        <v>0</v>
      </c>
      <c r="EFE285" s="18">
        <v>0</v>
      </c>
      <c r="EFF285" s="18">
        <v>0</v>
      </c>
      <c r="EFG285" s="18">
        <v>0</v>
      </c>
      <c r="EFH285" s="18">
        <v>0</v>
      </c>
      <c r="EFI285" s="18">
        <v>0</v>
      </c>
      <c r="EFJ285" s="18">
        <v>0</v>
      </c>
      <c r="EFK285" s="18">
        <v>0</v>
      </c>
      <c r="EFL285" s="18">
        <v>0</v>
      </c>
      <c r="EFM285" s="18">
        <v>0</v>
      </c>
      <c r="EFN285" s="18">
        <v>0</v>
      </c>
      <c r="EFO285" s="18">
        <v>0</v>
      </c>
      <c r="EFP285" s="18">
        <v>0</v>
      </c>
      <c r="EFQ285" s="18">
        <v>0</v>
      </c>
      <c r="EFR285" s="18">
        <v>0</v>
      </c>
      <c r="EFS285" s="18">
        <v>0</v>
      </c>
      <c r="EFT285" s="18">
        <v>0</v>
      </c>
      <c r="EFU285" s="18">
        <v>0</v>
      </c>
      <c r="EFV285" s="18">
        <v>0</v>
      </c>
      <c r="EFW285" s="18">
        <v>0</v>
      </c>
      <c r="EFX285" s="18">
        <v>0</v>
      </c>
      <c r="EFY285" s="18">
        <v>0</v>
      </c>
      <c r="EFZ285" s="18">
        <v>0</v>
      </c>
      <c r="EGA285" s="18">
        <v>0</v>
      </c>
      <c r="EGB285" s="18">
        <v>0</v>
      </c>
      <c r="EGC285" s="18">
        <v>0</v>
      </c>
      <c r="EGD285" s="18">
        <v>0</v>
      </c>
      <c r="EGE285" s="18">
        <v>0</v>
      </c>
      <c r="EGF285" s="18">
        <v>0</v>
      </c>
      <c r="EGG285" s="18">
        <v>0</v>
      </c>
      <c r="EGH285" s="18">
        <v>0</v>
      </c>
      <c r="EGI285" s="18">
        <v>0</v>
      </c>
      <c r="EGJ285" s="18">
        <v>0</v>
      </c>
      <c r="EGK285" s="18">
        <v>0</v>
      </c>
      <c r="EGL285" s="18">
        <v>0</v>
      </c>
      <c r="EGM285" s="18">
        <v>0</v>
      </c>
      <c r="EGN285" s="18">
        <v>0</v>
      </c>
      <c r="EGO285" s="18">
        <v>0</v>
      </c>
      <c r="EGP285" s="18">
        <v>0</v>
      </c>
      <c r="EGQ285" s="18">
        <v>0</v>
      </c>
      <c r="EGR285" s="18">
        <v>0</v>
      </c>
      <c r="EGS285" s="18">
        <v>0</v>
      </c>
      <c r="EGT285" s="18">
        <v>0</v>
      </c>
      <c r="EGU285" s="18">
        <v>0</v>
      </c>
      <c r="EGV285" s="18">
        <v>0</v>
      </c>
      <c r="EGW285" s="18">
        <v>0</v>
      </c>
      <c r="EGX285" s="18">
        <v>0</v>
      </c>
      <c r="EGY285" s="18">
        <v>0</v>
      </c>
      <c r="EGZ285" s="18">
        <v>0</v>
      </c>
      <c r="EHA285" s="18">
        <v>0</v>
      </c>
      <c r="EHB285" s="18">
        <v>0</v>
      </c>
      <c r="EHC285" s="18">
        <v>0</v>
      </c>
      <c r="EHD285" s="18">
        <v>0</v>
      </c>
      <c r="EHE285" s="18">
        <v>0</v>
      </c>
      <c r="EHF285" s="18">
        <v>0</v>
      </c>
      <c r="EHG285" s="18">
        <v>0</v>
      </c>
      <c r="EHH285" s="18">
        <v>0</v>
      </c>
      <c r="EHI285" s="18">
        <v>0</v>
      </c>
      <c r="EHJ285" s="18">
        <v>0</v>
      </c>
      <c r="EHK285" s="18">
        <v>0</v>
      </c>
      <c r="EHL285" s="18">
        <v>0</v>
      </c>
      <c r="EHM285" s="18">
        <v>0</v>
      </c>
      <c r="EHN285" s="18">
        <v>0</v>
      </c>
      <c r="EHO285" s="18">
        <v>0</v>
      </c>
      <c r="EHP285" s="18">
        <v>0</v>
      </c>
      <c r="EHQ285" s="18">
        <v>0</v>
      </c>
      <c r="EHR285" s="18">
        <v>0</v>
      </c>
      <c r="EHS285" s="18">
        <v>0</v>
      </c>
      <c r="EHT285" s="18">
        <v>0</v>
      </c>
      <c r="EHU285" s="18">
        <v>0</v>
      </c>
      <c r="EHV285" s="18">
        <v>0</v>
      </c>
      <c r="EHW285" s="18">
        <v>0</v>
      </c>
      <c r="EHX285" s="18">
        <v>0</v>
      </c>
      <c r="EHY285" s="18">
        <v>0</v>
      </c>
      <c r="EHZ285" s="18">
        <v>0</v>
      </c>
      <c r="EIA285" s="18">
        <v>0</v>
      </c>
      <c r="EIB285" s="18">
        <v>0</v>
      </c>
      <c r="EIC285" s="18">
        <v>0</v>
      </c>
      <c r="EID285" s="18">
        <v>0</v>
      </c>
      <c r="EIE285" s="18">
        <v>0</v>
      </c>
      <c r="EIF285" s="18">
        <v>0</v>
      </c>
      <c r="EIG285" s="18">
        <v>0</v>
      </c>
      <c r="EIH285" s="18">
        <v>0</v>
      </c>
      <c r="EII285" s="18">
        <v>0</v>
      </c>
      <c r="EIJ285" s="18">
        <v>0</v>
      </c>
      <c r="EIK285" s="18">
        <v>0</v>
      </c>
      <c r="EIL285" s="18">
        <v>0</v>
      </c>
      <c r="EIM285" s="18">
        <v>0</v>
      </c>
      <c r="EIN285" s="18">
        <v>0</v>
      </c>
      <c r="EIO285" s="18">
        <v>0</v>
      </c>
      <c r="EIP285" s="18">
        <v>0</v>
      </c>
      <c r="EIQ285" s="18">
        <v>0</v>
      </c>
      <c r="EIR285" s="18">
        <v>0</v>
      </c>
      <c r="EIS285" s="18">
        <v>0</v>
      </c>
      <c r="EIT285" s="18">
        <v>0</v>
      </c>
      <c r="EIU285" s="18">
        <v>0</v>
      </c>
      <c r="EIV285" s="18">
        <v>0</v>
      </c>
      <c r="EIW285" s="18">
        <v>0</v>
      </c>
      <c r="EIX285" s="18">
        <v>0</v>
      </c>
      <c r="EIY285" s="18">
        <v>0</v>
      </c>
      <c r="EIZ285" s="18">
        <v>0</v>
      </c>
      <c r="EJA285" s="18">
        <v>0</v>
      </c>
      <c r="EJB285" s="18">
        <v>0</v>
      </c>
      <c r="EJC285" s="18">
        <v>0</v>
      </c>
      <c r="EJD285" s="18">
        <v>0</v>
      </c>
      <c r="EJE285" s="18">
        <v>0</v>
      </c>
      <c r="EJF285" s="18">
        <v>0</v>
      </c>
      <c r="EJG285" s="18">
        <v>0</v>
      </c>
      <c r="EJH285" s="18">
        <v>0</v>
      </c>
      <c r="EJI285" s="18">
        <v>0</v>
      </c>
      <c r="EJJ285" s="18">
        <v>0</v>
      </c>
      <c r="EJK285" s="18">
        <v>0</v>
      </c>
      <c r="EJL285" s="18">
        <v>0</v>
      </c>
      <c r="EJM285" s="18">
        <v>0</v>
      </c>
      <c r="EJN285" s="18">
        <v>0</v>
      </c>
      <c r="EJO285" s="18">
        <v>0</v>
      </c>
      <c r="EJP285" s="18">
        <v>0</v>
      </c>
      <c r="EJQ285" s="18">
        <v>0</v>
      </c>
      <c r="EJR285" s="18">
        <v>0</v>
      </c>
      <c r="EJS285" s="18">
        <v>0</v>
      </c>
      <c r="EJT285" s="18">
        <v>0</v>
      </c>
      <c r="EJU285" s="18">
        <v>0</v>
      </c>
      <c r="EJV285" s="18">
        <v>0</v>
      </c>
      <c r="EJW285" s="18">
        <v>0</v>
      </c>
      <c r="EJX285" s="18">
        <v>0</v>
      </c>
      <c r="EJY285" s="18">
        <v>0</v>
      </c>
      <c r="EJZ285" s="18">
        <v>0</v>
      </c>
      <c r="EKA285" s="18">
        <v>0</v>
      </c>
      <c r="EKB285" s="18">
        <v>0</v>
      </c>
      <c r="EKC285" s="18">
        <v>0</v>
      </c>
      <c r="EKD285" s="18">
        <v>0</v>
      </c>
      <c r="EKE285" s="18">
        <v>0</v>
      </c>
      <c r="EKF285" s="18">
        <v>0</v>
      </c>
      <c r="EKG285" s="18">
        <v>0</v>
      </c>
      <c r="EKH285" s="18">
        <v>0</v>
      </c>
      <c r="EKI285" s="18">
        <v>0</v>
      </c>
      <c r="EKJ285" s="18">
        <v>0</v>
      </c>
      <c r="EKK285" s="18">
        <v>0</v>
      </c>
      <c r="EKL285" s="18">
        <v>0</v>
      </c>
      <c r="EKM285" s="18">
        <v>0</v>
      </c>
      <c r="EKN285" s="18">
        <v>0</v>
      </c>
      <c r="EKO285" s="18">
        <v>0</v>
      </c>
      <c r="EKP285" s="18">
        <v>0</v>
      </c>
      <c r="EKQ285" s="18">
        <v>0</v>
      </c>
      <c r="EKR285" s="18">
        <v>0</v>
      </c>
      <c r="EKS285" s="18">
        <v>0</v>
      </c>
      <c r="EKT285" s="18">
        <v>0</v>
      </c>
      <c r="EKU285" s="18">
        <v>0</v>
      </c>
      <c r="EKV285" s="18">
        <v>0</v>
      </c>
      <c r="EKW285" s="18">
        <v>0</v>
      </c>
      <c r="EKX285" s="18">
        <v>0</v>
      </c>
      <c r="EKY285" s="18">
        <v>0</v>
      </c>
      <c r="EKZ285" s="18">
        <v>0</v>
      </c>
      <c r="ELA285" s="18">
        <v>0</v>
      </c>
      <c r="ELB285" s="18">
        <v>0</v>
      </c>
      <c r="ELC285" s="18">
        <v>0</v>
      </c>
      <c r="ELD285" s="18">
        <v>0</v>
      </c>
      <c r="ELE285" s="18">
        <v>0</v>
      </c>
      <c r="ELF285" s="18">
        <v>0</v>
      </c>
      <c r="ELG285" s="18">
        <v>0</v>
      </c>
      <c r="ELH285" s="18">
        <v>0</v>
      </c>
      <c r="ELI285" s="18">
        <v>0</v>
      </c>
      <c r="ELJ285" s="18">
        <v>0</v>
      </c>
      <c r="ELK285" s="18">
        <v>0</v>
      </c>
      <c r="ELL285" s="18">
        <v>0</v>
      </c>
      <c r="ELM285" s="18">
        <v>0</v>
      </c>
      <c r="ELN285" s="18">
        <v>0</v>
      </c>
      <c r="ELO285" s="18">
        <v>0</v>
      </c>
      <c r="ELP285" s="18">
        <v>0</v>
      </c>
      <c r="ELQ285" s="18">
        <v>0</v>
      </c>
      <c r="ELR285" s="18">
        <v>0</v>
      </c>
      <c r="ELS285" s="18">
        <v>0</v>
      </c>
      <c r="ELT285" s="18">
        <v>0</v>
      </c>
      <c r="ELU285" s="18">
        <v>0</v>
      </c>
      <c r="ELV285" s="18">
        <v>0</v>
      </c>
      <c r="ELW285" s="18">
        <v>0</v>
      </c>
      <c r="ELX285" s="18">
        <v>0</v>
      </c>
      <c r="ELY285" s="18">
        <v>0</v>
      </c>
      <c r="ELZ285" s="18">
        <v>0</v>
      </c>
      <c r="EMA285" s="18">
        <v>0</v>
      </c>
      <c r="EMB285" s="18">
        <v>0</v>
      </c>
      <c r="EMC285" s="18">
        <v>0</v>
      </c>
      <c r="EMD285" s="18">
        <v>0</v>
      </c>
      <c r="EME285" s="18">
        <v>0</v>
      </c>
      <c r="EMF285" s="18">
        <v>0</v>
      </c>
      <c r="EMG285" s="18">
        <v>0</v>
      </c>
      <c r="EMH285" s="18">
        <v>0</v>
      </c>
      <c r="EMI285" s="18">
        <v>0</v>
      </c>
      <c r="EMJ285" s="18">
        <v>0</v>
      </c>
      <c r="EMK285" s="18">
        <v>0</v>
      </c>
      <c r="EML285" s="18">
        <v>0</v>
      </c>
      <c r="EMM285" s="18">
        <v>0</v>
      </c>
      <c r="EMN285" s="18">
        <v>0</v>
      </c>
      <c r="EMO285" s="18">
        <v>0</v>
      </c>
      <c r="EMP285" s="18">
        <v>0</v>
      </c>
      <c r="EMQ285" s="18">
        <v>0</v>
      </c>
      <c r="EMR285" s="18">
        <v>0</v>
      </c>
      <c r="EMS285" s="18">
        <v>0</v>
      </c>
      <c r="EMT285" s="18">
        <v>0</v>
      </c>
      <c r="EMU285" s="18">
        <v>0</v>
      </c>
      <c r="EMV285" s="18">
        <v>0</v>
      </c>
      <c r="EMW285" s="18">
        <v>0</v>
      </c>
      <c r="EMX285" s="18">
        <v>0</v>
      </c>
      <c r="EMY285" s="18">
        <v>0</v>
      </c>
      <c r="EMZ285" s="18">
        <v>0</v>
      </c>
      <c r="ENA285" s="18">
        <v>0</v>
      </c>
      <c r="ENB285" s="18">
        <v>0</v>
      </c>
      <c r="ENC285" s="18">
        <v>0</v>
      </c>
      <c r="END285" s="18">
        <v>0</v>
      </c>
      <c r="ENE285" s="18">
        <v>0</v>
      </c>
      <c r="ENF285" s="18">
        <v>0</v>
      </c>
      <c r="ENG285" s="18">
        <v>0</v>
      </c>
      <c r="ENH285" s="18">
        <v>0</v>
      </c>
      <c r="ENI285" s="18">
        <v>0</v>
      </c>
      <c r="ENJ285" s="18">
        <v>0</v>
      </c>
      <c r="ENK285" s="18">
        <v>0</v>
      </c>
      <c r="ENL285" s="18">
        <v>0</v>
      </c>
      <c r="ENM285" s="18">
        <v>0</v>
      </c>
      <c r="ENN285" s="18">
        <v>0</v>
      </c>
      <c r="ENO285" s="18">
        <v>0</v>
      </c>
      <c r="ENP285" s="18">
        <v>0</v>
      </c>
      <c r="ENQ285" s="18">
        <v>0</v>
      </c>
      <c r="ENR285" s="18">
        <v>0</v>
      </c>
      <c r="ENS285" s="18">
        <v>0</v>
      </c>
      <c r="ENT285" s="18">
        <v>0</v>
      </c>
      <c r="ENU285" s="18">
        <v>0</v>
      </c>
      <c r="ENV285" s="18">
        <v>0</v>
      </c>
      <c r="ENW285" s="18">
        <v>0</v>
      </c>
      <c r="ENX285" s="18">
        <v>0</v>
      </c>
      <c r="ENY285" s="18">
        <v>0</v>
      </c>
      <c r="ENZ285" s="18">
        <v>0</v>
      </c>
      <c r="EOA285" s="18">
        <v>0</v>
      </c>
      <c r="EOB285" s="18">
        <v>0</v>
      </c>
      <c r="EOC285" s="18">
        <v>0</v>
      </c>
      <c r="EOD285" s="18">
        <v>0</v>
      </c>
      <c r="EOE285" s="18">
        <v>0</v>
      </c>
      <c r="EOF285" s="18">
        <v>0</v>
      </c>
      <c r="EOG285" s="18">
        <v>0</v>
      </c>
      <c r="EOH285" s="18">
        <v>0</v>
      </c>
      <c r="EOI285" s="18">
        <v>0</v>
      </c>
      <c r="EOJ285" s="18">
        <v>0</v>
      </c>
      <c r="EOK285" s="18">
        <v>0</v>
      </c>
      <c r="EOL285" s="18">
        <v>0</v>
      </c>
      <c r="EOM285" s="18">
        <v>0</v>
      </c>
      <c r="EON285" s="18">
        <v>0</v>
      </c>
      <c r="EOO285" s="18">
        <v>0</v>
      </c>
      <c r="EOP285" s="18">
        <v>0</v>
      </c>
      <c r="EOQ285" s="18">
        <v>0</v>
      </c>
      <c r="EOR285" s="18">
        <v>0</v>
      </c>
      <c r="EOS285" s="18">
        <v>0</v>
      </c>
      <c r="EOT285" s="18">
        <v>0</v>
      </c>
      <c r="EOU285" s="18">
        <v>0</v>
      </c>
      <c r="EOV285" s="18">
        <v>0</v>
      </c>
      <c r="EOW285" s="18">
        <v>0</v>
      </c>
      <c r="EOX285" s="18">
        <v>0</v>
      </c>
      <c r="EOY285" s="18">
        <v>0</v>
      </c>
      <c r="EOZ285" s="18">
        <v>0</v>
      </c>
      <c r="EPA285" s="18">
        <v>0</v>
      </c>
      <c r="EPB285" s="18">
        <v>0</v>
      </c>
      <c r="EPC285" s="18">
        <v>0</v>
      </c>
      <c r="EPD285" s="18">
        <v>0</v>
      </c>
      <c r="EPE285" s="18">
        <v>0</v>
      </c>
      <c r="EPF285" s="18">
        <v>0</v>
      </c>
      <c r="EPG285" s="18">
        <v>0</v>
      </c>
      <c r="EPH285" s="18">
        <v>0</v>
      </c>
      <c r="EPI285" s="18">
        <v>0</v>
      </c>
      <c r="EPJ285" s="18">
        <v>0</v>
      </c>
      <c r="EPK285" s="18">
        <v>0</v>
      </c>
      <c r="EPL285" s="18">
        <v>0</v>
      </c>
      <c r="EPM285" s="18">
        <v>0</v>
      </c>
      <c r="EPN285" s="18">
        <v>0</v>
      </c>
      <c r="EPO285" s="18">
        <v>0</v>
      </c>
      <c r="EPP285" s="18">
        <v>0</v>
      </c>
      <c r="EPQ285" s="18">
        <v>0</v>
      </c>
      <c r="EPR285" s="18">
        <v>0</v>
      </c>
      <c r="EPS285" s="18">
        <v>0</v>
      </c>
      <c r="EPT285" s="18">
        <v>0</v>
      </c>
      <c r="EPU285" s="18">
        <v>0</v>
      </c>
      <c r="EPV285" s="18">
        <v>0</v>
      </c>
      <c r="EPW285" s="18">
        <v>0</v>
      </c>
      <c r="EPX285" s="18">
        <v>0</v>
      </c>
      <c r="EPY285" s="18">
        <v>0</v>
      </c>
      <c r="EPZ285" s="18">
        <v>0</v>
      </c>
      <c r="EQA285" s="18">
        <v>0</v>
      </c>
      <c r="EQB285" s="18">
        <v>0</v>
      </c>
      <c r="EQC285" s="18">
        <v>0</v>
      </c>
      <c r="EQD285" s="18">
        <v>0</v>
      </c>
      <c r="EQE285" s="18">
        <v>0</v>
      </c>
      <c r="EQF285" s="18">
        <v>0</v>
      </c>
      <c r="EQG285" s="18">
        <v>0</v>
      </c>
      <c r="EQH285" s="18">
        <v>0</v>
      </c>
      <c r="EQI285" s="18">
        <v>0</v>
      </c>
      <c r="EQJ285" s="18">
        <v>0</v>
      </c>
      <c r="EQK285" s="18">
        <v>0</v>
      </c>
      <c r="EQL285" s="18">
        <v>0</v>
      </c>
      <c r="EQM285" s="18">
        <v>0</v>
      </c>
      <c r="EQN285" s="18">
        <v>0</v>
      </c>
      <c r="EQO285" s="18">
        <v>0</v>
      </c>
      <c r="EQP285" s="18">
        <v>0</v>
      </c>
      <c r="EQQ285" s="18">
        <v>0</v>
      </c>
      <c r="EQR285" s="18">
        <v>0</v>
      </c>
      <c r="EQS285" s="18">
        <v>0</v>
      </c>
      <c r="EQT285" s="18">
        <v>0</v>
      </c>
      <c r="EQU285" s="18">
        <v>0</v>
      </c>
      <c r="EQV285" s="18">
        <v>0</v>
      </c>
      <c r="EQW285" s="18">
        <v>0</v>
      </c>
      <c r="EQX285" s="18">
        <v>0</v>
      </c>
      <c r="EQY285" s="18">
        <v>0</v>
      </c>
      <c r="EQZ285" s="18">
        <v>0</v>
      </c>
      <c r="ERA285" s="18">
        <v>0</v>
      </c>
      <c r="ERB285" s="18">
        <v>0</v>
      </c>
      <c r="ERC285" s="18">
        <v>0</v>
      </c>
      <c r="ERD285" s="18">
        <v>0</v>
      </c>
      <c r="ERE285" s="18">
        <v>0</v>
      </c>
      <c r="ERF285" s="18">
        <v>0</v>
      </c>
      <c r="ERG285" s="18">
        <v>0</v>
      </c>
      <c r="ERH285" s="18">
        <v>0</v>
      </c>
      <c r="ERI285" s="18">
        <v>0</v>
      </c>
      <c r="ERJ285" s="18">
        <v>0</v>
      </c>
      <c r="ERK285" s="18">
        <v>0</v>
      </c>
      <c r="ERL285" s="18">
        <v>0</v>
      </c>
      <c r="ERM285" s="18">
        <v>0</v>
      </c>
      <c r="ERN285" s="18">
        <v>0</v>
      </c>
      <c r="ERO285" s="18">
        <v>0</v>
      </c>
      <c r="ERP285" s="18">
        <v>0</v>
      </c>
      <c r="ERQ285" s="18">
        <v>0</v>
      </c>
      <c r="ERR285" s="18">
        <v>0</v>
      </c>
      <c r="ERS285" s="18">
        <v>0</v>
      </c>
      <c r="ERT285" s="18">
        <v>0</v>
      </c>
      <c r="ERU285" s="18">
        <v>0</v>
      </c>
      <c r="ERV285" s="18">
        <v>0</v>
      </c>
      <c r="ERW285" s="18">
        <v>0</v>
      </c>
      <c r="ERX285" s="18">
        <v>0</v>
      </c>
      <c r="ERY285" s="18">
        <v>0</v>
      </c>
      <c r="ERZ285" s="18">
        <v>0</v>
      </c>
      <c r="ESA285" s="18">
        <v>0</v>
      </c>
      <c r="ESB285" s="18">
        <v>0</v>
      </c>
      <c r="ESC285" s="18">
        <v>0</v>
      </c>
      <c r="ESD285" s="18">
        <v>0</v>
      </c>
      <c r="ESE285" s="18">
        <v>0</v>
      </c>
      <c r="ESF285" s="18">
        <v>0</v>
      </c>
      <c r="ESG285" s="18">
        <v>0</v>
      </c>
      <c r="ESH285" s="18">
        <v>0</v>
      </c>
      <c r="ESI285" s="18">
        <v>0</v>
      </c>
      <c r="ESJ285" s="18">
        <v>0</v>
      </c>
      <c r="ESK285" s="18">
        <v>0</v>
      </c>
      <c r="ESL285" s="18">
        <v>0</v>
      </c>
      <c r="ESM285" s="18">
        <v>0</v>
      </c>
      <c r="ESN285" s="18">
        <v>0</v>
      </c>
      <c r="ESO285" s="18">
        <v>0</v>
      </c>
      <c r="ESP285" s="18">
        <v>0</v>
      </c>
      <c r="ESQ285" s="18">
        <v>0</v>
      </c>
      <c r="ESR285" s="18">
        <v>0</v>
      </c>
      <c r="ESS285" s="18">
        <v>0</v>
      </c>
      <c r="EST285" s="18">
        <v>0</v>
      </c>
      <c r="ESU285" s="18">
        <v>0</v>
      </c>
      <c r="ESV285" s="18">
        <v>0</v>
      </c>
      <c r="ESW285" s="18">
        <v>0</v>
      </c>
      <c r="ESX285" s="18">
        <v>0</v>
      </c>
      <c r="ESY285" s="18">
        <v>0</v>
      </c>
      <c r="ESZ285" s="18">
        <v>0</v>
      </c>
      <c r="ETA285" s="18">
        <v>0</v>
      </c>
      <c r="ETB285" s="18">
        <v>0</v>
      </c>
      <c r="ETC285" s="18">
        <v>0</v>
      </c>
      <c r="ETD285" s="18">
        <v>0</v>
      </c>
      <c r="ETE285" s="18">
        <v>0</v>
      </c>
      <c r="ETF285" s="18">
        <v>0</v>
      </c>
      <c r="ETG285" s="18">
        <v>0</v>
      </c>
      <c r="ETH285" s="18">
        <v>0</v>
      </c>
      <c r="ETI285" s="18">
        <v>0</v>
      </c>
      <c r="ETJ285" s="18">
        <v>0</v>
      </c>
      <c r="ETK285" s="18">
        <v>0</v>
      </c>
      <c r="ETL285" s="18">
        <v>0</v>
      </c>
      <c r="ETM285" s="18">
        <v>0</v>
      </c>
      <c r="ETN285" s="18">
        <v>0</v>
      </c>
      <c r="ETO285" s="18">
        <v>0</v>
      </c>
      <c r="ETP285" s="18">
        <v>0</v>
      </c>
      <c r="ETQ285" s="18">
        <v>0</v>
      </c>
      <c r="ETR285" s="18">
        <v>0</v>
      </c>
      <c r="ETS285" s="18">
        <v>0</v>
      </c>
      <c r="ETT285" s="18">
        <v>0</v>
      </c>
      <c r="ETU285" s="18">
        <v>0</v>
      </c>
      <c r="ETV285" s="18">
        <v>0</v>
      </c>
      <c r="ETW285" s="18">
        <v>0</v>
      </c>
      <c r="ETX285" s="18">
        <v>0</v>
      </c>
      <c r="ETY285" s="18">
        <v>0</v>
      </c>
      <c r="ETZ285" s="18">
        <v>0</v>
      </c>
      <c r="EUA285" s="18">
        <v>0</v>
      </c>
      <c r="EUB285" s="18">
        <v>0</v>
      </c>
      <c r="EUC285" s="18">
        <v>0</v>
      </c>
      <c r="EUD285" s="18">
        <v>0</v>
      </c>
      <c r="EUE285" s="18">
        <v>0</v>
      </c>
      <c r="EUF285" s="18">
        <v>0</v>
      </c>
      <c r="EUG285" s="18">
        <v>0</v>
      </c>
      <c r="EUH285" s="18">
        <v>0</v>
      </c>
      <c r="EUI285" s="18">
        <v>0</v>
      </c>
      <c r="EUJ285" s="18">
        <v>0</v>
      </c>
      <c r="EUK285" s="18">
        <v>0</v>
      </c>
      <c r="EUL285" s="18">
        <v>0</v>
      </c>
      <c r="EUM285" s="18">
        <v>0</v>
      </c>
      <c r="EUN285" s="18">
        <v>0</v>
      </c>
      <c r="EUO285" s="18">
        <v>0</v>
      </c>
      <c r="EUP285" s="18">
        <v>0</v>
      </c>
      <c r="EUQ285" s="18">
        <v>0</v>
      </c>
      <c r="EUR285" s="18">
        <v>0</v>
      </c>
      <c r="EUS285" s="18">
        <v>0</v>
      </c>
      <c r="EUT285" s="18">
        <v>0</v>
      </c>
      <c r="EUU285" s="18">
        <v>0</v>
      </c>
      <c r="EUV285" s="18">
        <v>0</v>
      </c>
      <c r="EUW285" s="18">
        <v>0</v>
      </c>
      <c r="EUX285" s="18">
        <v>0</v>
      </c>
      <c r="EUY285" s="18">
        <v>0</v>
      </c>
      <c r="EUZ285" s="18">
        <v>0</v>
      </c>
      <c r="EVA285" s="18">
        <v>0</v>
      </c>
      <c r="EVB285" s="18">
        <v>0</v>
      </c>
      <c r="EVC285" s="18">
        <v>0</v>
      </c>
      <c r="EVD285" s="18">
        <v>0</v>
      </c>
      <c r="EVE285" s="18">
        <v>0</v>
      </c>
      <c r="EVF285" s="18">
        <v>0</v>
      </c>
      <c r="EVG285" s="18">
        <v>0</v>
      </c>
      <c r="EVH285" s="18">
        <v>0</v>
      </c>
      <c r="EVI285" s="18">
        <v>0</v>
      </c>
      <c r="EVJ285" s="18">
        <v>0</v>
      </c>
      <c r="EVK285" s="18">
        <v>0</v>
      </c>
      <c r="EVL285" s="18">
        <v>0</v>
      </c>
      <c r="EVM285" s="18">
        <v>0</v>
      </c>
      <c r="EVN285" s="18">
        <v>0</v>
      </c>
      <c r="EVO285" s="18">
        <v>0</v>
      </c>
      <c r="EVP285" s="18">
        <v>0</v>
      </c>
      <c r="EVQ285" s="18">
        <v>0</v>
      </c>
      <c r="EVR285" s="18">
        <v>0</v>
      </c>
      <c r="EVS285" s="18">
        <v>0</v>
      </c>
      <c r="EVT285" s="18">
        <v>0</v>
      </c>
      <c r="EVU285" s="18">
        <v>0</v>
      </c>
      <c r="EVV285" s="18">
        <v>0</v>
      </c>
      <c r="EVW285" s="18">
        <v>0</v>
      </c>
      <c r="EVX285" s="18">
        <v>0</v>
      </c>
      <c r="EVY285" s="18">
        <v>0</v>
      </c>
      <c r="EVZ285" s="18">
        <v>0</v>
      </c>
      <c r="EWA285" s="18">
        <v>0</v>
      </c>
      <c r="EWB285" s="18">
        <v>0</v>
      </c>
      <c r="EWC285" s="18">
        <v>0</v>
      </c>
      <c r="EWD285" s="18">
        <v>0</v>
      </c>
      <c r="EWE285" s="18">
        <v>0</v>
      </c>
      <c r="EWF285" s="18">
        <v>0</v>
      </c>
      <c r="EWG285" s="18">
        <v>0</v>
      </c>
      <c r="EWH285" s="18">
        <v>0</v>
      </c>
      <c r="EWI285" s="18">
        <v>0</v>
      </c>
      <c r="EWJ285" s="18">
        <v>0</v>
      </c>
      <c r="EWK285" s="18">
        <v>0</v>
      </c>
      <c r="EWL285" s="18">
        <v>0</v>
      </c>
      <c r="EWM285" s="18">
        <v>0</v>
      </c>
      <c r="EWN285" s="18">
        <v>0</v>
      </c>
      <c r="EWO285" s="18">
        <v>0</v>
      </c>
      <c r="EWP285" s="18">
        <v>0</v>
      </c>
      <c r="EWQ285" s="18">
        <v>0</v>
      </c>
      <c r="EWR285" s="18">
        <v>0</v>
      </c>
      <c r="EWS285" s="18">
        <v>0</v>
      </c>
      <c r="EWT285" s="18">
        <v>0</v>
      </c>
      <c r="EWU285" s="18">
        <v>0</v>
      </c>
      <c r="EWV285" s="18">
        <v>0</v>
      </c>
      <c r="EWW285" s="18">
        <v>0</v>
      </c>
      <c r="EWX285" s="18">
        <v>0</v>
      </c>
      <c r="EWY285" s="18">
        <v>0</v>
      </c>
      <c r="EWZ285" s="18">
        <v>0</v>
      </c>
      <c r="EXA285" s="18">
        <v>0</v>
      </c>
      <c r="EXB285" s="18">
        <v>0</v>
      </c>
      <c r="EXC285" s="18">
        <v>0</v>
      </c>
      <c r="EXD285" s="18">
        <v>0</v>
      </c>
      <c r="EXE285" s="18">
        <v>0</v>
      </c>
      <c r="EXF285" s="18">
        <v>0</v>
      </c>
      <c r="EXG285" s="18">
        <v>0</v>
      </c>
      <c r="EXH285" s="18">
        <v>0</v>
      </c>
      <c r="EXI285" s="18">
        <v>0</v>
      </c>
      <c r="EXJ285" s="18">
        <v>0</v>
      </c>
      <c r="EXK285" s="18">
        <v>0</v>
      </c>
      <c r="EXL285" s="18">
        <v>0</v>
      </c>
      <c r="EXM285" s="18">
        <v>0</v>
      </c>
      <c r="EXN285" s="18">
        <v>0</v>
      </c>
      <c r="EXO285" s="18">
        <v>0</v>
      </c>
      <c r="EXP285" s="18">
        <v>0</v>
      </c>
      <c r="EXQ285" s="18">
        <v>0</v>
      </c>
      <c r="EXR285" s="18">
        <v>0</v>
      </c>
      <c r="EXS285" s="18">
        <v>0</v>
      </c>
      <c r="EXT285" s="18">
        <v>0</v>
      </c>
      <c r="EXU285" s="18">
        <v>0</v>
      </c>
      <c r="EXV285" s="18">
        <v>0</v>
      </c>
      <c r="EXW285" s="18">
        <v>0</v>
      </c>
      <c r="EXX285" s="18">
        <v>0</v>
      </c>
      <c r="EXY285" s="18">
        <v>0</v>
      </c>
      <c r="EXZ285" s="18">
        <v>0</v>
      </c>
      <c r="EYA285" s="18">
        <v>0</v>
      </c>
      <c r="EYB285" s="18">
        <v>0</v>
      </c>
      <c r="EYC285" s="18">
        <v>0</v>
      </c>
      <c r="EYD285" s="18">
        <v>0</v>
      </c>
      <c r="EYE285" s="18">
        <v>0</v>
      </c>
      <c r="EYF285" s="18">
        <v>0</v>
      </c>
      <c r="EYG285" s="18">
        <v>0</v>
      </c>
      <c r="EYH285" s="18">
        <v>0</v>
      </c>
      <c r="EYI285" s="18">
        <v>0</v>
      </c>
      <c r="EYJ285" s="18">
        <v>0</v>
      </c>
      <c r="EYK285" s="18">
        <v>0</v>
      </c>
      <c r="EYL285" s="18">
        <v>0</v>
      </c>
      <c r="EYM285" s="18">
        <v>0</v>
      </c>
      <c r="EYN285" s="18">
        <v>0</v>
      </c>
      <c r="EYO285" s="18">
        <v>0</v>
      </c>
      <c r="EYP285" s="18">
        <v>0</v>
      </c>
      <c r="EYQ285" s="18">
        <v>0</v>
      </c>
      <c r="EYR285" s="18">
        <v>0</v>
      </c>
      <c r="EYS285" s="18">
        <v>0</v>
      </c>
      <c r="EYT285" s="18">
        <v>0</v>
      </c>
      <c r="EYU285" s="18">
        <v>0</v>
      </c>
      <c r="EYV285" s="18">
        <v>0</v>
      </c>
      <c r="EYW285" s="18">
        <v>0</v>
      </c>
      <c r="EYX285" s="18">
        <v>0</v>
      </c>
      <c r="EYY285" s="18">
        <v>0</v>
      </c>
      <c r="EYZ285" s="18">
        <v>0</v>
      </c>
      <c r="EZA285" s="18">
        <v>0</v>
      </c>
      <c r="EZB285" s="18">
        <v>0</v>
      </c>
      <c r="EZC285" s="18">
        <v>0</v>
      </c>
      <c r="EZD285" s="18">
        <v>0</v>
      </c>
      <c r="EZE285" s="18">
        <v>0</v>
      </c>
      <c r="EZF285" s="18">
        <v>0</v>
      </c>
      <c r="EZG285" s="18">
        <v>0</v>
      </c>
      <c r="EZH285" s="18">
        <v>0</v>
      </c>
      <c r="EZI285" s="18">
        <v>0</v>
      </c>
      <c r="EZJ285" s="18">
        <v>0</v>
      </c>
      <c r="EZK285" s="18">
        <v>0</v>
      </c>
      <c r="EZL285" s="18">
        <v>0</v>
      </c>
      <c r="EZM285" s="18">
        <v>0</v>
      </c>
      <c r="EZN285" s="18">
        <v>0</v>
      </c>
      <c r="EZO285" s="18">
        <v>0</v>
      </c>
      <c r="EZP285" s="18">
        <v>0</v>
      </c>
      <c r="EZQ285" s="18">
        <v>0</v>
      </c>
      <c r="EZR285" s="18">
        <v>0</v>
      </c>
      <c r="EZS285" s="18">
        <v>0</v>
      </c>
      <c r="EZT285" s="18">
        <v>0</v>
      </c>
      <c r="EZU285" s="18">
        <v>0</v>
      </c>
      <c r="EZV285" s="18">
        <v>0</v>
      </c>
      <c r="EZW285" s="18">
        <v>0</v>
      </c>
      <c r="EZX285" s="18">
        <v>0</v>
      </c>
      <c r="EZY285" s="18">
        <v>0</v>
      </c>
      <c r="EZZ285" s="18">
        <v>0</v>
      </c>
      <c r="FAA285" s="18">
        <v>0</v>
      </c>
      <c r="FAB285" s="18">
        <v>0</v>
      </c>
      <c r="FAC285" s="18">
        <v>0</v>
      </c>
      <c r="FAD285" s="18">
        <v>0</v>
      </c>
      <c r="FAE285" s="18">
        <v>0</v>
      </c>
      <c r="FAF285" s="18">
        <v>0</v>
      </c>
      <c r="FAG285" s="18">
        <v>0</v>
      </c>
      <c r="FAH285" s="18">
        <v>0</v>
      </c>
      <c r="FAI285" s="18">
        <v>0</v>
      </c>
      <c r="FAJ285" s="18">
        <v>0</v>
      </c>
      <c r="FAK285" s="18">
        <v>0</v>
      </c>
      <c r="FAL285" s="18">
        <v>0</v>
      </c>
      <c r="FAM285" s="18">
        <v>0</v>
      </c>
      <c r="FAN285" s="18">
        <v>0</v>
      </c>
      <c r="FAO285" s="18">
        <v>0</v>
      </c>
      <c r="FAP285" s="18">
        <v>0</v>
      </c>
      <c r="FAQ285" s="18">
        <v>0</v>
      </c>
      <c r="FAR285" s="18">
        <v>0</v>
      </c>
      <c r="FAS285" s="18">
        <v>0</v>
      </c>
      <c r="FAT285" s="18">
        <v>0</v>
      </c>
      <c r="FAU285" s="18">
        <v>0</v>
      </c>
      <c r="FAV285" s="18">
        <v>0</v>
      </c>
      <c r="FAW285" s="18">
        <v>0</v>
      </c>
      <c r="FAX285" s="18">
        <v>0</v>
      </c>
      <c r="FAY285" s="18">
        <v>0</v>
      </c>
      <c r="FAZ285" s="18">
        <v>0</v>
      </c>
      <c r="FBA285" s="18">
        <v>0</v>
      </c>
      <c r="FBB285" s="18">
        <v>0</v>
      </c>
      <c r="FBC285" s="18">
        <v>0</v>
      </c>
      <c r="FBD285" s="18">
        <v>0</v>
      </c>
      <c r="FBE285" s="18">
        <v>0</v>
      </c>
      <c r="FBF285" s="18">
        <v>0</v>
      </c>
      <c r="FBG285" s="18">
        <v>0</v>
      </c>
      <c r="FBH285" s="18">
        <v>0</v>
      </c>
      <c r="FBI285" s="18">
        <v>0</v>
      </c>
      <c r="FBJ285" s="18">
        <v>0</v>
      </c>
      <c r="FBK285" s="18">
        <v>0</v>
      </c>
      <c r="FBL285" s="18">
        <v>0</v>
      </c>
      <c r="FBM285" s="18">
        <v>0</v>
      </c>
      <c r="FBN285" s="18">
        <v>0</v>
      </c>
      <c r="FBO285" s="18">
        <v>0</v>
      </c>
      <c r="FBP285" s="18">
        <v>0</v>
      </c>
      <c r="FBQ285" s="18">
        <v>0</v>
      </c>
      <c r="FBR285" s="18">
        <v>0</v>
      </c>
      <c r="FBS285" s="18">
        <v>0</v>
      </c>
      <c r="FBT285" s="18">
        <v>0</v>
      </c>
      <c r="FBU285" s="18">
        <v>0</v>
      </c>
      <c r="FBV285" s="18">
        <v>0</v>
      </c>
      <c r="FBW285" s="18">
        <v>0</v>
      </c>
      <c r="FBX285" s="18">
        <v>0</v>
      </c>
      <c r="FBY285" s="18">
        <v>0</v>
      </c>
      <c r="FBZ285" s="18">
        <v>0</v>
      </c>
      <c r="FCA285" s="18">
        <v>0</v>
      </c>
      <c r="FCB285" s="18">
        <v>0</v>
      </c>
      <c r="FCC285" s="18">
        <v>0</v>
      </c>
      <c r="FCD285" s="18">
        <v>0</v>
      </c>
      <c r="FCE285" s="18">
        <v>0</v>
      </c>
      <c r="FCF285" s="18">
        <v>0</v>
      </c>
      <c r="FCG285" s="18">
        <v>0</v>
      </c>
      <c r="FCH285" s="18">
        <v>0</v>
      </c>
      <c r="FCI285" s="18">
        <v>0</v>
      </c>
      <c r="FCJ285" s="18">
        <v>0</v>
      </c>
      <c r="FCK285" s="18">
        <v>0</v>
      </c>
      <c r="FCL285" s="18">
        <v>0</v>
      </c>
      <c r="FCM285" s="18">
        <v>0</v>
      </c>
      <c r="FCN285" s="18">
        <v>0</v>
      </c>
      <c r="FCO285" s="18">
        <v>0</v>
      </c>
      <c r="FCP285" s="18">
        <v>0</v>
      </c>
      <c r="FCQ285" s="18">
        <v>0</v>
      </c>
      <c r="FCR285" s="18">
        <v>0</v>
      </c>
      <c r="FCS285" s="18">
        <v>0</v>
      </c>
      <c r="FCT285" s="18">
        <v>0</v>
      </c>
      <c r="FCU285" s="18">
        <v>0</v>
      </c>
      <c r="FCV285" s="18">
        <v>0</v>
      </c>
      <c r="FCW285" s="18">
        <v>0</v>
      </c>
      <c r="FCX285" s="18">
        <v>0</v>
      </c>
      <c r="FCY285" s="18">
        <v>0</v>
      </c>
      <c r="FCZ285" s="18">
        <v>0</v>
      </c>
      <c r="FDA285" s="18">
        <v>0</v>
      </c>
      <c r="FDB285" s="18">
        <v>0</v>
      </c>
      <c r="FDC285" s="18">
        <v>0</v>
      </c>
      <c r="FDD285" s="18">
        <v>0</v>
      </c>
      <c r="FDE285" s="18">
        <v>0</v>
      </c>
      <c r="FDF285" s="18">
        <v>0</v>
      </c>
      <c r="FDG285" s="18">
        <v>0</v>
      </c>
      <c r="FDH285" s="18">
        <v>0</v>
      </c>
      <c r="FDI285" s="18">
        <v>0</v>
      </c>
      <c r="FDJ285" s="18">
        <v>0</v>
      </c>
      <c r="FDK285" s="18">
        <v>0</v>
      </c>
      <c r="FDL285" s="18">
        <v>0</v>
      </c>
      <c r="FDM285" s="18">
        <v>0</v>
      </c>
      <c r="FDN285" s="18">
        <v>0</v>
      </c>
      <c r="FDO285" s="18">
        <v>0</v>
      </c>
      <c r="FDP285" s="18">
        <v>0</v>
      </c>
      <c r="FDQ285" s="18">
        <v>0</v>
      </c>
      <c r="FDR285" s="18">
        <v>0</v>
      </c>
      <c r="FDS285" s="18">
        <v>0</v>
      </c>
      <c r="FDT285" s="18">
        <v>0</v>
      </c>
      <c r="FDU285" s="18">
        <v>0</v>
      </c>
      <c r="FDV285" s="18">
        <v>0</v>
      </c>
      <c r="FDW285" s="18">
        <v>0</v>
      </c>
      <c r="FDX285" s="18">
        <v>0</v>
      </c>
      <c r="FDY285" s="18">
        <v>0</v>
      </c>
      <c r="FDZ285" s="18">
        <v>0</v>
      </c>
      <c r="FEA285" s="18">
        <v>0</v>
      </c>
      <c r="FEB285" s="18">
        <v>0</v>
      </c>
      <c r="FEC285" s="18">
        <v>0</v>
      </c>
      <c r="FED285" s="18">
        <v>0</v>
      </c>
      <c r="FEE285" s="18">
        <v>0</v>
      </c>
      <c r="FEF285" s="18">
        <v>0</v>
      </c>
      <c r="FEG285" s="18">
        <v>0</v>
      </c>
      <c r="FEH285" s="18">
        <v>0</v>
      </c>
      <c r="FEI285" s="18">
        <v>0</v>
      </c>
      <c r="FEJ285" s="18">
        <v>0</v>
      </c>
      <c r="FEK285" s="18">
        <v>0</v>
      </c>
      <c r="FEL285" s="18">
        <v>0</v>
      </c>
      <c r="FEM285" s="18">
        <v>0</v>
      </c>
      <c r="FEN285" s="18">
        <v>0</v>
      </c>
      <c r="FEO285" s="18">
        <v>0</v>
      </c>
      <c r="FEP285" s="18">
        <v>0</v>
      </c>
      <c r="FEQ285" s="18">
        <v>0</v>
      </c>
      <c r="FER285" s="18">
        <v>0</v>
      </c>
      <c r="FES285" s="18">
        <v>0</v>
      </c>
      <c r="FET285" s="18">
        <v>0</v>
      </c>
      <c r="FEU285" s="18">
        <v>0</v>
      </c>
      <c r="FEV285" s="18">
        <v>0</v>
      </c>
      <c r="FEW285" s="18">
        <v>0</v>
      </c>
      <c r="FEX285" s="18">
        <v>0</v>
      </c>
      <c r="FEY285" s="18">
        <v>0</v>
      </c>
      <c r="FEZ285" s="18">
        <v>0</v>
      </c>
      <c r="FFA285" s="18">
        <v>0</v>
      </c>
      <c r="FFB285" s="18">
        <v>0</v>
      </c>
      <c r="FFC285" s="18">
        <v>0</v>
      </c>
      <c r="FFD285" s="18">
        <v>0</v>
      </c>
      <c r="FFE285" s="18">
        <v>0</v>
      </c>
      <c r="FFF285" s="18">
        <v>0</v>
      </c>
      <c r="FFG285" s="18">
        <v>0</v>
      </c>
      <c r="FFH285" s="18">
        <v>0</v>
      </c>
      <c r="FFI285" s="18">
        <v>0</v>
      </c>
      <c r="FFJ285" s="18">
        <v>0</v>
      </c>
      <c r="FFK285" s="18">
        <v>0</v>
      </c>
      <c r="FFL285" s="18">
        <v>0</v>
      </c>
      <c r="FFM285" s="18">
        <v>0</v>
      </c>
      <c r="FFN285" s="18">
        <v>0</v>
      </c>
      <c r="FFO285" s="18">
        <v>0</v>
      </c>
      <c r="FFP285" s="18">
        <v>0</v>
      </c>
      <c r="FFQ285" s="18">
        <v>0</v>
      </c>
      <c r="FFR285" s="18">
        <v>0</v>
      </c>
      <c r="FFS285" s="18">
        <v>0</v>
      </c>
      <c r="FFT285" s="18">
        <v>0</v>
      </c>
      <c r="FFU285" s="18">
        <v>0</v>
      </c>
      <c r="FFV285" s="18">
        <v>0</v>
      </c>
      <c r="FFW285" s="18">
        <v>0</v>
      </c>
      <c r="FFX285" s="18">
        <v>0</v>
      </c>
      <c r="FFY285" s="18">
        <v>0</v>
      </c>
      <c r="FFZ285" s="18">
        <v>0</v>
      </c>
      <c r="FGA285" s="18">
        <v>0</v>
      </c>
      <c r="FGB285" s="18">
        <v>0</v>
      </c>
      <c r="FGC285" s="18">
        <v>0</v>
      </c>
      <c r="FGD285" s="18">
        <v>0</v>
      </c>
      <c r="FGE285" s="18">
        <v>0</v>
      </c>
      <c r="FGF285" s="18">
        <v>0</v>
      </c>
      <c r="FGG285" s="18">
        <v>0</v>
      </c>
      <c r="FGH285" s="18">
        <v>0</v>
      </c>
      <c r="FGI285" s="18">
        <v>0</v>
      </c>
      <c r="FGJ285" s="18">
        <v>0</v>
      </c>
      <c r="FGK285" s="18">
        <v>0</v>
      </c>
      <c r="FGL285" s="18">
        <v>0</v>
      </c>
      <c r="FGM285" s="18">
        <v>0</v>
      </c>
      <c r="FGN285" s="18">
        <v>0</v>
      </c>
      <c r="FGO285" s="18">
        <v>0</v>
      </c>
      <c r="FGP285" s="18">
        <v>0</v>
      </c>
      <c r="FGQ285" s="18">
        <v>0</v>
      </c>
      <c r="FGR285" s="18">
        <v>0</v>
      </c>
      <c r="FGS285" s="18">
        <v>0</v>
      </c>
      <c r="FGT285" s="18">
        <v>0</v>
      </c>
      <c r="FGU285" s="18">
        <v>0</v>
      </c>
      <c r="FGV285" s="18">
        <v>0</v>
      </c>
      <c r="FGW285" s="18">
        <v>0</v>
      </c>
      <c r="FGX285" s="18">
        <v>0</v>
      </c>
      <c r="FGY285" s="18">
        <v>0</v>
      </c>
      <c r="FGZ285" s="18">
        <v>0</v>
      </c>
      <c r="FHA285" s="18">
        <v>0</v>
      </c>
      <c r="FHB285" s="18">
        <v>0</v>
      </c>
      <c r="FHC285" s="18">
        <v>0</v>
      </c>
      <c r="FHD285" s="18">
        <v>0</v>
      </c>
      <c r="FHE285" s="18">
        <v>0</v>
      </c>
      <c r="FHF285" s="18">
        <v>0</v>
      </c>
      <c r="FHG285" s="18">
        <v>0</v>
      </c>
      <c r="FHH285" s="18">
        <v>0</v>
      </c>
      <c r="FHI285" s="18">
        <v>0</v>
      </c>
      <c r="FHJ285" s="18">
        <v>0</v>
      </c>
      <c r="FHK285" s="18">
        <v>0</v>
      </c>
      <c r="FHL285" s="18">
        <v>0</v>
      </c>
      <c r="FHM285" s="18">
        <v>0</v>
      </c>
      <c r="FHN285" s="18">
        <v>0</v>
      </c>
      <c r="FHO285" s="18">
        <v>0</v>
      </c>
      <c r="FHP285" s="18">
        <v>0</v>
      </c>
      <c r="FHQ285" s="18">
        <v>0</v>
      </c>
      <c r="FHR285" s="18">
        <v>0</v>
      </c>
      <c r="FHS285" s="18">
        <v>0</v>
      </c>
      <c r="FHT285" s="18">
        <v>0</v>
      </c>
      <c r="FHU285" s="18">
        <v>0</v>
      </c>
      <c r="FHV285" s="18">
        <v>0</v>
      </c>
      <c r="FHW285" s="18">
        <v>0</v>
      </c>
      <c r="FHX285" s="18">
        <v>0</v>
      </c>
      <c r="FHY285" s="18">
        <v>0</v>
      </c>
      <c r="FHZ285" s="18">
        <v>0</v>
      </c>
      <c r="FIA285" s="18">
        <v>0</v>
      </c>
      <c r="FIB285" s="18">
        <v>0</v>
      </c>
      <c r="FIC285" s="18">
        <v>0</v>
      </c>
      <c r="FID285" s="18">
        <v>0</v>
      </c>
      <c r="FIE285" s="18">
        <v>0</v>
      </c>
      <c r="FIF285" s="18">
        <v>0</v>
      </c>
      <c r="FIG285" s="18">
        <v>0</v>
      </c>
      <c r="FIH285" s="18">
        <v>0</v>
      </c>
      <c r="FII285" s="18">
        <v>0</v>
      </c>
      <c r="FIJ285" s="18">
        <v>0</v>
      </c>
      <c r="FIK285" s="18">
        <v>0</v>
      </c>
      <c r="FIL285" s="18">
        <v>0</v>
      </c>
      <c r="FIM285" s="18">
        <v>0</v>
      </c>
      <c r="FIN285" s="18">
        <v>0</v>
      </c>
      <c r="FIO285" s="18">
        <v>0</v>
      </c>
      <c r="FIP285" s="18">
        <v>0</v>
      </c>
      <c r="FIQ285" s="18">
        <v>0</v>
      </c>
      <c r="FIR285" s="18">
        <v>0</v>
      </c>
      <c r="FIS285" s="18">
        <v>0</v>
      </c>
      <c r="FIT285" s="18">
        <v>0</v>
      </c>
      <c r="FIU285" s="18">
        <v>0</v>
      </c>
      <c r="FIV285" s="18">
        <v>0</v>
      </c>
      <c r="FIW285" s="18">
        <v>0</v>
      </c>
      <c r="FIX285" s="18">
        <v>0</v>
      </c>
      <c r="FIY285" s="18">
        <v>0</v>
      </c>
      <c r="FIZ285" s="18">
        <v>0</v>
      </c>
      <c r="FJA285" s="18">
        <v>0</v>
      </c>
      <c r="FJB285" s="18">
        <v>0</v>
      </c>
      <c r="FJC285" s="18">
        <v>0</v>
      </c>
      <c r="FJD285" s="18">
        <v>0</v>
      </c>
      <c r="FJE285" s="18">
        <v>0</v>
      </c>
      <c r="FJF285" s="18">
        <v>0</v>
      </c>
      <c r="FJG285" s="18">
        <v>0</v>
      </c>
      <c r="FJH285" s="18">
        <v>0</v>
      </c>
      <c r="FJI285" s="18">
        <v>0</v>
      </c>
      <c r="FJJ285" s="18">
        <v>0</v>
      </c>
      <c r="FJK285" s="18">
        <v>0</v>
      </c>
      <c r="FJL285" s="18">
        <v>0</v>
      </c>
      <c r="FJM285" s="18">
        <v>0</v>
      </c>
      <c r="FJN285" s="18">
        <v>0</v>
      </c>
      <c r="FJO285" s="18">
        <v>0</v>
      </c>
      <c r="FJP285" s="18">
        <v>0</v>
      </c>
      <c r="FJQ285" s="18">
        <v>0</v>
      </c>
      <c r="FJR285" s="18">
        <v>0</v>
      </c>
      <c r="FJS285" s="18">
        <v>0</v>
      </c>
      <c r="FJT285" s="18">
        <v>0</v>
      </c>
      <c r="FJU285" s="18">
        <v>0</v>
      </c>
      <c r="FJV285" s="18">
        <v>0</v>
      </c>
      <c r="FJW285" s="18">
        <v>0</v>
      </c>
      <c r="FJX285" s="18">
        <v>0</v>
      </c>
      <c r="FJY285" s="18">
        <v>0</v>
      </c>
      <c r="FJZ285" s="18">
        <v>0</v>
      </c>
      <c r="FKA285" s="18">
        <v>0</v>
      </c>
      <c r="FKB285" s="18">
        <v>0</v>
      </c>
      <c r="FKC285" s="18">
        <v>0</v>
      </c>
      <c r="FKD285" s="18">
        <v>0</v>
      </c>
      <c r="FKE285" s="18">
        <v>0</v>
      </c>
      <c r="FKF285" s="18">
        <v>0</v>
      </c>
      <c r="FKG285" s="18">
        <v>0</v>
      </c>
      <c r="FKH285" s="18">
        <v>0</v>
      </c>
      <c r="FKI285" s="18">
        <v>0</v>
      </c>
      <c r="FKJ285" s="18">
        <v>0</v>
      </c>
      <c r="FKK285" s="18">
        <v>0</v>
      </c>
      <c r="FKL285" s="18">
        <v>0</v>
      </c>
      <c r="FKM285" s="18">
        <v>0</v>
      </c>
      <c r="FKN285" s="18">
        <v>0</v>
      </c>
      <c r="FKO285" s="18">
        <v>0</v>
      </c>
      <c r="FKP285" s="18">
        <v>0</v>
      </c>
      <c r="FKQ285" s="18">
        <v>0</v>
      </c>
      <c r="FKR285" s="18">
        <v>0</v>
      </c>
      <c r="FKS285" s="18">
        <v>0</v>
      </c>
      <c r="FKT285" s="18">
        <v>0</v>
      </c>
      <c r="FKU285" s="18">
        <v>0</v>
      </c>
      <c r="FKV285" s="18">
        <v>0</v>
      </c>
      <c r="FKW285" s="18">
        <v>0</v>
      </c>
      <c r="FKX285" s="18">
        <v>0</v>
      </c>
      <c r="FKY285" s="18">
        <v>0</v>
      </c>
      <c r="FKZ285" s="18">
        <v>0</v>
      </c>
      <c r="FLA285" s="18">
        <v>0</v>
      </c>
      <c r="FLB285" s="18">
        <v>0</v>
      </c>
      <c r="FLC285" s="18">
        <v>0</v>
      </c>
      <c r="FLD285" s="18">
        <v>0</v>
      </c>
      <c r="FLE285" s="18">
        <v>0</v>
      </c>
      <c r="FLF285" s="18">
        <v>0</v>
      </c>
      <c r="FLG285" s="18">
        <v>0</v>
      </c>
      <c r="FLH285" s="18">
        <v>0</v>
      </c>
      <c r="FLI285" s="18">
        <v>0</v>
      </c>
      <c r="FLJ285" s="18">
        <v>0</v>
      </c>
      <c r="FLK285" s="18">
        <v>0</v>
      </c>
      <c r="FLL285" s="18">
        <v>0</v>
      </c>
      <c r="FLM285" s="18">
        <v>0</v>
      </c>
      <c r="FLN285" s="18">
        <v>0</v>
      </c>
      <c r="FLO285" s="18">
        <v>0</v>
      </c>
      <c r="FLP285" s="18">
        <v>0</v>
      </c>
      <c r="FLQ285" s="18">
        <v>0</v>
      </c>
      <c r="FLR285" s="18">
        <v>0</v>
      </c>
      <c r="FLS285" s="18">
        <v>0</v>
      </c>
      <c r="FLT285" s="18">
        <v>0</v>
      </c>
      <c r="FLU285" s="18">
        <v>0</v>
      </c>
      <c r="FLV285" s="18">
        <v>0</v>
      </c>
      <c r="FLW285" s="18">
        <v>0</v>
      </c>
      <c r="FLX285" s="18">
        <v>0</v>
      </c>
      <c r="FLY285" s="18">
        <v>0</v>
      </c>
      <c r="FLZ285" s="18">
        <v>0</v>
      </c>
      <c r="FMA285" s="18">
        <v>0</v>
      </c>
      <c r="FMB285" s="18">
        <v>0</v>
      </c>
      <c r="FMC285" s="18">
        <v>0</v>
      </c>
      <c r="FMD285" s="18">
        <v>0</v>
      </c>
      <c r="FME285" s="18">
        <v>0</v>
      </c>
      <c r="FMF285" s="18">
        <v>0</v>
      </c>
      <c r="FMG285" s="18">
        <v>0</v>
      </c>
      <c r="FMH285" s="18">
        <v>0</v>
      </c>
      <c r="FMI285" s="18">
        <v>0</v>
      </c>
      <c r="FMJ285" s="18">
        <v>0</v>
      </c>
      <c r="FMK285" s="18">
        <v>0</v>
      </c>
      <c r="FML285" s="18">
        <v>0</v>
      </c>
      <c r="FMM285" s="18">
        <v>0</v>
      </c>
      <c r="FMN285" s="18">
        <v>0</v>
      </c>
      <c r="FMO285" s="18">
        <v>0</v>
      </c>
      <c r="FMP285" s="18">
        <v>0</v>
      </c>
      <c r="FMQ285" s="18">
        <v>0</v>
      </c>
      <c r="FMR285" s="18">
        <v>0</v>
      </c>
      <c r="FMS285" s="18">
        <v>0</v>
      </c>
      <c r="FMT285" s="18">
        <v>0</v>
      </c>
      <c r="FMU285" s="18">
        <v>0</v>
      </c>
      <c r="FMV285" s="18">
        <v>0</v>
      </c>
      <c r="FMW285" s="18">
        <v>0</v>
      </c>
      <c r="FMX285" s="18">
        <v>0</v>
      </c>
      <c r="FMY285" s="18">
        <v>0</v>
      </c>
      <c r="FMZ285" s="18">
        <v>0</v>
      </c>
      <c r="FNA285" s="18">
        <v>0</v>
      </c>
      <c r="FNB285" s="18">
        <v>0</v>
      </c>
      <c r="FNC285" s="18">
        <v>0</v>
      </c>
      <c r="FND285" s="18">
        <v>0</v>
      </c>
      <c r="FNE285" s="18">
        <v>0</v>
      </c>
      <c r="FNF285" s="18">
        <v>0</v>
      </c>
      <c r="FNG285" s="18">
        <v>0</v>
      </c>
      <c r="FNH285" s="18">
        <v>0</v>
      </c>
      <c r="FNI285" s="18">
        <v>0</v>
      </c>
      <c r="FNJ285" s="18">
        <v>0</v>
      </c>
      <c r="FNK285" s="18">
        <v>0</v>
      </c>
      <c r="FNL285" s="18">
        <v>0</v>
      </c>
      <c r="FNM285" s="18">
        <v>0</v>
      </c>
      <c r="FNN285" s="18">
        <v>0</v>
      </c>
      <c r="FNO285" s="18">
        <v>0</v>
      </c>
      <c r="FNP285" s="18">
        <v>0</v>
      </c>
      <c r="FNQ285" s="18">
        <v>0</v>
      </c>
      <c r="FNR285" s="18">
        <v>0</v>
      </c>
      <c r="FNS285" s="18">
        <v>0</v>
      </c>
      <c r="FNT285" s="18">
        <v>0</v>
      </c>
      <c r="FNU285" s="18">
        <v>0</v>
      </c>
      <c r="FNV285" s="18">
        <v>0</v>
      </c>
      <c r="FNW285" s="18">
        <v>0</v>
      </c>
      <c r="FNX285" s="18">
        <v>0</v>
      </c>
      <c r="FNY285" s="18">
        <v>0</v>
      </c>
      <c r="FNZ285" s="18">
        <v>0</v>
      </c>
      <c r="FOA285" s="18">
        <v>0</v>
      </c>
      <c r="FOB285" s="18">
        <v>0</v>
      </c>
      <c r="FOC285" s="18">
        <v>0</v>
      </c>
      <c r="FOD285" s="18">
        <v>0</v>
      </c>
      <c r="FOE285" s="18">
        <v>0</v>
      </c>
      <c r="FOF285" s="18">
        <v>0</v>
      </c>
      <c r="FOG285" s="18">
        <v>0</v>
      </c>
      <c r="FOH285" s="18">
        <v>0</v>
      </c>
      <c r="FOI285" s="18">
        <v>0</v>
      </c>
      <c r="FOJ285" s="18">
        <v>0</v>
      </c>
      <c r="FOK285" s="18">
        <v>0</v>
      </c>
      <c r="FOL285" s="18">
        <v>0</v>
      </c>
      <c r="FOM285" s="18">
        <v>0</v>
      </c>
      <c r="FON285" s="18">
        <v>0</v>
      </c>
      <c r="FOO285" s="18">
        <v>0</v>
      </c>
      <c r="FOP285" s="18">
        <v>0</v>
      </c>
      <c r="FOQ285" s="18">
        <v>0</v>
      </c>
      <c r="FOR285" s="18">
        <v>0</v>
      </c>
      <c r="FOS285" s="18">
        <v>0</v>
      </c>
      <c r="FOT285" s="18">
        <v>0</v>
      </c>
      <c r="FOU285" s="18">
        <v>0</v>
      </c>
      <c r="FOV285" s="18">
        <v>0</v>
      </c>
      <c r="FOW285" s="18">
        <v>0</v>
      </c>
      <c r="FOX285" s="18">
        <v>0</v>
      </c>
      <c r="FOY285" s="18">
        <v>0</v>
      </c>
      <c r="FOZ285" s="18">
        <v>0</v>
      </c>
      <c r="FPA285" s="18">
        <v>0</v>
      </c>
      <c r="FPB285" s="18">
        <v>0</v>
      </c>
      <c r="FPC285" s="18">
        <v>0</v>
      </c>
      <c r="FPD285" s="18">
        <v>0</v>
      </c>
      <c r="FPE285" s="18">
        <v>0</v>
      </c>
      <c r="FPF285" s="18">
        <v>0</v>
      </c>
      <c r="FPG285" s="18">
        <v>0</v>
      </c>
      <c r="FPH285" s="18">
        <v>0</v>
      </c>
      <c r="FPI285" s="18">
        <v>0</v>
      </c>
      <c r="FPJ285" s="18">
        <v>0</v>
      </c>
      <c r="FPK285" s="18">
        <v>0</v>
      </c>
      <c r="FPL285" s="18">
        <v>0</v>
      </c>
      <c r="FPM285" s="18">
        <v>0</v>
      </c>
      <c r="FPN285" s="18">
        <v>0</v>
      </c>
      <c r="FPO285" s="18">
        <v>0</v>
      </c>
      <c r="FPP285" s="18">
        <v>0</v>
      </c>
      <c r="FPQ285" s="18">
        <v>0</v>
      </c>
      <c r="FPR285" s="18">
        <v>0</v>
      </c>
      <c r="FPS285" s="18">
        <v>0</v>
      </c>
      <c r="FPT285" s="18">
        <v>0</v>
      </c>
      <c r="FPU285" s="18">
        <v>0</v>
      </c>
      <c r="FPV285" s="18">
        <v>0</v>
      </c>
      <c r="FPW285" s="18">
        <v>0</v>
      </c>
      <c r="FPX285" s="18">
        <v>0</v>
      </c>
      <c r="FPY285" s="18">
        <v>0</v>
      </c>
      <c r="FPZ285" s="18">
        <v>0</v>
      </c>
      <c r="FQA285" s="18">
        <v>0</v>
      </c>
      <c r="FQB285" s="18">
        <v>0</v>
      </c>
      <c r="FQC285" s="18">
        <v>0</v>
      </c>
      <c r="FQD285" s="18">
        <v>0</v>
      </c>
      <c r="FQE285" s="18">
        <v>0</v>
      </c>
      <c r="FQF285" s="18">
        <v>0</v>
      </c>
      <c r="FQG285" s="18">
        <v>0</v>
      </c>
      <c r="FQH285" s="18">
        <v>0</v>
      </c>
      <c r="FQI285" s="18">
        <v>0</v>
      </c>
      <c r="FQJ285" s="18">
        <v>0</v>
      </c>
      <c r="FQK285" s="18">
        <v>0</v>
      </c>
      <c r="FQL285" s="18">
        <v>0</v>
      </c>
      <c r="FQM285" s="18">
        <v>0</v>
      </c>
      <c r="FQN285" s="18">
        <v>0</v>
      </c>
      <c r="FQO285" s="18">
        <v>0</v>
      </c>
      <c r="FQP285" s="18">
        <v>0</v>
      </c>
      <c r="FQQ285" s="18">
        <v>0</v>
      </c>
      <c r="FQR285" s="18">
        <v>0</v>
      </c>
      <c r="FQS285" s="18">
        <v>0</v>
      </c>
      <c r="FQT285" s="18">
        <v>0</v>
      </c>
      <c r="FQU285" s="18">
        <v>0</v>
      </c>
      <c r="FQV285" s="18">
        <v>0</v>
      </c>
      <c r="FQW285" s="18">
        <v>0</v>
      </c>
      <c r="FQX285" s="18">
        <v>0</v>
      </c>
      <c r="FQY285" s="18">
        <v>0</v>
      </c>
      <c r="FQZ285" s="18">
        <v>0</v>
      </c>
      <c r="FRA285" s="18">
        <v>0</v>
      </c>
      <c r="FRB285" s="18">
        <v>0</v>
      </c>
      <c r="FRC285" s="18">
        <v>0</v>
      </c>
      <c r="FRD285" s="18">
        <v>0</v>
      </c>
      <c r="FRE285" s="18">
        <v>0</v>
      </c>
      <c r="FRF285" s="18">
        <v>0</v>
      </c>
      <c r="FRG285" s="18">
        <v>0</v>
      </c>
      <c r="FRH285" s="18">
        <v>0</v>
      </c>
      <c r="FRI285" s="18">
        <v>0</v>
      </c>
      <c r="FRJ285" s="18">
        <v>0</v>
      </c>
      <c r="FRK285" s="18">
        <v>0</v>
      </c>
      <c r="FRL285" s="18">
        <v>0</v>
      </c>
      <c r="FRM285" s="18">
        <v>0</v>
      </c>
      <c r="FRN285" s="18">
        <v>0</v>
      </c>
      <c r="FRO285" s="18">
        <v>0</v>
      </c>
      <c r="FRP285" s="18">
        <v>0</v>
      </c>
      <c r="FRQ285" s="18">
        <v>0</v>
      </c>
      <c r="FRR285" s="18">
        <v>0</v>
      </c>
      <c r="FRS285" s="18">
        <v>0</v>
      </c>
      <c r="FRT285" s="18">
        <v>0</v>
      </c>
      <c r="FRU285" s="18">
        <v>0</v>
      </c>
      <c r="FRV285" s="18">
        <v>0</v>
      </c>
      <c r="FRW285" s="18">
        <v>0</v>
      </c>
      <c r="FRX285" s="18">
        <v>0</v>
      </c>
      <c r="FRY285" s="18">
        <v>0</v>
      </c>
      <c r="FRZ285" s="18">
        <v>0</v>
      </c>
      <c r="FSA285" s="18">
        <v>0</v>
      </c>
      <c r="FSB285" s="18">
        <v>0</v>
      </c>
      <c r="FSC285" s="18">
        <v>0</v>
      </c>
      <c r="FSD285" s="18">
        <v>0</v>
      </c>
      <c r="FSE285" s="18">
        <v>0</v>
      </c>
      <c r="FSF285" s="18">
        <v>0</v>
      </c>
      <c r="FSG285" s="18">
        <v>0</v>
      </c>
      <c r="FSH285" s="18">
        <v>0</v>
      </c>
      <c r="FSI285" s="18">
        <v>0</v>
      </c>
      <c r="FSJ285" s="18">
        <v>0</v>
      </c>
      <c r="FSK285" s="18">
        <v>0</v>
      </c>
      <c r="FSL285" s="18">
        <v>0</v>
      </c>
      <c r="FSM285" s="18">
        <v>0</v>
      </c>
      <c r="FSN285" s="18">
        <v>0</v>
      </c>
      <c r="FSO285" s="18">
        <v>0</v>
      </c>
      <c r="FSP285" s="18">
        <v>0</v>
      </c>
      <c r="FSQ285" s="18">
        <v>0</v>
      </c>
      <c r="FSR285" s="18">
        <v>0</v>
      </c>
      <c r="FSS285" s="18">
        <v>0</v>
      </c>
      <c r="FST285" s="18">
        <v>0</v>
      </c>
      <c r="FSU285" s="18">
        <v>0</v>
      </c>
      <c r="FSV285" s="18">
        <v>0</v>
      </c>
      <c r="FSW285" s="18">
        <v>0</v>
      </c>
      <c r="FSX285" s="18">
        <v>0</v>
      </c>
      <c r="FSY285" s="18">
        <v>0</v>
      </c>
      <c r="FSZ285" s="18">
        <v>0</v>
      </c>
      <c r="FTA285" s="18">
        <v>0</v>
      </c>
      <c r="FTB285" s="18">
        <v>0</v>
      </c>
      <c r="FTC285" s="18">
        <v>0</v>
      </c>
      <c r="FTD285" s="18">
        <v>0</v>
      </c>
      <c r="FTE285" s="18">
        <v>0</v>
      </c>
      <c r="FTF285" s="18">
        <v>0</v>
      </c>
      <c r="FTG285" s="18">
        <v>0</v>
      </c>
      <c r="FTH285" s="18">
        <v>0</v>
      </c>
      <c r="FTI285" s="18">
        <v>0</v>
      </c>
      <c r="FTJ285" s="18">
        <v>0</v>
      </c>
      <c r="FTK285" s="18">
        <v>0</v>
      </c>
      <c r="FTL285" s="18">
        <v>0</v>
      </c>
      <c r="FTM285" s="18">
        <v>0</v>
      </c>
      <c r="FTN285" s="18">
        <v>0</v>
      </c>
      <c r="FTO285" s="18">
        <v>0</v>
      </c>
      <c r="FTP285" s="18">
        <v>0</v>
      </c>
      <c r="FTQ285" s="18">
        <v>0</v>
      </c>
      <c r="FTR285" s="18">
        <v>0</v>
      </c>
      <c r="FTS285" s="18">
        <v>0</v>
      </c>
      <c r="FTT285" s="18">
        <v>0</v>
      </c>
      <c r="FTU285" s="18">
        <v>0</v>
      </c>
      <c r="FTV285" s="18">
        <v>0</v>
      </c>
      <c r="FTW285" s="18">
        <v>0</v>
      </c>
      <c r="FTX285" s="18">
        <v>0</v>
      </c>
      <c r="FTY285" s="18">
        <v>0</v>
      </c>
      <c r="FTZ285" s="18">
        <v>0</v>
      </c>
      <c r="FUA285" s="18">
        <v>0</v>
      </c>
      <c r="FUB285" s="18">
        <v>0</v>
      </c>
      <c r="FUC285" s="18">
        <v>0</v>
      </c>
      <c r="FUD285" s="18">
        <v>0</v>
      </c>
      <c r="FUE285" s="18">
        <v>0</v>
      </c>
      <c r="FUF285" s="18">
        <v>0</v>
      </c>
      <c r="FUG285" s="18">
        <v>0</v>
      </c>
      <c r="FUH285" s="18">
        <v>0</v>
      </c>
      <c r="FUI285" s="18">
        <v>0</v>
      </c>
      <c r="FUJ285" s="18">
        <v>0</v>
      </c>
      <c r="FUK285" s="18">
        <v>0</v>
      </c>
      <c r="FUL285" s="18">
        <v>0</v>
      </c>
      <c r="FUM285" s="18">
        <v>0</v>
      </c>
      <c r="FUN285" s="18">
        <v>0</v>
      </c>
      <c r="FUO285" s="18">
        <v>0</v>
      </c>
      <c r="FUP285" s="18">
        <v>0</v>
      </c>
      <c r="FUQ285" s="18">
        <v>0</v>
      </c>
      <c r="FUR285" s="18">
        <v>0</v>
      </c>
      <c r="FUS285" s="18">
        <v>0</v>
      </c>
      <c r="FUT285" s="18">
        <v>0</v>
      </c>
      <c r="FUU285" s="18">
        <v>0</v>
      </c>
      <c r="FUV285" s="18">
        <v>0</v>
      </c>
      <c r="FUW285" s="18">
        <v>0</v>
      </c>
      <c r="FUX285" s="18">
        <v>0</v>
      </c>
      <c r="FUY285" s="18">
        <v>0</v>
      </c>
      <c r="FUZ285" s="18">
        <v>0</v>
      </c>
      <c r="FVA285" s="18">
        <v>0</v>
      </c>
      <c r="FVB285" s="18">
        <v>0</v>
      </c>
      <c r="FVC285" s="18">
        <v>0</v>
      </c>
      <c r="FVD285" s="18">
        <v>0</v>
      </c>
      <c r="FVE285" s="18">
        <v>0</v>
      </c>
      <c r="FVF285" s="18">
        <v>0</v>
      </c>
      <c r="FVG285" s="18">
        <v>0</v>
      </c>
      <c r="FVH285" s="18">
        <v>0</v>
      </c>
      <c r="FVI285" s="18">
        <v>0</v>
      </c>
      <c r="FVJ285" s="18">
        <v>0</v>
      </c>
      <c r="FVK285" s="18">
        <v>0</v>
      </c>
      <c r="FVL285" s="18">
        <v>0</v>
      </c>
      <c r="FVM285" s="18">
        <v>0</v>
      </c>
      <c r="FVN285" s="18">
        <v>0</v>
      </c>
      <c r="FVO285" s="18">
        <v>0</v>
      </c>
      <c r="FVP285" s="18">
        <v>0</v>
      </c>
      <c r="FVQ285" s="18">
        <v>0</v>
      </c>
      <c r="FVR285" s="18">
        <v>0</v>
      </c>
      <c r="FVS285" s="18">
        <v>0</v>
      </c>
      <c r="FVT285" s="18">
        <v>0</v>
      </c>
      <c r="FVU285" s="18">
        <v>0</v>
      </c>
      <c r="FVV285" s="18">
        <v>0</v>
      </c>
      <c r="FVW285" s="18">
        <v>0</v>
      </c>
      <c r="FVX285" s="18">
        <v>0</v>
      </c>
      <c r="FVY285" s="18">
        <v>0</v>
      </c>
      <c r="FVZ285" s="18">
        <v>0</v>
      </c>
      <c r="FWA285" s="18">
        <v>0</v>
      </c>
      <c r="FWB285" s="18">
        <v>0</v>
      </c>
      <c r="FWC285" s="18">
        <v>0</v>
      </c>
      <c r="FWD285" s="18">
        <v>0</v>
      </c>
      <c r="FWE285" s="18">
        <v>0</v>
      </c>
      <c r="FWF285" s="18">
        <v>0</v>
      </c>
      <c r="FWG285" s="18">
        <v>0</v>
      </c>
      <c r="FWH285" s="18">
        <v>0</v>
      </c>
      <c r="FWI285" s="18">
        <v>0</v>
      </c>
      <c r="FWJ285" s="18">
        <v>0</v>
      </c>
      <c r="FWK285" s="18">
        <v>0</v>
      </c>
      <c r="FWL285" s="18">
        <v>0</v>
      </c>
      <c r="FWM285" s="18">
        <v>0</v>
      </c>
      <c r="FWN285" s="18">
        <v>0</v>
      </c>
      <c r="FWO285" s="18">
        <v>0</v>
      </c>
      <c r="FWP285" s="18">
        <v>0</v>
      </c>
      <c r="FWQ285" s="18">
        <v>0</v>
      </c>
      <c r="FWR285" s="18">
        <v>0</v>
      </c>
      <c r="FWS285" s="18">
        <v>0</v>
      </c>
      <c r="FWT285" s="18">
        <v>0</v>
      </c>
      <c r="FWU285" s="18">
        <v>0</v>
      </c>
      <c r="FWV285" s="18">
        <v>0</v>
      </c>
      <c r="FWW285" s="18">
        <v>0</v>
      </c>
      <c r="FWX285" s="18">
        <v>0</v>
      </c>
      <c r="FWY285" s="18">
        <v>0</v>
      </c>
      <c r="FWZ285" s="18">
        <v>0</v>
      </c>
      <c r="FXA285" s="18">
        <v>0</v>
      </c>
      <c r="FXB285" s="18">
        <v>0</v>
      </c>
      <c r="FXC285" s="18">
        <v>0</v>
      </c>
      <c r="FXD285" s="18">
        <v>0</v>
      </c>
      <c r="FXE285" s="18">
        <v>0</v>
      </c>
      <c r="FXF285" s="18">
        <v>0</v>
      </c>
      <c r="FXG285" s="18">
        <v>0</v>
      </c>
      <c r="FXH285" s="18">
        <v>0</v>
      </c>
      <c r="FXI285" s="18">
        <v>0</v>
      </c>
      <c r="FXJ285" s="18">
        <v>0</v>
      </c>
      <c r="FXK285" s="18">
        <v>0</v>
      </c>
      <c r="FXL285" s="18">
        <v>0</v>
      </c>
      <c r="FXM285" s="18">
        <v>0</v>
      </c>
      <c r="FXN285" s="18">
        <v>0</v>
      </c>
      <c r="FXO285" s="18">
        <v>0</v>
      </c>
      <c r="FXP285" s="18">
        <v>0</v>
      </c>
      <c r="FXQ285" s="18">
        <v>0</v>
      </c>
      <c r="FXR285" s="18">
        <v>0</v>
      </c>
      <c r="FXS285" s="18">
        <v>0</v>
      </c>
      <c r="FXT285" s="18">
        <v>0</v>
      </c>
      <c r="FXU285" s="18">
        <v>0</v>
      </c>
      <c r="FXV285" s="18">
        <v>0</v>
      </c>
      <c r="FXW285" s="18">
        <v>0</v>
      </c>
      <c r="FXX285" s="18">
        <v>0</v>
      </c>
      <c r="FXY285" s="18">
        <v>0</v>
      </c>
      <c r="FXZ285" s="18">
        <v>0</v>
      </c>
      <c r="FYA285" s="18">
        <v>0</v>
      </c>
      <c r="FYB285" s="18">
        <v>0</v>
      </c>
      <c r="FYC285" s="18">
        <v>0</v>
      </c>
      <c r="FYD285" s="18">
        <v>0</v>
      </c>
      <c r="FYE285" s="18">
        <v>0</v>
      </c>
      <c r="FYF285" s="18">
        <v>0</v>
      </c>
      <c r="FYG285" s="18">
        <v>0</v>
      </c>
      <c r="FYH285" s="18">
        <v>0</v>
      </c>
      <c r="FYI285" s="18">
        <v>0</v>
      </c>
      <c r="FYJ285" s="18">
        <v>0</v>
      </c>
      <c r="FYK285" s="18">
        <v>0</v>
      </c>
      <c r="FYL285" s="18">
        <v>0</v>
      </c>
      <c r="FYM285" s="18">
        <v>0</v>
      </c>
      <c r="FYN285" s="18">
        <v>0</v>
      </c>
      <c r="FYO285" s="18">
        <v>0</v>
      </c>
      <c r="FYP285" s="18">
        <v>0</v>
      </c>
      <c r="FYQ285" s="18">
        <v>0</v>
      </c>
      <c r="FYR285" s="18">
        <v>0</v>
      </c>
      <c r="FYS285" s="18">
        <v>0</v>
      </c>
      <c r="FYT285" s="18">
        <v>0</v>
      </c>
      <c r="FYU285" s="18">
        <v>0</v>
      </c>
      <c r="FYV285" s="18">
        <v>0</v>
      </c>
      <c r="FYW285" s="18">
        <v>0</v>
      </c>
      <c r="FYX285" s="18">
        <v>0</v>
      </c>
      <c r="FYY285" s="18">
        <v>0</v>
      </c>
      <c r="FYZ285" s="18">
        <v>0</v>
      </c>
      <c r="FZA285" s="18">
        <v>0</v>
      </c>
      <c r="FZB285" s="18">
        <v>0</v>
      </c>
      <c r="FZC285" s="18">
        <v>0</v>
      </c>
      <c r="FZD285" s="18">
        <v>0</v>
      </c>
      <c r="FZE285" s="18">
        <v>0</v>
      </c>
      <c r="FZF285" s="18">
        <v>0</v>
      </c>
      <c r="FZG285" s="18">
        <v>0</v>
      </c>
      <c r="FZH285" s="18">
        <v>0</v>
      </c>
      <c r="FZI285" s="18">
        <v>0</v>
      </c>
      <c r="FZJ285" s="18">
        <v>0</v>
      </c>
      <c r="FZK285" s="18">
        <v>0</v>
      </c>
      <c r="FZL285" s="18">
        <v>0</v>
      </c>
      <c r="FZM285" s="18">
        <v>0</v>
      </c>
      <c r="FZN285" s="18">
        <v>0</v>
      </c>
      <c r="FZO285" s="18">
        <v>0</v>
      </c>
      <c r="FZP285" s="18">
        <v>0</v>
      </c>
      <c r="FZQ285" s="18">
        <v>0</v>
      </c>
      <c r="FZR285" s="18">
        <v>0</v>
      </c>
      <c r="FZS285" s="18">
        <v>0</v>
      </c>
      <c r="FZT285" s="18">
        <v>0</v>
      </c>
      <c r="FZU285" s="18">
        <v>0</v>
      </c>
      <c r="FZV285" s="18">
        <v>0</v>
      </c>
      <c r="FZW285" s="18">
        <v>0</v>
      </c>
      <c r="FZX285" s="18">
        <v>0</v>
      </c>
      <c r="FZY285" s="18">
        <v>0</v>
      </c>
      <c r="FZZ285" s="18">
        <v>0</v>
      </c>
      <c r="GAA285" s="18">
        <v>0</v>
      </c>
      <c r="GAB285" s="18">
        <v>0</v>
      </c>
      <c r="GAC285" s="18">
        <v>0</v>
      </c>
      <c r="GAD285" s="18">
        <v>0</v>
      </c>
      <c r="GAE285" s="18">
        <v>0</v>
      </c>
      <c r="GAF285" s="18">
        <v>0</v>
      </c>
      <c r="GAG285" s="18">
        <v>0</v>
      </c>
      <c r="GAH285" s="18">
        <v>0</v>
      </c>
      <c r="GAI285" s="18">
        <v>0</v>
      </c>
      <c r="GAJ285" s="18">
        <v>0</v>
      </c>
      <c r="GAK285" s="18">
        <v>0</v>
      </c>
      <c r="GAL285" s="18">
        <v>0</v>
      </c>
      <c r="GAM285" s="18">
        <v>0</v>
      </c>
      <c r="GAN285" s="18">
        <v>0</v>
      </c>
      <c r="GAO285" s="18">
        <v>0</v>
      </c>
      <c r="GAP285" s="18">
        <v>0</v>
      </c>
      <c r="GAQ285" s="18">
        <v>0</v>
      </c>
      <c r="GAR285" s="18">
        <v>0</v>
      </c>
      <c r="GAS285" s="18">
        <v>0</v>
      </c>
      <c r="GAT285" s="18">
        <v>0</v>
      </c>
      <c r="GAU285" s="18">
        <v>0</v>
      </c>
      <c r="GAV285" s="18">
        <v>0</v>
      </c>
      <c r="GAW285" s="18">
        <v>0</v>
      </c>
      <c r="GAX285" s="18">
        <v>0</v>
      </c>
      <c r="GAY285" s="18">
        <v>0</v>
      </c>
      <c r="GAZ285" s="18">
        <v>0</v>
      </c>
      <c r="GBA285" s="18">
        <v>0</v>
      </c>
      <c r="GBB285" s="18">
        <v>0</v>
      </c>
      <c r="GBC285" s="18">
        <v>0</v>
      </c>
      <c r="GBD285" s="18">
        <v>0</v>
      </c>
      <c r="GBE285" s="18">
        <v>0</v>
      </c>
      <c r="GBF285" s="18">
        <v>0</v>
      </c>
      <c r="GBG285" s="18">
        <v>0</v>
      </c>
      <c r="GBH285" s="18">
        <v>0</v>
      </c>
      <c r="GBI285" s="18">
        <v>0</v>
      </c>
      <c r="GBJ285" s="18">
        <v>0</v>
      </c>
      <c r="GBK285" s="18">
        <v>0</v>
      </c>
      <c r="GBL285" s="18">
        <v>0</v>
      </c>
      <c r="GBM285" s="18">
        <v>0</v>
      </c>
      <c r="GBN285" s="18">
        <v>0</v>
      </c>
      <c r="GBO285" s="18">
        <v>0</v>
      </c>
      <c r="GBP285" s="18">
        <v>0</v>
      </c>
      <c r="GBQ285" s="18">
        <v>0</v>
      </c>
      <c r="GBR285" s="18">
        <v>0</v>
      </c>
      <c r="GBS285" s="18">
        <v>0</v>
      </c>
      <c r="GBT285" s="18">
        <v>0</v>
      </c>
      <c r="GBU285" s="18">
        <v>0</v>
      </c>
      <c r="GBV285" s="18">
        <v>0</v>
      </c>
      <c r="GBW285" s="18">
        <v>0</v>
      </c>
      <c r="GBX285" s="18">
        <v>0</v>
      </c>
      <c r="GBY285" s="18">
        <v>0</v>
      </c>
      <c r="GBZ285" s="18">
        <v>0</v>
      </c>
      <c r="GCA285" s="18">
        <v>0</v>
      </c>
      <c r="GCB285" s="18">
        <v>0</v>
      </c>
      <c r="GCC285" s="18">
        <v>0</v>
      </c>
      <c r="GCD285" s="18">
        <v>0</v>
      </c>
      <c r="GCE285" s="18">
        <v>0</v>
      </c>
      <c r="GCF285" s="18">
        <v>0</v>
      </c>
      <c r="GCG285" s="18">
        <v>0</v>
      </c>
      <c r="GCH285" s="18">
        <v>0</v>
      </c>
      <c r="GCI285" s="18">
        <v>0</v>
      </c>
      <c r="GCJ285" s="18">
        <v>0</v>
      </c>
      <c r="GCK285" s="18">
        <v>0</v>
      </c>
      <c r="GCL285" s="18">
        <v>0</v>
      </c>
      <c r="GCM285" s="18">
        <v>0</v>
      </c>
      <c r="GCN285" s="18">
        <v>0</v>
      </c>
      <c r="GCO285" s="18">
        <v>0</v>
      </c>
      <c r="GCP285" s="18">
        <v>0</v>
      </c>
      <c r="GCQ285" s="18">
        <v>0</v>
      </c>
      <c r="GCR285" s="18">
        <v>0</v>
      </c>
      <c r="GCS285" s="18">
        <v>0</v>
      </c>
      <c r="GCT285" s="18">
        <v>0</v>
      </c>
      <c r="GCU285" s="18">
        <v>0</v>
      </c>
      <c r="GCV285" s="18">
        <v>0</v>
      </c>
      <c r="GCW285" s="18">
        <v>0</v>
      </c>
      <c r="GCX285" s="18">
        <v>0</v>
      </c>
      <c r="GCY285" s="18">
        <v>0</v>
      </c>
      <c r="GCZ285" s="18">
        <v>0</v>
      </c>
      <c r="GDA285" s="18">
        <v>0</v>
      </c>
      <c r="GDB285" s="18">
        <v>0</v>
      </c>
      <c r="GDC285" s="18">
        <v>0</v>
      </c>
      <c r="GDD285" s="18">
        <v>0</v>
      </c>
      <c r="GDE285" s="18">
        <v>0</v>
      </c>
      <c r="GDF285" s="18">
        <v>0</v>
      </c>
      <c r="GDG285" s="18">
        <v>0</v>
      </c>
      <c r="GDH285" s="18">
        <v>0</v>
      </c>
      <c r="GDI285" s="18">
        <v>0</v>
      </c>
      <c r="GDJ285" s="18">
        <v>0</v>
      </c>
      <c r="GDK285" s="18">
        <v>0</v>
      </c>
      <c r="GDL285" s="18">
        <v>0</v>
      </c>
      <c r="GDM285" s="18">
        <v>0</v>
      </c>
      <c r="GDN285" s="18">
        <v>0</v>
      </c>
      <c r="GDO285" s="18">
        <v>0</v>
      </c>
      <c r="GDP285" s="18">
        <v>0</v>
      </c>
      <c r="GDQ285" s="18">
        <v>0</v>
      </c>
      <c r="GDR285" s="18">
        <v>0</v>
      </c>
      <c r="GDS285" s="18">
        <v>0</v>
      </c>
      <c r="GDT285" s="18">
        <v>0</v>
      </c>
      <c r="GDU285" s="18">
        <v>0</v>
      </c>
      <c r="GDV285" s="18">
        <v>0</v>
      </c>
      <c r="GDW285" s="18">
        <v>0</v>
      </c>
      <c r="GDX285" s="18">
        <v>0</v>
      </c>
      <c r="GDY285" s="18">
        <v>0</v>
      </c>
      <c r="GDZ285" s="18">
        <v>0</v>
      </c>
      <c r="GEA285" s="18">
        <v>0</v>
      </c>
      <c r="GEB285" s="18">
        <v>0</v>
      </c>
      <c r="GEC285" s="18">
        <v>0</v>
      </c>
      <c r="GED285" s="18">
        <v>0</v>
      </c>
      <c r="GEE285" s="18">
        <v>0</v>
      </c>
      <c r="GEF285" s="18">
        <v>0</v>
      </c>
      <c r="GEG285" s="18">
        <v>0</v>
      </c>
      <c r="GEH285" s="18">
        <v>0</v>
      </c>
      <c r="GEI285" s="18">
        <v>0</v>
      </c>
      <c r="GEJ285" s="18">
        <v>0</v>
      </c>
      <c r="GEK285" s="18">
        <v>0</v>
      </c>
      <c r="GEL285" s="18">
        <v>0</v>
      </c>
      <c r="GEM285" s="18">
        <v>0</v>
      </c>
      <c r="GEN285" s="18">
        <v>0</v>
      </c>
      <c r="GEO285" s="18">
        <v>0</v>
      </c>
      <c r="GEP285" s="18">
        <v>0</v>
      </c>
      <c r="GEQ285" s="18">
        <v>0</v>
      </c>
      <c r="GER285" s="18">
        <v>0</v>
      </c>
      <c r="GES285" s="18">
        <v>0</v>
      </c>
      <c r="GET285" s="18">
        <v>0</v>
      </c>
      <c r="GEU285" s="18">
        <v>0</v>
      </c>
      <c r="GEV285" s="18">
        <v>0</v>
      </c>
      <c r="GEW285" s="18">
        <v>0</v>
      </c>
      <c r="GEX285" s="18">
        <v>0</v>
      </c>
      <c r="GEY285" s="18">
        <v>0</v>
      </c>
      <c r="GEZ285" s="18">
        <v>0</v>
      </c>
      <c r="GFA285" s="18">
        <v>0</v>
      </c>
      <c r="GFB285" s="18">
        <v>0</v>
      </c>
      <c r="GFC285" s="18">
        <v>0</v>
      </c>
      <c r="GFD285" s="18">
        <v>0</v>
      </c>
      <c r="GFE285" s="18">
        <v>0</v>
      </c>
      <c r="GFF285" s="18">
        <v>0</v>
      </c>
      <c r="GFG285" s="18">
        <v>0</v>
      </c>
      <c r="GFH285" s="18">
        <v>0</v>
      </c>
      <c r="GFI285" s="18">
        <v>0</v>
      </c>
      <c r="GFJ285" s="18">
        <v>0</v>
      </c>
      <c r="GFK285" s="18">
        <v>0</v>
      </c>
      <c r="GFL285" s="18">
        <v>0</v>
      </c>
      <c r="GFM285" s="18">
        <v>0</v>
      </c>
      <c r="GFN285" s="18">
        <v>0</v>
      </c>
      <c r="GFO285" s="18">
        <v>0</v>
      </c>
      <c r="GFP285" s="18">
        <v>0</v>
      </c>
      <c r="GFQ285" s="18">
        <v>0</v>
      </c>
      <c r="GFR285" s="18">
        <v>0</v>
      </c>
      <c r="GFS285" s="18">
        <v>0</v>
      </c>
      <c r="GFT285" s="18">
        <v>0</v>
      </c>
      <c r="GFU285" s="18">
        <v>0</v>
      </c>
      <c r="GFV285" s="18">
        <v>0</v>
      </c>
      <c r="GFW285" s="18">
        <v>0</v>
      </c>
      <c r="GFX285" s="18">
        <v>0</v>
      </c>
      <c r="GFY285" s="18">
        <v>0</v>
      </c>
      <c r="GFZ285" s="18">
        <v>0</v>
      </c>
      <c r="GGA285" s="18">
        <v>0</v>
      </c>
      <c r="GGB285" s="18">
        <v>0</v>
      </c>
      <c r="GGC285" s="18">
        <v>0</v>
      </c>
      <c r="GGD285" s="18">
        <v>0</v>
      </c>
      <c r="GGE285" s="18">
        <v>0</v>
      </c>
      <c r="GGF285" s="18">
        <v>0</v>
      </c>
      <c r="GGG285" s="18">
        <v>0</v>
      </c>
      <c r="GGH285" s="18">
        <v>0</v>
      </c>
      <c r="GGI285" s="18">
        <v>0</v>
      </c>
      <c r="GGJ285" s="18">
        <v>0</v>
      </c>
      <c r="GGK285" s="18">
        <v>0</v>
      </c>
      <c r="GGL285" s="18">
        <v>0</v>
      </c>
      <c r="GGM285" s="18">
        <v>0</v>
      </c>
      <c r="GGN285" s="18">
        <v>0</v>
      </c>
      <c r="GGO285" s="18">
        <v>0</v>
      </c>
      <c r="GGP285" s="18">
        <v>0</v>
      </c>
      <c r="GGQ285" s="18">
        <v>0</v>
      </c>
      <c r="GGR285" s="18">
        <v>0</v>
      </c>
      <c r="GGS285" s="18">
        <v>0</v>
      </c>
      <c r="GGT285" s="18">
        <v>0</v>
      </c>
      <c r="GGU285" s="18">
        <v>0</v>
      </c>
      <c r="GGV285" s="18">
        <v>0</v>
      </c>
      <c r="GGW285" s="18">
        <v>0</v>
      </c>
      <c r="GGX285" s="18">
        <v>0</v>
      </c>
      <c r="GGY285" s="18">
        <v>0</v>
      </c>
      <c r="GGZ285" s="18">
        <v>0</v>
      </c>
      <c r="GHA285" s="18">
        <v>0</v>
      </c>
      <c r="GHB285" s="18">
        <v>0</v>
      </c>
      <c r="GHC285" s="18">
        <v>0</v>
      </c>
      <c r="GHD285" s="18">
        <v>0</v>
      </c>
      <c r="GHE285" s="18">
        <v>0</v>
      </c>
      <c r="GHF285" s="18">
        <v>0</v>
      </c>
      <c r="GHG285" s="18">
        <v>0</v>
      </c>
      <c r="GHH285" s="18">
        <v>0</v>
      </c>
      <c r="GHI285" s="18">
        <v>0</v>
      </c>
      <c r="GHJ285" s="18">
        <v>0</v>
      </c>
      <c r="GHK285" s="18">
        <v>0</v>
      </c>
      <c r="GHL285" s="18">
        <v>0</v>
      </c>
      <c r="GHM285" s="18">
        <v>0</v>
      </c>
      <c r="GHN285" s="18">
        <v>0</v>
      </c>
      <c r="GHO285" s="18">
        <v>0</v>
      </c>
      <c r="GHP285" s="18">
        <v>0</v>
      </c>
      <c r="GHQ285" s="18">
        <v>0</v>
      </c>
      <c r="GHR285" s="18">
        <v>0</v>
      </c>
      <c r="GHS285" s="18">
        <v>0</v>
      </c>
      <c r="GHT285" s="18">
        <v>0</v>
      </c>
      <c r="GHU285" s="18">
        <v>0</v>
      </c>
      <c r="GHV285" s="18">
        <v>0</v>
      </c>
      <c r="GHW285" s="18">
        <v>0</v>
      </c>
      <c r="GHX285" s="18">
        <v>0</v>
      </c>
      <c r="GHY285" s="18">
        <v>0</v>
      </c>
      <c r="GHZ285" s="18">
        <v>0</v>
      </c>
      <c r="GIA285" s="18">
        <v>0</v>
      </c>
      <c r="GIB285" s="18">
        <v>0</v>
      </c>
      <c r="GIC285" s="18">
        <v>0</v>
      </c>
      <c r="GID285" s="18">
        <v>0</v>
      </c>
      <c r="GIE285" s="18">
        <v>0</v>
      </c>
      <c r="GIF285" s="18">
        <v>0</v>
      </c>
      <c r="GIG285" s="18">
        <v>0</v>
      </c>
      <c r="GIH285" s="18">
        <v>0</v>
      </c>
      <c r="GII285" s="18">
        <v>0</v>
      </c>
      <c r="GIJ285" s="18">
        <v>0</v>
      </c>
      <c r="GIK285" s="18">
        <v>0</v>
      </c>
      <c r="GIL285" s="18">
        <v>0</v>
      </c>
      <c r="GIM285" s="18">
        <v>0</v>
      </c>
      <c r="GIN285" s="18">
        <v>0</v>
      </c>
      <c r="GIO285" s="18">
        <v>0</v>
      </c>
      <c r="GIP285" s="18">
        <v>0</v>
      </c>
      <c r="GIQ285" s="18">
        <v>0</v>
      </c>
      <c r="GIR285" s="18">
        <v>0</v>
      </c>
      <c r="GIS285" s="18">
        <v>0</v>
      </c>
      <c r="GIT285" s="18">
        <v>0</v>
      </c>
      <c r="GIU285" s="18">
        <v>0</v>
      </c>
      <c r="GIV285" s="18">
        <v>0</v>
      </c>
      <c r="GIW285" s="18">
        <v>0</v>
      </c>
      <c r="GIX285" s="18">
        <v>0</v>
      </c>
      <c r="GIY285" s="18">
        <v>0</v>
      </c>
      <c r="GIZ285" s="18">
        <v>0</v>
      </c>
      <c r="GJA285" s="18">
        <v>0</v>
      </c>
      <c r="GJB285" s="18">
        <v>0</v>
      </c>
      <c r="GJC285" s="18">
        <v>0</v>
      </c>
      <c r="GJD285" s="18">
        <v>0</v>
      </c>
      <c r="GJE285" s="18">
        <v>0</v>
      </c>
      <c r="GJF285" s="18">
        <v>0</v>
      </c>
      <c r="GJG285" s="18">
        <v>0</v>
      </c>
      <c r="GJH285" s="18">
        <v>0</v>
      </c>
      <c r="GJI285" s="18">
        <v>0</v>
      </c>
      <c r="GJJ285" s="18">
        <v>0</v>
      </c>
      <c r="GJK285" s="18">
        <v>0</v>
      </c>
      <c r="GJL285" s="18">
        <v>0</v>
      </c>
      <c r="GJM285" s="18">
        <v>0</v>
      </c>
      <c r="GJN285" s="18">
        <v>0</v>
      </c>
      <c r="GJO285" s="18">
        <v>0</v>
      </c>
      <c r="GJP285" s="18">
        <v>0</v>
      </c>
      <c r="GJQ285" s="18">
        <v>0</v>
      </c>
      <c r="GJR285" s="18">
        <v>0</v>
      </c>
      <c r="GJS285" s="18">
        <v>0</v>
      </c>
      <c r="GJT285" s="18">
        <v>0</v>
      </c>
      <c r="GJU285" s="18">
        <v>0</v>
      </c>
      <c r="GJV285" s="18">
        <v>0</v>
      </c>
      <c r="GJW285" s="18">
        <v>0</v>
      </c>
      <c r="GJX285" s="18">
        <v>0</v>
      </c>
      <c r="GJY285" s="18">
        <v>0</v>
      </c>
      <c r="GJZ285" s="18">
        <v>0</v>
      </c>
      <c r="GKA285" s="18">
        <v>0</v>
      </c>
      <c r="GKB285" s="18">
        <v>0</v>
      </c>
      <c r="GKC285" s="18">
        <v>0</v>
      </c>
      <c r="GKD285" s="18">
        <v>0</v>
      </c>
      <c r="GKE285" s="18">
        <v>0</v>
      </c>
      <c r="GKF285" s="18">
        <v>0</v>
      </c>
      <c r="GKG285" s="18">
        <v>0</v>
      </c>
      <c r="GKH285" s="18">
        <v>0</v>
      </c>
      <c r="GKI285" s="18">
        <v>0</v>
      </c>
      <c r="GKJ285" s="18">
        <v>0</v>
      </c>
      <c r="GKK285" s="18">
        <v>0</v>
      </c>
      <c r="GKL285" s="18">
        <v>0</v>
      </c>
      <c r="GKM285" s="18">
        <v>0</v>
      </c>
      <c r="GKN285" s="18">
        <v>0</v>
      </c>
      <c r="GKO285" s="18">
        <v>0</v>
      </c>
      <c r="GKP285" s="18">
        <v>0</v>
      </c>
      <c r="GKQ285" s="18">
        <v>0</v>
      </c>
      <c r="GKR285" s="18">
        <v>0</v>
      </c>
      <c r="GKS285" s="18">
        <v>0</v>
      </c>
      <c r="GKT285" s="18">
        <v>0</v>
      </c>
      <c r="GKU285" s="18">
        <v>0</v>
      </c>
      <c r="GKV285" s="18">
        <v>0</v>
      </c>
      <c r="GKW285" s="18">
        <v>0</v>
      </c>
      <c r="GKX285" s="18">
        <v>0</v>
      </c>
      <c r="GKY285" s="18">
        <v>0</v>
      </c>
      <c r="GKZ285" s="18">
        <v>0</v>
      </c>
      <c r="GLA285" s="18">
        <v>0</v>
      </c>
      <c r="GLB285" s="18">
        <v>0</v>
      </c>
      <c r="GLC285" s="18">
        <v>0</v>
      </c>
      <c r="GLD285" s="18">
        <v>0</v>
      </c>
      <c r="GLE285" s="18">
        <v>0</v>
      </c>
      <c r="GLF285" s="18">
        <v>0</v>
      </c>
      <c r="GLG285" s="18">
        <v>0</v>
      </c>
      <c r="GLH285" s="18">
        <v>0</v>
      </c>
      <c r="GLI285" s="18">
        <v>0</v>
      </c>
      <c r="GLJ285" s="18">
        <v>0</v>
      </c>
      <c r="GLK285" s="18">
        <v>0</v>
      </c>
      <c r="GLL285" s="18">
        <v>0</v>
      </c>
      <c r="GLM285" s="18">
        <v>0</v>
      </c>
      <c r="GLN285" s="18">
        <v>0</v>
      </c>
      <c r="GLO285" s="18">
        <v>0</v>
      </c>
      <c r="GLP285" s="18">
        <v>0</v>
      </c>
      <c r="GLQ285" s="18">
        <v>0</v>
      </c>
      <c r="GLR285" s="18">
        <v>0</v>
      </c>
      <c r="GLS285" s="18">
        <v>0</v>
      </c>
      <c r="GLT285" s="18">
        <v>0</v>
      </c>
      <c r="GLU285" s="18">
        <v>0</v>
      </c>
      <c r="GLV285" s="18">
        <v>0</v>
      </c>
      <c r="GLW285" s="18">
        <v>0</v>
      </c>
      <c r="GLX285" s="18">
        <v>0</v>
      </c>
      <c r="GLY285" s="18">
        <v>0</v>
      </c>
      <c r="GLZ285" s="18">
        <v>0</v>
      </c>
      <c r="GMA285" s="18">
        <v>0</v>
      </c>
      <c r="GMB285" s="18">
        <v>0</v>
      </c>
      <c r="GMC285" s="18">
        <v>0</v>
      </c>
      <c r="GMD285" s="18">
        <v>0</v>
      </c>
      <c r="GME285" s="18">
        <v>0</v>
      </c>
      <c r="GMF285" s="18">
        <v>0</v>
      </c>
      <c r="GMG285" s="18">
        <v>0</v>
      </c>
      <c r="GMH285" s="18">
        <v>0</v>
      </c>
      <c r="GMI285" s="18">
        <v>0</v>
      </c>
      <c r="GMJ285" s="18">
        <v>0</v>
      </c>
      <c r="GMK285" s="18">
        <v>0</v>
      </c>
      <c r="GML285" s="18">
        <v>0</v>
      </c>
      <c r="GMM285" s="18">
        <v>0</v>
      </c>
      <c r="GMN285" s="18">
        <v>0</v>
      </c>
      <c r="GMO285" s="18">
        <v>0</v>
      </c>
      <c r="GMP285" s="18">
        <v>0</v>
      </c>
      <c r="GMQ285" s="18">
        <v>0</v>
      </c>
      <c r="GMR285" s="18">
        <v>0</v>
      </c>
      <c r="GMS285" s="18">
        <v>0</v>
      </c>
      <c r="GMT285" s="18">
        <v>0</v>
      </c>
      <c r="GMU285" s="18">
        <v>0</v>
      </c>
      <c r="GMV285" s="18">
        <v>0</v>
      </c>
      <c r="GMW285" s="18">
        <v>0</v>
      </c>
      <c r="GMX285" s="18">
        <v>0</v>
      </c>
      <c r="GMY285" s="18">
        <v>0</v>
      </c>
      <c r="GMZ285" s="18">
        <v>0</v>
      </c>
      <c r="GNA285" s="18">
        <v>0</v>
      </c>
      <c r="GNB285" s="18">
        <v>0</v>
      </c>
      <c r="GNC285" s="18">
        <v>0</v>
      </c>
      <c r="GND285" s="18">
        <v>0</v>
      </c>
      <c r="GNE285" s="18">
        <v>0</v>
      </c>
      <c r="GNF285" s="18">
        <v>0</v>
      </c>
      <c r="GNG285" s="18">
        <v>0</v>
      </c>
      <c r="GNH285" s="18">
        <v>0</v>
      </c>
      <c r="GNI285" s="18">
        <v>0</v>
      </c>
      <c r="GNJ285" s="18">
        <v>0</v>
      </c>
      <c r="GNK285" s="18">
        <v>0</v>
      </c>
      <c r="GNL285" s="18">
        <v>0</v>
      </c>
      <c r="GNM285" s="18">
        <v>0</v>
      </c>
      <c r="GNN285" s="18">
        <v>0</v>
      </c>
      <c r="GNO285" s="18">
        <v>0</v>
      </c>
      <c r="GNP285" s="18">
        <v>0</v>
      </c>
      <c r="GNQ285" s="18">
        <v>0</v>
      </c>
      <c r="GNR285" s="18">
        <v>0</v>
      </c>
      <c r="GNS285" s="18">
        <v>0</v>
      </c>
      <c r="GNT285" s="18">
        <v>0</v>
      </c>
      <c r="GNU285" s="18">
        <v>0</v>
      </c>
      <c r="GNV285" s="18">
        <v>0</v>
      </c>
      <c r="GNW285" s="18">
        <v>0</v>
      </c>
      <c r="GNX285" s="18">
        <v>0</v>
      </c>
      <c r="GNY285" s="18">
        <v>0</v>
      </c>
      <c r="GNZ285" s="18">
        <v>0</v>
      </c>
      <c r="GOA285" s="18">
        <v>0</v>
      </c>
      <c r="GOB285" s="18">
        <v>0</v>
      </c>
      <c r="GOC285" s="18">
        <v>0</v>
      </c>
      <c r="GOD285" s="18">
        <v>0</v>
      </c>
      <c r="GOE285" s="18">
        <v>0</v>
      </c>
      <c r="GOF285" s="18">
        <v>0</v>
      </c>
      <c r="GOG285" s="18">
        <v>0</v>
      </c>
      <c r="GOH285" s="18">
        <v>0</v>
      </c>
      <c r="GOI285" s="18">
        <v>0</v>
      </c>
      <c r="GOJ285" s="18">
        <v>0</v>
      </c>
      <c r="GOK285" s="18">
        <v>0</v>
      </c>
      <c r="GOL285" s="18">
        <v>0</v>
      </c>
      <c r="GOM285" s="18">
        <v>0</v>
      </c>
      <c r="GON285" s="18">
        <v>0</v>
      </c>
      <c r="GOO285" s="18">
        <v>0</v>
      </c>
      <c r="GOP285" s="18">
        <v>0</v>
      </c>
      <c r="GOQ285" s="18">
        <v>0</v>
      </c>
      <c r="GOR285" s="18">
        <v>0</v>
      </c>
      <c r="GOS285" s="18">
        <v>0</v>
      </c>
      <c r="GOT285" s="18">
        <v>0</v>
      </c>
      <c r="GOU285" s="18">
        <v>0</v>
      </c>
      <c r="GOV285" s="18">
        <v>0</v>
      </c>
      <c r="GOW285" s="18">
        <v>0</v>
      </c>
      <c r="GOX285" s="18">
        <v>0</v>
      </c>
      <c r="GOY285" s="18">
        <v>0</v>
      </c>
      <c r="GOZ285" s="18">
        <v>0</v>
      </c>
      <c r="GPA285" s="18">
        <v>0</v>
      </c>
      <c r="GPB285" s="18">
        <v>0</v>
      </c>
      <c r="GPC285" s="18">
        <v>0</v>
      </c>
      <c r="GPD285" s="18">
        <v>0</v>
      </c>
      <c r="GPE285" s="18">
        <v>0</v>
      </c>
      <c r="GPF285" s="18">
        <v>0</v>
      </c>
      <c r="GPG285" s="18">
        <v>0</v>
      </c>
      <c r="GPH285" s="18">
        <v>0</v>
      </c>
      <c r="GPI285" s="18">
        <v>0</v>
      </c>
      <c r="GPJ285" s="18">
        <v>0</v>
      </c>
      <c r="GPK285" s="18">
        <v>0</v>
      </c>
      <c r="GPL285" s="18">
        <v>0</v>
      </c>
      <c r="GPM285" s="18">
        <v>0</v>
      </c>
      <c r="GPN285" s="18">
        <v>0</v>
      </c>
      <c r="GPO285" s="18">
        <v>0</v>
      </c>
      <c r="GPP285" s="18">
        <v>0</v>
      </c>
      <c r="GPQ285" s="18">
        <v>0</v>
      </c>
      <c r="GPR285" s="18">
        <v>0</v>
      </c>
      <c r="GPS285" s="18">
        <v>0</v>
      </c>
      <c r="GPT285" s="18">
        <v>0</v>
      </c>
      <c r="GPU285" s="18">
        <v>0</v>
      </c>
      <c r="GPV285" s="18">
        <v>0</v>
      </c>
      <c r="GPW285" s="18">
        <v>0</v>
      </c>
      <c r="GPX285" s="18">
        <v>0</v>
      </c>
      <c r="GPY285" s="18">
        <v>0</v>
      </c>
      <c r="GPZ285" s="18">
        <v>0</v>
      </c>
      <c r="GQA285" s="18">
        <v>0</v>
      </c>
      <c r="GQB285" s="18">
        <v>0</v>
      </c>
      <c r="GQC285" s="18">
        <v>0</v>
      </c>
      <c r="GQD285" s="18">
        <v>0</v>
      </c>
      <c r="GQE285" s="18">
        <v>0</v>
      </c>
      <c r="GQF285" s="18">
        <v>0</v>
      </c>
      <c r="GQG285" s="18">
        <v>0</v>
      </c>
      <c r="GQH285" s="18">
        <v>0</v>
      </c>
      <c r="GQI285" s="18">
        <v>0</v>
      </c>
      <c r="GQJ285" s="18">
        <v>0</v>
      </c>
      <c r="GQK285" s="18">
        <v>0</v>
      </c>
      <c r="GQL285" s="18">
        <v>0</v>
      </c>
      <c r="GQM285" s="18">
        <v>0</v>
      </c>
      <c r="GQN285" s="18">
        <v>0</v>
      </c>
      <c r="GQO285" s="18">
        <v>0</v>
      </c>
      <c r="GQP285" s="18">
        <v>0</v>
      </c>
      <c r="GQQ285" s="18">
        <v>0</v>
      </c>
      <c r="GQR285" s="18">
        <v>0</v>
      </c>
      <c r="GQS285" s="18">
        <v>0</v>
      </c>
      <c r="GQT285" s="18">
        <v>0</v>
      </c>
      <c r="GQU285" s="18">
        <v>0</v>
      </c>
      <c r="GQV285" s="18">
        <v>0</v>
      </c>
      <c r="GQW285" s="18">
        <v>0</v>
      </c>
      <c r="GQX285" s="18">
        <v>0</v>
      </c>
      <c r="GQY285" s="18">
        <v>0</v>
      </c>
      <c r="GQZ285" s="18">
        <v>0</v>
      </c>
      <c r="GRA285" s="18">
        <v>0</v>
      </c>
      <c r="GRB285" s="18">
        <v>0</v>
      </c>
      <c r="GRC285" s="18">
        <v>0</v>
      </c>
      <c r="GRD285" s="18">
        <v>0</v>
      </c>
      <c r="GRE285" s="18">
        <v>0</v>
      </c>
      <c r="GRF285" s="18">
        <v>0</v>
      </c>
      <c r="GRG285" s="18">
        <v>0</v>
      </c>
      <c r="GRH285" s="18">
        <v>0</v>
      </c>
      <c r="GRI285" s="18">
        <v>0</v>
      </c>
      <c r="GRJ285" s="18">
        <v>0</v>
      </c>
      <c r="GRK285" s="18">
        <v>0</v>
      </c>
      <c r="GRL285" s="18">
        <v>0</v>
      </c>
      <c r="GRM285" s="18">
        <v>0</v>
      </c>
      <c r="GRN285" s="18">
        <v>0</v>
      </c>
      <c r="GRO285" s="18">
        <v>0</v>
      </c>
      <c r="GRP285" s="18">
        <v>0</v>
      </c>
      <c r="GRQ285" s="18">
        <v>0</v>
      </c>
      <c r="GRR285" s="18">
        <v>0</v>
      </c>
      <c r="GRS285" s="18">
        <v>0</v>
      </c>
      <c r="GRT285" s="18">
        <v>0</v>
      </c>
      <c r="GRU285" s="18">
        <v>0</v>
      </c>
      <c r="GRV285" s="18">
        <v>0</v>
      </c>
      <c r="GRW285" s="18">
        <v>0</v>
      </c>
      <c r="GRX285" s="18">
        <v>0</v>
      </c>
      <c r="GRY285" s="18">
        <v>0</v>
      </c>
      <c r="GRZ285" s="18">
        <v>0</v>
      </c>
      <c r="GSA285" s="18">
        <v>0</v>
      </c>
      <c r="GSB285" s="18">
        <v>0</v>
      </c>
      <c r="GSC285" s="18">
        <v>0</v>
      </c>
      <c r="GSD285" s="18">
        <v>0</v>
      </c>
      <c r="GSE285" s="18">
        <v>0</v>
      </c>
      <c r="GSF285" s="18">
        <v>0</v>
      </c>
      <c r="GSG285" s="18">
        <v>0</v>
      </c>
      <c r="GSH285" s="18">
        <v>0</v>
      </c>
      <c r="GSI285" s="18">
        <v>0</v>
      </c>
      <c r="GSJ285" s="18">
        <v>0</v>
      </c>
      <c r="GSK285" s="18">
        <v>0</v>
      </c>
      <c r="GSL285" s="18">
        <v>0</v>
      </c>
      <c r="GSM285" s="18">
        <v>0</v>
      </c>
      <c r="GSN285" s="18">
        <v>0</v>
      </c>
      <c r="GSO285" s="18">
        <v>0</v>
      </c>
      <c r="GSP285" s="18">
        <v>0</v>
      </c>
      <c r="GSQ285" s="18">
        <v>0</v>
      </c>
      <c r="GSR285" s="18">
        <v>0</v>
      </c>
      <c r="GSS285" s="18">
        <v>0</v>
      </c>
      <c r="GST285" s="18">
        <v>0</v>
      </c>
      <c r="GSU285" s="18">
        <v>0</v>
      </c>
      <c r="GSV285" s="18">
        <v>0</v>
      </c>
      <c r="GSW285" s="18">
        <v>0</v>
      </c>
      <c r="GSX285" s="18">
        <v>0</v>
      </c>
      <c r="GSY285" s="18">
        <v>0</v>
      </c>
      <c r="GSZ285" s="18">
        <v>0</v>
      </c>
      <c r="GTA285" s="18">
        <v>0</v>
      </c>
      <c r="GTB285" s="18">
        <v>0</v>
      </c>
      <c r="GTC285" s="18">
        <v>0</v>
      </c>
      <c r="GTD285" s="18">
        <v>0</v>
      </c>
      <c r="GTE285" s="18">
        <v>0</v>
      </c>
      <c r="GTF285" s="18">
        <v>0</v>
      </c>
      <c r="GTG285" s="18">
        <v>0</v>
      </c>
      <c r="GTH285" s="18">
        <v>0</v>
      </c>
      <c r="GTI285" s="18">
        <v>0</v>
      </c>
      <c r="GTJ285" s="18">
        <v>0</v>
      </c>
      <c r="GTK285" s="18">
        <v>0</v>
      </c>
      <c r="GTL285" s="18">
        <v>0</v>
      </c>
      <c r="GTM285" s="18">
        <v>0</v>
      </c>
      <c r="GTN285" s="18">
        <v>0</v>
      </c>
      <c r="GTO285" s="18">
        <v>0</v>
      </c>
      <c r="GTP285" s="18">
        <v>0</v>
      </c>
      <c r="GTQ285" s="18">
        <v>0</v>
      </c>
      <c r="GTR285" s="18">
        <v>0</v>
      </c>
      <c r="GTS285" s="18">
        <v>0</v>
      </c>
      <c r="GTT285" s="18">
        <v>0</v>
      </c>
      <c r="GTU285" s="18">
        <v>0</v>
      </c>
      <c r="GTV285" s="18">
        <v>0</v>
      </c>
      <c r="GTW285" s="18">
        <v>0</v>
      </c>
      <c r="GTX285" s="18">
        <v>0</v>
      </c>
      <c r="GTY285" s="18">
        <v>0</v>
      </c>
      <c r="GTZ285" s="18">
        <v>0</v>
      </c>
      <c r="GUA285" s="18">
        <v>0</v>
      </c>
      <c r="GUB285" s="18">
        <v>0</v>
      </c>
      <c r="GUC285" s="18">
        <v>0</v>
      </c>
      <c r="GUD285" s="18">
        <v>0</v>
      </c>
      <c r="GUE285" s="18">
        <v>0</v>
      </c>
      <c r="GUF285" s="18">
        <v>0</v>
      </c>
      <c r="GUG285" s="18">
        <v>0</v>
      </c>
      <c r="GUH285" s="18">
        <v>0</v>
      </c>
      <c r="GUI285" s="18">
        <v>0</v>
      </c>
      <c r="GUJ285" s="18">
        <v>0</v>
      </c>
      <c r="GUK285" s="18">
        <v>0</v>
      </c>
      <c r="GUL285" s="18">
        <v>0</v>
      </c>
      <c r="GUM285" s="18">
        <v>0</v>
      </c>
      <c r="GUN285" s="18">
        <v>0</v>
      </c>
      <c r="GUO285" s="18">
        <v>0</v>
      </c>
      <c r="GUP285" s="18">
        <v>0</v>
      </c>
      <c r="GUQ285" s="18">
        <v>0</v>
      </c>
      <c r="GUR285" s="18">
        <v>0</v>
      </c>
      <c r="GUS285" s="18">
        <v>0</v>
      </c>
      <c r="GUT285" s="18">
        <v>0</v>
      </c>
      <c r="GUU285" s="18">
        <v>0</v>
      </c>
      <c r="GUV285" s="18">
        <v>0</v>
      </c>
      <c r="GUW285" s="18">
        <v>0</v>
      </c>
      <c r="GUX285" s="18">
        <v>0</v>
      </c>
      <c r="GUY285" s="18">
        <v>0</v>
      </c>
      <c r="GUZ285" s="18">
        <v>0</v>
      </c>
      <c r="GVA285" s="18">
        <v>0</v>
      </c>
      <c r="GVB285" s="18">
        <v>0</v>
      </c>
      <c r="GVC285" s="18">
        <v>0</v>
      </c>
      <c r="GVD285" s="18">
        <v>0</v>
      </c>
      <c r="GVE285" s="18">
        <v>0</v>
      </c>
      <c r="GVF285" s="18">
        <v>0</v>
      </c>
      <c r="GVG285" s="18">
        <v>0</v>
      </c>
      <c r="GVH285" s="18">
        <v>0</v>
      </c>
      <c r="GVI285" s="18">
        <v>0</v>
      </c>
      <c r="GVJ285" s="18">
        <v>0</v>
      </c>
      <c r="GVK285" s="18">
        <v>0</v>
      </c>
      <c r="GVL285" s="18">
        <v>0</v>
      </c>
      <c r="GVM285" s="18">
        <v>0</v>
      </c>
      <c r="GVN285" s="18">
        <v>0</v>
      </c>
      <c r="GVO285" s="18">
        <v>0</v>
      </c>
      <c r="GVP285" s="18">
        <v>0</v>
      </c>
      <c r="GVQ285" s="18">
        <v>0</v>
      </c>
      <c r="GVR285" s="18">
        <v>0</v>
      </c>
      <c r="GVS285" s="18">
        <v>0</v>
      </c>
      <c r="GVT285" s="18">
        <v>0</v>
      </c>
      <c r="GVU285" s="18">
        <v>0</v>
      </c>
      <c r="GVV285" s="18">
        <v>0</v>
      </c>
      <c r="GVW285" s="18">
        <v>0</v>
      </c>
      <c r="GVX285" s="18">
        <v>0</v>
      </c>
      <c r="GVY285" s="18">
        <v>0</v>
      </c>
      <c r="GVZ285" s="18">
        <v>0</v>
      </c>
      <c r="GWA285" s="18">
        <v>0</v>
      </c>
      <c r="GWB285" s="18">
        <v>0</v>
      </c>
      <c r="GWC285" s="18">
        <v>0</v>
      </c>
      <c r="GWD285" s="18">
        <v>0</v>
      </c>
      <c r="GWE285" s="18">
        <v>0</v>
      </c>
      <c r="GWF285" s="18">
        <v>0</v>
      </c>
      <c r="GWG285" s="18">
        <v>0</v>
      </c>
      <c r="GWH285" s="18">
        <v>0</v>
      </c>
      <c r="GWI285" s="18">
        <v>0</v>
      </c>
      <c r="GWJ285" s="18">
        <v>0</v>
      </c>
      <c r="GWK285" s="18">
        <v>0</v>
      </c>
      <c r="GWL285" s="18">
        <v>0</v>
      </c>
      <c r="GWM285" s="18">
        <v>0</v>
      </c>
      <c r="GWN285" s="18">
        <v>0</v>
      </c>
      <c r="GWO285" s="18">
        <v>0</v>
      </c>
      <c r="GWP285" s="18">
        <v>0</v>
      </c>
      <c r="GWQ285" s="18">
        <v>0</v>
      </c>
      <c r="GWR285" s="18">
        <v>0</v>
      </c>
      <c r="GWS285" s="18">
        <v>0</v>
      </c>
      <c r="GWT285" s="18">
        <v>0</v>
      </c>
      <c r="GWU285" s="18">
        <v>0</v>
      </c>
      <c r="GWV285" s="18">
        <v>0</v>
      </c>
      <c r="GWW285" s="18">
        <v>0</v>
      </c>
      <c r="GWX285" s="18">
        <v>0</v>
      </c>
      <c r="GWY285" s="18">
        <v>0</v>
      </c>
      <c r="GWZ285" s="18">
        <v>0</v>
      </c>
      <c r="GXA285" s="18">
        <v>0</v>
      </c>
      <c r="GXB285" s="18">
        <v>0</v>
      </c>
      <c r="GXC285" s="18">
        <v>0</v>
      </c>
      <c r="GXD285" s="18">
        <v>0</v>
      </c>
      <c r="GXE285" s="18">
        <v>0</v>
      </c>
      <c r="GXF285" s="18">
        <v>0</v>
      </c>
      <c r="GXG285" s="18">
        <v>0</v>
      </c>
      <c r="GXH285" s="18">
        <v>0</v>
      </c>
      <c r="GXI285" s="18">
        <v>0</v>
      </c>
      <c r="GXJ285" s="18">
        <v>0</v>
      </c>
      <c r="GXK285" s="18">
        <v>0</v>
      </c>
      <c r="GXL285" s="18">
        <v>0</v>
      </c>
      <c r="GXM285" s="18">
        <v>0</v>
      </c>
      <c r="GXN285" s="18">
        <v>0</v>
      </c>
      <c r="GXO285" s="18">
        <v>0</v>
      </c>
      <c r="GXP285" s="18">
        <v>0</v>
      </c>
      <c r="GXQ285" s="18">
        <v>0</v>
      </c>
      <c r="GXR285" s="18">
        <v>0</v>
      </c>
      <c r="GXS285" s="18">
        <v>0</v>
      </c>
      <c r="GXT285" s="18">
        <v>0</v>
      </c>
      <c r="GXU285" s="18">
        <v>0</v>
      </c>
      <c r="GXV285" s="18">
        <v>0</v>
      </c>
      <c r="GXW285" s="18">
        <v>0</v>
      </c>
      <c r="GXX285" s="18">
        <v>0</v>
      </c>
      <c r="GXY285" s="18">
        <v>0</v>
      </c>
      <c r="GXZ285" s="18">
        <v>0</v>
      </c>
      <c r="GYA285" s="18">
        <v>0</v>
      </c>
      <c r="GYB285" s="18">
        <v>0</v>
      </c>
      <c r="GYC285" s="18">
        <v>0</v>
      </c>
      <c r="GYD285" s="18">
        <v>0</v>
      </c>
      <c r="GYE285" s="18">
        <v>0</v>
      </c>
      <c r="GYF285" s="18">
        <v>0</v>
      </c>
      <c r="GYG285" s="18">
        <v>0</v>
      </c>
      <c r="GYH285" s="18">
        <v>0</v>
      </c>
      <c r="GYI285" s="18">
        <v>0</v>
      </c>
      <c r="GYJ285" s="18">
        <v>0</v>
      </c>
      <c r="GYK285" s="18">
        <v>0</v>
      </c>
      <c r="GYL285" s="18">
        <v>0</v>
      </c>
      <c r="GYM285" s="18">
        <v>0</v>
      </c>
      <c r="GYN285" s="18">
        <v>0</v>
      </c>
      <c r="GYO285" s="18">
        <v>0</v>
      </c>
      <c r="GYP285" s="18">
        <v>0</v>
      </c>
      <c r="GYQ285" s="18">
        <v>0</v>
      </c>
      <c r="GYR285" s="18">
        <v>0</v>
      </c>
      <c r="GYS285" s="18">
        <v>0</v>
      </c>
      <c r="GYT285" s="18">
        <v>0</v>
      </c>
      <c r="GYU285" s="18">
        <v>0</v>
      </c>
      <c r="GYV285" s="18">
        <v>0</v>
      </c>
      <c r="GYW285" s="18">
        <v>0</v>
      </c>
      <c r="GYX285" s="18">
        <v>0</v>
      </c>
      <c r="GYY285" s="18">
        <v>0</v>
      </c>
      <c r="GYZ285" s="18">
        <v>0</v>
      </c>
      <c r="GZA285" s="18">
        <v>0</v>
      </c>
      <c r="GZB285" s="18">
        <v>0</v>
      </c>
      <c r="GZC285" s="18">
        <v>0</v>
      </c>
      <c r="GZD285" s="18">
        <v>0</v>
      </c>
      <c r="GZE285" s="18">
        <v>0</v>
      </c>
      <c r="GZF285" s="18">
        <v>0</v>
      </c>
      <c r="GZG285" s="18">
        <v>0</v>
      </c>
      <c r="GZH285" s="18">
        <v>0</v>
      </c>
      <c r="GZI285" s="18">
        <v>0</v>
      </c>
      <c r="GZJ285" s="18">
        <v>0</v>
      </c>
      <c r="GZK285" s="18">
        <v>0</v>
      </c>
      <c r="GZL285" s="18">
        <v>0</v>
      </c>
      <c r="GZM285" s="18">
        <v>0</v>
      </c>
      <c r="GZN285" s="18">
        <v>0</v>
      </c>
      <c r="GZO285" s="18">
        <v>0</v>
      </c>
      <c r="GZP285" s="18">
        <v>0</v>
      </c>
      <c r="GZQ285" s="18">
        <v>0</v>
      </c>
      <c r="GZR285" s="18">
        <v>0</v>
      </c>
      <c r="GZS285" s="18">
        <v>0</v>
      </c>
      <c r="GZT285" s="18">
        <v>0</v>
      </c>
      <c r="GZU285" s="18">
        <v>0</v>
      </c>
      <c r="GZV285" s="18">
        <v>0</v>
      </c>
      <c r="GZW285" s="18">
        <v>0</v>
      </c>
      <c r="GZX285" s="18">
        <v>0</v>
      </c>
      <c r="GZY285" s="18">
        <v>0</v>
      </c>
      <c r="GZZ285" s="18">
        <v>0</v>
      </c>
      <c r="HAA285" s="18">
        <v>0</v>
      </c>
      <c r="HAB285" s="18">
        <v>0</v>
      </c>
      <c r="HAC285" s="18">
        <v>0</v>
      </c>
      <c r="HAD285" s="18">
        <v>0</v>
      </c>
      <c r="HAE285" s="18">
        <v>0</v>
      </c>
      <c r="HAF285" s="18">
        <v>0</v>
      </c>
      <c r="HAG285" s="18">
        <v>0</v>
      </c>
      <c r="HAH285" s="18">
        <v>0</v>
      </c>
      <c r="HAI285" s="18">
        <v>0</v>
      </c>
      <c r="HAJ285" s="18">
        <v>0</v>
      </c>
      <c r="HAK285" s="18">
        <v>0</v>
      </c>
      <c r="HAL285" s="18">
        <v>0</v>
      </c>
      <c r="HAM285" s="18">
        <v>0</v>
      </c>
      <c r="HAN285" s="18">
        <v>0</v>
      </c>
      <c r="HAO285" s="18">
        <v>0</v>
      </c>
      <c r="HAP285" s="18">
        <v>0</v>
      </c>
      <c r="HAQ285" s="18">
        <v>0</v>
      </c>
      <c r="HAR285" s="18">
        <v>0</v>
      </c>
      <c r="HAS285" s="18">
        <v>0</v>
      </c>
      <c r="HAT285" s="18">
        <v>0</v>
      </c>
      <c r="HAU285" s="18">
        <v>0</v>
      </c>
      <c r="HAV285" s="18">
        <v>0</v>
      </c>
      <c r="HAW285" s="18">
        <v>0</v>
      </c>
      <c r="HAX285" s="18">
        <v>0</v>
      </c>
      <c r="HAY285" s="18">
        <v>0</v>
      </c>
      <c r="HAZ285" s="18">
        <v>0</v>
      </c>
      <c r="HBA285" s="18">
        <v>0</v>
      </c>
      <c r="HBB285" s="18">
        <v>0</v>
      </c>
      <c r="HBC285" s="18">
        <v>0</v>
      </c>
      <c r="HBD285" s="18">
        <v>0</v>
      </c>
      <c r="HBE285" s="18">
        <v>0</v>
      </c>
      <c r="HBF285" s="18">
        <v>0</v>
      </c>
      <c r="HBG285" s="18">
        <v>0</v>
      </c>
      <c r="HBH285" s="18">
        <v>0</v>
      </c>
      <c r="HBI285" s="18">
        <v>0</v>
      </c>
      <c r="HBJ285" s="18">
        <v>0</v>
      </c>
      <c r="HBK285" s="18">
        <v>0</v>
      </c>
      <c r="HBL285" s="18">
        <v>0</v>
      </c>
      <c r="HBM285" s="18">
        <v>0</v>
      </c>
      <c r="HBN285" s="18">
        <v>0</v>
      </c>
      <c r="HBO285" s="18">
        <v>0</v>
      </c>
      <c r="HBP285" s="18">
        <v>0</v>
      </c>
      <c r="HBQ285" s="18">
        <v>0</v>
      </c>
      <c r="HBR285" s="18">
        <v>0</v>
      </c>
      <c r="HBS285" s="18">
        <v>0</v>
      </c>
      <c r="HBT285" s="18">
        <v>0</v>
      </c>
      <c r="HBU285" s="18">
        <v>0</v>
      </c>
      <c r="HBV285" s="18">
        <v>0</v>
      </c>
      <c r="HBW285" s="18">
        <v>0</v>
      </c>
      <c r="HBX285" s="18">
        <v>0</v>
      </c>
      <c r="HBY285" s="18">
        <v>0</v>
      </c>
      <c r="HBZ285" s="18">
        <v>0</v>
      </c>
      <c r="HCA285" s="18">
        <v>0</v>
      </c>
      <c r="HCB285" s="18">
        <v>0</v>
      </c>
      <c r="HCC285" s="18">
        <v>0</v>
      </c>
      <c r="HCD285" s="18">
        <v>0</v>
      </c>
      <c r="HCE285" s="18">
        <v>0</v>
      </c>
      <c r="HCF285" s="18">
        <v>0</v>
      </c>
      <c r="HCG285" s="18">
        <v>0</v>
      </c>
      <c r="HCH285" s="18">
        <v>0</v>
      </c>
      <c r="HCI285" s="18">
        <v>0</v>
      </c>
      <c r="HCJ285" s="18">
        <v>0</v>
      </c>
      <c r="HCK285" s="18">
        <v>0</v>
      </c>
      <c r="HCL285" s="18">
        <v>0</v>
      </c>
      <c r="HCM285" s="18">
        <v>0</v>
      </c>
      <c r="HCN285" s="18">
        <v>0</v>
      </c>
      <c r="HCO285" s="18">
        <v>0</v>
      </c>
      <c r="HCP285" s="18">
        <v>0</v>
      </c>
      <c r="HCQ285" s="18">
        <v>0</v>
      </c>
      <c r="HCR285" s="18">
        <v>0</v>
      </c>
      <c r="HCS285" s="18">
        <v>0</v>
      </c>
      <c r="HCT285" s="18">
        <v>0</v>
      </c>
      <c r="HCU285" s="18">
        <v>0</v>
      </c>
      <c r="HCV285" s="18">
        <v>0</v>
      </c>
      <c r="HCW285" s="18">
        <v>0</v>
      </c>
      <c r="HCX285" s="18">
        <v>0</v>
      </c>
      <c r="HCY285" s="18">
        <v>0</v>
      </c>
      <c r="HCZ285" s="18">
        <v>0</v>
      </c>
      <c r="HDA285" s="18">
        <v>0</v>
      </c>
      <c r="HDB285" s="18">
        <v>0</v>
      </c>
      <c r="HDC285" s="18">
        <v>0</v>
      </c>
      <c r="HDD285" s="18">
        <v>0</v>
      </c>
      <c r="HDE285" s="18">
        <v>0</v>
      </c>
      <c r="HDF285" s="18">
        <v>0</v>
      </c>
      <c r="HDG285" s="18">
        <v>0</v>
      </c>
      <c r="HDH285" s="18">
        <v>0</v>
      </c>
      <c r="HDI285" s="18">
        <v>0</v>
      </c>
      <c r="HDJ285" s="18">
        <v>0</v>
      </c>
      <c r="HDK285" s="18">
        <v>0</v>
      </c>
      <c r="HDL285" s="18">
        <v>0</v>
      </c>
      <c r="HDM285" s="18">
        <v>0</v>
      </c>
      <c r="HDN285" s="18">
        <v>0</v>
      </c>
      <c r="HDO285" s="18">
        <v>0</v>
      </c>
      <c r="HDP285" s="18">
        <v>0</v>
      </c>
      <c r="HDQ285" s="18">
        <v>0</v>
      </c>
      <c r="HDR285" s="18">
        <v>0</v>
      </c>
      <c r="HDS285" s="18">
        <v>0</v>
      </c>
      <c r="HDT285" s="18">
        <v>0</v>
      </c>
      <c r="HDU285" s="18">
        <v>0</v>
      </c>
      <c r="HDV285" s="18">
        <v>0</v>
      </c>
      <c r="HDW285" s="18">
        <v>0</v>
      </c>
      <c r="HDX285" s="18">
        <v>0</v>
      </c>
      <c r="HDY285" s="18">
        <v>0</v>
      </c>
      <c r="HDZ285" s="18">
        <v>0</v>
      </c>
      <c r="HEA285" s="18">
        <v>0</v>
      </c>
      <c r="HEB285" s="18">
        <v>0</v>
      </c>
      <c r="HEC285" s="18">
        <v>0</v>
      </c>
      <c r="HED285" s="18">
        <v>0</v>
      </c>
      <c r="HEE285" s="18">
        <v>0</v>
      </c>
      <c r="HEF285" s="18">
        <v>0</v>
      </c>
      <c r="HEG285" s="18">
        <v>0</v>
      </c>
      <c r="HEH285" s="18">
        <v>0</v>
      </c>
      <c r="HEI285" s="18">
        <v>0</v>
      </c>
      <c r="HEJ285" s="18">
        <v>0</v>
      </c>
      <c r="HEK285" s="18">
        <v>0</v>
      </c>
      <c r="HEL285" s="18">
        <v>0</v>
      </c>
      <c r="HEM285" s="18">
        <v>0</v>
      </c>
      <c r="HEN285" s="18">
        <v>0</v>
      </c>
      <c r="HEO285" s="18">
        <v>0</v>
      </c>
      <c r="HEP285" s="18">
        <v>0</v>
      </c>
      <c r="HEQ285" s="18">
        <v>0</v>
      </c>
      <c r="HER285" s="18">
        <v>0</v>
      </c>
      <c r="HES285" s="18">
        <v>0</v>
      </c>
      <c r="HET285" s="18">
        <v>0</v>
      </c>
      <c r="HEU285" s="18">
        <v>0</v>
      </c>
      <c r="HEV285" s="18">
        <v>0</v>
      </c>
      <c r="HEW285" s="18">
        <v>0</v>
      </c>
      <c r="HEX285" s="18">
        <v>0</v>
      </c>
      <c r="HEY285" s="18">
        <v>0</v>
      </c>
      <c r="HEZ285" s="18">
        <v>0</v>
      </c>
      <c r="HFA285" s="18">
        <v>0</v>
      </c>
      <c r="HFB285" s="18">
        <v>0</v>
      </c>
      <c r="HFC285" s="18">
        <v>0</v>
      </c>
      <c r="HFD285" s="18">
        <v>0</v>
      </c>
      <c r="HFE285" s="18">
        <v>0</v>
      </c>
      <c r="HFF285" s="18">
        <v>0</v>
      </c>
      <c r="HFG285" s="18">
        <v>0</v>
      </c>
      <c r="HFH285" s="18">
        <v>0</v>
      </c>
      <c r="HFI285" s="18">
        <v>0</v>
      </c>
      <c r="HFJ285" s="18">
        <v>0</v>
      </c>
      <c r="HFK285" s="18">
        <v>0</v>
      </c>
      <c r="HFL285" s="18">
        <v>0</v>
      </c>
      <c r="HFM285" s="18">
        <v>0</v>
      </c>
      <c r="HFN285" s="18">
        <v>0</v>
      </c>
      <c r="HFO285" s="18">
        <v>0</v>
      </c>
      <c r="HFP285" s="18">
        <v>0</v>
      </c>
      <c r="HFQ285" s="18">
        <v>0</v>
      </c>
      <c r="HFR285" s="18">
        <v>0</v>
      </c>
      <c r="HFS285" s="18">
        <v>0</v>
      </c>
      <c r="HFT285" s="18">
        <v>0</v>
      </c>
      <c r="HFU285" s="18">
        <v>0</v>
      </c>
      <c r="HFV285" s="18">
        <v>0</v>
      </c>
      <c r="HFW285" s="18">
        <v>0</v>
      </c>
      <c r="HFX285" s="18">
        <v>0</v>
      </c>
      <c r="HFY285" s="18">
        <v>0</v>
      </c>
      <c r="HFZ285" s="18">
        <v>0</v>
      </c>
      <c r="HGA285" s="18">
        <v>0</v>
      </c>
      <c r="HGB285" s="18">
        <v>0</v>
      </c>
      <c r="HGC285" s="18">
        <v>0</v>
      </c>
      <c r="HGD285" s="18">
        <v>0</v>
      </c>
      <c r="HGE285" s="18">
        <v>0</v>
      </c>
      <c r="HGF285" s="18">
        <v>0</v>
      </c>
      <c r="HGG285" s="18">
        <v>0</v>
      </c>
      <c r="HGH285" s="18">
        <v>0</v>
      </c>
      <c r="HGI285" s="18">
        <v>0</v>
      </c>
      <c r="HGJ285" s="18">
        <v>0</v>
      </c>
      <c r="HGK285" s="18">
        <v>0</v>
      </c>
      <c r="HGL285" s="18">
        <v>0</v>
      </c>
      <c r="HGM285" s="18">
        <v>0</v>
      </c>
      <c r="HGN285" s="18">
        <v>0</v>
      </c>
      <c r="HGO285" s="18">
        <v>0</v>
      </c>
      <c r="HGP285" s="18">
        <v>0</v>
      </c>
      <c r="HGQ285" s="18">
        <v>0</v>
      </c>
      <c r="HGR285" s="18">
        <v>0</v>
      </c>
      <c r="HGS285" s="18">
        <v>0</v>
      </c>
      <c r="HGT285" s="18">
        <v>0</v>
      </c>
      <c r="HGU285" s="18">
        <v>0</v>
      </c>
      <c r="HGV285" s="18">
        <v>0</v>
      </c>
      <c r="HGW285" s="18">
        <v>0</v>
      </c>
      <c r="HGX285" s="18">
        <v>0</v>
      </c>
      <c r="HGY285" s="18">
        <v>0</v>
      </c>
      <c r="HGZ285" s="18">
        <v>0</v>
      </c>
      <c r="HHA285" s="18">
        <v>0</v>
      </c>
      <c r="HHB285" s="18">
        <v>0</v>
      </c>
      <c r="HHC285" s="18">
        <v>0</v>
      </c>
      <c r="HHD285" s="18">
        <v>0</v>
      </c>
      <c r="HHE285" s="18">
        <v>0</v>
      </c>
      <c r="HHF285" s="18">
        <v>0</v>
      </c>
      <c r="HHG285" s="18">
        <v>0</v>
      </c>
      <c r="HHH285" s="18">
        <v>0</v>
      </c>
      <c r="HHI285" s="18">
        <v>0</v>
      </c>
      <c r="HHJ285" s="18">
        <v>0</v>
      </c>
      <c r="HHK285" s="18">
        <v>0</v>
      </c>
      <c r="HHL285" s="18">
        <v>0</v>
      </c>
      <c r="HHM285" s="18">
        <v>0</v>
      </c>
      <c r="HHN285" s="18">
        <v>0</v>
      </c>
      <c r="HHO285" s="18">
        <v>0</v>
      </c>
      <c r="HHP285" s="18">
        <v>0</v>
      </c>
      <c r="HHQ285" s="18">
        <v>0</v>
      </c>
      <c r="HHR285" s="18">
        <v>0</v>
      </c>
      <c r="HHS285" s="18">
        <v>0</v>
      </c>
      <c r="HHT285" s="18">
        <v>0</v>
      </c>
      <c r="HHU285" s="18">
        <v>0</v>
      </c>
      <c r="HHV285" s="18">
        <v>0</v>
      </c>
      <c r="HHW285" s="18">
        <v>0</v>
      </c>
      <c r="HHX285" s="18">
        <v>0</v>
      </c>
      <c r="HHY285" s="18">
        <v>0</v>
      </c>
      <c r="HHZ285" s="18">
        <v>0</v>
      </c>
      <c r="HIA285" s="18">
        <v>0</v>
      </c>
      <c r="HIB285" s="18">
        <v>0</v>
      </c>
      <c r="HIC285" s="18">
        <v>0</v>
      </c>
      <c r="HID285" s="18">
        <v>0</v>
      </c>
      <c r="HIE285" s="18">
        <v>0</v>
      </c>
      <c r="HIF285" s="18">
        <v>0</v>
      </c>
      <c r="HIG285" s="18">
        <v>0</v>
      </c>
      <c r="HIH285" s="18">
        <v>0</v>
      </c>
      <c r="HII285" s="18">
        <v>0</v>
      </c>
      <c r="HIJ285" s="18">
        <v>0</v>
      </c>
      <c r="HIK285" s="18">
        <v>0</v>
      </c>
      <c r="HIL285" s="18">
        <v>0</v>
      </c>
      <c r="HIM285" s="18">
        <v>0</v>
      </c>
      <c r="HIN285" s="18">
        <v>0</v>
      </c>
      <c r="HIO285" s="18">
        <v>0</v>
      </c>
      <c r="HIP285" s="18">
        <v>0</v>
      </c>
      <c r="HIQ285" s="18">
        <v>0</v>
      </c>
      <c r="HIR285" s="18">
        <v>0</v>
      </c>
      <c r="HIS285" s="18">
        <v>0</v>
      </c>
      <c r="HIT285" s="18">
        <v>0</v>
      </c>
      <c r="HIU285" s="18">
        <v>0</v>
      </c>
      <c r="HIV285" s="18">
        <v>0</v>
      </c>
      <c r="HIW285" s="18">
        <v>0</v>
      </c>
      <c r="HIX285" s="18">
        <v>0</v>
      </c>
      <c r="HIY285" s="18">
        <v>0</v>
      </c>
      <c r="HIZ285" s="18">
        <v>0</v>
      </c>
      <c r="HJA285" s="18">
        <v>0</v>
      </c>
      <c r="HJB285" s="18">
        <v>0</v>
      </c>
      <c r="HJC285" s="18">
        <v>0</v>
      </c>
      <c r="HJD285" s="18">
        <v>0</v>
      </c>
      <c r="HJE285" s="18">
        <v>0</v>
      </c>
      <c r="HJF285" s="18">
        <v>0</v>
      </c>
      <c r="HJG285" s="18">
        <v>0</v>
      </c>
      <c r="HJH285" s="18">
        <v>0</v>
      </c>
      <c r="HJI285" s="18">
        <v>0</v>
      </c>
      <c r="HJJ285" s="18">
        <v>0</v>
      </c>
      <c r="HJK285" s="18">
        <v>0</v>
      </c>
      <c r="HJL285" s="18">
        <v>0</v>
      </c>
      <c r="HJM285" s="18">
        <v>0</v>
      </c>
      <c r="HJN285" s="18">
        <v>0</v>
      </c>
      <c r="HJO285" s="18">
        <v>0</v>
      </c>
      <c r="HJP285" s="18">
        <v>0</v>
      </c>
      <c r="HJQ285" s="18">
        <v>0</v>
      </c>
      <c r="HJR285" s="18">
        <v>0</v>
      </c>
      <c r="HJS285" s="18">
        <v>0</v>
      </c>
      <c r="HJT285" s="18">
        <v>0</v>
      </c>
      <c r="HJU285" s="18">
        <v>0</v>
      </c>
      <c r="HJV285" s="18">
        <v>0</v>
      </c>
      <c r="HJW285" s="18">
        <v>0</v>
      </c>
      <c r="HJX285" s="18">
        <v>0</v>
      </c>
      <c r="HJY285" s="18">
        <v>0</v>
      </c>
      <c r="HJZ285" s="18">
        <v>0</v>
      </c>
      <c r="HKA285" s="18">
        <v>0</v>
      </c>
      <c r="HKB285" s="18">
        <v>0</v>
      </c>
      <c r="HKC285" s="18">
        <v>0</v>
      </c>
      <c r="HKD285" s="18">
        <v>0</v>
      </c>
      <c r="HKE285" s="18">
        <v>0</v>
      </c>
      <c r="HKF285" s="18">
        <v>0</v>
      </c>
      <c r="HKG285" s="18">
        <v>0</v>
      </c>
      <c r="HKH285" s="18">
        <v>0</v>
      </c>
      <c r="HKI285" s="18">
        <v>0</v>
      </c>
      <c r="HKJ285" s="18">
        <v>0</v>
      </c>
      <c r="HKK285" s="18">
        <v>0</v>
      </c>
      <c r="HKL285" s="18">
        <v>0</v>
      </c>
      <c r="HKM285" s="18">
        <v>0</v>
      </c>
      <c r="HKN285" s="18">
        <v>0</v>
      </c>
      <c r="HKO285" s="18">
        <v>0</v>
      </c>
      <c r="HKP285" s="18">
        <v>0</v>
      </c>
      <c r="HKQ285" s="18">
        <v>0</v>
      </c>
      <c r="HKR285" s="18">
        <v>0</v>
      </c>
      <c r="HKS285" s="18">
        <v>0</v>
      </c>
      <c r="HKT285" s="18">
        <v>0</v>
      </c>
      <c r="HKU285" s="18">
        <v>0</v>
      </c>
      <c r="HKV285" s="18">
        <v>0</v>
      </c>
      <c r="HKW285" s="18">
        <v>0</v>
      </c>
      <c r="HKX285" s="18">
        <v>0</v>
      </c>
      <c r="HKY285" s="18">
        <v>0</v>
      </c>
      <c r="HKZ285" s="18">
        <v>0</v>
      </c>
      <c r="HLA285" s="18">
        <v>0</v>
      </c>
      <c r="HLB285" s="18">
        <v>0</v>
      </c>
      <c r="HLC285" s="18">
        <v>0</v>
      </c>
      <c r="HLD285" s="18">
        <v>0</v>
      </c>
      <c r="HLE285" s="18">
        <v>0</v>
      </c>
      <c r="HLF285" s="18">
        <v>0</v>
      </c>
      <c r="HLG285" s="18">
        <v>0</v>
      </c>
      <c r="HLH285" s="18">
        <v>0</v>
      </c>
      <c r="HLI285" s="18">
        <v>0</v>
      </c>
      <c r="HLJ285" s="18">
        <v>0</v>
      </c>
      <c r="HLK285" s="18">
        <v>0</v>
      </c>
      <c r="HLL285" s="18">
        <v>0</v>
      </c>
      <c r="HLM285" s="18">
        <v>0</v>
      </c>
      <c r="HLN285" s="18">
        <v>0</v>
      </c>
      <c r="HLO285" s="18">
        <v>0</v>
      </c>
      <c r="HLP285" s="18">
        <v>0</v>
      </c>
      <c r="HLQ285" s="18">
        <v>0</v>
      </c>
      <c r="HLR285" s="18">
        <v>0</v>
      </c>
      <c r="HLS285" s="18">
        <v>0</v>
      </c>
      <c r="HLT285" s="18">
        <v>0</v>
      </c>
      <c r="HLU285" s="18">
        <v>0</v>
      </c>
      <c r="HLV285" s="18">
        <v>0</v>
      </c>
      <c r="HLW285" s="18">
        <v>0</v>
      </c>
      <c r="HLX285" s="18">
        <v>0</v>
      </c>
      <c r="HLY285" s="18">
        <v>0</v>
      </c>
      <c r="HLZ285" s="18">
        <v>0</v>
      </c>
      <c r="HMA285" s="18">
        <v>0</v>
      </c>
      <c r="HMB285" s="18">
        <v>0</v>
      </c>
      <c r="HMC285" s="18">
        <v>0</v>
      </c>
      <c r="HMD285" s="18">
        <v>0</v>
      </c>
      <c r="HME285" s="18">
        <v>0</v>
      </c>
      <c r="HMF285" s="18">
        <v>0</v>
      </c>
      <c r="HMG285" s="18">
        <v>0</v>
      </c>
      <c r="HMH285" s="18">
        <v>0</v>
      </c>
      <c r="HMI285" s="18">
        <v>0</v>
      </c>
      <c r="HMJ285" s="18">
        <v>0</v>
      </c>
      <c r="HMK285" s="18">
        <v>0</v>
      </c>
      <c r="HML285" s="18">
        <v>0</v>
      </c>
      <c r="HMM285" s="18">
        <v>0</v>
      </c>
      <c r="HMN285" s="18">
        <v>0</v>
      </c>
      <c r="HMO285" s="18">
        <v>0</v>
      </c>
      <c r="HMP285" s="18">
        <v>0</v>
      </c>
      <c r="HMQ285" s="18">
        <v>0</v>
      </c>
      <c r="HMR285" s="18">
        <v>0</v>
      </c>
      <c r="HMS285" s="18">
        <v>0</v>
      </c>
      <c r="HMT285" s="18">
        <v>0</v>
      </c>
      <c r="HMU285" s="18">
        <v>0</v>
      </c>
      <c r="HMV285" s="18">
        <v>0</v>
      </c>
      <c r="HMW285" s="18">
        <v>0</v>
      </c>
      <c r="HMX285" s="18">
        <v>0</v>
      </c>
      <c r="HMY285" s="18">
        <v>0</v>
      </c>
      <c r="HMZ285" s="18">
        <v>0</v>
      </c>
      <c r="HNA285" s="18">
        <v>0</v>
      </c>
      <c r="HNB285" s="18">
        <v>0</v>
      </c>
      <c r="HNC285" s="18">
        <v>0</v>
      </c>
      <c r="HND285" s="18">
        <v>0</v>
      </c>
      <c r="HNE285" s="18">
        <v>0</v>
      </c>
      <c r="HNF285" s="18">
        <v>0</v>
      </c>
      <c r="HNG285" s="18">
        <v>0</v>
      </c>
      <c r="HNH285" s="18">
        <v>0</v>
      </c>
      <c r="HNI285" s="18">
        <v>0</v>
      </c>
      <c r="HNJ285" s="18">
        <v>0</v>
      </c>
      <c r="HNK285" s="18">
        <v>0</v>
      </c>
      <c r="HNL285" s="18">
        <v>0</v>
      </c>
      <c r="HNM285" s="18">
        <v>0</v>
      </c>
      <c r="HNN285" s="18">
        <v>0</v>
      </c>
      <c r="HNO285" s="18">
        <v>0</v>
      </c>
      <c r="HNP285" s="18">
        <v>0</v>
      </c>
      <c r="HNQ285" s="18">
        <v>0</v>
      </c>
      <c r="HNR285" s="18">
        <v>0</v>
      </c>
      <c r="HNS285" s="18">
        <v>0</v>
      </c>
      <c r="HNT285" s="18">
        <v>0</v>
      </c>
      <c r="HNU285" s="18">
        <v>0</v>
      </c>
      <c r="HNV285" s="18">
        <v>0</v>
      </c>
      <c r="HNW285" s="18">
        <v>0</v>
      </c>
      <c r="HNX285" s="18">
        <v>0</v>
      </c>
      <c r="HNY285" s="18">
        <v>0</v>
      </c>
      <c r="HNZ285" s="18">
        <v>0</v>
      </c>
      <c r="HOA285" s="18">
        <v>0</v>
      </c>
      <c r="HOB285" s="18">
        <v>0</v>
      </c>
      <c r="HOC285" s="18">
        <v>0</v>
      </c>
      <c r="HOD285" s="18">
        <v>0</v>
      </c>
      <c r="HOE285" s="18">
        <v>0</v>
      </c>
      <c r="HOF285" s="18">
        <v>0</v>
      </c>
      <c r="HOG285" s="18">
        <v>0</v>
      </c>
      <c r="HOH285" s="18">
        <v>0</v>
      </c>
      <c r="HOI285" s="18">
        <v>0</v>
      </c>
      <c r="HOJ285" s="18">
        <v>0</v>
      </c>
      <c r="HOK285" s="18">
        <v>0</v>
      </c>
      <c r="HOL285" s="18">
        <v>0</v>
      </c>
      <c r="HOM285" s="18">
        <v>0</v>
      </c>
      <c r="HON285" s="18">
        <v>0</v>
      </c>
      <c r="HOO285" s="18">
        <v>0</v>
      </c>
      <c r="HOP285" s="18">
        <v>0</v>
      </c>
      <c r="HOQ285" s="18">
        <v>0</v>
      </c>
      <c r="HOR285" s="18">
        <v>0</v>
      </c>
      <c r="HOS285" s="18">
        <v>0</v>
      </c>
      <c r="HOT285" s="18">
        <v>0</v>
      </c>
      <c r="HOU285" s="18">
        <v>0</v>
      </c>
      <c r="HOV285" s="18">
        <v>0</v>
      </c>
      <c r="HOW285" s="18">
        <v>0</v>
      </c>
      <c r="HOX285" s="18">
        <v>0</v>
      </c>
      <c r="HOY285" s="18">
        <v>0</v>
      </c>
      <c r="HOZ285" s="18">
        <v>0</v>
      </c>
      <c r="HPA285" s="18">
        <v>0</v>
      </c>
      <c r="HPB285" s="18">
        <v>0</v>
      </c>
      <c r="HPC285" s="18">
        <v>0</v>
      </c>
      <c r="HPD285" s="18">
        <v>0</v>
      </c>
      <c r="HPE285" s="18">
        <v>0</v>
      </c>
      <c r="HPF285" s="18">
        <v>0</v>
      </c>
      <c r="HPG285" s="18">
        <v>0</v>
      </c>
      <c r="HPH285" s="18">
        <v>0</v>
      </c>
      <c r="HPI285" s="18">
        <v>0</v>
      </c>
      <c r="HPJ285" s="18">
        <v>0</v>
      </c>
      <c r="HPK285" s="18">
        <v>0</v>
      </c>
      <c r="HPL285" s="18">
        <v>0</v>
      </c>
      <c r="HPM285" s="18">
        <v>0</v>
      </c>
      <c r="HPN285" s="18">
        <v>0</v>
      </c>
      <c r="HPO285" s="18">
        <v>0</v>
      </c>
      <c r="HPP285" s="18">
        <v>0</v>
      </c>
      <c r="HPQ285" s="18">
        <v>0</v>
      </c>
      <c r="HPR285" s="18">
        <v>0</v>
      </c>
      <c r="HPS285" s="18">
        <v>0</v>
      </c>
      <c r="HPT285" s="18">
        <v>0</v>
      </c>
      <c r="HPU285" s="18">
        <v>0</v>
      </c>
      <c r="HPV285" s="18">
        <v>0</v>
      </c>
      <c r="HPW285" s="18">
        <v>0</v>
      </c>
      <c r="HPX285" s="18">
        <v>0</v>
      </c>
      <c r="HPY285" s="18">
        <v>0</v>
      </c>
      <c r="HPZ285" s="18">
        <v>0</v>
      </c>
      <c r="HQA285" s="18">
        <v>0</v>
      </c>
      <c r="HQB285" s="18">
        <v>0</v>
      </c>
      <c r="HQC285" s="18">
        <v>0</v>
      </c>
      <c r="HQD285" s="18">
        <v>0</v>
      </c>
      <c r="HQE285" s="18">
        <v>0</v>
      </c>
      <c r="HQF285" s="18">
        <v>0</v>
      </c>
      <c r="HQG285" s="18">
        <v>0</v>
      </c>
      <c r="HQH285" s="18">
        <v>0</v>
      </c>
      <c r="HQI285" s="18">
        <v>0</v>
      </c>
      <c r="HQJ285" s="18">
        <v>0</v>
      </c>
      <c r="HQK285" s="18">
        <v>0</v>
      </c>
      <c r="HQL285" s="18">
        <v>0</v>
      </c>
      <c r="HQM285" s="18">
        <v>0</v>
      </c>
      <c r="HQN285" s="18">
        <v>0</v>
      </c>
      <c r="HQO285" s="18">
        <v>0</v>
      </c>
      <c r="HQP285" s="18">
        <v>0</v>
      </c>
      <c r="HQQ285" s="18">
        <v>0</v>
      </c>
      <c r="HQR285" s="18">
        <v>0</v>
      </c>
      <c r="HQS285" s="18">
        <v>0</v>
      </c>
      <c r="HQT285" s="18">
        <v>0</v>
      </c>
      <c r="HQU285" s="18">
        <v>0</v>
      </c>
      <c r="HQV285" s="18">
        <v>0</v>
      </c>
      <c r="HQW285" s="18">
        <v>0</v>
      </c>
      <c r="HQX285" s="18">
        <v>0</v>
      </c>
      <c r="HQY285" s="18">
        <v>0</v>
      </c>
      <c r="HQZ285" s="18">
        <v>0</v>
      </c>
      <c r="HRA285" s="18">
        <v>0</v>
      </c>
      <c r="HRB285" s="18">
        <v>0</v>
      </c>
      <c r="HRC285" s="18">
        <v>0</v>
      </c>
      <c r="HRD285" s="18">
        <v>0</v>
      </c>
      <c r="HRE285" s="18">
        <v>0</v>
      </c>
      <c r="HRF285" s="18">
        <v>0</v>
      </c>
      <c r="HRG285" s="18">
        <v>0</v>
      </c>
      <c r="HRH285" s="18">
        <v>0</v>
      </c>
      <c r="HRI285" s="18">
        <v>0</v>
      </c>
      <c r="HRJ285" s="18">
        <v>0</v>
      </c>
      <c r="HRK285" s="18">
        <v>0</v>
      </c>
      <c r="HRL285" s="18">
        <v>0</v>
      </c>
      <c r="HRM285" s="18">
        <v>0</v>
      </c>
      <c r="HRN285" s="18">
        <v>0</v>
      </c>
      <c r="HRO285" s="18">
        <v>0</v>
      </c>
      <c r="HRP285" s="18">
        <v>0</v>
      </c>
      <c r="HRQ285" s="18">
        <v>0</v>
      </c>
      <c r="HRR285" s="18">
        <v>0</v>
      </c>
      <c r="HRS285" s="18">
        <v>0</v>
      </c>
      <c r="HRT285" s="18">
        <v>0</v>
      </c>
      <c r="HRU285" s="18">
        <v>0</v>
      </c>
      <c r="HRV285" s="18">
        <v>0</v>
      </c>
      <c r="HRW285" s="18">
        <v>0</v>
      </c>
      <c r="HRX285" s="18">
        <v>0</v>
      </c>
      <c r="HRY285" s="18">
        <v>0</v>
      </c>
      <c r="HRZ285" s="18">
        <v>0</v>
      </c>
      <c r="HSA285" s="18">
        <v>0</v>
      </c>
      <c r="HSB285" s="18">
        <v>0</v>
      </c>
      <c r="HSC285" s="18">
        <v>0</v>
      </c>
      <c r="HSD285" s="18">
        <v>0</v>
      </c>
      <c r="HSE285" s="18">
        <v>0</v>
      </c>
      <c r="HSF285" s="18">
        <v>0</v>
      </c>
      <c r="HSG285" s="18">
        <v>0</v>
      </c>
      <c r="HSH285" s="18">
        <v>0</v>
      </c>
      <c r="HSI285" s="18">
        <v>0</v>
      </c>
      <c r="HSJ285" s="18">
        <v>0</v>
      </c>
      <c r="HSK285" s="18">
        <v>0</v>
      </c>
      <c r="HSL285" s="18">
        <v>0</v>
      </c>
      <c r="HSM285" s="18">
        <v>0</v>
      </c>
      <c r="HSN285" s="18">
        <v>0</v>
      </c>
      <c r="HSO285" s="18">
        <v>0</v>
      </c>
      <c r="HSP285" s="18">
        <v>0</v>
      </c>
      <c r="HSQ285" s="18">
        <v>0</v>
      </c>
      <c r="HSR285" s="18">
        <v>0</v>
      </c>
      <c r="HSS285" s="18">
        <v>0</v>
      </c>
      <c r="HST285" s="18">
        <v>0</v>
      </c>
      <c r="HSU285" s="18">
        <v>0</v>
      </c>
      <c r="HSV285" s="18">
        <v>0</v>
      </c>
      <c r="HSW285" s="18">
        <v>0</v>
      </c>
      <c r="HSX285" s="18">
        <v>0</v>
      </c>
      <c r="HSY285" s="18">
        <v>0</v>
      </c>
      <c r="HSZ285" s="18">
        <v>0</v>
      </c>
      <c r="HTA285" s="18">
        <v>0</v>
      </c>
      <c r="HTB285" s="18">
        <v>0</v>
      </c>
      <c r="HTC285" s="18">
        <v>0</v>
      </c>
      <c r="HTD285" s="18">
        <v>0</v>
      </c>
      <c r="HTE285" s="18">
        <v>0</v>
      </c>
      <c r="HTF285" s="18">
        <v>0</v>
      </c>
      <c r="HTG285" s="18">
        <v>0</v>
      </c>
      <c r="HTH285" s="18">
        <v>0</v>
      </c>
      <c r="HTI285" s="18">
        <v>0</v>
      </c>
      <c r="HTJ285" s="18">
        <v>0</v>
      </c>
      <c r="HTK285" s="18">
        <v>0</v>
      </c>
      <c r="HTL285" s="18">
        <v>0</v>
      </c>
      <c r="HTM285" s="18">
        <v>0</v>
      </c>
      <c r="HTN285" s="18">
        <v>0</v>
      </c>
      <c r="HTO285" s="18">
        <v>0</v>
      </c>
      <c r="HTP285" s="18">
        <v>0</v>
      </c>
      <c r="HTQ285" s="18">
        <v>0</v>
      </c>
      <c r="HTR285" s="18">
        <v>0</v>
      </c>
      <c r="HTS285" s="18">
        <v>0</v>
      </c>
      <c r="HTT285" s="18">
        <v>0</v>
      </c>
      <c r="HTU285" s="18">
        <v>0</v>
      </c>
      <c r="HTV285" s="18">
        <v>0</v>
      </c>
      <c r="HTW285" s="18">
        <v>0</v>
      </c>
      <c r="HTX285" s="18">
        <v>0</v>
      </c>
      <c r="HTY285" s="18">
        <v>0</v>
      </c>
      <c r="HTZ285" s="18">
        <v>0</v>
      </c>
      <c r="HUA285" s="18">
        <v>0</v>
      </c>
      <c r="HUB285" s="18">
        <v>0</v>
      </c>
      <c r="HUC285" s="18">
        <v>0</v>
      </c>
      <c r="HUD285" s="18">
        <v>0</v>
      </c>
      <c r="HUE285" s="18">
        <v>0</v>
      </c>
      <c r="HUF285" s="18">
        <v>0</v>
      </c>
      <c r="HUG285" s="18">
        <v>0</v>
      </c>
      <c r="HUH285" s="18">
        <v>0</v>
      </c>
      <c r="HUI285" s="18">
        <v>0</v>
      </c>
      <c r="HUJ285" s="18">
        <v>0</v>
      </c>
      <c r="HUK285" s="18">
        <v>0</v>
      </c>
      <c r="HUL285" s="18">
        <v>0</v>
      </c>
      <c r="HUM285" s="18">
        <v>0</v>
      </c>
      <c r="HUN285" s="18">
        <v>0</v>
      </c>
      <c r="HUO285" s="18">
        <v>0</v>
      </c>
      <c r="HUP285" s="18">
        <v>0</v>
      </c>
      <c r="HUQ285" s="18">
        <v>0</v>
      </c>
      <c r="HUR285" s="18">
        <v>0</v>
      </c>
      <c r="HUS285" s="18">
        <v>0</v>
      </c>
      <c r="HUT285" s="18">
        <v>0</v>
      </c>
      <c r="HUU285" s="18">
        <v>0</v>
      </c>
      <c r="HUV285" s="18">
        <v>0</v>
      </c>
      <c r="HUW285" s="18">
        <v>0</v>
      </c>
      <c r="HUX285" s="18">
        <v>0</v>
      </c>
      <c r="HUY285" s="18">
        <v>0</v>
      </c>
      <c r="HUZ285" s="18">
        <v>0</v>
      </c>
      <c r="HVA285" s="18">
        <v>0</v>
      </c>
      <c r="HVB285" s="18">
        <v>0</v>
      </c>
      <c r="HVC285" s="18">
        <v>0</v>
      </c>
      <c r="HVD285" s="18">
        <v>0</v>
      </c>
      <c r="HVE285" s="18">
        <v>0</v>
      </c>
      <c r="HVF285" s="18">
        <v>0</v>
      </c>
      <c r="HVG285" s="18">
        <v>0</v>
      </c>
      <c r="HVH285" s="18">
        <v>0</v>
      </c>
      <c r="HVI285" s="18">
        <v>0</v>
      </c>
      <c r="HVJ285" s="18">
        <v>0</v>
      </c>
      <c r="HVK285" s="18">
        <v>0</v>
      </c>
      <c r="HVL285" s="18">
        <v>0</v>
      </c>
      <c r="HVM285" s="18">
        <v>0</v>
      </c>
      <c r="HVN285" s="18">
        <v>0</v>
      </c>
      <c r="HVO285" s="18">
        <v>0</v>
      </c>
      <c r="HVP285" s="18">
        <v>0</v>
      </c>
      <c r="HVQ285" s="18">
        <v>0</v>
      </c>
      <c r="HVR285" s="18">
        <v>0</v>
      </c>
      <c r="HVS285" s="18">
        <v>0</v>
      </c>
      <c r="HVT285" s="18">
        <v>0</v>
      </c>
      <c r="HVU285" s="18">
        <v>0</v>
      </c>
      <c r="HVV285" s="18">
        <v>0</v>
      </c>
      <c r="HVW285" s="18">
        <v>0</v>
      </c>
      <c r="HVX285" s="18">
        <v>0</v>
      </c>
      <c r="HVY285" s="18">
        <v>0</v>
      </c>
      <c r="HVZ285" s="18">
        <v>0</v>
      </c>
      <c r="HWA285" s="18">
        <v>0</v>
      </c>
      <c r="HWB285" s="18">
        <v>0</v>
      </c>
      <c r="HWC285" s="18">
        <v>0</v>
      </c>
      <c r="HWD285" s="18">
        <v>0</v>
      </c>
      <c r="HWE285" s="18">
        <v>0</v>
      </c>
      <c r="HWF285" s="18">
        <v>0</v>
      </c>
      <c r="HWG285" s="18">
        <v>0</v>
      </c>
      <c r="HWH285" s="18">
        <v>0</v>
      </c>
      <c r="HWI285" s="18">
        <v>0</v>
      </c>
      <c r="HWJ285" s="18">
        <v>0</v>
      </c>
      <c r="HWK285" s="18">
        <v>0</v>
      </c>
      <c r="HWL285" s="18">
        <v>0</v>
      </c>
      <c r="HWM285" s="18">
        <v>0</v>
      </c>
      <c r="HWN285" s="18">
        <v>0</v>
      </c>
      <c r="HWO285" s="18">
        <v>0</v>
      </c>
      <c r="HWP285" s="18">
        <v>0</v>
      </c>
      <c r="HWQ285" s="18">
        <v>0</v>
      </c>
      <c r="HWR285" s="18">
        <v>0</v>
      </c>
      <c r="HWS285" s="18">
        <v>0</v>
      </c>
      <c r="HWT285" s="18">
        <v>0</v>
      </c>
      <c r="HWU285" s="18">
        <v>0</v>
      </c>
      <c r="HWV285" s="18">
        <v>0</v>
      </c>
      <c r="HWW285" s="18">
        <v>0</v>
      </c>
      <c r="HWX285" s="18">
        <v>0</v>
      </c>
      <c r="HWY285" s="18">
        <v>0</v>
      </c>
      <c r="HWZ285" s="18">
        <v>0</v>
      </c>
      <c r="HXA285" s="18">
        <v>0</v>
      </c>
      <c r="HXB285" s="18">
        <v>0</v>
      </c>
      <c r="HXC285" s="18">
        <v>0</v>
      </c>
      <c r="HXD285" s="18">
        <v>0</v>
      </c>
      <c r="HXE285" s="18">
        <v>0</v>
      </c>
      <c r="HXF285" s="18">
        <v>0</v>
      </c>
      <c r="HXG285" s="18">
        <v>0</v>
      </c>
      <c r="HXH285" s="18">
        <v>0</v>
      </c>
      <c r="HXI285" s="18">
        <v>0</v>
      </c>
      <c r="HXJ285" s="18">
        <v>0</v>
      </c>
      <c r="HXK285" s="18">
        <v>0</v>
      </c>
      <c r="HXL285" s="18">
        <v>0</v>
      </c>
      <c r="HXM285" s="18">
        <v>0</v>
      </c>
      <c r="HXN285" s="18">
        <v>0</v>
      </c>
      <c r="HXO285" s="18">
        <v>0</v>
      </c>
      <c r="HXP285" s="18">
        <v>0</v>
      </c>
      <c r="HXQ285" s="18">
        <v>0</v>
      </c>
      <c r="HXR285" s="18">
        <v>0</v>
      </c>
      <c r="HXS285" s="18">
        <v>0</v>
      </c>
      <c r="HXT285" s="18">
        <v>0</v>
      </c>
      <c r="HXU285" s="18">
        <v>0</v>
      </c>
      <c r="HXV285" s="18">
        <v>0</v>
      </c>
      <c r="HXW285" s="18">
        <v>0</v>
      </c>
      <c r="HXX285" s="18">
        <v>0</v>
      </c>
      <c r="HXY285" s="18">
        <v>0</v>
      </c>
      <c r="HXZ285" s="18">
        <v>0</v>
      </c>
      <c r="HYA285" s="18">
        <v>0</v>
      </c>
      <c r="HYB285" s="18">
        <v>0</v>
      </c>
      <c r="HYC285" s="18">
        <v>0</v>
      </c>
      <c r="HYD285" s="18">
        <v>0</v>
      </c>
      <c r="HYE285" s="18">
        <v>0</v>
      </c>
      <c r="HYF285" s="18">
        <v>0</v>
      </c>
      <c r="HYG285" s="18">
        <v>0</v>
      </c>
      <c r="HYH285" s="18">
        <v>0</v>
      </c>
      <c r="HYI285" s="18">
        <v>0</v>
      </c>
      <c r="HYJ285" s="18">
        <v>0</v>
      </c>
      <c r="HYK285" s="18">
        <v>0</v>
      </c>
      <c r="HYL285" s="18">
        <v>0</v>
      </c>
      <c r="HYM285" s="18">
        <v>0</v>
      </c>
      <c r="HYN285" s="18">
        <v>0</v>
      </c>
      <c r="HYO285" s="18">
        <v>0</v>
      </c>
      <c r="HYP285" s="18">
        <v>0</v>
      </c>
      <c r="HYQ285" s="18">
        <v>0</v>
      </c>
      <c r="HYR285" s="18">
        <v>0</v>
      </c>
      <c r="HYS285" s="18">
        <v>0</v>
      </c>
      <c r="HYT285" s="18">
        <v>0</v>
      </c>
      <c r="HYU285" s="18">
        <v>0</v>
      </c>
      <c r="HYV285" s="18">
        <v>0</v>
      </c>
      <c r="HYW285" s="18">
        <v>0</v>
      </c>
      <c r="HYX285" s="18">
        <v>0</v>
      </c>
      <c r="HYY285" s="18">
        <v>0</v>
      </c>
      <c r="HYZ285" s="18">
        <v>0</v>
      </c>
      <c r="HZA285" s="18">
        <v>0</v>
      </c>
      <c r="HZB285" s="18">
        <v>0</v>
      </c>
      <c r="HZC285" s="18">
        <v>0</v>
      </c>
      <c r="HZD285" s="18">
        <v>0</v>
      </c>
      <c r="HZE285" s="18">
        <v>0</v>
      </c>
      <c r="HZF285" s="18">
        <v>0</v>
      </c>
      <c r="HZG285" s="18">
        <v>0</v>
      </c>
      <c r="HZH285" s="18">
        <v>0</v>
      </c>
      <c r="HZI285" s="18">
        <v>0</v>
      </c>
      <c r="HZJ285" s="18">
        <v>0</v>
      </c>
      <c r="HZK285" s="18">
        <v>0</v>
      </c>
      <c r="HZL285" s="18">
        <v>0</v>
      </c>
      <c r="HZM285" s="18">
        <v>0</v>
      </c>
      <c r="HZN285" s="18">
        <v>0</v>
      </c>
      <c r="HZO285" s="18">
        <v>0</v>
      </c>
      <c r="HZP285" s="18">
        <v>0</v>
      </c>
      <c r="HZQ285" s="18">
        <v>0</v>
      </c>
      <c r="HZR285" s="18">
        <v>0</v>
      </c>
      <c r="HZS285" s="18">
        <v>0</v>
      </c>
      <c r="HZT285" s="18">
        <v>0</v>
      </c>
      <c r="HZU285" s="18">
        <v>0</v>
      </c>
      <c r="HZV285" s="18">
        <v>0</v>
      </c>
      <c r="HZW285" s="18">
        <v>0</v>
      </c>
      <c r="HZX285" s="18">
        <v>0</v>
      </c>
      <c r="HZY285" s="18">
        <v>0</v>
      </c>
      <c r="HZZ285" s="18">
        <v>0</v>
      </c>
      <c r="IAA285" s="18">
        <v>0</v>
      </c>
      <c r="IAB285" s="18">
        <v>0</v>
      </c>
      <c r="IAC285" s="18">
        <v>0</v>
      </c>
      <c r="IAD285" s="18">
        <v>0</v>
      </c>
      <c r="IAE285" s="18">
        <v>0</v>
      </c>
      <c r="IAF285" s="18">
        <v>0</v>
      </c>
      <c r="IAG285" s="18">
        <v>0</v>
      </c>
      <c r="IAH285" s="18">
        <v>0</v>
      </c>
      <c r="IAI285" s="18">
        <v>0</v>
      </c>
      <c r="IAJ285" s="18">
        <v>0</v>
      </c>
      <c r="IAK285" s="18">
        <v>0</v>
      </c>
      <c r="IAL285" s="18">
        <v>0</v>
      </c>
      <c r="IAM285" s="18">
        <v>0</v>
      </c>
      <c r="IAN285" s="18">
        <v>0</v>
      </c>
      <c r="IAO285" s="18">
        <v>0</v>
      </c>
      <c r="IAP285" s="18">
        <v>0</v>
      </c>
      <c r="IAQ285" s="18">
        <v>0</v>
      </c>
      <c r="IAR285" s="18">
        <v>0</v>
      </c>
      <c r="IAS285" s="18">
        <v>0</v>
      </c>
      <c r="IAT285" s="18">
        <v>0</v>
      </c>
      <c r="IAU285" s="18">
        <v>0</v>
      </c>
      <c r="IAV285" s="18">
        <v>0</v>
      </c>
      <c r="IAW285" s="18">
        <v>0</v>
      </c>
      <c r="IAX285" s="18">
        <v>0</v>
      </c>
      <c r="IAY285" s="18">
        <v>0</v>
      </c>
      <c r="IAZ285" s="18">
        <v>0</v>
      </c>
      <c r="IBA285" s="18">
        <v>0</v>
      </c>
      <c r="IBB285" s="18">
        <v>0</v>
      </c>
      <c r="IBC285" s="18">
        <v>0</v>
      </c>
      <c r="IBD285" s="18">
        <v>0</v>
      </c>
      <c r="IBE285" s="18">
        <v>0</v>
      </c>
      <c r="IBF285" s="18">
        <v>0</v>
      </c>
      <c r="IBG285" s="18">
        <v>0</v>
      </c>
      <c r="IBH285" s="18">
        <v>0</v>
      </c>
      <c r="IBI285" s="18">
        <v>0</v>
      </c>
      <c r="IBJ285" s="18">
        <v>0</v>
      </c>
      <c r="IBK285" s="18">
        <v>0</v>
      </c>
      <c r="IBL285" s="18">
        <v>0</v>
      </c>
      <c r="IBM285" s="18">
        <v>0</v>
      </c>
      <c r="IBN285" s="18">
        <v>0</v>
      </c>
      <c r="IBO285" s="18">
        <v>0</v>
      </c>
      <c r="IBP285" s="18">
        <v>0</v>
      </c>
      <c r="IBQ285" s="18">
        <v>0</v>
      </c>
      <c r="IBR285" s="18">
        <v>0</v>
      </c>
      <c r="IBS285" s="18">
        <v>0</v>
      </c>
      <c r="IBT285" s="18">
        <v>0</v>
      </c>
      <c r="IBU285" s="18">
        <v>0</v>
      </c>
      <c r="IBV285" s="18">
        <v>0</v>
      </c>
      <c r="IBW285" s="18">
        <v>0</v>
      </c>
      <c r="IBX285" s="18">
        <v>0</v>
      </c>
      <c r="IBY285" s="18">
        <v>0</v>
      </c>
      <c r="IBZ285" s="18">
        <v>0</v>
      </c>
      <c r="ICA285" s="18">
        <v>0</v>
      </c>
      <c r="ICB285" s="18">
        <v>0</v>
      </c>
      <c r="ICC285" s="18">
        <v>0</v>
      </c>
      <c r="ICD285" s="18">
        <v>0</v>
      </c>
      <c r="ICE285" s="18">
        <v>0</v>
      </c>
      <c r="ICF285" s="18">
        <v>0</v>
      </c>
      <c r="ICG285" s="18">
        <v>0</v>
      </c>
      <c r="ICH285" s="18">
        <v>0</v>
      </c>
      <c r="ICI285" s="18">
        <v>0</v>
      </c>
      <c r="ICJ285" s="18">
        <v>0</v>
      </c>
      <c r="ICK285" s="18">
        <v>0</v>
      </c>
      <c r="ICL285" s="18">
        <v>0</v>
      </c>
      <c r="ICM285" s="18">
        <v>0</v>
      </c>
      <c r="ICN285" s="18">
        <v>0</v>
      </c>
      <c r="ICO285" s="18">
        <v>0</v>
      </c>
      <c r="ICP285" s="18">
        <v>0</v>
      </c>
      <c r="ICQ285" s="18">
        <v>0</v>
      </c>
      <c r="ICR285" s="18">
        <v>0</v>
      </c>
      <c r="ICS285" s="18">
        <v>0</v>
      </c>
      <c r="ICT285" s="18">
        <v>0</v>
      </c>
      <c r="ICU285" s="18">
        <v>0</v>
      </c>
      <c r="ICV285" s="18">
        <v>0</v>
      </c>
      <c r="ICW285" s="18">
        <v>0</v>
      </c>
      <c r="ICX285" s="18">
        <v>0</v>
      </c>
      <c r="ICY285" s="18">
        <v>0</v>
      </c>
      <c r="ICZ285" s="18">
        <v>0</v>
      </c>
      <c r="IDA285" s="18">
        <v>0</v>
      </c>
      <c r="IDB285" s="18">
        <v>0</v>
      </c>
      <c r="IDC285" s="18">
        <v>0</v>
      </c>
      <c r="IDD285" s="18">
        <v>0</v>
      </c>
      <c r="IDE285" s="18">
        <v>0</v>
      </c>
      <c r="IDF285" s="18">
        <v>0</v>
      </c>
      <c r="IDG285" s="18">
        <v>0</v>
      </c>
      <c r="IDH285" s="18">
        <v>0</v>
      </c>
      <c r="IDI285" s="18">
        <v>0</v>
      </c>
      <c r="IDJ285" s="18">
        <v>0</v>
      </c>
      <c r="IDK285" s="18">
        <v>0</v>
      </c>
      <c r="IDL285" s="18">
        <v>0</v>
      </c>
      <c r="IDM285" s="18">
        <v>0</v>
      </c>
      <c r="IDN285" s="18">
        <v>0</v>
      </c>
      <c r="IDO285" s="18">
        <v>0</v>
      </c>
      <c r="IDP285" s="18">
        <v>0</v>
      </c>
      <c r="IDQ285" s="18">
        <v>0</v>
      </c>
      <c r="IDR285" s="18">
        <v>0</v>
      </c>
      <c r="IDS285" s="18">
        <v>0</v>
      </c>
      <c r="IDT285" s="18">
        <v>0</v>
      </c>
      <c r="IDU285" s="18">
        <v>0</v>
      </c>
      <c r="IDV285" s="18">
        <v>0</v>
      </c>
      <c r="IDW285" s="18">
        <v>0</v>
      </c>
      <c r="IDX285" s="18">
        <v>0</v>
      </c>
      <c r="IDY285" s="18">
        <v>0</v>
      </c>
      <c r="IDZ285" s="18">
        <v>0</v>
      </c>
      <c r="IEA285" s="18">
        <v>0</v>
      </c>
      <c r="IEB285" s="18">
        <v>0</v>
      </c>
      <c r="IEC285" s="18">
        <v>0</v>
      </c>
      <c r="IED285" s="18">
        <v>0</v>
      </c>
      <c r="IEE285" s="18">
        <v>0</v>
      </c>
      <c r="IEF285" s="18">
        <v>0</v>
      </c>
      <c r="IEG285" s="18">
        <v>0</v>
      </c>
      <c r="IEH285" s="18">
        <v>0</v>
      </c>
      <c r="IEI285" s="18">
        <v>0</v>
      </c>
      <c r="IEJ285" s="18">
        <v>0</v>
      </c>
      <c r="IEK285" s="18">
        <v>0</v>
      </c>
      <c r="IEL285" s="18">
        <v>0</v>
      </c>
      <c r="IEM285" s="18">
        <v>0</v>
      </c>
      <c r="IEN285" s="18">
        <v>0</v>
      </c>
      <c r="IEO285" s="18">
        <v>0</v>
      </c>
      <c r="IEP285" s="18">
        <v>0</v>
      </c>
      <c r="IEQ285" s="18">
        <v>0</v>
      </c>
      <c r="IER285" s="18">
        <v>0</v>
      </c>
      <c r="IES285" s="18">
        <v>0</v>
      </c>
      <c r="IET285" s="18">
        <v>0</v>
      </c>
      <c r="IEU285" s="18">
        <v>0</v>
      </c>
      <c r="IEV285" s="18">
        <v>0</v>
      </c>
      <c r="IEW285" s="18">
        <v>0</v>
      </c>
      <c r="IEX285" s="18">
        <v>0</v>
      </c>
      <c r="IEY285" s="18">
        <v>0</v>
      </c>
      <c r="IEZ285" s="18">
        <v>0</v>
      </c>
      <c r="IFA285" s="18">
        <v>0</v>
      </c>
      <c r="IFB285" s="18">
        <v>0</v>
      </c>
      <c r="IFC285" s="18">
        <v>0</v>
      </c>
      <c r="IFD285" s="18">
        <v>0</v>
      </c>
      <c r="IFE285" s="18">
        <v>0</v>
      </c>
      <c r="IFF285" s="18">
        <v>0</v>
      </c>
      <c r="IFG285" s="18">
        <v>0</v>
      </c>
      <c r="IFH285" s="18">
        <v>0</v>
      </c>
      <c r="IFI285" s="18">
        <v>0</v>
      </c>
      <c r="IFJ285" s="18">
        <v>0</v>
      </c>
      <c r="IFK285" s="18">
        <v>0</v>
      </c>
      <c r="IFL285" s="18">
        <v>0</v>
      </c>
      <c r="IFM285" s="18">
        <v>0</v>
      </c>
      <c r="IFN285" s="18">
        <v>0</v>
      </c>
      <c r="IFO285" s="18">
        <v>0</v>
      </c>
      <c r="IFP285" s="18">
        <v>0</v>
      </c>
      <c r="IFQ285" s="18">
        <v>0</v>
      </c>
      <c r="IFR285" s="18">
        <v>0</v>
      </c>
      <c r="IFS285" s="18">
        <v>0</v>
      </c>
      <c r="IFT285" s="18">
        <v>0</v>
      </c>
      <c r="IFU285" s="18">
        <v>0</v>
      </c>
      <c r="IFV285" s="18">
        <v>0</v>
      </c>
      <c r="IFW285" s="18">
        <v>0</v>
      </c>
      <c r="IFX285" s="18">
        <v>0</v>
      </c>
      <c r="IFY285" s="18">
        <v>0</v>
      </c>
      <c r="IFZ285" s="18">
        <v>0</v>
      </c>
      <c r="IGA285" s="18">
        <v>0</v>
      </c>
      <c r="IGB285" s="18">
        <v>0</v>
      </c>
      <c r="IGC285" s="18">
        <v>0</v>
      </c>
      <c r="IGD285" s="18">
        <v>0</v>
      </c>
      <c r="IGE285" s="18">
        <v>0</v>
      </c>
      <c r="IGF285" s="18">
        <v>0</v>
      </c>
      <c r="IGG285" s="18">
        <v>0</v>
      </c>
      <c r="IGH285" s="18">
        <v>0</v>
      </c>
      <c r="IGI285" s="18">
        <v>0</v>
      </c>
      <c r="IGJ285" s="18">
        <v>0</v>
      </c>
      <c r="IGK285" s="18">
        <v>0</v>
      </c>
      <c r="IGL285" s="18">
        <v>0</v>
      </c>
      <c r="IGM285" s="18">
        <v>0</v>
      </c>
      <c r="IGN285" s="18">
        <v>0</v>
      </c>
      <c r="IGO285" s="18">
        <v>0</v>
      </c>
      <c r="IGP285" s="18">
        <v>0</v>
      </c>
      <c r="IGQ285" s="18">
        <v>0</v>
      </c>
      <c r="IGR285" s="18">
        <v>0</v>
      </c>
      <c r="IGS285" s="18">
        <v>0</v>
      </c>
      <c r="IGT285" s="18">
        <v>0</v>
      </c>
      <c r="IGU285" s="18">
        <v>0</v>
      </c>
      <c r="IGV285" s="18">
        <v>0</v>
      </c>
      <c r="IGW285" s="18">
        <v>0</v>
      </c>
      <c r="IGX285" s="18">
        <v>0</v>
      </c>
      <c r="IGY285" s="18">
        <v>0</v>
      </c>
      <c r="IGZ285" s="18">
        <v>0</v>
      </c>
      <c r="IHA285" s="18">
        <v>0</v>
      </c>
      <c r="IHB285" s="18">
        <v>0</v>
      </c>
      <c r="IHC285" s="18">
        <v>0</v>
      </c>
      <c r="IHD285" s="18">
        <v>0</v>
      </c>
      <c r="IHE285" s="18">
        <v>0</v>
      </c>
      <c r="IHF285" s="18">
        <v>0</v>
      </c>
      <c r="IHG285" s="18">
        <v>0</v>
      </c>
      <c r="IHH285" s="18">
        <v>0</v>
      </c>
      <c r="IHI285" s="18">
        <v>0</v>
      </c>
      <c r="IHJ285" s="18">
        <v>0</v>
      </c>
      <c r="IHK285" s="18">
        <v>0</v>
      </c>
      <c r="IHL285" s="18">
        <v>0</v>
      </c>
      <c r="IHM285" s="18">
        <v>0</v>
      </c>
      <c r="IHN285" s="18">
        <v>0</v>
      </c>
      <c r="IHO285" s="18">
        <v>0</v>
      </c>
      <c r="IHP285" s="18">
        <v>0</v>
      </c>
      <c r="IHQ285" s="18">
        <v>0</v>
      </c>
      <c r="IHR285" s="18">
        <v>0</v>
      </c>
      <c r="IHS285" s="18">
        <v>0</v>
      </c>
      <c r="IHT285" s="18">
        <v>0</v>
      </c>
      <c r="IHU285" s="18">
        <v>0</v>
      </c>
      <c r="IHV285" s="18">
        <v>0</v>
      </c>
      <c r="IHW285" s="18">
        <v>0</v>
      </c>
      <c r="IHX285" s="18">
        <v>0</v>
      </c>
      <c r="IHY285" s="18">
        <v>0</v>
      </c>
      <c r="IHZ285" s="18">
        <v>0</v>
      </c>
      <c r="IIA285" s="18">
        <v>0</v>
      </c>
      <c r="IIB285" s="18">
        <v>0</v>
      </c>
      <c r="IIC285" s="18">
        <v>0</v>
      </c>
      <c r="IID285" s="18">
        <v>0</v>
      </c>
      <c r="IIE285" s="18">
        <v>0</v>
      </c>
      <c r="IIF285" s="18">
        <v>0</v>
      </c>
      <c r="IIG285" s="18">
        <v>0</v>
      </c>
      <c r="IIH285" s="18">
        <v>0</v>
      </c>
      <c r="III285" s="18">
        <v>0</v>
      </c>
      <c r="IIJ285" s="18">
        <v>0</v>
      </c>
      <c r="IIK285" s="18">
        <v>0</v>
      </c>
      <c r="IIL285" s="18">
        <v>0</v>
      </c>
      <c r="IIM285" s="18">
        <v>0</v>
      </c>
      <c r="IIN285" s="18">
        <v>0</v>
      </c>
      <c r="IIO285" s="18">
        <v>0</v>
      </c>
      <c r="IIP285" s="18">
        <v>0</v>
      </c>
      <c r="IIQ285" s="18">
        <v>0</v>
      </c>
      <c r="IIR285" s="18">
        <v>0</v>
      </c>
      <c r="IIS285" s="18">
        <v>0</v>
      </c>
      <c r="IIT285" s="18">
        <v>0</v>
      </c>
      <c r="IIU285" s="18">
        <v>0</v>
      </c>
      <c r="IIV285" s="18">
        <v>0</v>
      </c>
      <c r="IIW285" s="18">
        <v>0</v>
      </c>
      <c r="IIX285" s="18">
        <v>0</v>
      </c>
      <c r="IIY285" s="18">
        <v>0</v>
      </c>
      <c r="IIZ285" s="18">
        <v>0</v>
      </c>
      <c r="IJA285" s="18">
        <v>0</v>
      </c>
      <c r="IJB285" s="18">
        <v>0</v>
      </c>
      <c r="IJC285" s="18">
        <v>0</v>
      </c>
      <c r="IJD285" s="18">
        <v>0</v>
      </c>
      <c r="IJE285" s="18">
        <v>0</v>
      </c>
      <c r="IJF285" s="18">
        <v>0</v>
      </c>
      <c r="IJG285" s="18">
        <v>0</v>
      </c>
      <c r="IJH285" s="18">
        <v>0</v>
      </c>
      <c r="IJI285" s="18">
        <v>0</v>
      </c>
      <c r="IJJ285" s="18">
        <v>0</v>
      </c>
      <c r="IJK285" s="18">
        <v>0</v>
      </c>
      <c r="IJL285" s="18">
        <v>0</v>
      </c>
      <c r="IJM285" s="18">
        <v>0</v>
      </c>
      <c r="IJN285" s="18">
        <v>0</v>
      </c>
      <c r="IJO285" s="18">
        <v>0</v>
      </c>
      <c r="IJP285" s="18">
        <v>0</v>
      </c>
      <c r="IJQ285" s="18">
        <v>0</v>
      </c>
      <c r="IJR285" s="18">
        <v>0</v>
      </c>
      <c r="IJS285" s="18">
        <v>0</v>
      </c>
      <c r="IJT285" s="18">
        <v>0</v>
      </c>
      <c r="IJU285" s="18">
        <v>0</v>
      </c>
      <c r="IJV285" s="18">
        <v>0</v>
      </c>
      <c r="IJW285" s="18">
        <v>0</v>
      </c>
      <c r="IJX285" s="18">
        <v>0</v>
      </c>
      <c r="IJY285" s="18">
        <v>0</v>
      </c>
      <c r="IJZ285" s="18">
        <v>0</v>
      </c>
      <c r="IKA285" s="18">
        <v>0</v>
      </c>
      <c r="IKB285" s="18">
        <v>0</v>
      </c>
      <c r="IKC285" s="18">
        <v>0</v>
      </c>
      <c r="IKD285" s="18">
        <v>0</v>
      </c>
      <c r="IKE285" s="18">
        <v>0</v>
      </c>
      <c r="IKF285" s="18">
        <v>0</v>
      </c>
      <c r="IKG285" s="18">
        <v>0</v>
      </c>
      <c r="IKH285" s="18">
        <v>0</v>
      </c>
      <c r="IKI285" s="18">
        <v>0</v>
      </c>
      <c r="IKJ285" s="18">
        <v>0</v>
      </c>
      <c r="IKK285" s="18">
        <v>0</v>
      </c>
      <c r="IKL285" s="18">
        <v>0</v>
      </c>
      <c r="IKM285" s="18">
        <v>0</v>
      </c>
      <c r="IKN285" s="18">
        <v>0</v>
      </c>
      <c r="IKO285" s="18">
        <v>0</v>
      </c>
      <c r="IKP285" s="18">
        <v>0</v>
      </c>
      <c r="IKQ285" s="18">
        <v>0</v>
      </c>
      <c r="IKR285" s="18">
        <v>0</v>
      </c>
      <c r="IKS285" s="18">
        <v>0</v>
      </c>
      <c r="IKT285" s="18">
        <v>0</v>
      </c>
      <c r="IKU285" s="18">
        <v>0</v>
      </c>
      <c r="IKV285" s="18">
        <v>0</v>
      </c>
      <c r="IKW285" s="18">
        <v>0</v>
      </c>
      <c r="IKX285" s="18">
        <v>0</v>
      </c>
      <c r="IKY285" s="18">
        <v>0</v>
      </c>
      <c r="IKZ285" s="18">
        <v>0</v>
      </c>
      <c r="ILA285" s="18">
        <v>0</v>
      </c>
      <c r="ILB285" s="18">
        <v>0</v>
      </c>
      <c r="ILC285" s="18">
        <v>0</v>
      </c>
      <c r="ILD285" s="18">
        <v>0</v>
      </c>
      <c r="ILE285" s="18">
        <v>0</v>
      </c>
      <c r="ILF285" s="18">
        <v>0</v>
      </c>
      <c r="ILG285" s="18">
        <v>0</v>
      </c>
      <c r="ILH285" s="18">
        <v>0</v>
      </c>
      <c r="ILI285" s="18">
        <v>0</v>
      </c>
      <c r="ILJ285" s="18">
        <v>0</v>
      </c>
      <c r="ILK285" s="18">
        <v>0</v>
      </c>
      <c r="ILL285" s="18">
        <v>0</v>
      </c>
      <c r="ILM285" s="18">
        <v>0</v>
      </c>
      <c r="ILN285" s="18">
        <v>0</v>
      </c>
      <c r="ILO285" s="18">
        <v>0</v>
      </c>
      <c r="ILP285" s="18">
        <v>0</v>
      </c>
      <c r="ILQ285" s="18">
        <v>0</v>
      </c>
      <c r="ILR285" s="18">
        <v>0</v>
      </c>
      <c r="ILS285" s="18">
        <v>0</v>
      </c>
      <c r="ILT285" s="18">
        <v>0</v>
      </c>
      <c r="ILU285" s="18">
        <v>0</v>
      </c>
      <c r="ILV285" s="18">
        <v>0</v>
      </c>
      <c r="ILW285" s="18">
        <v>0</v>
      </c>
      <c r="ILX285" s="18">
        <v>0</v>
      </c>
      <c r="ILY285" s="18">
        <v>0</v>
      </c>
      <c r="ILZ285" s="18">
        <v>0</v>
      </c>
      <c r="IMA285" s="18">
        <v>0</v>
      </c>
      <c r="IMB285" s="18">
        <v>0</v>
      </c>
      <c r="IMC285" s="18">
        <v>0</v>
      </c>
      <c r="IMD285" s="18">
        <v>0</v>
      </c>
      <c r="IME285" s="18">
        <v>0</v>
      </c>
      <c r="IMF285" s="18">
        <v>0</v>
      </c>
      <c r="IMG285" s="18">
        <v>0</v>
      </c>
      <c r="IMH285" s="18">
        <v>0</v>
      </c>
      <c r="IMI285" s="18">
        <v>0</v>
      </c>
      <c r="IMJ285" s="18">
        <v>0</v>
      </c>
      <c r="IMK285" s="18">
        <v>0</v>
      </c>
      <c r="IML285" s="18">
        <v>0</v>
      </c>
      <c r="IMM285" s="18">
        <v>0</v>
      </c>
      <c r="IMN285" s="18">
        <v>0</v>
      </c>
      <c r="IMO285" s="18">
        <v>0</v>
      </c>
      <c r="IMP285" s="18">
        <v>0</v>
      </c>
      <c r="IMQ285" s="18">
        <v>0</v>
      </c>
      <c r="IMR285" s="18">
        <v>0</v>
      </c>
      <c r="IMS285" s="18">
        <v>0</v>
      </c>
      <c r="IMT285" s="18">
        <v>0</v>
      </c>
      <c r="IMU285" s="18">
        <v>0</v>
      </c>
      <c r="IMV285" s="18">
        <v>0</v>
      </c>
      <c r="IMW285" s="18">
        <v>0</v>
      </c>
      <c r="IMX285" s="18">
        <v>0</v>
      </c>
      <c r="IMY285" s="18">
        <v>0</v>
      </c>
      <c r="IMZ285" s="18">
        <v>0</v>
      </c>
      <c r="INA285" s="18">
        <v>0</v>
      </c>
      <c r="INB285" s="18">
        <v>0</v>
      </c>
      <c r="INC285" s="18">
        <v>0</v>
      </c>
      <c r="IND285" s="18">
        <v>0</v>
      </c>
      <c r="INE285" s="18">
        <v>0</v>
      </c>
      <c r="INF285" s="18">
        <v>0</v>
      </c>
      <c r="ING285" s="18">
        <v>0</v>
      </c>
      <c r="INH285" s="18">
        <v>0</v>
      </c>
      <c r="INI285" s="18">
        <v>0</v>
      </c>
      <c r="INJ285" s="18">
        <v>0</v>
      </c>
      <c r="INK285" s="18">
        <v>0</v>
      </c>
      <c r="INL285" s="18">
        <v>0</v>
      </c>
      <c r="INM285" s="18">
        <v>0</v>
      </c>
      <c r="INN285" s="18">
        <v>0</v>
      </c>
      <c r="INO285" s="18">
        <v>0</v>
      </c>
      <c r="INP285" s="18">
        <v>0</v>
      </c>
      <c r="INQ285" s="18">
        <v>0</v>
      </c>
      <c r="INR285" s="18">
        <v>0</v>
      </c>
      <c r="INS285" s="18">
        <v>0</v>
      </c>
      <c r="INT285" s="18">
        <v>0</v>
      </c>
      <c r="INU285" s="18">
        <v>0</v>
      </c>
      <c r="INV285" s="18">
        <v>0</v>
      </c>
      <c r="INW285" s="18">
        <v>0</v>
      </c>
      <c r="INX285" s="18">
        <v>0</v>
      </c>
      <c r="INY285" s="18">
        <v>0</v>
      </c>
      <c r="INZ285" s="18">
        <v>0</v>
      </c>
      <c r="IOA285" s="18">
        <v>0</v>
      </c>
      <c r="IOB285" s="18">
        <v>0</v>
      </c>
      <c r="IOC285" s="18">
        <v>0</v>
      </c>
      <c r="IOD285" s="18">
        <v>0</v>
      </c>
      <c r="IOE285" s="18">
        <v>0</v>
      </c>
      <c r="IOF285" s="18">
        <v>0</v>
      </c>
      <c r="IOG285" s="18">
        <v>0</v>
      </c>
      <c r="IOH285" s="18">
        <v>0</v>
      </c>
      <c r="IOI285" s="18">
        <v>0</v>
      </c>
      <c r="IOJ285" s="18">
        <v>0</v>
      </c>
      <c r="IOK285" s="18">
        <v>0</v>
      </c>
      <c r="IOL285" s="18">
        <v>0</v>
      </c>
      <c r="IOM285" s="18">
        <v>0</v>
      </c>
      <c r="ION285" s="18">
        <v>0</v>
      </c>
      <c r="IOO285" s="18">
        <v>0</v>
      </c>
      <c r="IOP285" s="18">
        <v>0</v>
      </c>
      <c r="IOQ285" s="18">
        <v>0</v>
      </c>
      <c r="IOR285" s="18">
        <v>0</v>
      </c>
      <c r="IOS285" s="18">
        <v>0</v>
      </c>
      <c r="IOT285" s="18">
        <v>0</v>
      </c>
      <c r="IOU285" s="18">
        <v>0</v>
      </c>
      <c r="IOV285" s="18">
        <v>0</v>
      </c>
      <c r="IOW285" s="18">
        <v>0</v>
      </c>
      <c r="IOX285" s="18">
        <v>0</v>
      </c>
      <c r="IOY285" s="18">
        <v>0</v>
      </c>
      <c r="IOZ285" s="18">
        <v>0</v>
      </c>
      <c r="IPA285" s="18">
        <v>0</v>
      </c>
      <c r="IPB285" s="18">
        <v>0</v>
      </c>
      <c r="IPC285" s="18">
        <v>0</v>
      </c>
      <c r="IPD285" s="18">
        <v>0</v>
      </c>
      <c r="IPE285" s="18">
        <v>0</v>
      </c>
      <c r="IPF285" s="18">
        <v>0</v>
      </c>
      <c r="IPG285" s="18">
        <v>0</v>
      </c>
      <c r="IPH285" s="18">
        <v>0</v>
      </c>
      <c r="IPI285" s="18">
        <v>0</v>
      </c>
      <c r="IPJ285" s="18">
        <v>0</v>
      </c>
      <c r="IPK285" s="18">
        <v>0</v>
      </c>
      <c r="IPL285" s="18">
        <v>0</v>
      </c>
      <c r="IPM285" s="18">
        <v>0</v>
      </c>
      <c r="IPN285" s="18">
        <v>0</v>
      </c>
      <c r="IPO285" s="18">
        <v>0</v>
      </c>
      <c r="IPP285" s="18">
        <v>0</v>
      </c>
      <c r="IPQ285" s="18">
        <v>0</v>
      </c>
      <c r="IPR285" s="18">
        <v>0</v>
      </c>
      <c r="IPS285" s="18">
        <v>0</v>
      </c>
      <c r="IPT285" s="18">
        <v>0</v>
      </c>
      <c r="IPU285" s="18">
        <v>0</v>
      </c>
      <c r="IPV285" s="18">
        <v>0</v>
      </c>
      <c r="IPW285" s="18">
        <v>0</v>
      </c>
      <c r="IPX285" s="18">
        <v>0</v>
      </c>
      <c r="IPY285" s="18">
        <v>0</v>
      </c>
      <c r="IPZ285" s="18">
        <v>0</v>
      </c>
      <c r="IQA285" s="18">
        <v>0</v>
      </c>
      <c r="IQB285" s="18">
        <v>0</v>
      </c>
      <c r="IQC285" s="18">
        <v>0</v>
      </c>
      <c r="IQD285" s="18">
        <v>0</v>
      </c>
      <c r="IQE285" s="18">
        <v>0</v>
      </c>
      <c r="IQF285" s="18">
        <v>0</v>
      </c>
      <c r="IQG285" s="18">
        <v>0</v>
      </c>
      <c r="IQH285" s="18">
        <v>0</v>
      </c>
      <c r="IQI285" s="18">
        <v>0</v>
      </c>
      <c r="IQJ285" s="18">
        <v>0</v>
      </c>
      <c r="IQK285" s="18">
        <v>0</v>
      </c>
      <c r="IQL285" s="18">
        <v>0</v>
      </c>
      <c r="IQM285" s="18">
        <v>0</v>
      </c>
      <c r="IQN285" s="18">
        <v>0</v>
      </c>
      <c r="IQO285" s="18">
        <v>0</v>
      </c>
      <c r="IQP285" s="18">
        <v>0</v>
      </c>
      <c r="IQQ285" s="18">
        <v>0</v>
      </c>
      <c r="IQR285" s="18">
        <v>0</v>
      </c>
      <c r="IQS285" s="18">
        <v>0</v>
      </c>
      <c r="IQT285" s="18">
        <v>0</v>
      </c>
      <c r="IQU285" s="18">
        <v>0</v>
      </c>
      <c r="IQV285" s="18">
        <v>0</v>
      </c>
      <c r="IQW285" s="18">
        <v>0</v>
      </c>
      <c r="IQX285" s="18">
        <v>0</v>
      </c>
      <c r="IQY285" s="18">
        <v>0</v>
      </c>
      <c r="IQZ285" s="18">
        <v>0</v>
      </c>
      <c r="IRA285" s="18">
        <v>0</v>
      </c>
      <c r="IRB285" s="18">
        <v>0</v>
      </c>
      <c r="IRC285" s="18">
        <v>0</v>
      </c>
      <c r="IRD285" s="18">
        <v>0</v>
      </c>
      <c r="IRE285" s="18">
        <v>0</v>
      </c>
      <c r="IRF285" s="18">
        <v>0</v>
      </c>
      <c r="IRG285" s="18">
        <v>0</v>
      </c>
      <c r="IRH285" s="18">
        <v>0</v>
      </c>
      <c r="IRI285" s="18">
        <v>0</v>
      </c>
      <c r="IRJ285" s="18">
        <v>0</v>
      </c>
      <c r="IRK285" s="18">
        <v>0</v>
      </c>
      <c r="IRL285" s="18">
        <v>0</v>
      </c>
      <c r="IRM285" s="18">
        <v>0</v>
      </c>
      <c r="IRN285" s="18">
        <v>0</v>
      </c>
      <c r="IRO285" s="18">
        <v>0</v>
      </c>
      <c r="IRP285" s="18">
        <v>0</v>
      </c>
      <c r="IRQ285" s="18">
        <v>0</v>
      </c>
      <c r="IRR285" s="18">
        <v>0</v>
      </c>
      <c r="IRS285" s="18">
        <v>0</v>
      </c>
      <c r="IRT285" s="18">
        <v>0</v>
      </c>
      <c r="IRU285" s="18">
        <v>0</v>
      </c>
      <c r="IRV285" s="18">
        <v>0</v>
      </c>
      <c r="IRW285" s="18">
        <v>0</v>
      </c>
      <c r="IRX285" s="18">
        <v>0</v>
      </c>
      <c r="IRY285" s="18">
        <v>0</v>
      </c>
      <c r="IRZ285" s="18">
        <v>0</v>
      </c>
      <c r="ISA285" s="18">
        <v>0</v>
      </c>
      <c r="ISB285" s="18">
        <v>0</v>
      </c>
      <c r="ISC285" s="18">
        <v>0</v>
      </c>
      <c r="ISD285" s="18">
        <v>0</v>
      </c>
      <c r="ISE285" s="18">
        <v>0</v>
      </c>
      <c r="ISF285" s="18">
        <v>0</v>
      </c>
      <c r="ISG285" s="18">
        <v>0</v>
      </c>
      <c r="ISH285" s="18">
        <v>0</v>
      </c>
      <c r="ISI285" s="18">
        <v>0</v>
      </c>
      <c r="ISJ285" s="18">
        <v>0</v>
      </c>
      <c r="ISK285" s="18">
        <v>0</v>
      </c>
      <c r="ISL285" s="18">
        <v>0</v>
      </c>
      <c r="ISM285" s="18">
        <v>0</v>
      </c>
      <c r="ISN285" s="18">
        <v>0</v>
      </c>
      <c r="ISO285" s="18">
        <v>0</v>
      </c>
      <c r="ISP285" s="18">
        <v>0</v>
      </c>
      <c r="ISQ285" s="18">
        <v>0</v>
      </c>
      <c r="ISR285" s="18">
        <v>0</v>
      </c>
      <c r="ISS285" s="18">
        <v>0</v>
      </c>
      <c r="IST285" s="18">
        <v>0</v>
      </c>
      <c r="ISU285" s="18">
        <v>0</v>
      </c>
      <c r="ISV285" s="18">
        <v>0</v>
      </c>
      <c r="ISW285" s="18">
        <v>0</v>
      </c>
      <c r="ISX285" s="18">
        <v>0</v>
      </c>
      <c r="ISY285" s="18">
        <v>0</v>
      </c>
      <c r="ISZ285" s="18">
        <v>0</v>
      </c>
      <c r="ITA285" s="18">
        <v>0</v>
      </c>
      <c r="ITB285" s="18">
        <v>0</v>
      </c>
      <c r="ITC285" s="18">
        <v>0</v>
      </c>
      <c r="ITD285" s="18">
        <v>0</v>
      </c>
      <c r="ITE285" s="18">
        <v>0</v>
      </c>
      <c r="ITF285" s="18">
        <v>0</v>
      </c>
      <c r="ITG285" s="18">
        <v>0</v>
      </c>
      <c r="ITH285" s="18">
        <v>0</v>
      </c>
      <c r="ITI285" s="18">
        <v>0</v>
      </c>
      <c r="ITJ285" s="18">
        <v>0</v>
      </c>
      <c r="ITK285" s="18">
        <v>0</v>
      </c>
      <c r="ITL285" s="18">
        <v>0</v>
      </c>
      <c r="ITM285" s="18">
        <v>0</v>
      </c>
      <c r="ITN285" s="18">
        <v>0</v>
      </c>
      <c r="ITO285" s="18">
        <v>0</v>
      </c>
      <c r="ITP285" s="18">
        <v>0</v>
      </c>
      <c r="ITQ285" s="18">
        <v>0</v>
      </c>
      <c r="ITR285" s="18">
        <v>0</v>
      </c>
      <c r="ITS285" s="18">
        <v>0</v>
      </c>
      <c r="ITT285" s="18">
        <v>0</v>
      </c>
      <c r="ITU285" s="18">
        <v>0</v>
      </c>
      <c r="ITV285" s="18">
        <v>0</v>
      </c>
      <c r="ITW285" s="18">
        <v>0</v>
      </c>
      <c r="ITX285" s="18">
        <v>0</v>
      </c>
      <c r="ITY285" s="18">
        <v>0</v>
      </c>
      <c r="ITZ285" s="18">
        <v>0</v>
      </c>
      <c r="IUA285" s="18">
        <v>0</v>
      </c>
      <c r="IUB285" s="18">
        <v>0</v>
      </c>
      <c r="IUC285" s="18">
        <v>0</v>
      </c>
      <c r="IUD285" s="18">
        <v>0</v>
      </c>
      <c r="IUE285" s="18">
        <v>0</v>
      </c>
      <c r="IUF285" s="18">
        <v>0</v>
      </c>
      <c r="IUG285" s="18">
        <v>0</v>
      </c>
      <c r="IUH285" s="18">
        <v>0</v>
      </c>
      <c r="IUI285" s="18">
        <v>0</v>
      </c>
      <c r="IUJ285" s="18">
        <v>0</v>
      </c>
      <c r="IUK285" s="18">
        <v>0</v>
      </c>
      <c r="IUL285" s="18">
        <v>0</v>
      </c>
      <c r="IUM285" s="18">
        <v>0</v>
      </c>
      <c r="IUN285" s="18">
        <v>0</v>
      </c>
      <c r="IUO285" s="18">
        <v>0</v>
      </c>
      <c r="IUP285" s="18">
        <v>0</v>
      </c>
      <c r="IUQ285" s="18">
        <v>0</v>
      </c>
      <c r="IUR285" s="18">
        <v>0</v>
      </c>
      <c r="IUS285" s="18">
        <v>0</v>
      </c>
      <c r="IUT285" s="18">
        <v>0</v>
      </c>
      <c r="IUU285" s="18">
        <v>0</v>
      </c>
      <c r="IUV285" s="18">
        <v>0</v>
      </c>
      <c r="IUW285" s="18">
        <v>0</v>
      </c>
      <c r="IUX285" s="18">
        <v>0</v>
      </c>
      <c r="IUY285" s="18">
        <v>0</v>
      </c>
      <c r="IUZ285" s="18">
        <v>0</v>
      </c>
      <c r="IVA285" s="18">
        <v>0</v>
      </c>
      <c r="IVB285" s="18">
        <v>0</v>
      </c>
      <c r="IVC285" s="18">
        <v>0</v>
      </c>
      <c r="IVD285" s="18">
        <v>0</v>
      </c>
      <c r="IVE285" s="18">
        <v>0</v>
      </c>
      <c r="IVF285" s="18">
        <v>0</v>
      </c>
      <c r="IVG285" s="18">
        <v>0</v>
      </c>
      <c r="IVH285" s="18">
        <v>0</v>
      </c>
      <c r="IVI285" s="18">
        <v>0</v>
      </c>
      <c r="IVJ285" s="18">
        <v>0</v>
      </c>
      <c r="IVK285" s="18">
        <v>0</v>
      </c>
      <c r="IVL285" s="18">
        <v>0</v>
      </c>
      <c r="IVM285" s="18">
        <v>0</v>
      </c>
      <c r="IVN285" s="18">
        <v>0</v>
      </c>
      <c r="IVO285" s="18">
        <v>0</v>
      </c>
      <c r="IVP285" s="18">
        <v>0</v>
      </c>
      <c r="IVQ285" s="18">
        <v>0</v>
      </c>
      <c r="IVR285" s="18">
        <v>0</v>
      </c>
      <c r="IVS285" s="18">
        <v>0</v>
      </c>
      <c r="IVT285" s="18">
        <v>0</v>
      </c>
      <c r="IVU285" s="18">
        <v>0</v>
      </c>
      <c r="IVV285" s="18">
        <v>0</v>
      </c>
      <c r="IVW285" s="18">
        <v>0</v>
      </c>
      <c r="IVX285" s="18">
        <v>0</v>
      </c>
      <c r="IVY285" s="18">
        <v>0</v>
      </c>
      <c r="IVZ285" s="18">
        <v>0</v>
      </c>
      <c r="IWA285" s="18">
        <v>0</v>
      </c>
      <c r="IWB285" s="18">
        <v>0</v>
      </c>
      <c r="IWC285" s="18">
        <v>0</v>
      </c>
      <c r="IWD285" s="18">
        <v>0</v>
      </c>
      <c r="IWE285" s="18">
        <v>0</v>
      </c>
      <c r="IWF285" s="18">
        <v>0</v>
      </c>
      <c r="IWG285" s="18">
        <v>0</v>
      </c>
      <c r="IWH285" s="18">
        <v>0</v>
      </c>
      <c r="IWI285" s="18">
        <v>0</v>
      </c>
      <c r="IWJ285" s="18">
        <v>0</v>
      </c>
      <c r="IWK285" s="18">
        <v>0</v>
      </c>
      <c r="IWL285" s="18">
        <v>0</v>
      </c>
      <c r="IWM285" s="18">
        <v>0</v>
      </c>
      <c r="IWN285" s="18">
        <v>0</v>
      </c>
      <c r="IWO285" s="18">
        <v>0</v>
      </c>
      <c r="IWP285" s="18">
        <v>0</v>
      </c>
      <c r="IWQ285" s="18">
        <v>0</v>
      </c>
      <c r="IWR285" s="18">
        <v>0</v>
      </c>
      <c r="IWS285" s="18">
        <v>0</v>
      </c>
      <c r="IWT285" s="18">
        <v>0</v>
      </c>
      <c r="IWU285" s="18">
        <v>0</v>
      </c>
      <c r="IWV285" s="18">
        <v>0</v>
      </c>
      <c r="IWW285" s="18">
        <v>0</v>
      </c>
      <c r="IWX285" s="18">
        <v>0</v>
      </c>
      <c r="IWY285" s="18">
        <v>0</v>
      </c>
      <c r="IWZ285" s="18">
        <v>0</v>
      </c>
      <c r="IXA285" s="18">
        <v>0</v>
      </c>
      <c r="IXB285" s="18">
        <v>0</v>
      </c>
      <c r="IXC285" s="18">
        <v>0</v>
      </c>
      <c r="IXD285" s="18">
        <v>0</v>
      </c>
      <c r="IXE285" s="18">
        <v>0</v>
      </c>
      <c r="IXF285" s="18">
        <v>0</v>
      </c>
      <c r="IXG285" s="18">
        <v>0</v>
      </c>
      <c r="IXH285" s="18">
        <v>0</v>
      </c>
      <c r="IXI285" s="18">
        <v>0</v>
      </c>
      <c r="IXJ285" s="18">
        <v>0</v>
      </c>
      <c r="IXK285" s="18">
        <v>0</v>
      </c>
      <c r="IXL285" s="18">
        <v>0</v>
      </c>
      <c r="IXM285" s="18">
        <v>0</v>
      </c>
      <c r="IXN285" s="18">
        <v>0</v>
      </c>
      <c r="IXO285" s="18">
        <v>0</v>
      </c>
      <c r="IXP285" s="18">
        <v>0</v>
      </c>
      <c r="IXQ285" s="18">
        <v>0</v>
      </c>
      <c r="IXR285" s="18">
        <v>0</v>
      </c>
      <c r="IXS285" s="18">
        <v>0</v>
      </c>
      <c r="IXT285" s="18">
        <v>0</v>
      </c>
      <c r="IXU285" s="18">
        <v>0</v>
      </c>
      <c r="IXV285" s="18">
        <v>0</v>
      </c>
      <c r="IXW285" s="18">
        <v>0</v>
      </c>
      <c r="IXX285" s="18">
        <v>0</v>
      </c>
      <c r="IXY285" s="18">
        <v>0</v>
      </c>
      <c r="IXZ285" s="18">
        <v>0</v>
      </c>
      <c r="IYA285" s="18">
        <v>0</v>
      </c>
      <c r="IYB285" s="18">
        <v>0</v>
      </c>
      <c r="IYC285" s="18">
        <v>0</v>
      </c>
      <c r="IYD285" s="18">
        <v>0</v>
      </c>
      <c r="IYE285" s="18">
        <v>0</v>
      </c>
      <c r="IYF285" s="18">
        <v>0</v>
      </c>
      <c r="IYG285" s="18">
        <v>0</v>
      </c>
      <c r="IYH285" s="18">
        <v>0</v>
      </c>
      <c r="IYI285" s="18">
        <v>0</v>
      </c>
      <c r="IYJ285" s="18">
        <v>0</v>
      </c>
      <c r="IYK285" s="18">
        <v>0</v>
      </c>
      <c r="IYL285" s="18">
        <v>0</v>
      </c>
      <c r="IYM285" s="18">
        <v>0</v>
      </c>
      <c r="IYN285" s="18">
        <v>0</v>
      </c>
      <c r="IYO285" s="18">
        <v>0</v>
      </c>
      <c r="IYP285" s="18">
        <v>0</v>
      </c>
      <c r="IYQ285" s="18">
        <v>0</v>
      </c>
      <c r="IYR285" s="18">
        <v>0</v>
      </c>
      <c r="IYS285" s="18">
        <v>0</v>
      </c>
      <c r="IYT285" s="18">
        <v>0</v>
      </c>
      <c r="IYU285" s="18">
        <v>0</v>
      </c>
      <c r="IYV285" s="18">
        <v>0</v>
      </c>
      <c r="IYW285" s="18">
        <v>0</v>
      </c>
      <c r="IYX285" s="18">
        <v>0</v>
      </c>
      <c r="IYY285" s="18">
        <v>0</v>
      </c>
      <c r="IYZ285" s="18">
        <v>0</v>
      </c>
      <c r="IZA285" s="18">
        <v>0</v>
      </c>
      <c r="IZB285" s="18">
        <v>0</v>
      </c>
      <c r="IZC285" s="18">
        <v>0</v>
      </c>
      <c r="IZD285" s="18">
        <v>0</v>
      </c>
      <c r="IZE285" s="18">
        <v>0</v>
      </c>
      <c r="IZF285" s="18">
        <v>0</v>
      </c>
      <c r="IZG285" s="18">
        <v>0</v>
      </c>
      <c r="IZH285" s="18">
        <v>0</v>
      </c>
      <c r="IZI285" s="18">
        <v>0</v>
      </c>
      <c r="IZJ285" s="18">
        <v>0</v>
      </c>
      <c r="IZK285" s="18">
        <v>0</v>
      </c>
      <c r="IZL285" s="18">
        <v>0</v>
      </c>
      <c r="IZM285" s="18">
        <v>0</v>
      </c>
      <c r="IZN285" s="18">
        <v>0</v>
      </c>
      <c r="IZO285" s="18">
        <v>0</v>
      </c>
      <c r="IZP285" s="18">
        <v>0</v>
      </c>
      <c r="IZQ285" s="18">
        <v>0</v>
      </c>
      <c r="IZR285" s="18">
        <v>0</v>
      </c>
      <c r="IZS285" s="18">
        <v>0</v>
      </c>
      <c r="IZT285" s="18">
        <v>0</v>
      </c>
      <c r="IZU285" s="18">
        <v>0</v>
      </c>
      <c r="IZV285" s="18">
        <v>0</v>
      </c>
      <c r="IZW285" s="18">
        <v>0</v>
      </c>
      <c r="IZX285" s="18">
        <v>0</v>
      </c>
      <c r="IZY285" s="18">
        <v>0</v>
      </c>
      <c r="IZZ285" s="18">
        <v>0</v>
      </c>
      <c r="JAA285" s="18">
        <v>0</v>
      </c>
      <c r="JAB285" s="18">
        <v>0</v>
      </c>
      <c r="JAC285" s="18">
        <v>0</v>
      </c>
      <c r="JAD285" s="18">
        <v>0</v>
      </c>
      <c r="JAE285" s="18">
        <v>0</v>
      </c>
      <c r="JAF285" s="18">
        <v>0</v>
      </c>
      <c r="JAG285" s="18">
        <v>0</v>
      </c>
      <c r="JAH285" s="18">
        <v>0</v>
      </c>
      <c r="JAI285" s="18">
        <v>0</v>
      </c>
      <c r="JAJ285" s="18">
        <v>0</v>
      </c>
      <c r="JAK285" s="18">
        <v>0</v>
      </c>
      <c r="JAL285" s="18">
        <v>0</v>
      </c>
      <c r="JAM285" s="18">
        <v>0</v>
      </c>
      <c r="JAN285" s="18">
        <v>0</v>
      </c>
      <c r="JAO285" s="18">
        <v>0</v>
      </c>
      <c r="JAP285" s="18">
        <v>0</v>
      </c>
      <c r="JAQ285" s="18">
        <v>0</v>
      </c>
      <c r="JAR285" s="18">
        <v>0</v>
      </c>
      <c r="JAS285" s="18">
        <v>0</v>
      </c>
      <c r="JAT285" s="18">
        <v>0</v>
      </c>
      <c r="JAU285" s="18">
        <v>0</v>
      </c>
      <c r="JAV285" s="18">
        <v>0</v>
      </c>
      <c r="JAW285" s="18">
        <v>0</v>
      </c>
      <c r="JAX285" s="18">
        <v>0</v>
      </c>
      <c r="JAY285" s="18">
        <v>0</v>
      </c>
      <c r="JAZ285" s="18">
        <v>0</v>
      </c>
      <c r="JBA285" s="18">
        <v>0</v>
      </c>
      <c r="JBB285" s="18">
        <v>0</v>
      </c>
      <c r="JBC285" s="18">
        <v>0</v>
      </c>
      <c r="JBD285" s="18">
        <v>0</v>
      </c>
      <c r="JBE285" s="18">
        <v>0</v>
      </c>
      <c r="JBF285" s="18">
        <v>0</v>
      </c>
      <c r="JBG285" s="18">
        <v>0</v>
      </c>
      <c r="JBH285" s="18">
        <v>0</v>
      </c>
      <c r="JBI285" s="18">
        <v>0</v>
      </c>
      <c r="JBJ285" s="18">
        <v>0</v>
      </c>
      <c r="JBK285" s="18">
        <v>0</v>
      </c>
      <c r="JBL285" s="18">
        <v>0</v>
      </c>
      <c r="JBM285" s="18">
        <v>0</v>
      </c>
      <c r="JBN285" s="18">
        <v>0</v>
      </c>
      <c r="JBO285" s="18">
        <v>0</v>
      </c>
      <c r="JBP285" s="18">
        <v>0</v>
      </c>
      <c r="JBQ285" s="18">
        <v>0</v>
      </c>
      <c r="JBR285" s="18">
        <v>0</v>
      </c>
      <c r="JBS285" s="18">
        <v>0</v>
      </c>
      <c r="JBT285" s="18">
        <v>0</v>
      </c>
      <c r="JBU285" s="18">
        <v>0</v>
      </c>
      <c r="JBV285" s="18">
        <v>0</v>
      </c>
      <c r="JBW285" s="18">
        <v>0</v>
      </c>
      <c r="JBX285" s="18">
        <v>0</v>
      </c>
      <c r="JBY285" s="18">
        <v>0</v>
      </c>
      <c r="JBZ285" s="18">
        <v>0</v>
      </c>
      <c r="JCA285" s="18">
        <v>0</v>
      </c>
      <c r="JCB285" s="18">
        <v>0</v>
      </c>
      <c r="JCC285" s="18">
        <v>0</v>
      </c>
      <c r="JCD285" s="18">
        <v>0</v>
      </c>
      <c r="JCE285" s="18">
        <v>0</v>
      </c>
      <c r="JCF285" s="18">
        <v>0</v>
      </c>
      <c r="JCG285" s="18">
        <v>0</v>
      </c>
      <c r="JCH285" s="18">
        <v>0</v>
      </c>
      <c r="JCI285" s="18">
        <v>0</v>
      </c>
      <c r="JCJ285" s="18">
        <v>0</v>
      </c>
      <c r="JCK285" s="18">
        <v>0</v>
      </c>
      <c r="JCL285" s="18">
        <v>0</v>
      </c>
      <c r="JCM285" s="18">
        <v>0</v>
      </c>
      <c r="JCN285" s="18">
        <v>0</v>
      </c>
      <c r="JCO285" s="18">
        <v>0</v>
      </c>
      <c r="JCP285" s="18">
        <v>0</v>
      </c>
      <c r="JCQ285" s="18">
        <v>0</v>
      </c>
      <c r="JCR285" s="18">
        <v>0</v>
      </c>
      <c r="JCS285" s="18">
        <v>0</v>
      </c>
      <c r="JCT285" s="18">
        <v>0</v>
      </c>
      <c r="JCU285" s="18">
        <v>0</v>
      </c>
      <c r="JCV285" s="18">
        <v>0</v>
      </c>
      <c r="JCW285" s="18">
        <v>0</v>
      </c>
      <c r="JCX285" s="18">
        <v>0</v>
      </c>
      <c r="JCY285" s="18">
        <v>0</v>
      </c>
      <c r="JCZ285" s="18">
        <v>0</v>
      </c>
      <c r="JDA285" s="18">
        <v>0</v>
      </c>
      <c r="JDB285" s="18">
        <v>0</v>
      </c>
      <c r="JDC285" s="18">
        <v>0</v>
      </c>
      <c r="JDD285" s="18">
        <v>0</v>
      </c>
      <c r="JDE285" s="18">
        <v>0</v>
      </c>
      <c r="JDF285" s="18">
        <v>0</v>
      </c>
      <c r="JDG285" s="18">
        <v>0</v>
      </c>
      <c r="JDH285" s="18">
        <v>0</v>
      </c>
      <c r="JDI285" s="18">
        <v>0</v>
      </c>
      <c r="JDJ285" s="18">
        <v>0</v>
      </c>
      <c r="JDK285" s="18">
        <v>0</v>
      </c>
      <c r="JDL285" s="18">
        <v>0</v>
      </c>
      <c r="JDM285" s="18">
        <v>0</v>
      </c>
      <c r="JDN285" s="18">
        <v>0</v>
      </c>
      <c r="JDO285" s="18">
        <v>0</v>
      </c>
      <c r="JDP285" s="18">
        <v>0</v>
      </c>
      <c r="JDQ285" s="18">
        <v>0</v>
      </c>
      <c r="JDR285" s="18">
        <v>0</v>
      </c>
      <c r="JDS285" s="18">
        <v>0</v>
      </c>
      <c r="JDT285" s="18">
        <v>0</v>
      </c>
      <c r="JDU285" s="18">
        <v>0</v>
      </c>
      <c r="JDV285" s="18">
        <v>0</v>
      </c>
      <c r="JDW285" s="18">
        <v>0</v>
      </c>
      <c r="JDX285" s="18">
        <v>0</v>
      </c>
      <c r="JDY285" s="18">
        <v>0</v>
      </c>
      <c r="JDZ285" s="18">
        <v>0</v>
      </c>
      <c r="JEA285" s="18">
        <v>0</v>
      </c>
      <c r="JEB285" s="18">
        <v>0</v>
      </c>
      <c r="JEC285" s="18">
        <v>0</v>
      </c>
      <c r="JED285" s="18">
        <v>0</v>
      </c>
      <c r="JEE285" s="18">
        <v>0</v>
      </c>
      <c r="JEF285" s="18">
        <v>0</v>
      </c>
      <c r="JEG285" s="18">
        <v>0</v>
      </c>
      <c r="JEH285" s="18">
        <v>0</v>
      </c>
      <c r="JEI285" s="18">
        <v>0</v>
      </c>
      <c r="JEJ285" s="18">
        <v>0</v>
      </c>
      <c r="JEK285" s="18">
        <v>0</v>
      </c>
      <c r="JEL285" s="18">
        <v>0</v>
      </c>
      <c r="JEM285" s="18">
        <v>0</v>
      </c>
      <c r="JEN285" s="18">
        <v>0</v>
      </c>
      <c r="JEO285" s="18">
        <v>0</v>
      </c>
      <c r="JEP285" s="18">
        <v>0</v>
      </c>
      <c r="JEQ285" s="18">
        <v>0</v>
      </c>
      <c r="JER285" s="18">
        <v>0</v>
      </c>
      <c r="JES285" s="18">
        <v>0</v>
      </c>
      <c r="JET285" s="18">
        <v>0</v>
      </c>
      <c r="JEU285" s="18">
        <v>0</v>
      </c>
      <c r="JEV285" s="18">
        <v>0</v>
      </c>
      <c r="JEW285" s="18">
        <v>0</v>
      </c>
      <c r="JEX285" s="18">
        <v>0</v>
      </c>
      <c r="JEY285" s="18">
        <v>0</v>
      </c>
      <c r="JEZ285" s="18">
        <v>0</v>
      </c>
      <c r="JFA285" s="18">
        <v>0</v>
      </c>
      <c r="JFB285" s="18">
        <v>0</v>
      </c>
      <c r="JFC285" s="18">
        <v>0</v>
      </c>
      <c r="JFD285" s="18">
        <v>0</v>
      </c>
      <c r="JFE285" s="18">
        <v>0</v>
      </c>
      <c r="JFF285" s="18">
        <v>0</v>
      </c>
      <c r="JFG285" s="18">
        <v>0</v>
      </c>
      <c r="JFH285" s="18">
        <v>0</v>
      </c>
      <c r="JFI285" s="18">
        <v>0</v>
      </c>
      <c r="JFJ285" s="18">
        <v>0</v>
      </c>
      <c r="JFK285" s="18">
        <v>0</v>
      </c>
      <c r="JFL285" s="18">
        <v>0</v>
      </c>
      <c r="JFM285" s="18">
        <v>0</v>
      </c>
      <c r="JFN285" s="18">
        <v>0</v>
      </c>
      <c r="JFO285" s="18">
        <v>0</v>
      </c>
      <c r="JFP285" s="18">
        <v>0</v>
      </c>
      <c r="JFQ285" s="18">
        <v>0</v>
      </c>
      <c r="JFR285" s="18">
        <v>0</v>
      </c>
      <c r="JFS285" s="18">
        <v>0</v>
      </c>
      <c r="JFT285" s="18">
        <v>0</v>
      </c>
      <c r="JFU285" s="18">
        <v>0</v>
      </c>
      <c r="JFV285" s="18">
        <v>0</v>
      </c>
      <c r="JFW285" s="18">
        <v>0</v>
      </c>
      <c r="JFX285" s="18">
        <v>0</v>
      </c>
      <c r="JFY285" s="18">
        <v>0</v>
      </c>
      <c r="JFZ285" s="18">
        <v>0</v>
      </c>
      <c r="JGA285" s="18">
        <v>0</v>
      </c>
      <c r="JGB285" s="18">
        <v>0</v>
      </c>
      <c r="JGC285" s="18">
        <v>0</v>
      </c>
      <c r="JGD285" s="18">
        <v>0</v>
      </c>
      <c r="JGE285" s="18">
        <v>0</v>
      </c>
      <c r="JGF285" s="18">
        <v>0</v>
      </c>
      <c r="JGG285" s="18">
        <v>0</v>
      </c>
      <c r="JGH285" s="18">
        <v>0</v>
      </c>
      <c r="JGI285" s="18">
        <v>0</v>
      </c>
      <c r="JGJ285" s="18">
        <v>0</v>
      </c>
      <c r="JGK285" s="18">
        <v>0</v>
      </c>
      <c r="JGL285" s="18">
        <v>0</v>
      </c>
      <c r="JGM285" s="18">
        <v>0</v>
      </c>
      <c r="JGN285" s="18">
        <v>0</v>
      </c>
      <c r="JGO285" s="18">
        <v>0</v>
      </c>
      <c r="JGP285" s="18">
        <v>0</v>
      </c>
      <c r="JGQ285" s="18">
        <v>0</v>
      </c>
      <c r="JGR285" s="18">
        <v>0</v>
      </c>
      <c r="JGS285" s="18">
        <v>0</v>
      </c>
      <c r="JGT285" s="18">
        <v>0</v>
      </c>
      <c r="JGU285" s="18">
        <v>0</v>
      </c>
      <c r="JGV285" s="18">
        <v>0</v>
      </c>
      <c r="JGW285" s="18">
        <v>0</v>
      </c>
      <c r="JGX285" s="18">
        <v>0</v>
      </c>
      <c r="JGY285" s="18">
        <v>0</v>
      </c>
      <c r="JGZ285" s="18">
        <v>0</v>
      </c>
      <c r="JHA285" s="18">
        <v>0</v>
      </c>
      <c r="JHB285" s="18">
        <v>0</v>
      </c>
      <c r="JHC285" s="18">
        <v>0</v>
      </c>
      <c r="JHD285" s="18">
        <v>0</v>
      </c>
      <c r="JHE285" s="18">
        <v>0</v>
      </c>
      <c r="JHF285" s="18">
        <v>0</v>
      </c>
      <c r="JHG285" s="18">
        <v>0</v>
      </c>
      <c r="JHH285" s="18">
        <v>0</v>
      </c>
      <c r="JHI285" s="18">
        <v>0</v>
      </c>
      <c r="JHJ285" s="18">
        <v>0</v>
      </c>
      <c r="JHK285" s="18">
        <v>0</v>
      </c>
      <c r="JHL285" s="18">
        <v>0</v>
      </c>
      <c r="JHM285" s="18">
        <v>0</v>
      </c>
      <c r="JHN285" s="18">
        <v>0</v>
      </c>
      <c r="JHO285" s="18">
        <v>0</v>
      </c>
      <c r="JHP285" s="18">
        <v>0</v>
      </c>
      <c r="JHQ285" s="18">
        <v>0</v>
      </c>
      <c r="JHR285" s="18">
        <v>0</v>
      </c>
      <c r="JHS285" s="18">
        <v>0</v>
      </c>
      <c r="JHT285" s="18">
        <v>0</v>
      </c>
      <c r="JHU285" s="18">
        <v>0</v>
      </c>
      <c r="JHV285" s="18">
        <v>0</v>
      </c>
      <c r="JHW285" s="18">
        <v>0</v>
      </c>
      <c r="JHX285" s="18">
        <v>0</v>
      </c>
      <c r="JHY285" s="18">
        <v>0</v>
      </c>
      <c r="JHZ285" s="18">
        <v>0</v>
      </c>
      <c r="JIA285" s="18">
        <v>0</v>
      </c>
      <c r="JIB285" s="18">
        <v>0</v>
      </c>
      <c r="JIC285" s="18">
        <v>0</v>
      </c>
      <c r="JID285" s="18">
        <v>0</v>
      </c>
      <c r="JIE285" s="18">
        <v>0</v>
      </c>
      <c r="JIF285" s="18">
        <v>0</v>
      </c>
      <c r="JIG285" s="18">
        <v>0</v>
      </c>
      <c r="JIH285" s="18">
        <v>0</v>
      </c>
      <c r="JII285" s="18">
        <v>0</v>
      </c>
      <c r="JIJ285" s="18">
        <v>0</v>
      </c>
      <c r="JIK285" s="18">
        <v>0</v>
      </c>
      <c r="JIL285" s="18">
        <v>0</v>
      </c>
      <c r="JIM285" s="18">
        <v>0</v>
      </c>
      <c r="JIN285" s="18">
        <v>0</v>
      </c>
      <c r="JIO285" s="18">
        <v>0</v>
      </c>
      <c r="JIP285" s="18">
        <v>0</v>
      </c>
      <c r="JIQ285" s="18">
        <v>0</v>
      </c>
      <c r="JIR285" s="18">
        <v>0</v>
      </c>
      <c r="JIS285" s="18">
        <v>0</v>
      </c>
      <c r="JIT285" s="18">
        <v>0</v>
      </c>
      <c r="JIU285" s="18">
        <v>0</v>
      </c>
      <c r="JIV285" s="18">
        <v>0</v>
      </c>
      <c r="JIW285" s="18">
        <v>0</v>
      </c>
      <c r="JIX285" s="18">
        <v>0</v>
      </c>
      <c r="JIY285" s="18">
        <v>0</v>
      </c>
      <c r="JIZ285" s="18">
        <v>0</v>
      </c>
      <c r="JJA285" s="18">
        <v>0</v>
      </c>
      <c r="JJB285" s="18">
        <v>0</v>
      </c>
      <c r="JJC285" s="18">
        <v>0</v>
      </c>
      <c r="JJD285" s="18">
        <v>0</v>
      </c>
      <c r="JJE285" s="18">
        <v>0</v>
      </c>
      <c r="JJF285" s="18">
        <v>0</v>
      </c>
      <c r="JJG285" s="18">
        <v>0</v>
      </c>
      <c r="JJH285" s="18">
        <v>0</v>
      </c>
      <c r="JJI285" s="18">
        <v>0</v>
      </c>
      <c r="JJJ285" s="18">
        <v>0</v>
      </c>
      <c r="JJK285" s="18">
        <v>0</v>
      </c>
      <c r="JJL285" s="18">
        <v>0</v>
      </c>
      <c r="JJM285" s="18">
        <v>0</v>
      </c>
      <c r="JJN285" s="18">
        <v>0</v>
      </c>
      <c r="JJO285" s="18">
        <v>0</v>
      </c>
      <c r="JJP285" s="18">
        <v>0</v>
      </c>
      <c r="JJQ285" s="18">
        <v>0</v>
      </c>
      <c r="JJR285" s="18">
        <v>0</v>
      </c>
      <c r="JJS285" s="18">
        <v>0</v>
      </c>
      <c r="JJT285" s="18">
        <v>0</v>
      </c>
      <c r="JJU285" s="18">
        <v>0</v>
      </c>
      <c r="JJV285" s="18">
        <v>0</v>
      </c>
      <c r="JJW285" s="18">
        <v>0</v>
      </c>
      <c r="JJX285" s="18">
        <v>0</v>
      </c>
      <c r="JJY285" s="18">
        <v>0</v>
      </c>
      <c r="JJZ285" s="18">
        <v>0</v>
      </c>
      <c r="JKA285" s="18">
        <v>0</v>
      </c>
      <c r="JKB285" s="18">
        <v>0</v>
      </c>
      <c r="JKC285" s="18">
        <v>0</v>
      </c>
      <c r="JKD285" s="18">
        <v>0</v>
      </c>
      <c r="JKE285" s="18">
        <v>0</v>
      </c>
      <c r="JKF285" s="18">
        <v>0</v>
      </c>
      <c r="JKG285" s="18">
        <v>0</v>
      </c>
      <c r="JKH285" s="18">
        <v>0</v>
      </c>
      <c r="JKI285" s="18">
        <v>0</v>
      </c>
      <c r="JKJ285" s="18">
        <v>0</v>
      </c>
      <c r="JKK285" s="18">
        <v>0</v>
      </c>
      <c r="JKL285" s="18">
        <v>0</v>
      </c>
      <c r="JKM285" s="18">
        <v>0</v>
      </c>
      <c r="JKN285" s="18">
        <v>0</v>
      </c>
      <c r="JKO285" s="18">
        <v>0</v>
      </c>
      <c r="JKP285" s="18">
        <v>0</v>
      </c>
      <c r="JKQ285" s="18">
        <v>0</v>
      </c>
      <c r="JKR285" s="18">
        <v>0</v>
      </c>
      <c r="JKS285" s="18">
        <v>0</v>
      </c>
      <c r="JKT285" s="18">
        <v>0</v>
      </c>
      <c r="JKU285" s="18">
        <v>0</v>
      </c>
      <c r="JKV285" s="18">
        <v>0</v>
      </c>
      <c r="JKW285" s="18">
        <v>0</v>
      </c>
      <c r="JKX285" s="18">
        <v>0</v>
      </c>
      <c r="JKY285" s="18">
        <v>0</v>
      </c>
      <c r="JKZ285" s="18">
        <v>0</v>
      </c>
      <c r="JLA285" s="18">
        <v>0</v>
      </c>
      <c r="JLB285" s="18">
        <v>0</v>
      </c>
      <c r="JLC285" s="18">
        <v>0</v>
      </c>
      <c r="JLD285" s="18">
        <v>0</v>
      </c>
      <c r="JLE285" s="18">
        <v>0</v>
      </c>
      <c r="JLF285" s="18">
        <v>0</v>
      </c>
      <c r="JLG285" s="18">
        <v>0</v>
      </c>
      <c r="JLH285" s="18">
        <v>0</v>
      </c>
      <c r="JLI285" s="18">
        <v>0</v>
      </c>
      <c r="JLJ285" s="18">
        <v>0</v>
      </c>
      <c r="JLK285" s="18">
        <v>0</v>
      </c>
      <c r="JLL285" s="18">
        <v>0</v>
      </c>
      <c r="JLM285" s="18">
        <v>0</v>
      </c>
      <c r="JLN285" s="18">
        <v>0</v>
      </c>
      <c r="JLO285" s="18">
        <v>0</v>
      </c>
      <c r="JLP285" s="18">
        <v>0</v>
      </c>
      <c r="JLQ285" s="18">
        <v>0</v>
      </c>
      <c r="JLR285" s="18">
        <v>0</v>
      </c>
      <c r="JLS285" s="18">
        <v>0</v>
      </c>
      <c r="JLT285" s="18">
        <v>0</v>
      </c>
      <c r="JLU285" s="18">
        <v>0</v>
      </c>
      <c r="JLV285" s="18">
        <v>0</v>
      </c>
      <c r="JLW285" s="18">
        <v>0</v>
      </c>
      <c r="JLX285" s="18">
        <v>0</v>
      </c>
      <c r="JLY285" s="18">
        <v>0</v>
      </c>
      <c r="JLZ285" s="18">
        <v>0</v>
      </c>
      <c r="JMA285" s="18">
        <v>0</v>
      </c>
      <c r="JMB285" s="18">
        <v>0</v>
      </c>
      <c r="JMC285" s="18">
        <v>0</v>
      </c>
      <c r="JMD285" s="18">
        <v>0</v>
      </c>
      <c r="JME285" s="18">
        <v>0</v>
      </c>
      <c r="JMF285" s="18">
        <v>0</v>
      </c>
      <c r="JMG285" s="18">
        <v>0</v>
      </c>
      <c r="JMH285" s="18">
        <v>0</v>
      </c>
      <c r="JMI285" s="18">
        <v>0</v>
      </c>
      <c r="JMJ285" s="18">
        <v>0</v>
      </c>
      <c r="JMK285" s="18">
        <v>0</v>
      </c>
      <c r="JML285" s="18">
        <v>0</v>
      </c>
      <c r="JMM285" s="18">
        <v>0</v>
      </c>
      <c r="JMN285" s="18">
        <v>0</v>
      </c>
      <c r="JMO285" s="18">
        <v>0</v>
      </c>
      <c r="JMP285" s="18">
        <v>0</v>
      </c>
      <c r="JMQ285" s="18">
        <v>0</v>
      </c>
      <c r="JMR285" s="18">
        <v>0</v>
      </c>
      <c r="JMS285" s="18">
        <v>0</v>
      </c>
      <c r="JMT285" s="18">
        <v>0</v>
      </c>
      <c r="JMU285" s="18">
        <v>0</v>
      </c>
      <c r="JMV285" s="18">
        <v>0</v>
      </c>
      <c r="JMW285" s="18">
        <v>0</v>
      </c>
      <c r="JMX285" s="18">
        <v>0</v>
      </c>
      <c r="JMY285" s="18">
        <v>0</v>
      </c>
      <c r="JMZ285" s="18">
        <v>0</v>
      </c>
      <c r="JNA285" s="18">
        <v>0</v>
      </c>
      <c r="JNB285" s="18">
        <v>0</v>
      </c>
      <c r="JNC285" s="18">
        <v>0</v>
      </c>
      <c r="JND285" s="18">
        <v>0</v>
      </c>
      <c r="JNE285" s="18">
        <v>0</v>
      </c>
      <c r="JNF285" s="18">
        <v>0</v>
      </c>
      <c r="JNG285" s="18">
        <v>0</v>
      </c>
      <c r="JNH285" s="18">
        <v>0</v>
      </c>
      <c r="JNI285" s="18">
        <v>0</v>
      </c>
      <c r="JNJ285" s="18">
        <v>0</v>
      </c>
      <c r="JNK285" s="18">
        <v>0</v>
      </c>
      <c r="JNL285" s="18">
        <v>0</v>
      </c>
      <c r="JNM285" s="18">
        <v>0</v>
      </c>
      <c r="JNN285" s="18">
        <v>0</v>
      </c>
      <c r="JNO285" s="18">
        <v>0</v>
      </c>
      <c r="JNP285" s="18">
        <v>0</v>
      </c>
      <c r="JNQ285" s="18">
        <v>0</v>
      </c>
      <c r="JNR285" s="18">
        <v>0</v>
      </c>
      <c r="JNS285" s="18">
        <v>0</v>
      </c>
      <c r="JNT285" s="18">
        <v>0</v>
      </c>
      <c r="JNU285" s="18">
        <v>0</v>
      </c>
      <c r="JNV285" s="18">
        <v>0</v>
      </c>
      <c r="JNW285" s="18">
        <v>0</v>
      </c>
      <c r="JNX285" s="18">
        <v>0</v>
      </c>
      <c r="JNY285" s="18">
        <v>0</v>
      </c>
      <c r="JNZ285" s="18">
        <v>0</v>
      </c>
      <c r="JOA285" s="18">
        <v>0</v>
      </c>
      <c r="JOB285" s="18">
        <v>0</v>
      </c>
      <c r="JOC285" s="18">
        <v>0</v>
      </c>
      <c r="JOD285" s="18">
        <v>0</v>
      </c>
      <c r="JOE285" s="18">
        <v>0</v>
      </c>
      <c r="JOF285" s="18">
        <v>0</v>
      </c>
      <c r="JOG285" s="18">
        <v>0</v>
      </c>
      <c r="JOH285" s="18">
        <v>0</v>
      </c>
      <c r="JOI285" s="18">
        <v>0</v>
      </c>
      <c r="JOJ285" s="18">
        <v>0</v>
      </c>
      <c r="JOK285" s="18">
        <v>0</v>
      </c>
      <c r="JOL285" s="18">
        <v>0</v>
      </c>
      <c r="JOM285" s="18">
        <v>0</v>
      </c>
      <c r="JON285" s="18">
        <v>0</v>
      </c>
      <c r="JOO285" s="18">
        <v>0</v>
      </c>
      <c r="JOP285" s="18">
        <v>0</v>
      </c>
      <c r="JOQ285" s="18">
        <v>0</v>
      </c>
      <c r="JOR285" s="18">
        <v>0</v>
      </c>
      <c r="JOS285" s="18">
        <v>0</v>
      </c>
      <c r="JOT285" s="18">
        <v>0</v>
      </c>
      <c r="JOU285" s="18">
        <v>0</v>
      </c>
      <c r="JOV285" s="18">
        <v>0</v>
      </c>
      <c r="JOW285" s="18">
        <v>0</v>
      </c>
      <c r="JOX285" s="18">
        <v>0</v>
      </c>
      <c r="JOY285" s="18">
        <v>0</v>
      </c>
      <c r="JOZ285" s="18">
        <v>0</v>
      </c>
      <c r="JPA285" s="18">
        <v>0</v>
      </c>
      <c r="JPB285" s="18">
        <v>0</v>
      </c>
      <c r="JPC285" s="18">
        <v>0</v>
      </c>
      <c r="JPD285" s="18">
        <v>0</v>
      </c>
      <c r="JPE285" s="18">
        <v>0</v>
      </c>
      <c r="JPF285" s="18">
        <v>0</v>
      </c>
      <c r="JPG285" s="18">
        <v>0</v>
      </c>
      <c r="JPH285" s="18">
        <v>0</v>
      </c>
      <c r="JPI285" s="18">
        <v>0</v>
      </c>
      <c r="JPJ285" s="18">
        <v>0</v>
      </c>
      <c r="JPK285" s="18">
        <v>0</v>
      </c>
      <c r="JPL285" s="18">
        <v>0</v>
      </c>
      <c r="JPM285" s="18">
        <v>0</v>
      </c>
      <c r="JPN285" s="18">
        <v>0</v>
      </c>
      <c r="JPO285" s="18">
        <v>0</v>
      </c>
      <c r="JPP285" s="18">
        <v>0</v>
      </c>
      <c r="JPQ285" s="18">
        <v>0</v>
      </c>
      <c r="JPR285" s="18">
        <v>0</v>
      </c>
      <c r="JPS285" s="18">
        <v>0</v>
      </c>
      <c r="JPT285" s="18">
        <v>0</v>
      </c>
      <c r="JPU285" s="18">
        <v>0</v>
      </c>
      <c r="JPV285" s="18">
        <v>0</v>
      </c>
      <c r="JPW285" s="18">
        <v>0</v>
      </c>
      <c r="JPX285" s="18">
        <v>0</v>
      </c>
      <c r="JPY285" s="18">
        <v>0</v>
      </c>
      <c r="JPZ285" s="18">
        <v>0</v>
      </c>
      <c r="JQA285" s="18">
        <v>0</v>
      </c>
      <c r="JQB285" s="18">
        <v>0</v>
      </c>
      <c r="JQC285" s="18">
        <v>0</v>
      </c>
      <c r="JQD285" s="18">
        <v>0</v>
      </c>
      <c r="JQE285" s="18">
        <v>0</v>
      </c>
      <c r="JQF285" s="18">
        <v>0</v>
      </c>
      <c r="JQG285" s="18">
        <v>0</v>
      </c>
      <c r="JQH285" s="18">
        <v>0</v>
      </c>
      <c r="JQI285" s="18">
        <v>0</v>
      </c>
      <c r="JQJ285" s="18">
        <v>0</v>
      </c>
      <c r="JQK285" s="18">
        <v>0</v>
      </c>
      <c r="JQL285" s="18">
        <v>0</v>
      </c>
      <c r="JQM285" s="18">
        <v>0</v>
      </c>
      <c r="JQN285" s="18">
        <v>0</v>
      </c>
      <c r="JQO285" s="18">
        <v>0</v>
      </c>
      <c r="JQP285" s="18">
        <v>0</v>
      </c>
      <c r="JQQ285" s="18">
        <v>0</v>
      </c>
      <c r="JQR285" s="18">
        <v>0</v>
      </c>
      <c r="JQS285" s="18">
        <v>0</v>
      </c>
      <c r="JQT285" s="18">
        <v>0</v>
      </c>
      <c r="JQU285" s="18">
        <v>0</v>
      </c>
      <c r="JQV285" s="18">
        <v>0</v>
      </c>
      <c r="JQW285" s="18">
        <v>0</v>
      </c>
      <c r="JQX285" s="18">
        <v>0</v>
      </c>
      <c r="JQY285" s="18">
        <v>0</v>
      </c>
      <c r="JQZ285" s="18">
        <v>0</v>
      </c>
      <c r="JRA285" s="18">
        <v>0</v>
      </c>
      <c r="JRB285" s="18">
        <v>0</v>
      </c>
      <c r="JRC285" s="18">
        <v>0</v>
      </c>
      <c r="JRD285" s="18">
        <v>0</v>
      </c>
      <c r="JRE285" s="18">
        <v>0</v>
      </c>
      <c r="JRF285" s="18">
        <v>0</v>
      </c>
      <c r="JRG285" s="18">
        <v>0</v>
      </c>
      <c r="JRH285" s="18">
        <v>0</v>
      </c>
      <c r="JRI285" s="18">
        <v>0</v>
      </c>
      <c r="JRJ285" s="18">
        <v>0</v>
      </c>
      <c r="JRK285" s="18">
        <v>0</v>
      </c>
      <c r="JRL285" s="18">
        <v>0</v>
      </c>
      <c r="JRM285" s="18">
        <v>0</v>
      </c>
      <c r="JRN285" s="18">
        <v>0</v>
      </c>
      <c r="JRO285" s="18">
        <v>0</v>
      </c>
      <c r="JRP285" s="18">
        <v>0</v>
      </c>
      <c r="JRQ285" s="18">
        <v>0</v>
      </c>
      <c r="JRR285" s="18">
        <v>0</v>
      </c>
      <c r="JRS285" s="18">
        <v>0</v>
      </c>
      <c r="JRT285" s="18">
        <v>0</v>
      </c>
      <c r="JRU285" s="18">
        <v>0</v>
      </c>
      <c r="JRV285" s="18">
        <v>0</v>
      </c>
      <c r="JRW285" s="18">
        <v>0</v>
      </c>
      <c r="JRX285" s="18">
        <v>0</v>
      </c>
      <c r="JRY285" s="18">
        <v>0</v>
      </c>
      <c r="JRZ285" s="18">
        <v>0</v>
      </c>
      <c r="JSA285" s="18">
        <v>0</v>
      </c>
      <c r="JSB285" s="18">
        <v>0</v>
      </c>
      <c r="JSC285" s="18">
        <v>0</v>
      </c>
      <c r="JSD285" s="18">
        <v>0</v>
      </c>
      <c r="JSE285" s="18">
        <v>0</v>
      </c>
      <c r="JSF285" s="18">
        <v>0</v>
      </c>
      <c r="JSG285" s="18">
        <v>0</v>
      </c>
      <c r="JSH285" s="18">
        <v>0</v>
      </c>
      <c r="JSI285" s="18">
        <v>0</v>
      </c>
      <c r="JSJ285" s="18">
        <v>0</v>
      </c>
      <c r="JSK285" s="18">
        <v>0</v>
      </c>
      <c r="JSL285" s="18">
        <v>0</v>
      </c>
      <c r="JSM285" s="18">
        <v>0</v>
      </c>
      <c r="JSN285" s="18">
        <v>0</v>
      </c>
      <c r="JSO285" s="18">
        <v>0</v>
      </c>
      <c r="JSP285" s="18">
        <v>0</v>
      </c>
      <c r="JSQ285" s="18">
        <v>0</v>
      </c>
      <c r="JSR285" s="18">
        <v>0</v>
      </c>
      <c r="JSS285" s="18">
        <v>0</v>
      </c>
      <c r="JST285" s="18">
        <v>0</v>
      </c>
      <c r="JSU285" s="18">
        <v>0</v>
      </c>
      <c r="JSV285" s="18">
        <v>0</v>
      </c>
      <c r="JSW285" s="18">
        <v>0</v>
      </c>
      <c r="JSX285" s="18">
        <v>0</v>
      </c>
      <c r="JSY285" s="18">
        <v>0</v>
      </c>
      <c r="JSZ285" s="18">
        <v>0</v>
      </c>
      <c r="JTA285" s="18">
        <v>0</v>
      </c>
      <c r="JTB285" s="18">
        <v>0</v>
      </c>
      <c r="JTC285" s="18">
        <v>0</v>
      </c>
      <c r="JTD285" s="18">
        <v>0</v>
      </c>
      <c r="JTE285" s="18">
        <v>0</v>
      </c>
      <c r="JTF285" s="18">
        <v>0</v>
      </c>
      <c r="JTG285" s="18">
        <v>0</v>
      </c>
      <c r="JTH285" s="18">
        <v>0</v>
      </c>
      <c r="JTI285" s="18">
        <v>0</v>
      </c>
      <c r="JTJ285" s="18">
        <v>0</v>
      </c>
      <c r="JTK285" s="18">
        <v>0</v>
      </c>
      <c r="JTL285" s="18">
        <v>0</v>
      </c>
      <c r="JTM285" s="18">
        <v>0</v>
      </c>
      <c r="JTN285" s="18">
        <v>0</v>
      </c>
      <c r="JTO285" s="18">
        <v>0</v>
      </c>
      <c r="JTP285" s="18">
        <v>0</v>
      </c>
      <c r="JTQ285" s="18">
        <v>0</v>
      </c>
      <c r="JTR285" s="18">
        <v>0</v>
      </c>
      <c r="JTS285" s="18">
        <v>0</v>
      </c>
      <c r="JTT285" s="18">
        <v>0</v>
      </c>
      <c r="JTU285" s="18">
        <v>0</v>
      </c>
      <c r="JTV285" s="18">
        <v>0</v>
      </c>
      <c r="JTW285" s="18">
        <v>0</v>
      </c>
      <c r="JTX285" s="18">
        <v>0</v>
      </c>
      <c r="JTY285" s="18">
        <v>0</v>
      </c>
      <c r="JTZ285" s="18">
        <v>0</v>
      </c>
      <c r="JUA285" s="18">
        <v>0</v>
      </c>
      <c r="JUB285" s="18">
        <v>0</v>
      </c>
      <c r="JUC285" s="18">
        <v>0</v>
      </c>
      <c r="JUD285" s="18">
        <v>0</v>
      </c>
      <c r="JUE285" s="18">
        <v>0</v>
      </c>
      <c r="JUF285" s="18">
        <v>0</v>
      </c>
      <c r="JUG285" s="18">
        <v>0</v>
      </c>
      <c r="JUH285" s="18">
        <v>0</v>
      </c>
      <c r="JUI285" s="18">
        <v>0</v>
      </c>
      <c r="JUJ285" s="18">
        <v>0</v>
      </c>
      <c r="JUK285" s="18">
        <v>0</v>
      </c>
      <c r="JUL285" s="18">
        <v>0</v>
      </c>
      <c r="JUM285" s="18">
        <v>0</v>
      </c>
      <c r="JUN285" s="18">
        <v>0</v>
      </c>
      <c r="JUO285" s="18">
        <v>0</v>
      </c>
      <c r="JUP285" s="18">
        <v>0</v>
      </c>
      <c r="JUQ285" s="18">
        <v>0</v>
      </c>
      <c r="JUR285" s="18">
        <v>0</v>
      </c>
      <c r="JUS285" s="18">
        <v>0</v>
      </c>
      <c r="JUT285" s="18">
        <v>0</v>
      </c>
      <c r="JUU285" s="18">
        <v>0</v>
      </c>
      <c r="JUV285" s="18">
        <v>0</v>
      </c>
      <c r="JUW285" s="18">
        <v>0</v>
      </c>
      <c r="JUX285" s="18">
        <v>0</v>
      </c>
      <c r="JUY285" s="18">
        <v>0</v>
      </c>
      <c r="JUZ285" s="18">
        <v>0</v>
      </c>
      <c r="JVA285" s="18">
        <v>0</v>
      </c>
      <c r="JVB285" s="18">
        <v>0</v>
      </c>
      <c r="JVC285" s="18">
        <v>0</v>
      </c>
      <c r="JVD285" s="18">
        <v>0</v>
      </c>
      <c r="JVE285" s="18">
        <v>0</v>
      </c>
      <c r="JVF285" s="18">
        <v>0</v>
      </c>
      <c r="JVG285" s="18">
        <v>0</v>
      </c>
      <c r="JVH285" s="18">
        <v>0</v>
      </c>
      <c r="JVI285" s="18">
        <v>0</v>
      </c>
      <c r="JVJ285" s="18">
        <v>0</v>
      </c>
      <c r="JVK285" s="18">
        <v>0</v>
      </c>
      <c r="JVL285" s="18">
        <v>0</v>
      </c>
      <c r="JVM285" s="18">
        <v>0</v>
      </c>
      <c r="JVN285" s="18">
        <v>0</v>
      </c>
      <c r="JVO285" s="18">
        <v>0</v>
      </c>
      <c r="JVP285" s="18">
        <v>0</v>
      </c>
      <c r="JVQ285" s="18">
        <v>0</v>
      </c>
      <c r="JVR285" s="18">
        <v>0</v>
      </c>
      <c r="JVS285" s="18">
        <v>0</v>
      </c>
      <c r="JVT285" s="18">
        <v>0</v>
      </c>
      <c r="JVU285" s="18">
        <v>0</v>
      </c>
      <c r="JVV285" s="18">
        <v>0</v>
      </c>
      <c r="JVW285" s="18">
        <v>0</v>
      </c>
      <c r="JVX285" s="18">
        <v>0</v>
      </c>
      <c r="JVY285" s="18">
        <v>0</v>
      </c>
      <c r="JVZ285" s="18">
        <v>0</v>
      </c>
      <c r="JWA285" s="18">
        <v>0</v>
      </c>
      <c r="JWB285" s="18">
        <v>0</v>
      </c>
      <c r="JWC285" s="18">
        <v>0</v>
      </c>
      <c r="JWD285" s="18">
        <v>0</v>
      </c>
      <c r="JWE285" s="18">
        <v>0</v>
      </c>
      <c r="JWF285" s="18">
        <v>0</v>
      </c>
      <c r="JWG285" s="18">
        <v>0</v>
      </c>
      <c r="JWH285" s="18">
        <v>0</v>
      </c>
      <c r="JWI285" s="18">
        <v>0</v>
      </c>
      <c r="JWJ285" s="18">
        <v>0</v>
      </c>
      <c r="JWK285" s="18">
        <v>0</v>
      </c>
      <c r="JWL285" s="18">
        <v>0</v>
      </c>
      <c r="JWM285" s="18">
        <v>0</v>
      </c>
      <c r="JWN285" s="18">
        <v>0</v>
      </c>
      <c r="JWO285" s="18">
        <v>0</v>
      </c>
      <c r="JWP285" s="18">
        <v>0</v>
      </c>
      <c r="JWQ285" s="18">
        <v>0</v>
      </c>
      <c r="JWR285" s="18">
        <v>0</v>
      </c>
      <c r="JWS285" s="18">
        <v>0</v>
      </c>
      <c r="JWT285" s="18">
        <v>0</v>
      </c>
      <c r="JWU285" s="18">
        <v>0</v>
      </c>
      <c r="JWV285" s="18">
        <v>0</v>
      </c>
      <c r="JWW285" s="18">
        <v>0</v>
      </c>
      <c r="JWX285" s="18">
        <v>0</v>
      </c>
      <c r="JWY285" s="18">
        <v>0</v>
      </c>
      <c r="JWZ285" s="18">
        <v>0</v>
      </c>
      <c r="JXA285" s="18">
        <v>0</v>
      </c>
      <c r="JXB285" s="18">
        <v>0</v>
      </c>
      <c r="JXC285" s="18">
        <v>0</v>
      </c>
      <c r="JXD285" s="18">
        <v>0</v>
      </c>
      <c r="JXE285" s="18">
        <v>0</v>
      </c>
      <c r="JXF285" s="18">
        <v>0</v>
      </c>
      <c r="JXG285" s="18">
        <v>0</v>
      </c>
      <c r="JXH285" s="18">
        <v>0</v>
      </c>
      <c r="JXI285" s="18">
        <v>0</v>
      </c>
      <c r="JXJ285" s="18">
        <v>0</v>
      </c>
      <c r="JXK285" s="18">
        <v>0</v>
      </c>
      <c r="JXL285" s="18">
        <v>0</v>
      </c>
      <c r="JXM285" s="18">
        <v>0</v>
      </c>
      <c r="JXN285" s="18">
        <v>0</v>
      </c>
      <c r="JXO285" s="18">
        <v>0</v>
      </c>
      <c r="JXP285" s="18">
        <v>0</v>
      </c>
      <c r="JXQ285" s="18">
        <v>0</v>
      </c>
      <c r="JXR285" s="18">
        <v>0</v>
      </c>
      <c r="JXS285" s="18">
        <v>0</v>
      </c>
      <c r="JXT285" s="18">
        <v>0</v>
      </c>
      <c r="JXU285" s="18">
        <v>0</v>
      </c>
      <c r="JXV285" s="18">
        <v>0</v>
      </c>
      <c r="JXW285" s="18">
        <v>0</v>
      </c>
      <c r="JXX285" s="18">
        <v>0</v>
      </c>
      <c r="JXY285" s="18">
        <v>0</v>
      </c>
      <c r="JXZ285" s="18">
        <v>0</v>
      </c>
      <c r="JYA285" s="18">
        <v>0</v>
      </c>
      <c r="JYB285" s="18">
        <v>0</v>
      </c>
      <c r="JYC285" s="18">
        <v>0</v>
      </c>
      <c r="JYD285" s="18">
        <v>0</v>
      </c>
      <c r="JYE285" s="18">
        <v>0</v>
      </c>
      <c r="JYF285" s="18">
        <v>0</v>
      </c>
      <c r="JYG285" s="18">
        <v>0</v>
      </c>
      <c r="JYH285" s="18">
        <v>0</v>
      </c>
      <c r="JYI285" s="18">
        <v>0</v>
      </c>
      <c r="JYJ285" s="18">
        <v>0</v>
      </c>
      <c r="JYK285" s="18">
        <v>0</v>
      </c>
      <c r="JYL285" s="18">
        <v>0</v>
      </c>
      <c r="JYM285" s="18">
        <v>0</v>
      </c>
      <c r="JYN285" s="18">
        <v>0</v>
      </c>
      <c r="JYO285" s="18">
        <v>0</v>
      </c>
      <c r="JYP285" s="18">
        <v>0</v>
      </c>
      <c r="JYQ285" s="18">
        <v>0</v>
      </c>
      <c r="JYR285" s="18">
        <v>0</v>
      </c>
      <c r="JYS285" s="18">
        <v>0</v>
      </c>
      <c r="JYT285" s="18">
        <v>0</v>
      </c>
      <c r="JYU285" s="18">
        <v>0</v>
      </c>
      <c r="JYV285" s="18">
        <v>0</v>
      </c>
      <c r="JYW285" s="18">
        <v>0</v>
      </c>
      <c r="JYX285" s="18">
        <v>0</v>
      </c>
      <c r="JYY285" s="18">
        <v>0</v>
      </c>
      <c r="JYZ285" s="18">
        <v>0</v>
      </c>
      <c r="JZA285" s="18">
        <v>0</v>
      </c>
      <c r="JZB285" s="18">
        <v>0</v>
      </c>
      <c r="JZC285" s="18">
        <v>0</v>
      </c>
      <c r="JZD285" s="18">
        <v>0</v>
      </c>
      <c r="JZE285" s="18">
        <v>0</v>
      </c>
      <c r="JZF285" s="18">
        <v>0</v>
      </c>
      <c r="JZG285" s="18">
        <v>0</v>
      </c>
      <c r="JZH285" s="18">
        <v>0</v>
      </c>
      <c r="JZI285" s="18">
        <v>0</v>
      </c>
      <c r="JZJ285" s="18">
        <v>0</v>
      </c>
      <c r="JZK285" s="18">
        <v>0</v>
      </c>
      <c r="JZL285" s="18">
        <v>0</v>
      </c>
      <c r="JZM285" s="18">
        <v>0</v>
      </c>
      <c r="JZN285" s="18">
        <v>0</v>
      </c>
      <c r="JZO285" s="18">
        <v>0</v>
      </c>
      <c r="JZP285" s="18">
        <v>0</v>
      </c>
      <c r="JZQ285" s="18">
        <v>0</v>
      </c>
      <c r="JZR285" s="18">
        <v>0</v>
      </c>
      <c r="JZS285" s="18">
        <v>0</v>
      </c>
      <c r="JZT285" s="18">
        <v>0</v>
      </c>
      <c r="JZU285" s="18">
        <v>0</v>
      </c>
      <c r="JZV285" s="18">
        <v>0</v>
      </c>
      <c r="JZW285" s="18">
        <v>0</v>
      </c>
      <c r="JZX285" s="18">
        <v>0</v>
      </c>
      <c r="JZY285" s="18">
        <v>0</v>
      </c>
      <c r="JZZ285" s="18">
        <v>0</v>
      </c>
      <c r="KAA285" s="18">
        <v>0</v>
      </c>
      <c r="KAB285" s="18">
        <v>0</v>
      </c>
      <c r="KAC285" s="18">
        <v>0</v>
      </c>
      <c r="KAD285" s="18">
        <v>0</v>
      </c>
      <c r="KAE285" s="18">
        <v>0</v>
      </c>
      <c r="KAF285" s="18">
        <v>0</v>
      </c>
      <c r="KAG285" s="18">
        <v>0</v>
      </c>
      <c r="KAH285" s="18">
        <v>0</v>
      </c>
      <c r="KAI285" s="18">
        <v>0</v>
      </c>
      <c r="KAJ285" s="18">
        <v>0</v>
      </c>
      <c r="KAK285" s="18">
        <v>0</v>
      </c>
      <c r="KAL285" s="18">
        <v>0</v>
      </c>
      <c r="KAM285" s="18">
        <v>0</v>
      </c>
      <c r="KAN285" s="18">
        <v>0</v>
      </c>
      <c r="KAO285" s="18">
        <v>0</v>
      </c>
      <c r="KAP285" s="18">
        <v>0</v>
      </c>
      <c r="KAQ285" s="18">
        <v>0</v>
      </c>
      <c r="KAR285" s="18">
        <v>0</v>
      </c>
      <c r="KAS285" s="18">
        <v>0</v>
      </c>
      <c r="KAT285" s="18">
        <v>0</v>
      </c>
      <c r="KAU285" s="18">
        <v>0</v>
      </c>
      <c r="KAV285" s="18">
        <v>0</v>
      </c>
      <c r="KAW285" s="18">
        <v>0</v>
      </c>
      <c r="KAX285" s="18">
        <v>0</v>
      </c>
      <c r="KAY285" s="18">
        <v>0</v>
      </c>
      <c r="KAZ285" s="18">
        <v>0</v>
      </c>
      <c r="KBA285" s="18">
        <v>0</v>
      </c>
      <c r="KBB285" s="18">
        <v>0</v>
      </c>
      <c r="KBC285" s="18">
        <v>0</v>
      </c>
      <c r="KBD285" s="18">
        <v>0</v>
      </c>
      <c r="KBE285" s="18">
        <v>0</v>
      </c>
      <c r="KBF285" s="18">
        <v>0</v>
      </c>
      <c r="KBG285" s="18">
        <v>0</v>
      </c>
      <c r="KBH285" s="18">
        <v>0</v>
      </c>
      <c r="KBI285" s="18">
        <v>0</v>
      </c>
      <c r="KBJ285" s="18">
        <v>0</v>
      </c>
      <c r="KBK285" s="18">
        <v>0</v>
      </c>
      <c r="KBL285" s="18">
        <v>0</v>
      </c>
      <c r="KBM285" s="18">
        <v>0</v>
      </c>
      <c r="KBN285" s="18">
        <v>0</v>
      </c>
      <c r="KBO285" s="18">
        <v>0</v>
      </c>
      <c r="KBP285" s="18">
        <v>0</v>
      </c>
      <c r="KBQ285" s="18">
        <v>0</v>
      </c>
      <c r="KBR285" s="18">
        <v>0</v>
      </c>
      <c r="KBS285" s="18">
        <v>0</v>
      </c>
      <c r="KBT285" s="18">
        <v>0</v>
      </c>
      <c r="KBU285" s="18">
        <v>0</v>
      </c>
      <c r="KBV285" s="18">
        <v>0</v>
      </c>
      <c r="KBW285" s="18">
        <v>0</v>
      </c>
      <c r="KBX285" s="18">
        <v>0</v>
      </c>
      <c r="KBY285" s="18">
        <v>0</v>
      </c>
      <c r="KBZ285" s="18">
        <v>0</v>
      </c>
      <c r="KCA285" s="18">
        <v>0</v>
      </c>
      <c r="KCB285" s="18">
        <v>0</v>
      </c>
      <c r="KCC285" s="18">
        <v>0</v>
      </c>
      <c r="KCD285" s="18">
        <v>0</v>
      </c>
      <c r="KCE285" s="18">
        <v>0</v>
      </c>
      <c r="KCF285" s="18">
        <v>0</v>
      </c>
      <c r="KCG285" s="18">
        <v>0</v>
      </c>
      <c r="KCH285" s="18">
        <v>0</v>
      </c>
      <c r="KCI285" s="18">
        <v>0</v>
      </c>
      <c r="KCJ285" s="18">
        <v>0</v>
      </c>
      <c r="KCK285" s="18">
        <v>0</v>
      </c>
      <c r="KCL285" s="18">
        <v>0</v>
      </c>
      <c r="KCM285" s="18">
        <v>0</v>
      </c>
      <c r="KCN285" s="18">
        <v>0</v>
      </c>
      <c r="KCO285" s="18">
        <v>0</v>
      </c>
      <c r="KCP285" s="18">
        <v>0</v>
      </c>
      <c r="KCQ285" s="18">
        <v>0</v>
      </c>
      <c r="KCR285" s="18">
        <v>0</v>
      </c>
      <c r="KCS285" s="18">
        <v>0</v>
      </c>
      <c r="KCT285" s="18">
        <v>0</v>
      </c>
      <c r="KCU285" s="18">
        <v>0</v>
      </c>
      <c r="KCV285" s="18">
        <v>0</v>
      </c>
      <c r="KCW285" s="18">
        <v>0</v>
      </c>
      <c r="KCX285" s="18">
        <v>0</v>
      </c>
      <c r="KCY285" s="18">
        <v>0</v>
      </c>
      <c r="KCZ285" s="18">
        <v>0</v>
      </c>
      <c r="KDA285" s="18">
        <v>0</v>
      </c>
      <c r="KDB285" s="18">
        <v>0</v>
      </c>
      <c r="KDC285" s="18">
        <v>0</v>
      </c>
      <c r="KDD285" s="18">
        <v>0</v>
      </c>
      <c r="KDE285" s="18">
        <v>0</v>
      </c>
      <c r="KDF285" s="18">
        <v>0</v>
      </c>
      <c r="KDG285" s="18">
        <v>0</v>
      </c>
      <c r="KDH285" s="18">
        <v>0</v>
      </c>
      <c r="KDI285" s="18">
        <v>0</v>
      </c>
      <c r="KDJ285" s="18">
        <v>0</v>
      </c>
      <c r="KDK285" s="18">
        <v>0</v>
      </c>
      <c r="KDL285" s="18">
        <v>0</v>
      </c>
      <c r="KDM285" s="18">
        <v>0</v>
      </c>
      <c r="KDN285" s="18">
        <v>0</v>
      </c>
      <c r="KDO285" s="18">
        <v>0</v>
      </c>
      <c r="KDP285" s="18">
        <v>0</v>
      </c>
      <c r="KDQ285" s="18">
        <v>0</v>
      </c>
      <c r="KDR285" s="18">
        <v>0</v>
      </c>
      <c r="KDS285" s="18">
        <v>0</v>
      </c>
      <c r="KDT285" s="18">
        <v>0</v>
      </c>
      <c r="KDU285" s="18">
        <v>0</v>
      </c>
      <c r="KDV285" s="18">
        <v>0</v>
      </c>
      <c r="KDW285" s="18">
        <v>0</v>
      </c>
      <c r="KDX285" s="18">
        <v>0</v>
      </c>
      <c r="KDY285" s="18">
        <v>0</v>
      </c>
      <c r="KDZ285" s="18">
        <v>0</v>
      </c>
      <c r="KEA285" s="18">
        <v>0</v>
      </c>
      <c r="KEB285" s="18">
        <v>0</v>
      </c>
      <c r="KEC285" s="18">
        <v>0</v>
      </c>
      <c r="KED285" s="18">
        <v>0</v>
      </c>
      <c r="KEE285" s="18">
        <v>0</v>
      </c>
      <c r="KEF285" s="18">
        <v>0</v>
      </c>
      <c r="KEG285" s="18">
        <v>0</v>
      </c>
      <c r="KEH285" s="18">
        <v>0</v>
      </c>
      <c r="KEI285" s="18">
        <v>0</v>
      </c>
      <c r="KEJ285" s="18">
        <v>0</v>
      </c>
      <c r="KEK285" s="18">
        <v>0</v>
      </c>
      <c r="KEL285" s="18">
        <v>0</v>
      </c>
      <c r="KEM285" s="18">
        <v>0</v>
      </c>
      <c r="KEN285" s="18">
        <v>0</v>
      </c>
      <c r="KEO285" s="18">
        <v>0</v>
      </c>
      <c r="KEP285" s="18">
        <v>0</v>
      </c>
      <c r="KEQ285" s="18">
        <v>0</v>
      </c>
      <c r="KER285" s="18">
        <v>0</v>
      </c>
      <c r="KES285" s="18">
        <v>0</v>
      </c>
      <c r="KET285" s="18">
        <v>0</v>
      </c>
      <c r="KEU285" s="18">
        <v>0</v>
      </c>
      <c r="KEV285" s="18">
        <v>0</v>
      </c>
      <c r="KEW285" s="18">
        <v>0</v>
      </c>
      <c r="KEX285" s="18">
        <v>0</v>
      </c>
      <c r="KEY285" s="18">
        <v>0</v>
      </c>
      <c r="KEZ285" s="18">
        <v>0</v>
      </c>
      <c r="KFA285" s="18">
        <v>0</v>
      </c>
      <c r="KFB285" s="18">
        <v>0</v>
      </c>
      <c r="KFC285" s="18">
        <v>0</v>
      </c>
      <c r="KFD285" s="18">
        <v>0</v>
      </c>
      <c r="KFE285" s="18">
        <v>0</v>
      </c>
      <c r="KFF285" s="18">
        <v>0</v>
      </c>
      <c r="KFG285" s="18">
        <v>0</v>
      </c>
      <c r="KFH285" s="18">
        <v>0</v>
      </c>
      <c r="KFI285" s="18">
        <v>0</v>
      </c>
      <c r="KFJ285" s="18">
        <v>0</v>
      </c>
      <c r="KFK285" s="18">
        <v>0</v>
      </c>
      <c r="KFL285" s="18">
        <v>0</v>
      </c>
      <c r="KFM285" s="18">
        <v>0</v>
      </c>
      <c r="KFN285" s="18">
        <v>0</v>
      </c>
      <c r="KFO285" s="18">
        <v>0</v>
      </c>
      <c r="KFP285" s="18">
        <v>0</v>
      </c>
      <c r="KFQ285" s="18">
        <v>0</v>
      </c>
      <c r="KFR285" s="18">
        <v>0</v>
      </c>
      <c r="KFS285" s="18">
        <v>0</v>
      </c>
      <c r="KFT285" s="18">
        <v>0</v>
      </c>
      <c r="KFU285" s="18">
        <v>0</v>
      </c>
      <c r="KFV285" s="18">
        <v>0</v>
      </c>
      <c r="KFW285" s="18">
        <v>0</v>
      </c>
      <c r="KFX285" s="18">
        <v>0</v>
      </c>
      <c r="KFY285" s="18">
        <v>0</v>
      </c>
      <c r="KFZ285" s="18">
        <v>0</v>
      </c>
      <c r="KGA285" s="18">
        <v>0</v>
      </c>
      <c r="KGB285" s="18">
        <v>0</v>
      </c>
      <c r="KGC285" s="18">
        <v>0</v>
      </c>
      <c r="KGD285" s="18">
        <v>0</v>
      </c>
      <c r="KGE285" s="18">
        <v>0</v>
      </c>
      <c r="KGF285" s="18">
        <v>0</v>
      </c>
      <c r="KGG285" s="18">
        <v>0</v>
      </c>
      <c r="KGH285" s="18">
        <v>0</v>
      </c>
      <c r="KGI285" s="18">
        <v>0</v>
      </c>
      <c r="KGJ285" s="18">
        <v>0</v>
      </c>
      <c r="KGK285" s="18">
        <v>0</v>
      </c>
      <c r="KGL285" s="18">
        <v>0</v>
      </c>
      <c r="KGM285" s="18">
        <v>0</v>
      </c>
      <c r="KGN285" s="18">
        <v>0</v>
      </c>
      <c r="KGO285" s="18">
        <v>0</v>
      </c>
      <c r="KGP285" s="18">
        <v>0</v>
      </c>
      <c r="KGQ285" s="18">
        <v>0</v>
      </c>
      <c r="KGR285" s="18">
        <v>0</v>
      </c>
      <c r="KGS285" s="18">
        <v>0</v>
      </c>
      <c r="KGT285" s="18">
        <v>0</v>
      </c>
      <c r="KGU285" s="18">
        <v>0</v>
      </c>
      <c r="KGV285" s="18">
        <v>0</v>
      </c>
      <c r="KGW285" s="18">
        <v>0</v>
      </c>
      <c r="KGX285" s="18">
        <v>0</v>
      </c>
      <c r="KGY285" s="18">
        <v>0</v>
      </c>
      <c r="KGZ285" s="18">
        <v>0</v>
      </c>
      <c r="KHA285" s="18">
        <v>0</v>
      </c>
      <c r="KHB285" s="18">
        <v>0</v>
      </c>
      <c r="KHC285" s="18">
        <v>0</v>
      </c>
      <c r="KHD285" s="18">
        <v>0</v>
      </c>
      <c r="KHE285" s="18">
        <v>0</v>
      </c>
      <c r="KHF285" s="18">
        <v>0</v>
      </c>
      <c r="KHG285" s="18">
        <v>0</v>
      </c>
      <c r="KHH285" s="18">
        <v>0</v>
      </c>
      <c r="KHI285" s="18">
        <v>0</v>
      </c>
      <c r="KHJ285" s="18">
        <v>0</v>
      </c>
      <c r="KHK285" s="18">
        <v>0</v>
      </c>
      <c r="KHL285" s="18">
        <v>0</v>
      </c>
      <c r="KHM285" s="18">
        <v>0</v>
      </c>
      <c r="KHN285" s="18">
        <v>0</v>
      </c>
      <c r="KHO285" s="18">
        <v>0</v>
      </c>
      <c r="KHP285" s="18">
        <v>0</v>
      </c>
      <c r="KHQ285" s="18">
        <v>0</v>
      </c>
      <c r="KHR285" s="18">
        <v>0</v>
      </c>
      <c r="KHS285" s="18">
        <v>0</v>
      </c>
      <c r="KHT285" s="18">
        <v>0</v>
      </c>
      <c r="KHU285" s="18">
        <v>0</v>
      </c>
      <c r="KHV285" s="18">
        <v>0</v>
      </c>
      <c r="KHW285" s="18">
        <v>0</v>
      </c>
      <c r="KHX285" s="18">
        <v>0</v>
      </c>
      <c r="KHY285" s="18">
        <v>0</v>
      </c>
      <c r="KHZ285" s="18">
        <v>0</v>
      </c>
      <c r="KIA285" s="18">
        <v>0</v>
      </c>
      <c r="KIB285" s="18">
        <v>0</v>
      </c>
      <c r="KIC285" s="18">
        <v>0</v>
      </c>
      <c r="KID285" s="18">
        <v>0</v>
      </c>
      <c r="KIE285" s="18">
        <v>0</v>
      </c>
      <c r="KIF285" s="18">
        <v>0</v>
      </c>
      <c r="KIG285" s="18">
        <v>0</v>
      </c>
      <c r="KIH285" s="18">
        <v>0</v>
      </c>
      <c r="KII285" s="18">
        <v>0</v>
      </c>
      <c r="KIJ285" s="18">
        <v>0</v>
      </c>
      <c r="KIK285" s="18">
        <v>0</v>
      </c>
      <c r="KIL285" s="18">
        <v>0</v>
      </c>
      <c r="KIM285" s="18">
        <v>0</v>
      </c>
      <c r="KIN285" s="18">
        <v>0</v>
      </c>
      <c r="KIO285" s="18">
        <v>0</v>
      </c>
      <c r="KIP285" s="18">
        <v>0</v>
      </c>
      <c r="KIQ285" s="18">
        <v>0</v>
      </c>
      <c r="KIR285" s="18">
        <v>0</v>
      </c>
      <c r="KIS285" s="18">
        <v>0</v>
      </c>
      <c r="KIT285" s="18">
        <v>0</v>
      </c>
      <c r="KIU285" s="18">
        <v>0</v>
      </c>
      <c r="KIV285" s="18">
        <v>0</v>
      </c>
      <c r="KIW285" s="18">
        <v>0</v>
      </c>
      <c r="KIX285" s="18">
        <v>0</v>
      </c>
      <c r="KIY285" s="18">
        <v>0</v>
      </c>
      <c r="KIZ285" s="18">
        <v>0</v>
      </c>
      <c r="KJA285" s="18">
        <v>0</v>
      </c>
      <c r="KJB285" s="18">
        <v>0</v>
      </c>
      <c r="KJC285" s="18">
        <v>0</v>
      </c>
      <c r="KJD285" s="18">
        <v>0</v>
      </c>
      <c r="KJE285" s="18">
        <v>0</v>
      </c>
      <c r="KJF285" s="18">
        <v>0</v>
      </c>
      <c r="KJG285" s="18">
        <v>0</v>
      </c>
      <c r="KJH285" s="18">
        <v>0</v>
      </c>
      <c r="KJI285" s="18">
        <v>0</v>
      </c>
      <c r="KJJ285" s="18">
        <v>0</v>
      </c>
      <c r="KJK285" s="18">
        <v>0</v>
      </c>
      <c r="KJL285" s="18">
        <v>0</v>
      </c>
      <c r="KJM285" s="18">
        <v>0</v>
      </c>
      <c r="KJN285" s="18">
        <v>0</v>
      </c>
      <c r="KJO285" s="18">
        <v>0</v>
      </c>
      <c r="KJP285" s="18">
        <v>0</v>
      </c>
      <c r="KJQ285" s="18">
        <v>0</v>
      </c>
      <c r="KJR285" s="18">
        <v>0</v>
      </c>
      <c r="KJS285" s="18">
        <v>0</v>
      </c>
      <c r="KJT285" s="18">
        <v>0</v>
      </c>
      <c r="KJU285" s="18">
        <v>0</v>
      </c>
      <c r="KJV285" s="18">
        <v>0</v>
      </c>
      <c r="KJW285" s="18">
        <v>0</v>
      </c>
      <c r="KJX285" s="18">
        <v>0</v>
      </c>
      <c r="KJY285" s="18">
        <v>0</v>
      </c>
      <c r="KJZ285" s="18">
        <v>0</v>
      </c>
      <c r="KKA285" s="18">
        <v>0</v>
      </c>
      <c r="KKB285" s="18">
        <v>0</v>
      </c>
      <c r="KKC285" s="18">
        <v>0</v>
      </c>
      <c r="KKD285" s="18">
        <v>0</v>
      </c>
      <c r="KKE285" s="18">
        <v>0</v>
      </c>
      <c r="KKF285" s="18">
        <v>0</v>
      </c>
      <c r="KKG285" s="18">
        <v>0</v>
      </c>
      <c r="KKH285" s="18">
        <v>0</v>
      </c>
      <c r="KKI285" s="18">
        <v>0</v>
      </c>
      <c r="KKJ285" s="18">
        <v>0</v>
      </c>
      <c r="KKK285" s="18">
        <v>0</v>
      </c>
      <c r="KKL285" s="18">
        <v>0</v>
      </c>
      <c r="KKM285" s="18">
        <v>0</v>
      </c>
      <c r="KKN285" s="18">
        <v>0</v>
      </c>
      <c r="KKO285" s="18">
        <v>0</v>
      </c>
      <c r="KKP285" s="18">
        <v>0</v>
      </c>
      <c r="KKQ285" s="18">
        <v>0</v>
      </c>
      <c r="KKR285" s="18">
        <v>0</v>
      </c>
      <c r="KKS285" s="18">
        <v>0</v>
      </c>
      <c r="KKT285" s="18">
        <v>0</v>
      </c>
      <c r="KKU285" s="18">
        <v>0</v>
      </c>
      <c r="KKV285" s="18">
        <v>0</v>
      </c>
      <c r="KKW285" s="18">
        <v>0</v>
      </c>
      <c r="KKX285" s="18">
        <v>0</v>
      </c>
      <c r="KKY285" s="18">
        <v>0</v>
      </c>
      <c r="KKZ285" s="18">
        <v>0</v>
      </c>
      <c r="KLA285" s="18">
        <v>0</v>
      </c>
      <c r="KLB285" s="18">
        <v>0</v>
      </c>
      <c r="KLC285" s="18">
        <v>0</v>
      </c>
      <c r="KLD285" s="18">
        <v>0</v>
      </c>
      <c r="KLE285" s="18">
        <v>0</v>
      </c>
      <c r="KLF285" s="18">
        <v>0</v>
      </c>
      <c r="KLG285" s="18">
        <v>0</v>
      </c>
      <c r="KLH285" s="18">
        <v>0</v>
      </c>
      <c r="KLI285" s="18">
        <v>0</v>
      </c>
      <c r="KLJ285" s="18">
        <v>0</v>
      </c>
      <c r="KLK285" s="18">
        <v>0</v>
      </c>
      <c r="KLL285" s="18">
        <v>0</v>
      </c>
      <c r="KLM285" s="18">
        <v>0</v>
      </c>
      <c r="KLN285" s="18">
        <v>0</v>
      </c>
      <c r="KLO285" s="18">
        <v>0</v>
      </c>
      <c r="KLP285" s="18">
        <v>0</v>
      </c>
      <c r="KLQ285" s="18">
        <v>0</v>
      </c>
      <c r="KLR285" s="18">
        <v>0</v>
      </c>
      <c r="KLS285" s="18">
        <v>0</v>
      </c>
      <c r="KLT285" s="18">
        <v>0</v>
      </c>
      <c r="KLU285" s="18">
        <v>0</v>
      </c>
      <c r="KLV285" s="18">
        <v>0</v>
      </c>
      <c r="KLW285" s="18">
        <v>0</v>
      </c>
      <c r="KLX285" s="18">
        <v>0</v>
      </c>
      <c r="KLY285" s="18">
        <v>0</v>
      </c>
      <c r="KLZ285" s="18">
        <v>0</v>
      </c>
      <c r="KMA285" s="18">
        <v>0</v>
      </c>
      <c r="KMB285" s="18">
        <v>0</v>
      </c>
      <c r="KMC285" s="18">
        <v>0</v>
      </c>
      <c r="KMD285" s="18">
        <v>0</v>
      </c>
      <c r="KME285" s="18">
        <v>0</v>
      </c>
      <c r="KMF285" s="18">
        <v>0</v>
      </c>
      <c r="KMG285" s="18">
        <v>0</v>
      </c>
      <c r="KMH285" s="18">
        <v>0</v>
      </c>
      <c r="KMI285" s="18">
        <v>0</v>
      </c>
      <c r="KMJ285" s="18">
        <v>0</v>
      </c>
      <c r="KMK285" s="18">
        <v>0</v>
      </c>
      <c r="KML285" s="18">
        <v>0</v>
      </c>
      <c r="KMM285" s="18">
        <v>0</v>
      </c>
      <c r="KMN285" s="18">
        <v>0</v>
      </c>
      <c r="KMO285" s="18">
        <v>0</v>
      </c>
      <c r="KMP285" s="18">
        <v>0</v>
      </c>
      <c r="KMQ285" s="18">
        <v>0</v>
      </c>
      <c r="KMR285" s="18">
        <v>0</v>
      </c>
      <c r="KMS285" s="18">
        <v>0</v>
      </c>
      <c r="KMT285" s="18">
        <v>0</v>
      </c>
      <c r="KMU285" s="18">
        <v>0</v>
      </c>
      <c r="KMV285" s="18">
        <v>0</v>
      </c>
      <c r="KMW285" s="18">
        <v>0</v>
      </c>
      <c r="KMX285" s="18">
        <v>0</v>
      </c>
      <c r="KMY285" s="18">
        <v>0</v>
      </c>
      <c r="KMZ285" s="18">
        <v>0</v>
      </c>
      <c r="KNA285" s="18">
        <v>0</v>
      </c>
      <c r="KNB285" s="18">
        <v>0</v>
      </c>
      <c r="KNC285" s="18">
        <v>0</v>
      </c>
      <c r="KND285" s="18">
        <v>0</v>
      </c>
      <c r="KNE285" s="18">
        <v>0</v>
      </c>
      <c r="KNF285" s="18">
        <v>0</v>
      </c>
      <c r="KNG285" s="18">
        <v>0</v>
      </c>
      <c r="KNH285" s="18">
        <v>0</v>
      </c>
      <c r="KNI285" s="18">
        <v>0</v>
      </c>
      <c r="KNJ285" s="18">
        <v>0</v>
      </c>
      <c r="KNK285" s="18">
        <v>0</v>
      </c>
      <c r="KNL285" s="18">
        <v>0</v>
      </c>
      <c r="KNM285" s="18">
        <v>0</v>
      </c>
      <c r="KNN285" s="18">
        <v>0</v>
      </c>
      <c r="KNO285" s="18">
        <v>0</v>
      </c>
      <c r="KNP285" s="18">
        <v>0</v>
      </c>
      <c r="KNQ285" s="18">
        <v>0</v>
      </c>
      <c r="KNR285" s="18">
        <v>0</v>
      </c>
      <c r="KNS285" s="18">
        <v>0</v>
      </c>
      <c r="KNT285" s="18">
        <v>0</v>
      </c>
      <c r="KNU285" s="18">
        <v>0</v>
      </c>
      <c r="KNV285" s="18">
        <v>0</v>
      </c>
      <c r="KNW285" s="18">
        <v>0</v>
      </c>
      <c r="KNX285" s="18">
        <v>0</v>
      </c>
      <c r="KNY285" s="18">
        <v>0</v>
      </c>
      <c r="KNZ285" s="18">
        <v>0</v>
      </c>
      <c r="KOA285" s="18">
        <v>0</v>
      </c>
      <c r="KOB285" s="18">
        <v>0</v>
      </c>
      <c r="KOC285" s="18">
        <v>0</v>
      </c>
      <c r="KOD285" s="18">
        <v>0</v>
      </c>
      <c r="KOE285" s="18">
        <v>0</v>
      </c>
      <c r="KOF285" s="18">
        <v>0</v>
      </c>
      <c r="KOG285" s="18">
        <v>0</v>
      </c>
      <c r="KOH285" s="18">
        <v>0</v>
      </c>
      <c r="KOI285" s="18">
        <v>0</v>
      </c>
      <c r="KOJ285" s="18">
        <v>0</v>
      </c>
      <c r="KOK285" s="18">
        <v>0</v>
      </c>
      <c r="KOL285" s="18">
        <v>0</v>
      </c>
      <c r="KOM285" s="18">
        <v>0</v>
      </c>
      <c r="KON285" s="18">
        <v>0</v>
      </c>
      <c r="KOO285" s="18">
        <v>0</v>
      </c>
      <c r="KOP285" s="18">
        <v>0</v>
      </c>
      <c r="KOQ285" s="18">
        <v>0</v>
      </c>
      <c r="KOR285" s="18">
        <v>0</v>
      </c>
      <c r="KOS285" s="18">
        <v>0</v>
      </c>
      <c r="KOT285" s="18">
        <v>0</v>
      </c>
      <c r="KOU285" s="18">
        <v>0</v>
      </c>
      <c r="KOV285" s="18">
        <v>0</v>
      </c>
      <c r="KOW285" s="18">
        <v>0</v>
      </c>
      <c r="KOX285" s="18">
        <v>0</v>
      </c>
      <c r="KOY285" s="18">
        <v>0</v>
      </c>
      <c r="KOZ285" s="18">
        <v>0</v>
      </c>
      <c r="KPA285" s="18">
        <v>0</v>
      </c>
      <c r="KPB285" s="18">
        <v>0</v>
      </c>
      <c r="KPC285" s="18">
        <v>0</v>
      </c>
      <c r="KPD285" s="18">
        <v>0</v>
      </c>
      <c r="KPE285" s="18">
        <v>0</v>
      </c>
      <c r="KPF285" s="18">
        <v>0</v>
      </c>
      <c r="KPG285" s="18">
        <v>0</v>
      </c>
      <c r="KPH285" s="18">
        <v>0</v>
      </c>
      <c r="KPI285" s="18">
        <v>0</v>
      </c>
      <c r="KPJ285" s="18">
        <v>0</v>
      </c>
      <c r="KPK285" s="18">
        <v>0</v>
      </c>
      <c r="KPL285" s="18">
        <v>0</v>
      </c>
      <c r="KPM285" s="18">
        <v>0</v>
      </c>
      <c r="KPN285" s="18">
        <v>0</v>
      </c>
      <c r="KPO285" s="18">
        <v>0</v>
      </c>
      <c r="KPP285" s="18">
        <v>0</v>
      </c>
      <c r="KPQ285" s="18">
        <v>0</v>
      </c>
      <c r="KPR285" s="18">
        <v>0</v>
      </c>
      <c r="KPS285" s="18">
        <v>0</v>
      </c>
      <c r="KPT285" s="18">
        <v>0</v>
      </c>
      <c r="KPU285" s="18">
        <v>0</v>
      </c>
      <c r="KPV285" s="18">
        <v>0</v>
      </c>
      <c r="KPW285" s="18">
        <v>0</v>
      </c>
      <c r="KPX285" s="18">
        <v>0</v>
      </c>
      <c r="KPY285" s="18">
        <v>0</v>
      </c>
      <c r="KPZ285" s="18">
        <v>0</v>
      </c>
      <c r="KQA285" s="18">
        <v>0</v>
      </c>
      <c r="KQB285" s="18">
        <v>0</v>
      </c>
      <c r="KQC285" s="18">
        <v>0</v>
      </c>
      <c r="KQD285" s="18">
        <v>0</v>
      </c>
      <c r="KQE285" s="18">
        <v>0</v>
      </c>
      <c r="KQF285" s="18">
        <v>0</v>
      </c>
      <c r="KQG285" s="18">
        <v>0</v>
      </c>
      <c r="KQH285" s="18">
        <v>0</v>
      </c>
      <c r="KQI285" s="18">
        <v>0</v>
      </c>
      <c r="KQJ285" s="18">
        <v>0</v>
      </c>
      <c r="KQK285" s="18">
        <v>0</v>
      </c>
      <c r="KQL285" s="18">
        <v>0</v>
      </c>
      <c r="KQM285" s="18">
        <v>0</v>
      </c>
      <c r="KQN285" s="18">
        <v>0</v>
      </c>
      <c r="KQO285" s="18">
        <v>0</v>
      </c>
      <c r="KQP285" s="18">
        <v>0</v>
      </c>
      <c r="KQQ285" s="18">
        <v>0</v>
      </c>
      <c r="KQR285" s="18">
        <v>0</v>
      </c>
      <c r="KQS285" s="18">
        <v>0</v>
      </c>
      <c r="KQT285" s="18">
        <v>0</v>
      </c>
      <c r="KQU285" s="18">
        <v>0</v>
      </c>
      <c r="KQV285" s="18">
        <v>0</v>
      </c>
      <c r="KQW285" s="18">
        <v>0</v>
      </c>
      <c r="KQX285" s="18">
        <v>0</v>
      </c>
      <c r="KQY285" s="18">
        <v>0</v>
      </c>
      <c r="KQZ285" s="18">
        <v>0</v>
      </c>
      <c r="KRA285" s="18">
        <v>0</v>
      </c>
      <c r="KRB285" s="18">
        <v>0</v>
      </c>
      <c r="KRC285" s="18">
        <v>0</v>
      </c>
      <c r="KRD285" s="18">
        <v>0</v>
      </c>
      <c r="KRE285" s="18">
        <v>0</v>
      </c>
      <c r="KRF285" s="18">
        <v>0</v>
      </c>
      <c r="KRG285" s="18">
        <v>0</v>
      </c>
      <c r="KRH285" s="18">
        <v>0</v>
      </c>
      <c r="KRI285" s="18">
        <v>0</v>
      </c>
      <c r="KRJ285" s="18">
        <v>0</v>
      </c>
      <c r="KRK285" s="18">
        <v>0</v>
      </c>
      <c r="KRL285" s="18">
        <v>0</v>
      </c>
      <c r="KRM285" s="18">
        <v>0</v>
      </c>
      <c r="KRN285" s="18">
        <v>0</v>
      </c>
      <c r="KRO285" s="18">
        <v>0</v>
      </c>
      <c r="KRP285" s="18">
        <v>0</v>
      </c>
      <c r="KRQ285" s="18">
        <v>0</v>
      </c>
      <c r="KRR285" s="18">
        <v>0</v>
      </c>
      <c r="KRS285" s="18">
        <v>0</v>
      </c>
      <c r="KRT285" s="18">
        <v>0</v>
      </c>
      <c r="KRU285" s="18">
        <v>0</v>
      </c>
      <c r="KRV285" s="18">
        <v>0</v>
      </c>
      <c r="KRW285" s="18">
        <v>0</v>
      </c>
      <c r="KRX285" s="18">
        <v>0</v>
      </c>
      <c r="KRY285" s="18">
        <v>0</v>
      </c>
      <c r="KRZ285" s="18">
        <v>0</v>
      </c>
      <c r="KSA285" s="18">
        <v>0</v>
      </c>
      <c r="KSB285" s="18">
        <v>0</v>
      </c>
      <c r="KSC285" s="18">
        <v>0</v>
      </c>
      <c r="KSD285" s="18">
        <v>0</v>
      </c>
      <c r="KSE285" s="18">
        <v>0</v>
      </c>
      <c r="KSF285" s="18">
        <v>0</v>
      </c>
      <c r="KSG285" s="18">
        <v>0</v>
      </c>
      <c r="KSH285" s="18">
        <v>0</v>
      </c>
      <c r="KSI285" s="18">
        <v>0</v>
      </c>
      <c r="KSJ285" s="18">
        <v>0</v>
      </c>
      <c r="KSK285" s="18">
        <v>0</v>
      </c>
      <c r="KSL285" s="18">
        <v>0</v>
      </c>
      <c r="KSM285" s="18">
        <v>0</v>
      </c>
      <c r="KSN285" s="18">
        <v>0</v>
      </c>
      <c r="KSO285" s="18">
        <v>0</v>
      </c>
      <c r="KSP285" s="18">
        <v>0</v>
      </c>
      <c r="KSQ285" s="18">
        <v>0</v>
      </c>
      <c r="KSR285" s="18">
        <v>0</v>
      </c>
      <c r="KSS285" s="18">
        <v>0</v>
      </c>
      <c r="KST285" s="18">
        <v>0</v>
      </c>
      <c r="KSU285" s="18">
        <v>0</v>
      </c>
      <c r="KSV285" s="18">
        <v>0</v>
      </c>
      <c r="KSW285" s="18">
        <v>0</v>
      </c>
      <c r="KSX285" s="18">
        <v>0</v>
      </c>
      <c r="KSY285" s="18">
        <v>0</v>
      </c>
      <c r="KSZ285" s="18">
        <v>0</v>
      </c>
      <c r="KTA285" s="18">
        <v>0</v>
      </c>
      <c r="KTB285" s="18">
        <v>0</v>
      </c>
      <c r="KTC285" s="18">
        <v>0</v>
      </c>
      <c r="KTD285" s="18">
        <v>0</v>
      </c>
      <c r="KTE285" s="18">
        <v>0</v>
      </c>
      <c r="KTF285" s="18">
        <v>0</v>
      </c>
      <c r="KTG285" s="18">
        <v>0</v>
      </c>
      <c r="KTH285" s="18">
        <v>0</v>
      </c>
      <c r="KTI285" s="18">
        <v>0</v>
      </c>
      <c r="KTJ285" s="18">
        <v>0</v>
      </c>
      <c r="KTK285" s="18">
        <v>0</v>
      </c>
      <c r="KTL285" s="18">
        <v>0</v>
      </c>
      <c r="KTM285" s="18">
        <v>0</v>
      </c>
      <c r="KTN285" s="18">
        <v>0</v>
      </c>
      <c r="KTO285" s="18">
        <v>0</v>
      </c>
      <c r="KTP285" s="18">
        <v>0</v>
      </c>
      <c r="KTQ285" s="18">
        <v>0</v>
      </c>
      <c r="KTR285" s="18">
        <v>0</v>
      </c>
      <c r="KTS285" s="18">
        <v>0</v>
      </c>
      <c r="KTT285" s="18">
        <v>0</v>
      </c>
      <c r="KTU285" s="18">
        <v>0</v>
      </c>
      <c r="KTV285" s="18">
        <v>0</v>
      </c>
      <c r="KTW285" s="18">
        <v>0</v>
      </c>
      <c r="KTX285" s="18">
        <v>0</v>
      </c>
      <c r="KTY285" s="18">
        <v>0</v>
      </c>
      <c r="KTZ285" s="18">
        <v>0</v>
      </c>
      <c r="KUA285" s="18">
        <v>0</v>
      </c>
      <c r="KUB285" s="18">
        <v>0</v>
      </c>
      <c r="KUC285" s="18">
        <v>0</v>
      </c>
      <c r="KUD285" s="18">
        <v>0</v>
      </c>
      <c r="KUE285" s="18">
        <v>0</v>
      </c>
      <c r="KUF285" s="18">
        <v>0</v>
      </c>
      <c r="KUG285" s="18">
        <v>0</v>
      </c>
      <c r="KUH285" s="18">
        <v>0</v>
      </c>
      <c r="KUI285" s="18">
        <v>0</v>
      </c>
      <c r="KUJ285" s="18">
        <v>0</v>
      </c>
      <c r="KUK285" s="18">
        <v>0</v>
      </c>
      <c r="KUL285" s="18">
        <v>0</v>
      </c>
      <c r="KUM285" s="18">
        <v>0</v>
      </c>
      <c r="KUN285" s="18">
        <v>0</v>
      </c>
      <c r="KUO285" s="18">
        <v>0</v>
      </c>
      <c r="KUP285" s="18">
        <v>0</v>
      </c>
      <c r="KUQ285" s="18">
        <v>0</v>
      </c>
      <c r="KUR285" s="18">
        <v>0</v>
      </c>
      <c r="KUS285" s="18">
        <v>0</v>
      </c>
      <c r="KUT285" s="18">
        <v>0</v>
      </c>
      <c r="KUU285" s="18">
        <v>0</v>
      </c>
      <c r="KUV285" s="18">
        <v>0</v>
      </c>
      <c r="KUW285" s="18">
        <v>0</v>
      </c>
      <c r="KUX285" s="18">
        <v>0</v>
      </c>
      <c r="KUY285" s="18">
        <v>0</v>
      </c>
      <c r="KUZ285" s="18">
        <v>0</v>
      </c>
      <c r="KVA285" s="18">
        <v>0</v>
      </c>
      <c r="KVB285" s="18">
        <v>0</v>
      </c>
      <c r="KVC285" s="18">
        <v>0</v>
      </c>
      <c r="KVD285" s="18">
        <v>0</v>
      </c>
      <c r="KVE285" s="18">
        <v>0</v>
      </c>
      <c r="KVF285" s="18">
        <v>0</v>
      </c>
      <c r="KVG285" s="18">
        <v>0</v>
      </c>
      <c r="KVH285" s="18">
        <v>0</v>
      </c>
      <c r="KVI285" s="18">
        <v>0</v>
      </c>
      <c r="KVJ285" s="18">
        <v>0</v>
      </c>
      <c r="KVK285" s="18">
        <v>0</v>
      </c>
      <c r="KVL285" s="18">
        <v>0</v>
      </c>
      <c r="KVM285" s="18">
        <v>0</v>
      </c>
      <c r="KVN285" s="18">
        <v>0</v>
      </c>
      <c r="KVO285" s="18">
        <v>0</v>
      </c>
      <c r="KVP285" s="18">
        <v>0</v>
      </c>
      <c r="KVQ285" s="18">
        <v>0</v>
      </c>
      <c r="KVR285" s="18">
        <v>0</v>
      </c>
      <c r="KVS285" s="18">
        <v>0</v>
      </c>
      <c r="KVT285" s="18">
        <v>0</v>
      </c>
      <c r="KVU285" s="18">
        <v>0</v>
      </c>
      <c r="KVV285" s="18">
        <v>0</v>
      </c>
      <c r="KVW285" s="18">
        <v>0</v>
      </c>
      <c r="KVX285" s="18">
        <v>0</v>
      </c>
      <c r="KVY285" s="18">
        <v>0</v>
      </c>
      <c r="KVZ285" s="18">
        <v>0</v>
      </c>
      <c r="KWA285" s="18">
        <v>0</v>
      </c>
      <c r="KWB285" s="18">
        <v>0</v>
      </c>
      <c r="KWC285" s="18">
        <v>0</v>
      </c>
      <c r="KWD285" s="18">
        <v>0</v>
      </c>
      <c r="KWE285" s="18">
        <v>0</v>
      </c>
      <c r="KWF285" s="18">
        <v>0</v>
      </c>
      <c r="KWG285" s="18">
        <v>0</v>
      </c>
      <c r="KWH285" s="18">
        <v>0</v>
      </c>
      <c r="KWI285" s="18">
        <v>0</v>
      </c>
      <c r="KWJ285" s="18">
        <v>0</v>
      </c>
      <c r="KWK285" s="18">
        <v>0</v>
      </c>
      <c r="KWL285" s="18">
        <v>0</v>
      </c>
      <c r="KWM285" s="18">
        <v>0</v>
      </c>
      <c r="KWN285" s="18">
        <v>0</v>
      </c>
      <c r="KWO285" s="18">
        <v>0</v>
      </c>
      <c r="KWP285" s="18">
        <v>0</v>
      </c>
      <c r="KWQ285" s="18">
        <v>0</v>
      </c>
      <c r="KWR285" s="18">
        <v>0</v>
      </c>
      <c r="KWS285" s="18">
        <v>0</v>
      </c>
      <c r="KWT285" s="18">
        <v>0</v>
      </c>
      <c r="KWU285" s="18">
        <v>0</v>
      </c>
      <c r="KWV285" s="18">
        <v>0</v>
      </c>
      <c r="KWW285" s="18">
        <v>0</v>
      </c>
      <c r="KWX285" s="18">
        <v>0</v>
      </c>
      <c r="KWY285" s="18">
        <v>0</v>
      </c>
      <c r="KWZ285" s="18">
        <v>0</v>
      </c>
      <c r="KXA285" s="18">
        <v>0</v>
      </c>
      <c r="KXB285" s="18">
        <v>0</v>
      </c>
      <c r="KXC285" s="18">
        <v>0</v>
      </c>
      <c r="KXD285" s="18">
        <v>0</v>
      </c>
      <c r="KXE285" s="18">
        <v>0</v>
      </c>
      <c r="KXF285" s="18">
        <v>0</v>
      </c>
      <c r="KXG285" s="18">
        <v>0</v>
      </c>
      <c r="KXH285" s="18">
        <v>0</v>
      </c>
      <c r="KXI285" s="18">
        <v>0</v>
      </c>
      <c r="KXJ285" s="18">
        <v>0</v>
      </c>
      <c r="KXK285" s="18">
        <v>0</v>
      </c>
      <c r="KXL285" s="18">
        <v>0</v>
      </c>
      <c r="KXM285" s="18">
        <v>0</v>
      </c>
      <c r="KXN285" s="18">
        <v>0</v>
      </c>
      <c r="KXO285" s="18">
        <v>0</v>
      </c>
      <c r="KXP285" s="18">
        <v>0</v>
      </c>
      <c r="KXQ285" s="18">
        <v>0</v>
      </c>
      <c r="KXR285" s="18">
        <v>0</v>
      </c>
      <c r="KXS285" s="18">
        <v>0</v>
      </c>
      <c r="KXT285" s="18">
        <v>0</v>
      </c>
      <c r="KXU285" s="18">
        <v>0</v>
      </c>
      <c r="KXV285" s="18">
        <v>0</v>
      </c>
      <c r="KXW285" s="18">
        <v>0</v>
      </c>
      <c r="KXX285" s="18">
        <v>0</v>
      </c>
      <c r="KXY285" s="18">
        <v>0</v>
      </c>
      <c r="KXZ285" s="18">
        <v>0</v>
      </c>
      <c r="KYA285" s="18">
        <v>0</v>
      </c>
      <c r="KYB285" s="18">
        <v>0</v>
      </c>
      <c r="KYC285" s="18">
        <v>0</v>
      </c>
      <c r="KYD285" s="18">
        <v>0</v>
      </c>
      <c r="KYE285" s="18">
        <v>0</v>
      </c>
      <c r="KYF285" s="18">
        <v>0</v>
      </c>
      <c r="KYG285" s="18">
        <v>0</v>
      </c>
      <c r="KYH285" s="18">
        <v>0</v>
      </c>
      <c r="KYI285" s="18">
        <v>0</v>
      </c>
      <c r="KYJ285" s="18">
        <v>0</v>
      </c>
      <c r="KYK285" s="18">
        <v>0</v>
      </c>
      <c r="KYL285" s="18">
        <v>0</v>
      </c>
      <c r="KYM285" s="18">
        <v>0</v>
      </c>
      <c r="KYN285" s="18">
        <v>0</v>
      </c>
      <c r="KYO285" s="18">
        <v>0</v>
      </c>
      <c r="KYP285" s="18">
        <v>0</v>
      </c>
      <c r="KYQ285" s="18">
        <v>0</v>
      </c>
      <c r="KYR285" s="18">
        <v>0</v>
      </c>
      <c r="KYS285" s="18">
        <v>0</v>
      </c>
      <c r="KYT285" s="18">
        <v>0</v>
      </c>
      <c r="KYU285" s="18">
        <v>0</v>
      </c>
      <c r="KYV285" s="18">
        <v>0</v>
      </c>
      <c r="KYW285" s="18">
        <v>0</v>
      </c>
      <c r="KYX285" s="18">
        <v>0</v>
      </c>
      <c r="KYY285" s="18">
        <v>0</v>
      </c>
      <c r="KYZ285" s="18">
        <v>0</v>
      </c>
      <c r="KZA285" s="18">
        <v>0</v>
      </c>
      <c r="KZB285" s="18">
        <v>0</v>
      </c>
      <c r="KZC285" s="18">
        <v>0</v>
      </c>
      <c r="KZD285" s="18">
        <v>0</v>
      </c>
      <c r="KZE285" s="18">
        <v>0</v>
      </c>
      <c r="KZF285" s="18">
        <v>0</v>
      </c>
      <c r="KZG285" s="18">
        <v>0</v>
      </c>
      <c r="KZH285" s="18">
        <v>0</v>
      </c>
      <c r="KZI285" s="18">
        <v>0</v>
      </c>
      <c r="KZJ285" s="18">
        <v>0</v>
      </c>
      <c r="KZK285" s="18">
        <v>0</v>
      </c>
      <c r="KZL285" s="18">
        <v>0</v>
      </c>
      <c r="KZM285" s="18">
        <v>0</v>
      </c>
      <c r="KZN285" s="18">
        <v>0</v>
      </c>
      <c r="KZO285" s="18">
        <v>0</v>
      </c>
      <c r="KZP285" s="18">
        <v>0</v>
      </c>
      <c r="KZQ285" s="18">
        <v>0</v>
      </c>
      <c r="KZR285" s="18">
        <v>0</v>
      </c>
      <c r="KZS285" s="18">
        <v>0</v>
      </c>
      <c r="KZT285" s="18">
        <v>0</v>
      </c>
      <c r="KZU285" s="18">
        <v>0</v>
      </c>
      <c r="KZV285" s="18">
        <v>0</v>
      </c>
      <c r="KZW285" s="18">
        <v>0</v>
      </c>
      <c r="KZX285" s="18">
        <v>0</v>
      </c>
      <c r="KZY285" s="18">
        <v>0</v>
      </c>
      <c r="KZZ285" s="18">
        <v>0</v>
      </c>
      <c r="LAA285" s="18">
        <v>0</v>
      </c>
      <c r="LAB285" s="18">
        <v>0</v>
      </c>
      <c r="LAC285" s="18">
        <v>0</v>
      </c>
      <c r="LAD285" s="18">
        <v>0</v>
      </c>
      <c r="LAE285" s="18">
        <v>0</v>
      </c>
      <c r="LAF285" s="18">
        <v>0</v>
      </c>
      <c r="LAG285" s="18">
        <v>0</v>
      </c>
      <c r="LAH285" s="18">
        <v>0</v>
      </c>
      <c r="LAI285" s="18">
        <v>0</v>
      </c>
      <c r="LAJ285" s="18">
        <v>0</v>
      </c>
      <c r="LAK285" s="18">
        <v>0</v>
      </c>
      <c r="LAL285" s="18">
        <v>0</v>
      </c>
      <c r="LAM285" s="18">
        <v>0</v>
      </c>
      <c r="LAN285" s="18">
        <v>0</v>
      </c>
      <c r="LAO285" s="18">
        <v>0</v>
      </c>
      <c r="LAP285" s="18">
        <v>0</v>
      </c>
      <c r="LAQ285" s="18">
        <v>0</v>
      </c>
      <c r="LAR285" s="18">
        <v>0</v>
      </c>
      <c r="LAS285" s="18">
        <v>0</v>
      </c>
      <c r="LAT285" s="18">
        <v>0</v>
      </c>
      <c r="LAU285" s="18">
        <v>0</v>
      </c>
      <c r="LAV285" s="18">
        <v>0</v>
      </c>
      <c r="LAW285" s="18">
        <v>0</v>
      </c>
      <c r="LAX285" s="18">
        <v>0</v>
      </c>
      <c r="LAY285" s="18">
        <v>0</v>
      </c>
      <c r="LAZ285" s="18">
        <v>0</v>
      </c>
      <c r="LBA285" s="18">
        <v>0</v>
      </c>
      <c r="LBB285" s="18">
        <v>0</v>
      </c>
      <c r="LBC285" s="18">
        <v>0</v>
      </c>
      <c r="LBD285" s="18">
        <v>0</v>
      </c>
      <c r="LBE285" s="18">
        <v>0</v>
      </c>
      <c r="LBF285" s="18">
        <v>0</v>
      </c>
      <c r="LBG285" s="18">
        <v>0</v>
      </c>
      <c r="LBH285" s="18">
        <v>0</v>
      </c>
      <c r="LBI285" s="18">
        <v>0</v>
      </c>
      <c r="LBJ285" s="18">
        <v>0</v>
      </c>
      <c r="LBK285" s="18">
        <v>0</v>
      </c>
      <c r="LBL285" s="18">
        <v>0</v>
      </c>
      <c r="LBM285" s="18">
        <v>0</v>
      </c>
      <c r="LBN285" s="18">
        <v>0</v>
      </c>
      <c r="LBO285" s="18">
        <v>0</v>
      </c>
      <c r="LBP285" s="18">
        <v>0</v>
      </c>
      <c r="LBQ285" s="18">
        <v>0</v>
      </c>
      <c r="LBR285" s="18">
        <v>0</v>
      </c>
      <c r="LBS285" s="18">
        <v>0</v>
      </c>
      <c r="LBT285" s="18">
        <v>0</v>
      </c>
      <c r="LBU285" s="18">
        <v>0</v>
      </c>
      <c r="LBV285" s="18">
        <v>0</v>
      </c>
      <c r="LBW285" s="18">
        <v>0</v>
      </c>
      <c r="LBX285" s="18">
        <v>0</v>
      </c>
      <c r="LBY285" s="18">
        <v>0</v>
      </c>
      <c r="LBZ285" s="18">
        <v>0</v>
      </c>
      <c r="LCA285" s="18">
        <v>0</v>
      </c>
      <c r="LCB285" s="18">
        <v>0</v>
      </c>
      <c r="LCC285" s="18">
        <v>0</v>
      </c>
      <c r="LCD285" s="18">
        <v>0</v>
      </c>
      <c r="LCE285" s="18">
        <v>0</v>
      </c>
      <c r="LCF285" s="18">
        <v>0</v>
      </c>
      <c r="LCG285" s="18">
        <v>0</v>
      </c>
      <c r="LCH285" s="18">
        <v>0</v>
      </c>
      <c r="LCI285" s="18">
        <v>0</v>
      </c>
      <c r="LCJ285" s="18">
        <v>0</v>
      </c>
      <c r="LCK285" s="18">
        <v>0</v>
      </c>
      <c r="LCL285" s="18">
        <v>0</v>
      </c>
      <c r="LCM285" s="18">
        <v>0</v>
      </c>
      <c r="LCN285" s="18">
        <v>0</v>
      </c>
      <c r="LCO285" s="18">
        <v>0</v>
      </c>
      <c r="LCP285" s="18">
        <v>0</v>
      </c>
      <c r="LCQ285" s="18">
        <v>0</v>
      </c>
      <c r="LCR285" s="18">
        <v>0</v>
      </c>
      <c r="LCS285" s="18">
        <v>0</v>
      </c>
      <c r="LCT285" s="18">
        <v>0</v>
      </c>
      <c r="LCU285" s="18">
        <v>0</v>
      </c>
      <c r="LCV285" s="18">
        <v>0</v>
      </c>
      <c r="LCW285" s="18">
        <v>0</v>
      </c>
      <c r="LCX285" s="18">
        <v>0</v>
      </c>
      <c r="LCY285" s="18">
        <v>0</v>
      </c>
      <c r="LCZ285" s="18">
        <v>0</v>
      </c>
      <c r="LDA285" s="18">
        <v>0</v>
      </c>
      <c r="LDB285" s="18">
        <v>0</v>
      </c>
      <c r="LDC285" s="18">
        <v>0</v>
      </c>
      <c r="LDD285" s="18">
        <v>0</v>
      </c>
      <c r="LDE285" s="18">
        <v>0</v>
      </c>
      <c r="LDF285" s="18">
        <v>0</v>
      </c>
      <c r="LDG285" s="18">
        <v>0</v>
      </c>
      <c r="LDH285" s="18">
        <v>0</v>
      </c>
      <c r="LDI285" s="18">
        <v>0</v>
      </c>
      <c r="LDJ285" s="18">
        <v>0</v>
      </c>
      <c r="LDK285" s="18">
        <v>0</v>
      </c>
      <c r="LDL285" s="18">
        <v>0</v>
      </c>
      <c r="LDM285" s="18">
        <v>0</v>
      </c>
      <c r="LDN285" s="18">
        <v>0</v>
      </c>
      <c r="LDO285" s="18">
        <v>0</v>
      </c>
      <c r="LDP285" s="18">
        <v>0</v>
      </c>
      <c r="LDQ285" s="18">
        <v>0</v>
      </c>
      <c r="LDR285" s="18">
        <v>0</v>
      </c>
      <c r="LDS285" s="18">
        <v>0</v>
      </c>
      <c r="LDT285" s="18">
        <v>0</v>
      </c>
      <c r="LDU285" s="18">
        <v>0</v>
      </c>
      <c r="LDV285" s="18">
        <v>0</v>
      </c>
      <c r="LDW285" s="18">
        <v>0</v>
      </c>
      <c r="LDX285" s="18">
        <v>0</v>
      </c>
      <c r="LDY285" s="18">
        <v>0</v>
      </c>
      <c r="LDZ285" s="18">
        <v>0</v>
      </c>
      <c r="LEA285" s="18">
        <v>0</v>
      </c>
      <c r="LEB285" s="18">
        <v>0</v>
      </c>
      <c r="LEC285" s="18">
        <v>0</v>
      </c>
      <c r="LED285" s="18">
        <v>0</v>
      </c>
      <c r="LEE285" s="18">
        <v>0</v>
      </c>
      <c r="LEF285" s="18">
        <v>0</v>
      </c>
      <c r="LEG285" s="18">
        <v>0</v>
      </c>
      <c r="LEH285" s="18">
        <v>0</v>
      </c>
      <c r="LEI285" s="18">
        <v>0</v>
      </c>
      <c r="LEJ285" s="18">
        <v>0</v>
      </c>
      <c r="LEK285" s="18">
        <v>0</v>
      </c>
      <c r="LEL285" s="18">
        <v>0</v>
      </c>
      <c r="LEM285" s="18">
        <v>0</v>
      </c>
      <c r="LEN285" s="18">
        <v>0</v>
      </c>
      <c r="LEO285" s="18">
        <v>0</v>
      </c>
      <c r="LEP285" s="18">
        <v>0</v>
      </c>
      <c r="LEQ285" s="18">
        <v>0</v>
      </c>
      <c r="LER285" s="18">
        <v>0</v>
      </c>
      <c r="LES285" s="18">
        <v>0</v>
      </c>
      <c r="LET285" s="18">
        <v>0</v>
      </c>
      <c r="LEU285" s="18">
        <v>0</v>
      </c>
      <c r="LEV285" s="18">
        <v>0</v>
      </c>
      <c r="LEW285" s="18">
        <v>0</v>
      </c>
      <c r="LEX285" s="18">
        <v>0</v>
      </c>
      <c r="LEY285" s="18">
        <v>0</v>
      </c>
      <c r="LEZ285" s="18">
        <v>0</v>
      </c>
      <c r="LFA285" s="18">
        <v>0</v>
      </c>
      <c r="LFB285" s="18">
        <v>0</v>
      </c>
      <c r="LFC285" s="18">
        <v>0</v>
      </c>
      <c r="LFD285" s="18">
        <v>0</v>
      </c>
      <c r="LFE285" s="18">
        <v>0</v>
      </c>
      <c r="LFF285" s="18">
        <v>0</v>
      </c>
      <c r="LFG285" s="18">
        <v>0</v>
      </c>
      <c r="LFH285" s="18">
        <v>0</v>
      </c>
      <c r="LFI285" s="18">
        <v>0</v>
      </c>
      <c r="LFJ285" s="18">
        <v>0</v>
      </c>
      <c r="LFK285" s="18">
        <v>0</v>
      </c>
      <c r="LFL285" s="18">
        <v>0</v>
      </c>
      <c r="LFM285" s="18">
        <v>0</v>
      </c>
      <c r="LFN285" s="18">
        <v>0</v>
      </c>
      <c r="LFO285" s="18">
        <v>0</v>
      </c>
      <c r="LFP285" s="18">
        <v>0</v>
      </c>
      <c r="LFQ285" s="18">
        <v>0</v>
      </c>
      <c r="LFR285" s="18">
        <v>0</v>
      </c>
      <c r="LFS285" s="18">
        <v>0</v>
      </c>
      <c r="LFT285" s="18">
        <v>0</v>
      </c>
      <c r="LFU285" s="18">
        <v>0</v>
      </c>
      <c r="LFV285" s="18">
        <v>0</v>
      </c>
      <c r="LFW285" s="18">
        <v>0</v>
      </c>
      <c r="LFX285" s="18">
        <v>0</v>
      </c>
      <c r="LFY285" s="18">
        <v>0</v>
      </c>
      <c r="LFZ285" s="18">
        <v>0</v>
      </c>
      <c r="LGA285" s="18">
        <v>0</v>
      </c>
      <c r="LGB285" s="18">
        <v>0</v>
      </c>
      <c r="LGC285" s="18">
        <v>0</v>
      </c>
      <c r="LGD285" s="18">
        <v>0</v>
      </c>
      <c r="LGE285" s="18">
        <v>0</v>
      </c>
      <c r="LGF285" s="18">
        <v>0</v>
      </c>
      <c r="LGG285" s="18">
        <v>0</v>
      </c>
      <c r="LGH285" s="18">
        <v>0</v>
      </c>
      <c r="LGI285" s="18">
        <v>0</v>
      </c>
      <c r="LGJ285" s="18">
        <v>0</v>
      </c>
      <c r="LGK285" s="18">
        <v>0</v>
      </c>
      <c r="LGL285" s="18">
        <v>0</v>
      </c>
      <c r="LGM285" s="18">
        <v>0</v>
      </c>
      <c r="LGN285" s="18">
        <v>0</v>
      </c>
      <c r="LGO285" s="18">
        <v>0</v>
      </c>
      <c r="LGP285" s="18">
        <v>0</v>
      </c>
      <c r="LGQ285" s="18">
        <v>0</v>
      </c>
      <c r="LGR285" s="18">
        <v>0</v>
      </c>
      <c r="LGS285" s="18">
        <v>0</v>
      </c>
      <c r="LGT285" s="18">
        <v>0</v>
      </c>
      <c r="LGU285" s="18">
        <v>0</v>
      </c>
      <c r="LGV285" s="18">
        <v>0</v>
      </c>
      <c r="LGW285" s="18">
        <v>0</v>
      </c>
      <c r="LGX285" s="18">
        <v>0</v>
      </c>
      <c r="LGY285" s="18">
        <v>0</v>
      </c>
      <c r="LGZ285" s="18">
        <v>0</v>
      </c>
      <c r="LHA285" s="18">
        <v>0</v>
      </c>
      <c r="LHB285" s="18">
        <v>0</v>
      </c>
      <c r="LHC285" s="18">
        <v>0</v>
      </c>
      <c r="LHD285" s="18">
        <v>0</v>
      </c>
      <c r="LHE285" s="18">
        <v>0</v>
      </c>
      <c r="LHF285" s="18">
        <v>0</v>
      </c>
      <c r="LHG285" s="18">
        <v>0</v>
      </c>
      <c r="LHH285" s="18">
        <v>0</v>
      </c>
      <c r="LHI285" s="18">
        <v>0</v>
      </c>
      <c r="LHJ285" s="18">
        <v>0</v>
      </c>
      <c r="LHK285" s="18">
        <v>0</v>
      </c>
      <c r="LHL285" s="18">
        <v>0</v>
      </c>
      <c r="LHM285" s="18">
        <v>0</v>
      </c>
      <c r="LHN285" s="18">
        <v>0</v>
      </c>
      <c r="LHO285" s="18">
        <v>0</v>
      </c>
      <c r="LHP285" s="18">
        <v>0</v>
      </c>
      <c r="LHQ285" s="18">
        <v>0</v>
      </c>
      <c r="LHR285" s="18">
        <v>0</v>
      </c>
      <c r="LHS285" s="18">
        <v>0</v>
      </c>
      <c r="LHT285" s="18">
        <v>0</v>
      </c>
      <c r="LHU285" s="18">
        <v>0</v>
      </c>
      <c r="LHV285" s="18">
        <v>0</v>
      </c>
      <c r="LHW285" s="18">
        <v>0</v>
      </c>
      <c r="LHX285" s="18">
        <v>0</v>
      </c>
      <c r="LHY285" s="18">
        <v>0</v>
      </c>
      <c r="LHZ285" s="18">
        <v>0</v>
      </c>
      <c r="LIA285" s="18">
        <v>0</v>
      </c>
      <c r="LIB285" s="18">
        <v>0</v>
      </c>
      <c r="LIC285" s="18">
        <v>0</v>
      </c>
      <c r="LID285" s="18">
        <v>0</v>
      </c>
      <c r="LIE285" s="18">
        <v>0</v>
      </c>
      <c r="LIF285" s="18">
        <v>0</v>
      </c>
      <c r="LIG285" s="18">
        <v>0</v>
      </c>
      <c r="LIH285" s="18">
        <v>0</v>
      </c>
      <c r="LII285" s="18">
        <v>0</v>
      </c>
      <c r="LIJ285" s="18">
        <v>0</v>
      </c>
      <c r="LIK285" s="18">
        <v>0</v>
      </c>
      <c r="LIL285" s="18">
        <v>0</v>
      </c>
      <c r="LIM285" s="18">
        <v>0</v>
      </c>
      <c r="LIN285" s="18">
        <v>0</v>
      </c>
      <c r="LIO285" s="18">
        <v>0</v>
      </c>
      <c r="LIP285" s="18">
        <v>0</v>
      </c>
      <c r="LIQ285" s="18">
        <v>0</v>
      </c>
      <c r="LIR285" s="18">
        <v>0</v>
      </c>
      <c r="LIS285" s="18">
        <v>0</v>
      </c>
      <c r="LIT285" s="18">
        <v>0</v>
      </c>
      <c r="LIU285" s="18">
        <v>0</v>
      </c>
      <c r="LIV285" s="18">
        <v>0</v>
      </c>
      <c r="LIW285" s="18">
        <v>0</v>
      </c>
      <c r="LIX285" s="18">
        <v>0</v>
      </c>
      <c r="LIY285" s="18">
        <v>0</v>
      </c>
      <c r="LIZ285" s="18">
        <v>0</v>
      </c>
      <c r="LJA285" s="18">
        <v>0</v>
      </c>
      <c r="LJB285" s="18">
        <v>0</v>
      </c>
      <c r="LJC285" s="18">
        <v>0</v>
      </c>
      <c r="LJD285" s="18">
        <v>0</v>
      </c>
      <c r="LJE285" s="18">
        <v>0</v>
      </c>
      <c r="LJF285" s="18">
        <v>0</v>
      </c>
      <c r="LJG285" s="18">
        <v>0</v>
      </c>
      <c r="LJH285" s="18">
        <v>0</v>
      </c>
      <c r="LJI285" s="18">
        <v>0</v>
      </c>
      <c r="LJJ285" s="18">
        <v>0</v>
      </c>
      <c r="LJK285" s="18">
        <v>0</v>
      </c>
      <c r="LJL285" s="18">
        <v>0</v>
      </c>
      <c r="LJM285" s="18">
        <v>0</v>
      </c>
      <c r="LJN285" s="18">
        <v>0</v>
      </c>
      <c r="LJO285" s="18">
        <v>0</v>
      </c>
      <c r="LJP285" s="18">
        <v>0</v>
      </c>
      <c r="LJQ285" s="18">
        <v>0</v>
      </c>
      <c r="LJR285" s="18">
        <v>0</v>
      </c>
      <c r="LJS285" s="18">
        <v>0</v>
      </c>
      <c r="LJT285" s="18">
        <v>0</v>
      </c>
      <c r="LJU285" s="18">
        <v>0</v>
      </c>
      <c r="LJV285" s="18">
        <v>0</v>
      </c>
      <c r="LJW285" s="18">
        <v>0</v>
      </c>
      <c r="LJX285" s="18">
        <v>0</v>
      </c>
      <c r="LJY285" s="18">
        <v>0</v>
      </c>
      <c r="LJZ285" s="18">
        <v>0</v>
      </c>
      <c r="LKA285" s="18">
        <v>0</v>
      </c>
      <c r="LKB285" s="18">
        <v>0</v>
      </c>
      <c r="LKC285" s="18">
        <v>0</v>
      </c>
      <c r="LKD285" s="18">
        <v>0</v>
      </c>
      <c r="LKE285" s="18">
        <v>0</v>
      </c>
      <c r="LKF285" s="18">
        <v>0</v>
      </c>
      <c r="LKG285" s="18">
        <v>0</v>
      </c>
      <c r="LKH285" s="18">
        <v>0</v>
      </c>
      <c r="LKI285" s="18">
        <v>0</v>
      </c>
      <c r="LKJ285" s="18">
        <v>0</v>
      </c>
      <c r="LKK285" s="18">
        <v>0</v>
      </c>
      <c r="LKL285" s="18">
        <v>0</v>
      </c>
      <c r="LKM285" s="18">
        <v>0</v>
      </c>
      <c r="LKN285" s="18">
        <v>0</v>
      </c>
      <c r="LKO285" s="18">
        <v>0</v>
      </c>
      <c r="LKP285" s="18">
        <v>0</v>
      </c>
      <c r="LKQ285" s="18">
        <v>0</v>
      </c>
      <c r="LKR285" s="18">
        <v>0</v>
      </c>
      <c r="LKS285" s="18">
        <v>0</v>
      </c>
      <c r="LKT285" s="18">
        <v>0</v>
      </c>
      <c r="LKU285" s="18">
        <v>0</v>
      </c>
      <c r="LKV285" s="18">
        <v>0</v>
      </c>
      <c r="LKW285" s="18">
        <v>0</v>
      </c>
      <c r="LKX285" s="18">
        <v>0</v>
      </c>
      <c r="LKY285" s="18">
        <v>0</v>
      </c>
      <c r="LKZ285" s="18">
        <v>0</v>
      </c>
      <c r="LLA285" s="18">
        <v>0</v>
      </c>
      <c r="LLB285" s="18">
        <v>0</v>
      </c>
      <c r="LLC285" s="18">
        <v>0</v>
      </c>
      <c r="LLD285" s="18">
        <v>0</v>
      </c>
      <c r="LLE285" s="18">
        <v>0</v>
      </c>
      <c r="LLF285" s="18">
        <v>0</v>
      </c>
      <c r="LLG285" s="18">
        <v>0</v>
      </c>
      <c r="LLH285" s="18">
        <v>0</v>
      </c>
      <c r="LLI285" s="18">
        <v>0</v>
      </c>
      <c r="LLJ285" s="18">
        <v>0</v>
      </c>
      <c r="LLK285" s="18">
        <v>0</v>
      </c>
      <c r="LLL285" s="18">
        <v>0</v>
      </c>
      <c r="LLM285" s="18">
        <v>0</v>
      </c>
      <c r="LLN285" s="18">
        <v>0</v>
      </c>
      <c r="LLO285" s="18">
        <v>0</v>
      </c>
      <c r="LLP285" s="18">
        <v>0</v>
      </c>
      <c r="LLQ285" s="18">
        <v>0</v>
      </c>
      <c r="LLR285" s="18">
        <v>0</v>
      </c>
      <c r="LLS285" s="18">
        <v>0</v>
      </c>
      <c r="LLT285" s="18">
        <v>0</v>
      </c>
      <c r="LLU285" s="18">
        <v>0</v>
      </c>
      <c r="LLV285" s="18">
        <v>0</v>
      </c>
      <c r="LLW285" s="18">
        <v>0</v>
      </c>
      <c r="LLX285" s="18">
        <v>0</v>
      </c>
      <c r="LLY285" s="18">
        <v>0</v>
      </c>
      <c r="LLZ285" s="18">
        <v>0</v>
      </c>
      <c r="LMA285" s="18">
        <v>0</v>
      </c>
      <c r="LMB285" s="18">
        <v>0</v>
      </c>
      <c r="LMC285" s="18">
        <v>0</v>
      </c>
      <c r="LMD285" s="18">
        <v>0</v>
      </c>
      <c r="LME285" s="18">
        <v>0</v>
      </c>
      <c r="LMF285" s="18">
        <v>0</v>
      </c>
      <c r="LMG285" s="18">
        <v>0</v>
      </c>
      <c r="LMH285" s="18">
        <v>0</v>
      </c>
      <c r="LMI285" s="18">
        <v>0</v>
      </c>
      <c r="LMJ285" s="18">
        <v>0</v>
      </c>
      <c r="LMK285" s="18">
        <v>0</v>
      </c>
      <c r="LML285" s="18">
        <v>0</v>
      </c>
      <c r="LMM285" s="18">
        <v>0</v>
      </c>
      <c r="LMN285" s="18">
        <v>0</v>
      </c>
      <c r="LMO285" s="18">
        <v>0</v>
      </c>
      <c r="LMP285" s="18">
        <v>0</v>
      </c>
      <c r="LMQ285" s="18">
        <v>0</v>
      </c>
      <c r="LMR285" s="18">
        <v>0</v>
      </c>
      <c r="LMS285" s="18">
        <v>0</v>
      </c>
      <c r="LMT285" s="18">
        <v>0</v>
      </c>
      <c r="LMU285" s="18">
        <v>0</v>
      </c>
      <c r="LMV285" s="18">
        <v>0</v>
      </c>
      <c r="LMW285" s="18">
        <v>0</v>
      </c>
      <c r="LMX285" s="18">
        <v>0</v>
      </c>
      <c r="LMY285" s="18">
        <v>0</v>
      </c>
      <c r="LMZ285" s="18">
        <v>0</v>
      </c>
      <c r="LNA285" s="18">
        <v>0</v>
      </c>
      <c r="LNB285" s="18">
        <v>0</v>
      </c>
      <c r="LNC285" s="18">
        <v>0</v>
      </c>
      <c r="LND285" s="18">
        <v>0</v>
      </c>
      <c r="LNE285" s="18">
        <v>0</v>
      </c>
      <c r="LNF285" s="18">
        <v>0</v>
      </c>
      <c r="LNG285" s="18">
        <v>0</v>
      </c>
      <c r="LNH285" s="18">
        <v>0</v>
      </c>
      <c r="LNI285" s="18">
        <v>0</v>
      </c>
      <c r="LNJ285" s="18">
        <v>0</v>
      </c>
      <c r="LNK285" s="18">
        <v>0</v>
      </c>
      <c r="LNL285" s="18">
        <v>0</v>
      </c>
      <c r="LNM285" s="18">
        <v>0</v>
      </c>
      <c r="LNN285" s="18">
        <v>0</v>
      </c>
      <c r="LNO285" s="18">
        <v>0</v>
      </c>
      <c r="LNP285" s="18">
        <v>0</v>
      </c>
      <c r="LNQ285" s="18">
        <v>0</v>
      </c>
      <c r="LNR285" s="18">
        <v>0</v>
      </c>
      <c r="LNS285" s="18">
        <v>0</v>
      </c>
      <c r="LNT285" s="18">
        <v>0</v>
      </c>
      <c r="LNU285" s="18">
        <v>0</v>
      </c>
      <c r="LNV285" s="18">
        <v>0</v>
      </c>
      <c r="LNW285" s="18">
        <v>0</v>
      </c>
      <c r="LNX285" s="18">
        <v>0</v>
      </c>
      <c r="LNY285" s="18">
        <v>0</v>
      </c>
      <c r="LNZ285" s="18">
        <v>0</v>
      </c>
      <c r="LOA285" s="18">
        <v>0</v>
      </c>
      <c r="LOB285" s="18">
        <v>0</v>
      </c>
      <c r="LOC285" s="18">
        <v>0</v>
      </c>
      <c r="LOD285" s="18">
        <v>0</v>
      </c>
      <c r="LOE285" s="18">
        <v>0</v>
      </c>
      <c r="LOF285" s="18">
        <v>0</v>
      </c>
      <c r="LOG285" s="18">
        <v>0</v>
      </c>
      <c r="LOH285" s="18">
        <v>0</v>
      </c>
      <c r="LOI285" s="18">
        <v>0</v>
      </c>
      <c r="LOJ285" s="18">
        <v>0</v>
      </c>
      <c r="LOK285" s="18">
        <v>0</v>
      </c>
      <c r="LOL285" s="18">
        <v>0</v>
      </c>
      <c r="LOM285" s="18">
        <v>0</v>
      </c>
      <c r="LON285" s="18">
        <v>0</v>
      </c>
      <c r="LOO285" s="18">
        <v>0</v>
      </c>
      <c r="LOP285" s="18">
        <v>0</v>
      </c>
      <c r="LOQ285" s="18">
        <v>0</v>
      </c>
      <c r="LOR285" s="18">
        <v>0</v>
      </c>
      <c r="LOS285" s="18">
        <v>0</v>
      </c>
      <c r="LOT285" s="18">
        <v>0</v>
      </c>
      <c r="LOU285" s="18">
        <v>0</v>
      </c>
      <c r="LOV285" s="18">
        <v>0</v>
      </c>
      <c r="LOW285" s="18">
        <v>0</v>
      </c>
      <c r="LOX285" s="18">
        <v>0</v>
      </c>
      <c r="LOY285" s="18">
        <v>0</v>
      </c>
      <c r="LOZ285" s="18">
        <v>0</v>
      </c>
      <c r="LPA285" s="18">
        <v>0</v>
      </c>
      <c r="LPB285" s="18">
        <v>0</v>
      </c>
      <c r="LPC285" s="18">
        <v>0</v>
      </c>
      <c r="LPD285" s="18">
        <v>0</v>
      </c>
      <c r="LPE285" s="18">
        <v>0</v>
      </c>
      <c r="LPF285" s="18">
        <v>0</v>
      </c>
      <c r="LPG285" s="18">
        <v>0</v>
      </c>
      <c r="LPH285" s="18">
        <v>0</v>
      </c>
      <c r="LPI285" s="18">
        <v>0</v>
      </c>
      <c r="LPJ285" s="18">
        <v>0</v>
      </c>
      <c r="LPK285" s="18">
        <v>0</v>
      </c>
      <c r="LPL285" s="18">
        <v>0</v>
      </c>
      <c r="LPM285" s="18">
        <v>0</v>
      </c>
      <c r="LPN285" s="18">
        <v>0</v>
      </c>
      <c r="LPO285" s="18">
        <v>0</v>
      </c>
      <c r="LPP285" s="18">
        <v>0</v>
      </c>
      <c r="LPQ285" s="18">
        <v>0</v>
      </c>
      <c r="LPR285" s="18">
        <v>0</v>
      </c>
      <c r="LPS285" s="18">
        <v>0</v>
      </c>
      <c r="LPT285" s="18">
        <v>0</v>
      </c>
      <c r="LPU285" s="18">
        <v>0</v>
      </c>
      <c r="LPV285" s="18">
        <v>0</v>
      </c>
      <c r="LPW285" s="18">
        <v>0</v>
      </c>
      <c r="LPX285" s="18">
        <v>0</v>
      </c>
      <c r="LPY285" s="18">
        <v>0</v>
      </c>
      <c r="LPZ285" s="18">
        <v>0</v>
      </c>
      <c r="LQA285" s="18">
        <v>0</v>
      </c>
      <c r="LQB285" s="18">
        <v>0</v>
      </c>
      <c r="LQC285" s="18">
        <v>0</v>
      </c>
      <c r="LQD285" s="18">
        <v>0</v>
      </c>
      <c r="LQE285" s="18">
        <v>0</v>
      </c>
      <c r="LQF285" s="18">
        <v>0</v>
      </c>
      <c r="LQG285" s="18">
        <v>0</v>
      </c>
      <c r="LQH285" s="18">
        <v>0</v>
      </c>
      <c r="LQI285" s="18">
        <v>0</v>
      </c>
      <c r="LQJ285" s="18">
        <v>0</v>
      </c>
      <c r="LQK285" s="18">
        <v>0</v>
      </c>
      <c r="LQL285" s="18">
        <v>0</v>
      </c>
      <c r="LQM285" s="18">
        <v>0</v>
      </c>
      <c r="LQN285" s="18">
        <v>0</v>
      </c>
      <c r="LQO285" s="18">
        <v>0</v>
      </c>
      <c r="LQP285" s="18">
        <v>0</v>
      </c>
      <c r="LQQ285" s="18">
        <v>0</v>
      </c>
      <c r="LQR285" s="18">
        <v>0</v>
      </c>
      <c r="LQS285" s="18">
        <v>0</v>
      </c>
      <c r="LQT285" s="18">
        <v>0</v>
      </c>
      <c r="LQU285" s="18">
        <v>0</v>
      </c>
      <c r="LQV285" s="18">
        <v>0</v>
      </c>
      <c r="LQW285" s="18">
        <v>0</v>
      </c>
      <c r="LQX285" s="18">
        <v>0</v>
      </c>
      <c r="LQY285" s="18">
        <v>0</v>
      </c>
      <c r="LQZ285" s="18">
        <v>0</v>
      </c>
      <c r="LRA285" s="18">
        <v>0</v>
      </c>
      <c r="LRB285" s="18">
        <v>0</v>
      </c>
      <c r="LRC285" s="18">
        <v>0</v>
      </c>
      <c r="LRD285" s="18">
        <v>0</v>
      </c>
      <c r="LRE285" s="18">
        <v>0</v>
      </c>
      <c r="LRF285" s="18">
        <v>0</v>
      </c>
      <c r="LRG285" s="18">
        <v>0</v>
      </c>
      <c r="LRH285" s="18">
        <v>0</v>
      </c>
      <c r="LRI285" s="18">
        <v>0</v>
      </c>
      <c r="LRJ285" s="18">
        <v>0</v>
      </c>
      <c r="LRK285" s="18">
        <v>0</v>
      </c>
      <c r="LRL285" s="18">
        <v>0</v>
      </c>
      <c r="LRM285" s="18">
        <v>0</v>
      </c>
      <c r="LRN285" s="18">
        <v>0</v>
      </c>
      <c r="LRO285" s="18">
        <v>0</v>
      </c>
      <c r="LRP285" s="18">
        <v>0</v>
      </c>
      <c r="LRQ285" s="18">
        <v>0</v>
      </c>
      <c r="LRR285" s="18">
        <v>0</v>
      </c>
      <c r="LRS285" s="18">
        <v>0</v>
      </c>
      <c r="LRT285" s="18">
        <v>0</v>
      </c>
      <c r="LRU285" s="18">
        <v>0</v>
      </c>
      <c r="LRV285" s="18">
        <v>0</v>
      </c>
      <c r="LRW285" s="18">
        <v>0</v>
      </c>
      <c r="LRX285" s="18">
        <v>0</v>
      </c>
      <c r="LRY285" s="18">
        <v>0</v>
      </c>
      <c r="LRZ285" s="18">
        <v>0</v>
      </c>
      <c r="LSA285" s="18">
        <v>0</v>
      </c>
      <c r="LSB285" s="18">
        <v>0</v>
      </c>
      <c r="LSC285" s="18">
        <v>0</v>
      </c>
      <c r="LSD285" s="18">
        <v>0</v>
      </c>
      <c r="LSE285" s="18">
        <v>0</v>
      </c>
      <c r="LSF285" s="18">
        <v>0</v>
      </c>
      <c r="LSG285" s="18">
        <v>0</v>
      </c>
      <c r="LSH285" s="18">
        <v>0</v>
      </c>
      <c r="LSI285" s="18">
        <v>0</v>
      </c>
      <c r="LSJ285" s="18">
        <v>0</v>
      </c>
      <c r="LSK285" s="18">
        <v>0</v>
      </c>
      <c r="LSL285" s="18">
        <v>0</v>
      </c>
      <c r="LSM285" s="18">
        <v>0</v>
      </c>
      <c r="LSN285" s="18">
        <v>0</v>
      </c>
      <c r="LSO285" s="18">
        <v>0</v>
      </c>
      <c r="LSP285" s="18">
        <v>0</v>
      </c>
      <c r="LSQ285" s="18">
        <v>0</v>
      </c>
      <c r="LSR285" s="18">
        <v>0</v>
      </c>
      <c r="LSS285" s="18">
        <v>0</v>
      </c>
      <c r="LST285" s="18">
        <v>0</v>
      </c>
      <c r="LSU285" s="18">
        <v>0</v>
      </c>
      <c r="LSV285" s="18">
        <v>0</v>
      </c>
      <c r="LSW285" s="18">
        <v>0</v>
      </c>
      <c r="LSX285" s="18">
        <v>0</v>
      </c>
      <c r="LSY285" s="18">
        <v>0</v>
      </c>
      <c r="LSZ285" s="18">
        <v>0</v>
      </c>
      <c r="LTA285" s="18">
        <v>0</v>
      </c>
      <c r="LTB285" s="18">
        <v>0</v>
      </c>
      <c r="LTC285" s="18">
        <v>0</v>
      </c>
      <c r="LTD285" s="18">
        <v>0</v>
      </c>
      <c r="LTE285" s="18">
        <v>0</v>
      </c>
      <c r="LTF285" s="18">
        <v>0</v>
      </c>
      <c r="LTG285" s="18">
        <v>0</v>
      </c>
      <c r="LTH285" s="18">
        <v>0</v>
      </c>
      <c r="LTI285" s="18">
        <v>0</v>
      </c>
      <c r="LTJ285" s="18">
        <v>0</v>
      </c>
      <c r="LTK285" s="18">
        <v>0</v>
      </c>
      <c r="LTL285" s="18">
        <v>0</v>
      </c>
      <c r="LTM285" s="18">
        <v>0</v>
      </c>
      <c r="LTN285" s="18">
        <v>0</v>
      </c>
      <c r="LTO285" s="18">
        <v>0</v>
      </c>
      <c r="LTP285" s="18">
        <v>0</v>
      </c>
      <c r="LTQ285" s="18">
        <v>0</v>
      </c>
      <c r="LTR285" s="18">
        <v>0</v>
      </c>
      <c r="LTS285" s="18">
        <v>0</v>
      </c>
      <c r="LTT285" s="18">
        <v>0</v>
      </c>
      <c r="LTU285" s="18">
        <v>0</v>
      </c>
      <c r="LTV285" s="18">
        <v>0</v>
      </c>
      <c r="LTW285" s="18">
        <v>0</v>
      </c>
      <c r="LTX285" s="18">
        <v>0</v>
      </c>
      <c r="LTY285" s="18">
        <v>0</v>
      </c>
      <c r="LTZ285" s="18">
        <v>0</v>
      </c>
      <c r="LUA285" s="18">
        <v>0</v>
      </c>
      <c r="LUB285" s="18">
        <v>0</v>
      </c>
      <c r="LUC285" s="18">
        <v>0</v>
      </c>
      <c r="LUD285" s="18">
        <v>0</v>
      </c>
      <c r="LUE285" s="18">
        <v>0</v>
      </c>
      <c r="LUF285" s="18">
        <v>0</v>
      </c>
      <c r="LUG285" s="18">
        <v>0</v>
      </c>
      <c r="LUH285" s="18">
        <v>0</v>
      </c>
      <c r="LUI285" s="18">
        <v>0</v>
      </c>
      <c r="LUJ285" s="18">
        <v>0</v>
      </c>
      <c r="LUK285" s="18">
        <v>0</v>
      </c>
      <c r="LUL285" s="18">
        <v>0</v>
      </c>
      <c r="LUM285" s="18">
        <v>0</v>
      </c>
      <c r="LUN285" s="18">
        <v>0</v>
      </c>
      <c r="LUO285" s="18">
        <v>0</v>
      </c>
      <c r="LUP285" s="18">
        <v>0</v>
      </c>
      <c r="LUQ285" s="18">
        <v>0</v>
      </c>
      <c r="LUR285" s="18">
        <v>0</v>
      </c>
      <c r="LUS285" s="18">
        <v>0</v>
      </c>
      <c r="LUT285" s="18">
        <v>0</v>
      </c>
      <c r="LUU285" s="18">
        <v>0</v>
      </c>
      <c r="LUV285" s="18">
        <v>0</v>
      </c>
      <c r="LUW285" s="18">
        <v>0</v>
      </c>
      <c r="LUX285" s="18">
        <v>0</v>
      </c>
      <c r="LUY285" s="18">
        <v>0</v>
      </c>
      <c r="LUZ285" s="18">
        <v>0</v>
      </c>
      <c r="LVA285" s="18">
        <v>0</v>
      </c>
      <c r="LVB285" s="18">
        <v>0</v>
      </c>
      <c r="LVC285" s="18">
        <v>0</v>
      </c>
      <c r="LVD285" s="18">
        <v>0</v>
      </c>
      <c r="LVE285" s="18">
        <v>0</v>
      </c>
      <c r="LVF285" s="18">
        <v>0</v>
      </c>
      <c r="LVG285" s="18">
        <v>0</v>
      </c>
      <c r="LVH285" s="18">
        <v>0</v>
      </c>
      <c r="LVI285" s="18">
        <v>0</v>
      </c>
      <c r="LVJ285" s="18">
        <v>0</v>
      </c>
      <c r="LVK285" s="18">
        <v>0</v>
      </c>
      <c r="LVL285" s="18">
        <v>0</v>
      </c>
      <c r="LVM285" s="18">
        <v>0</v>
      </c>
      <c r="LVN285" s="18">
        <v>0</v>
      </c>
      <c r="LVO285" s="18">
        <v>0</v>
      </c>
      <c r="LVP285" s="18">
        <v>0</v>
      </c>
      <c r="LVQ285" s="18">
        <v>0</v>
      </c>
      <c r="LVR285" s="18">
        <v>0</v>
      </c>
      <c r="LVS285" s="18">
        <v>0</v>
      </c>
      <c r="LVT285" s="18">
        <v>0</v>
      </c>
      <c r="LVU285" s="18">
        <v>0</v>
      </c>
      <c r="LVV285" s="18">
        <v>0</v>
      </c>
      <c r="LVW285" s="18">
        <v>0</v>
      </c>
      <c r="LVX285" s="18">
        <v>0</v>
      </c>
      <c r="LVY285" s="18">
        <v>0</v>
      </c>
      <c r="LVZ285" s="18">
        <v>0</v>
      </c>
      <c r="LWA285" s="18">
        <v>0</v>
      </c>
      <c r="LWB285" s="18">
        <v>0</v>
      </c>
      <c r="LWC285" s="18">
        <v>0</v>
      </c>
      <c r="LWD285" s="18">
        <v>0</v>
      </c>
      <c r="LWE285" s="18">
        <v>0</v>
      </c>
      <c r="LWF285" s="18">
        <v>0</v>
      </c>
      <c r="LWG285" s="18">
        <v>0</v>
      </c>
      <c r="LWH285" s="18">
        <v>0</v>
      </c>
      <c r="LWI285" s="18">
        <v>0</v>
      </c>
      <c r="LWJ285" s="18">
        <v>0</v>
      </c>
      <c r="LWK285" s="18">
        <v>0</v>
      </c>
      <c r="LWL285" s="18">
        <v>0</v>
      </c>
      <c r="LWM285" s="18">
        <v>0</v>
      </c>
      <c r="LWN285" s="18">
        <v>0</v>
      </c>
      <c r="LWO285" s="18">
        <v>0</v>
      </c>
      <c r="LWP285" s="18">
        <v>0</v>
      </c>
      <c r="LWQ285" s="18">
        <v>0</v>
      </c>
      <c r="LWR285" s="18">
        <v>0</v>
      </c>
      <c r="LWS285" s="18">
        <v>0</v>
      </c>
      <c r="LWT285" s="18">
        <v>0</v>
      </c>
      <c r="LWU285" s="18">
        <v>0</v>
      </c>
      <c r="LWV285" s="18">
        <v>0</v>
      </c>
      <c r="LWW285" s="18">
        <v>0</v>
      </c>
      <c r="LWX285" s="18">
        <v>0</v>
      </c>
      <c r="LWY285" s="18">
        <v>0</v>
      </c>
      <c r="LWZ285" s="18">
        <v>0</v>
      </c>
      <c r="LXA285" s="18">
        <v>0</v>
      </c>
      <c r="LXB285" s="18">
        <v>0</v>
      </c>
      <c r="LXC285" s="18">
        <v>0</v>
      </c>
      <c r="LXD285" s="18">
        <v>0</v>
      </c>
      <c r="LXE285" s="18">
        <v>0</v>
      </c>
      <c r="LXF285" s="18">
        <v>0</v>
      </c>
      <c r="LXG285" s="18">
        <v>0</v>
      </c>
      <c r="LXH285" s="18">
        <v>0</v>
      </c>
      <c r="LXI285" s="18">
        <v>0</v>
      </c>
      <c r="LXJ285" s="18">
        <v>0</v>
      </c>
      <c r="LXK285" s="18">
        <v>0</v>
      </c>
      <c r="LXL285" s="18">
        <v>0</v>
      </c>
      <c r="LXM285" s="18">
        <v>0</v>
      </c>
      <c r="LXN285" s="18">
        <v>0</v>
      </c>
      <c r="LXO285" s="18">
        <v>0</v>
      </c>
      <c r="LXP285" s="18">
        <v>0</v>
      </c>
      <c r="LXQ285" s="18">
        <v>0</v>
      </c>
      <c r="LXR285" s="18">
        <v>0</v>
      </c>
      <c r="LXS285" s="18">
        <v>0</v>
      </c>
      <c r="LXT285" s="18">
        <v>0</v>
      </c>
      <c r="LXU285" s="18">
        <v>0</v>
      </c>
      <c r="LXV285" s="18">
        <v>0</v>
      </c>
      <c r="LXW285" s="18">
        <v>0</v>
      </c>
      <c r="LXX285" s="18">
        <v>0</v>
      </c>
      <c r="LXY285" s="18">
        <v>0</v>
      </c>
      <c r="LXZ285" s="18">
        <v>0</v>
      </c>
      <c r="LYA285" s="18">
        <v>0</v>
      </c>
      <c r="LYB285" s="18">
        <v>0</v>
      </c>
      <c r="LYC285" s="18">
        <v>0</v>
      </c>
      <c r="LYD285" s="18">
        <v>0</v>
      </c>
      <c r="LYE285" s="18">
        <v>0</v>
      </c>
      <c r="LYF285" s="18">
        <v>0</v>
      </c>
      <c r="LYG285" s="18">
        <v>0</v>
      </c>
      <c r="LYH285" s="18">
        <v>0</v>
      </c>
      <c r="LYI285" s="18">
        <v>0</v>
      </c>
      <c r="LYJ285" s="18">
        <v>0</v>
      </c>
      <c r="LYK285" s="18">
        <v>0</v>
      </c>
      <c r="LYL285" s="18">
        <v>0</v>
      </c>
      <c r="LYM285" s="18">
        <v>0</v>
      </c>
      <c r="LYN285" s="18">
        <v>0</v>
      </c>
      <c r="LYO285" s="18">
        <v>0</v>
      </c>
      <c r="LYP285" s="18">
        <v>0</v>
      </c>
      <c r="LYQ285" s="18">
        <v>0</v>
      </c>
      <c r="LYR285" s="18">
        <v>0</v>
      </c>
      <c r="LYS285" s="18">
        <v>0</v>
      </c>
      <c r="LYT285" s="18">
        <v>0</v>
      </c>
      <c r="LYU285" s="18">
        <v>0</v>
      </c>
      <c r="LYV285" s="18">
        <v>0</v>
      </c>
      <c r="LYW285" s="18">
        <v>0</v>
      </c>
      <c r="LYX285" s="18">
        <v>0</v>
      </c>
      <c r="LYY285" s="18">
        <v>0</v>
      </c>
      <c r="LYZ285" s="18">
        <v>0</v>
      </c>
      <c r="LZA285" s="18">
        <v>0</v>
      </c>
      <c r="LZB285" s="18">
        <v>0</v>
      </c>
      <c r="LZC285" s="18">
        <v>0</v>
      </c>
      <c r="LZD285" s="18">
        <v>0</v>
      </c>
      <c r="LZE285" s="18">
        <v>0</v>
      </c>
      <c r="LZF285" s="18">
        <v>0</v>
      </c>
      <c r="LZG285" s="18">
        <v>0</v>
      </c>
      <c r="LZH285" s="18">
        <v>0</v>
      </c>
      <c r="LZI285" s="18">
        <v>0</v>
      </c>
      <c r="LZJ285" s="18">
        <v>0</v>
      </c>
      <c r="LZK285" s="18">
        <v>0</v>
      </c>
      <c r="LZL285" s="18">
        <v>0</v>
      </c>
      <c r="LZM285" s="18">
        <v>0</v>
      </c>
      <c r="LZN285" s="18">
        <v>0</v>
      </c>
      <c r="LZO285" s="18">
        <v>0</v>
      </c>
      <c r="LZP285" s="18">
        <v>0</v>
      </c>
      <c r="LZQ285" s="18">
        <v>0</v>
      </c>
      <c r="LZR285" s="18">
        <v>0</v>
      </c>
      <c r="LZS285" s="18">
        <v>0</v>
      </c>
      <c r="LZT285" s="18">
        <v>0</v>
      </c>
      <c r="LZU285" s="18">
        <v>0</v>
      </c>
      <c r="LZV285" s="18">
        <v>0</v>
      </c>
      <c r="LZW285" s="18">
        <v>0</v>
      </c>
      <c r="LZX285" s="18">
        <v>0</v>
      </c>
      <c r="LZY285" s="18">
        <v>0</v>
      </c>
      <c r="LZZ285" s="18">
        <v>0</v>
      </c>
      <c r="MAA285" s="18">
        <v>0</v>
      </c>
      <c r="MAB285" s="18">
        <v>0</v>
      </c>
      <c r="MAC285" s="18">
        <v>0</v>
      </c>
      <c r="MAD285" s="18">
        <v>0</v>
      </c>
      <c r="MAE285" s="18">
        <v>0</v>
      </c>
      <c r="MAF285" s="18">
        <v>0</v>
      </c>
      <c r="MAG285" s="18">
        <v>0</v>
      </c>
      <c r="MAH285" s="18">
        <v>0</v>
      </c>
      <c r="MAI285" s="18">
        <v>0</v>
      </c>
      <c r="MAJ285" s="18">
        <v>0</v>
      </c>
      <c r="MAK285" s="18">
        <v>0</v>
      </c>
      <c r="MAL285" s="18">
        <v>0</v>
      </c>
      <c r="MAM285" s="18">
        <v>0</v>
      </c>
      <c r="MAN285" s="18">
        <v>0</v>
      </c>
      <c r="MAO285" s="18">
        <v>0</v>
      </c>
      <c r="MAP285" s="18">
        <v>0</v>
      </c>
      <c r="MAQ285" s="18">
        <v>0</v>
      </c>
      <c r="MAR285" s="18">
        <v>0</v>
      </c>
      <c r="MAS285" s="18">
        <v>0</v>
      </c>
      <c r="MAT285" s="18">
        <v>0</v>
      </c>
      <c r="MAU285" s="18">
        <v>0</v>
      </c>
      <c r="MAV285" s="18">
        <v>0</v>
      </c>
      <c r="MAW285" s="18">
        <v>0</v>
      </c>
      <c r="MAX285" s="18">
        <v>0</v>
      </c>
      <c r="MAY285" s="18">
        <v>0</v>
      </c>
      <c r="MAZ285" s="18">
        <v>0</v>
      </c>
      <c r="MBA285" s="18">
        <v>0</v>
      </c>
      <c r="MBB285" s="18">
        <v>0</v>
      </c>
      <c r="MBC285" s="18">
        <v>0</v>
      </c>
      <c r="MBD285" s="18">
        <v>0</v>
      </c>
      <c r="MBE285" s="18">
        <v>0</v>
      </c>
      <c r="MBF285" s="18">
        <v>0</v>
      </c>
      <c r="MBG285" s="18">
        <v>0</v>
      </c>
      <c r="MBH285" s="18">
        <v>0</v>
      </c>
      <c r="MBI285" s="18">
        <v>0</v>
      </c>
      <c r="MBJ285" s="18">
        <v>0</v>
      </c>
      <c r="MBK285" s="18">
        <v>0</v>
      </c>
      <c r="MBL285" s="18">
        <v>0</v>
      </c>
      <c r="MBM285" s="18">
        <v>0</v>
      </c>
      <c r="MBN285" s="18">
        <v>0</v>
      </c>
      <c r="MBO285" s="18">
        <v>0</v>
      </c>
      <c r="MBP285" s="18">
        <v>0</v>
      </c>
      <c r="MBQ285" s="18">
        <v>0</v>
      </c>
      <c r="MBR285" s="18">
        <v>0</v>
      </c>
      <c r="MBS285" s="18">
        <v>0</v>
      </c>
      <c r="MBT285" s="18">
        <v>0</v>
      </c>
      <c r="MBU285" s="18">
        <v>0</v>
      </c>
      <c r="MBV285" s="18">
        <v>0</v>
      </c>
      <c r="MBW285" s="18">
        <v>0</v>
      </c>
      <c r="MBX285" s="18">
        <v>0</v>
      </c>
      <c r="MBY285" s="18">
        <v>0</v>
      </c>
      <c r="MBZ285" s="18">
        <v>0</v>
      </c>
      <c r="MCA285" s="18">
        <v>0</v>
      </c>
      <c r="MCB285" s="18">
        <v>0</v>
      </c>
      <c r="MCC285" s="18">
        <v>0</v>
      </c>
      <c r="MCD285" s="18">
        <v>0</v>
      </c>
      <c r="MCE285" s="18">
        <v>0</v>
      </c>
      <c r="MCF285" s="18">
        <v>0</v>
      </c>
      <c r="MCG285" s="18">
        <v>0</v>
      </c>
      <c r="MCH285" s="18">
        <v>0</v>
      </c>
      <c r="MCI285" s="18">
        <v>0</v>
      </c>
      <c r="MCJ285" s="18">
        <v>0</v>
      </c>
      <c r="MCK285" s="18">
        <v>0</v>
      </c>
      <c r="MCL285" s="18">
        <v>0</v>
      </c>
      <c r="MCM285" s="18">
        <v>0</v>
      </c>
      <c r="MCN285" s="18">
        <v>0</v>
      </c>
      <c r="MCO285" s="18">
        <v>0</v>
      </c>
      <c r="MCP285" s="18">
        <v>0</v>
      </c>
      <c r="MCQ285" s="18">
        <v>0</v>
      </c>
      <c r="MCR285" s="18">
        <v>0</v>
      </c>
      <c r="MCS285" s="18">
        <v>0</v>
      </c>
      <c r="MCT285" s="18">
        <v>0</v>
      </c>
      <c r="MCU285" s="18">
        <v>0</v>
      </c>
      <c r="MCV285" s="18">
        <v>0</v>
      </c>
      <c r="MCW285" s="18">
        <v>0</v>
      </c>
      <c r="MCX285" s="18">
        <v>0</v>
      </c>
      <c r="MCY285" s="18">
        <v>0</v>
      </c>
      <c r="MCZ285" s="18">
        <v>0</v>
      </c>
      <c r="MDA285" s="18">
        <v>0</v>
      </c>
      <c r="MDB285" s="18">
        <v>0</v>
      </c>
      <c r="MDC285" s="18">
        <v>0</v>
      </c>
      <c r="MDD285" s="18">
        <v>0</v>
      </c>
      <c r="MDE285" s="18">
        <v>0</v>
      </c>
      <c r="MDF285" s="18">
        <v>0</v>
      </c>
      <c r="MDG285" s="18">
        <v>0</v>
      </c>
      <c r="MDH285" s="18">
        <v>0</v>
      </c>
      <c r="MDI285" s="18">
        <v>0</v>
      </c>
      <c r="MDJ285" s="18">
        <v>0</v>
      </c>
      <c r="MDK285" s="18">
        <v>0</v>
      </c>
      <c r="MDL285" s="18">
        <v>0</v>
      </c>
      <c r="MDM285" s="18">
        <v>0</v>
      </c>
      <c r="MDN285" s="18">
        <v>0</v>
      </c>
      <c r="MDO285" s="18">
        <v>0</v>
      </c>
      <c r="MDP285" s="18">
        <v>0</v>
      </c>
      <c r="MDQ285" s="18">
        <v>0</v>
      </c>
      <c r="MDR285" s="18">
        <v>0</v>
      </c>
      <c r="MDS285" s="18">
        <v>0</v>
      </c>
      <c r="MDT285" s="18">
        <v>0</v>
      </c>
      <c r="MDU285" s="18">
        <v>0</v>
      </c>
      <c r="MDV285" s="18">
        <v>0</v>
      </c>
      <c r="MDW285" s="18">
        <v>0</v>
      </c>
      <c r="MDX285" s="18">
        <v>0</v>
      </c>
      <c r="MDY285" s="18">
        <v>0</v>
      </c>
      <c r="MDZ285" s="18">
        <v>0</v>
      </c>
      <c r="MEA285" s="18">
        <v>0</v>
      </c>
      <c r="MEB285" s="18">
        <v>0</v>
      </c>
      <c r="MEC285" s="18">
        <v>0</v>
      </c>
      <c r="MED285" s="18">
        <v>0</v>
      </c>
      <c r="MEE285" s="18">
        <v>0</v>
      </c>
      <c r="MEF285" s="18">
        <v>0</v>
      </c>
      <c r="MEG285" s="18">
        <v>0</v>
      </c>
      <c r="MEH285" s="18">
        <v>0</v>
      </c>
      <c r="MEI285" s="18">
        <v>0</v>
      </c>
      <c r="MEJ285" s="18">
        <v>0</v>
      </c>
      <c r="MEK285" s="18">
        <v>0</v>
      </c>
      <c r="MEL285" s="18">
        <v>0</v>
      </c>
      <c r="MEM285" s="18">
        <v>0</v>
      </c>
      <c r="MEN285" s="18">
        <v>0</v>
      </c>
      <c r="MEO285" s="18">
        <v>0</v>
      </c>
      <c r="MEP285" s="18">
        <v>0</v>
      </c>
      <c r="MEQ285" s="18">
        <v>0</v>
      </c>
      <c r="MER285" s="18">
        <v>0</v>
      </c>
      <c r="MES285" s="18">
        <v>0</v>
      </c>
      <c r="MET285" s="18">
        <v>0</v>
      </c>
      <c r="MEU285" s="18">
        <v>0</v>
      </c>
      <c r="MEV285" s="18">
        <v>0</v>
      </c>
      <c r="MEW285" s="18">
        <v>0</v>
      </c>
      <c r="MEX285" s="18">
        <v>0</v>
      </c>
      <c r="MEY285" s="18">
        <v>0</v>
      </c>
      <c r="MEZ285" s="18">
        <v>0</v>
      </c>
      <c r="MFA285" s="18">
        <v>0</v>
      </c>
      <c r="MFB285" s="18">
        <v>0</v>
      </c>
      <c r="MFC285" s="18">
        <v>0</v>
      </c>
      <c r="MFD285" s="18">
        <v>0</v>
      </c>
      <c r="MFE285" s="18">
        <v>0</v>
      </c>
      <c r="MFF285" s="18">
        <v>0</v>
      </c>
      <c r="MFG285" s="18">
        <v>0</v>
      </c>
      <c r="MFH285" s="18">
        <v>0</v>
      </c>
      <c r="MFI285" s="18">
        <v>0</v>
      </c>
      <c r="MFJ285" s="18">
        <v>0</v>
      </c>
      <c r="MFK285" s="18">
        <v>0</v>
      </c>
      <c r="MFL285" s="18">
        <v>0</v>
      </c>
      <c r="MFM285" s="18">
        <v>0</v>
      </c>
      <c r="MFN285" s="18">
        <v>0</v>
      </c>
      <c r="MFO285" s="18">
        <v>0</v>
      </c>
      <c r="MFP285" s="18">
        <v>0</v>
      </c>
      <c r="MFQ285" s="18">
        <v>0</v>
      </c>
      <c r="MFR285" s="18">
        <v>0</v>
      </c>
      <c r="MFS285" s="18">
        <v>0</v>
      </c>
      <c r="MFT285" s="18">
        <v>0</v>
      </c>
      <c r="MFU285" s="18">
        <v>0</v>
      </c>
      <c r="MFV285" s="18">
        <v>0</v>
      </c>
      <c r="MFW285" s="18">
        <v>0</v>
      </c>
      <c r="MFX285" s="18">
        <v>0</v>
      </c>
      <c r="MFY285" s="18">
        <v>0</v>
      </c>
      <c r="MFZ285" s="18">
        <v>0</v>
      </c>
      <c r="MGA285" s="18">
        <v>0</v>
      </c>
      <c r="MGB285" s="18">
        <v>0</v>
      </c>
      <c r="MGC285" s="18">
        <v>0</v>
      </c>
      <c r="MGD285" s="18">
        <v>0</v>
      </c>
      <c r="MGE285" s="18">
        <v>0</v>
      </c>
      <c r="MGF285" s="18">
        <v>0</v>
      </c>
      <c r="MGG285" s="18">
        <v>0</v>
      </c>
      <c r="MGH285" s="18">
        <v>0</v>
      </c>
      <c r="MGI285" s="18">
        <v>0</v>
      </c>
      <c r="MGJ285" s="18">
        <v>0</v>
      </c>
      <c r="MGK285" s="18">
        <v>0</v>
      </c>
      <c r="MGL285" s="18">
        <v>0</v>
      </c>
      <c r="MGM285" s="18">
        <v>0</v>
      </c>
      <c r="MGN285" s="18">
        <v>0</v>
      </c>
      <c r="MGO285" s="18">
        <v>0</v>
      </c>
      <c r="MGP285" s="18">
        <v>0</v>
      </c>
      <c r="MGQ285" s="18">
        <v>0</v>
      </c>
      <c r="MGR285" s="18">
        <v>0</v>
      </c>
      <c r="MGS285" s="18">
        <v>0</v>
      </c>
      <c r="MGT285" s="18">
        <v>0</v>
      </c>
      <c r="MGU285" s="18">
        <v>0</v>
      </c>
      <c r="MGV285" s="18">
        <v>0</v>
      </c>
      <c r="MGW285" s="18">
        <v>0</v>
      </c>
      <c r="MGX285" s="18">
        <v>0</v>
      </c>
      <c r="MGY285" s="18">
        <v>0</v>
      </c>
      <c r="MGZ285" s="18">
        <v>0</v>
      </c>
      <c r="MHA285" s="18">
        <v>0</v>
      </c>
      <c r="MHB285" s="18">
        <v>0</v>
      </c>
      <c r="MHC285" s="18">
        <v>0</v>
      </c>
      <c r="MHD285" s="18">
        <v>0</v>
      </c>
      <c r="MHE285" s="18">
        <v>0</v>
      </c>
      <c r="MHF285" s="18">
        <v>0</v>
      </c>
      <c r="MHG285" s="18">
        <v>0</v>
      </c>
      <c r="MHH285" s="18">
        <v>0</v>
      </c>
      <c r="MHI285" s="18">
        <v>0</v>
      </c>
      <c r="MHJ285" s="18">
        <v>0</v>
      </c>
      <c r="MHK285" s="18">
        <v>0</v>
      </c>
      <c r="MHL285" s="18">
        <v>0</v>
      </c>
      <c r="MHM285" s="18">
        <v>0</v>
      </c>
      <c r="MHN285" s="18">
        <v>0</v>
      </c>
      <c r="MHO285" s="18">
        <v>0</v>
      </c>
      <c r="MHP285" s="18">
        <v>0</v>
      </c>
      <c r="MHQ285" s="18">
        <v>0</v>
      </c>
      <c r="MHR285" s="18">
        <v>0</v>
      </c>
      <c r="MHS285" s="18">
        <v>0</v>
      </c>
      <c r="MHT285" s="18">
        <v>0</v>
      </c>
      <c r="MHU285" s="18">
        <v>0</v>
      </c>
      <c r="MHV285" s="18">
        <v>0</v>
      </c>
      <c r="MHW285" s="18">
        <v>0</v>
      </c>
      <c r="MHX285" s="18">
        <v>0</v>
      </c>
      <c r="MHY285" s="18">
        <v>0</v>
      </c>
      <c r="MHZ285" s="18">
        <v>0</v>
      </c>
      <c r="MIA285" s="18">
        <v>0</v>
      </c>
      <c r="MIB285" s="18">
        <v>0</v>
      </c>
      <c r="MIC285" s="18">
        <v>0</v>
      </c>
      <c r="MID285" s="18">
        <v>0</v>
      </c>
      <c r="MIE285" s="18">
        <v>0</v>
      </c>
      <c r="MIF285" s="18">
        <v>0</v>
      </c>
      <c r="MIG285" s="18">
        <v>0</v>
      </c>
      <c r="MIH285" s="18">
        <v>0</v>
      </c>
      <c r="MII285" s="18">
        <v>0</v>
      </c>
      <c r="MIJ285" s="18">
        <v>0</v>
      </c>
      <c r="MIK285" s="18">
        <v>0</v>
      </c>
      <c r="MIL285" s="18">
        <v>0</v>
      </c>
      <c r="MIM285" s="18">
        <v>0</v>
      </c>
      <c r="MIN285" s="18">
        <v>0</v>
      </c>
      <c r="MIO285" s="18">
        <v>0</v>
      </c>
      <c r="MIP285" s="18">
        <v>0</v>
      </c>
      <c r="MIQ285" s="18">
        <v>0</v>
      </c>
      <c r="MIR285" s="18">
        <v>0</v>
      </c>
      <c r="MIS285" s="18">
        <v>0</v>
      </c>
      <c r="MIT285" s="18">
        <v>0</v>
      </c>
      <c r="MIU285" s="18">
        <v>0</v>
      </c>
      <c r="MIV285" s="18">
        <v>0</v>
      </c>
      <c r="MIW285" s="18">
        <v>0</v>
      </c>
      <c r="MIX285" s="18">
        <v>0</v>
      </c>
      <c r="MIY285" s="18">
        <v>0</v>
      </c>
      <c r="MIZ285" s="18">
        <v>0</v>
      </c>
      <c r="MJA285" s="18">
        <v>0</v>
      </c>
      <c r="MJB285" s="18">
        <v>0</v>
      </c>
      <c r="MJC285" s="18">
        <v>0</v>
      </c>
      <c r="MJD285" s="18">
        <v>0</v>
      </c>
      <c r="MJE285" s="18">
        <v>0</v>
      </c>
      <c r="MJF285" s="18">
        <v>0</v>
      </c>
      <c r="MJG285" s="18">
        <v>0</v>
      </c>
      <c r="MJH285" s="18">
        <v>0</v>
      </c>
      <c r="MJI285" s="18">
        <v>0</v>
      </c>
      <c r="MJJ285" s="18">
        <v>0</v>
      </c>
      <c r="MJK285" s="18">
        <v>0</v>
      </c>
      <c r="MJL285" s="18">
        <v>0</v>
      </c>
      <c r="MJM285" s="18">
        <v>0</v>
      </c>
      <c r="MJN285" s="18">
        <v>0</v>
      </c>
      <c r="MJO285" s="18">
        <v>0</v>
      </c>
      <c r="MJP285" s="18">
        <v>0</v>
      </c>
      <c r="MJQ285" s="18">
        <v>0</v>
      </c>
      <c r="MJR285" s="18">
        <v>0</v>
      </c>
      <c r="MJS285" s="18">
        <v>0</v>
      </c>
      <c r="MJT285" s="18">
        <v>0</v>
      </c>
      <c r="MJU285" s="18">
        <v>0</v>
      </c>
      <c r="MJV285" s="18">
        <v>0</v>
      </c>
      <c r="MJW285" s="18">
        <v>0</v>
      </c>
      <c r="MJX285" s="18">
        <v>0</v>
      </c>
      <c r="MJY285" s="18">
        <v>0</v>
      </c>
      <c r="MJZ285" s="18">
        <v>0</v>
      </c>
      <c r="MKA285" s="18">
        <v>0</v>
      </c>
      <c r="MKB285" s="18">
        <v>0</v>
      </c>
      <c r="MKC285" s="18">
        <v>0</v>
      </c>
      <c r="MKD285" s="18">
        <v>0</v>
      </c>
      <c r="MKE285" s="18">
        <v>0</v>
      </c>
      <c r="MKF285" s="18">
        <v>0</v>
      </c>
      <c r="MKG285" s="18">
        <v>0</v>
      </c>
      <c r="MKH285" s="18">
        <v>0</v>
      </c>
      <c r="MKI285" s="18">
        <v>0</v>
      </c>
      <c r="MKJ285" s="18">
        <v>0</v>
      </c>
      <c r="MKK285" s="18">
        <v>0</v>
      </c>
      <c r="MKL285" s="18">
        <v>0</v>
      </c>
      <c r="MKM285" s="18">
        <v>0</v>
      </c>
      <c r="MKN285" s="18">
        <v>0</v>
      </c>
      <c r="MKO285" s="18">
        <v>0</v>
      </c>
      <c r="MKP285" s="18">
        <v>0</v>
      </c>
      <c r="MKQ285" s="18">
        <v>0</v>
      </c>
      <c r="MKR285" s="18">
        <v>0</v>
      </c>
      <c r="MKS285" s="18">
        <v>0</v>
      </c>
      <c r="MKT285" s="18">
        <v>0</v>
      </c>
      <c r="MKU285" s="18">
        <v>0</v>
      </c>
      <c r="MKV285" s="18">
        <v>0</v>
      </c>
      <c r="MKW285" s="18">
        <v>0</v>
      </c>
      <c r="MKX285" s="18">
        <v>0</v>
      </c>
      <c r="MKY285" s="18">
        <v>0</v>
      </c>
      <c r="MKZ285" s="18">
        <v>0</v>
      </c>
      <c r="MLA285" s="18">
        <v>0</v>
      </c>
      <c r="MLB285" s="18">
        <v>0</v>
      </c>
      <c r="MLC285" s="18">
        <v>0</v>
      </c>
      <c r="MLD285" s="18">
        <v>0</v>
      </c>
      <c r="MLE285" s="18">
        <v>0</v>
      </c>
      <c r="MLF285" s="18">
        <v>0</v>
      </c>
      <c r="MLG285" s="18">
        <v>0</v>
      </c>
      <c r="MLH285" s="18">
        <v>0</v>
      </c>
      <c r="MLI285" s="18">
        <v>0</v>
      </c>
      <c r="MLJ285" s="18">
        <v>0</v>
      </c>
      <c r="MLK285" s="18">
        <v>0</v>
      </c>
      <c r="MLL285" s="18">
        <v>0</v>
      </c>
      <c r="MLM285" s="18">
        <v>0</v>
      </c>
      <c r="MLN285" s="18">
        <v>0</v>
      </c>
      <c r="MLO285" s="18">
        <v>0</v>
      </c>
      <c r="MLP285" s="18">
        <v>0</v>
      </c>
      <c r="MLQ285" s="18">
        <v>0</v>
      </c>
      <c r="MLR285" s="18">
        <v>0</v>
      </c>
      <c r="MLS285" s="18">
        <v>0</v>
      </c>
      <c r="MLT285" s="18">
        <v>0</v>
      </c>
      <c r="MLU285" s="18">
        <v>0</v>
      </c>
      <c r="MLV285" s="18">
        <v>0</v>
      </c>
      <c r="MLW285" s="18">
        <v>0</v>
      </c>
      <c r="MLX285" s="18">
        <v>0</v>
      </c>
      <c r="MLY285" s="18">
        <v>0</v>
      </c>
      <c r="MLZ285" s="18">
        <v>0</v>
      </c>
      <c r="MMA285" s="18">
        <v>0</v>
      </c>
      <c r="MMB285" s="18">
        <v>0</v>
      </c>
      <c r="MMC285" s="18">
        <v>0</v>
      </c>
      <c r="MMD285" s="18">
        <v>0</v>
      </c>
      <c r="MME285" s="18">
        <v>0</v>
      </c>
      <c r="MMF285" s="18">
        <v>0</v>
      </c>
      <c r="MMG285" s="18">
        <v>0</v>
      </c>
      <c r="MMH285" s="18">
        <v>0</v>
      </c>
      <c r="MMI285" s="18">
        <v>0</v>
      </c>
      <c r="MMJ285" s="18">
        <v>0</v>
      </c>
      <c r="MMK285" s="18">
        <v>0</v>
      </c>
      <c r="MML285" s="18">
        <v>0</v>
      </c>
      <c r="MMM285" s="18">
        <v>0</v>
      </c>
      <c r="MMN285" s="18">
        <v>0</v>
      </c>
      <c r="MMO285" s="18">
        <v>0</v>
      </c>
      <c r="MMP285" s="18">
        <v>0</v>
      </c>
      <c r="MMQ285" s="18">
        <v>0</v>
      </c>
      <c r="MMR285" s="18">
        <v>0</v>
      </c>
      <c r="MMS285" s="18">
        <v>0</v>
      </c>
      <c r="MMT285" s="18">
        <v>0</v>
      </c>
      <c r="MMU285" s="18">
        <v>0</v>
      </c>
      <c r="MMV285" s="18">
        <v>0</v>
      </c>
      <c r="MMW285" s="18">
        <v>0</v>
      </c>
      <c r="MMX285" s="18">
        <v>0</v>
      </c>
      <c r="MMY285" s="18">
        <v>0</v>
      </c>
      <c r="MMZ285" s="18">
        <v>0</v>
      </c>
      <c r="MNA285" s="18">
        <v>0</v>
      </c>
      <c r="MNB285" s="18">
        <v>0</v>
      </c>
      <c r="MNC285" s="18">
        <v>0</v>
      </c>
      <c r="MND285" s="18">
        <v>0</v>
      </c>
      <c r="MNE285" s="18">
        <v>0</v>
      </c>
      <c r="MNF285" s="18">
        <v>0</v>
      </c>
      <c r="MNG285" s="18">
        <v>0</v>
      </c>
      <c r="MNH285" s="18">
        <v>0</v>
      </c>
      <c r="MNI285" s="18">
        <v>0</v>
      </c>
      <c r="MNJ285" s="18">
        <v>0</v>
      </c>
      <c r="MNK285" s="18">
        <v>0</v>
      </c>
      <c r="MNL285" s="18">
        <v>0</v>
      </c>
      <c r="MNM285" s="18">
        <v>0</v>
      </c>
      <c r="MNN285" s="18">
        <v>0</v>
      </c>
      <c r="MNO285" s="18">
        <v>0</v>
      </c>
      <c r="MNP285" s="18">
        <v>0</v>
      </c>
      <c r="MNQ285" s="18">
        <v>0</v>
      </c>
      <c r="MNR285" s="18">
        <v>0</v>
      </c>
      <c r="MNS285" s="18">
        <v>0</v>
      </c>
      <c r="MNT285" s="18">
        <v>0</v>
      </c>
      <c r="MNU285" s="18">
        <v>0</v>
      </c>
      <c r="MNV285" s="18">
        <v>0</v>
      </c>
      <c r="MNW285" s="18">
        <v>0</v>
      </c>
      <c r="MNX285" s="18">
        <v>0</v>
      </c>
      <c r="MNY285" s="18">
        <v>0</v>
      </c>
      <c r="MNZ285" s="18">
        <v>0</v>
      </c>
      <c r="MOA285" s="18">
        <v>0</v>
      </c>
      <c r="MOB285" s="18">
        <v>0</v>
      </c>
      <c r="MOC285" s="18">
        <v>0</v>
      </c>
      <c r="MOD285" s="18">
        <v>0</v>
      </c>
      <c r="MOE285" s="18">
        <v>0</v>
      </c>
      <c r="MOF285" s="18">
        <v>0</v>
      </c>
      <c r="MOG285" s="18">
        <v>0</v>
      </c>
      <c r="MOH285" s="18">
        <v>0</v>
      </c>
      <c r="MOI285" s="18">
        <v>0</v>
      </c>
      <c r="MOJ285" s="18">
        <v>0</v>
      </c>
      <c r="MOK285" s="18">
        <v>0</v>
      </c>
      <c r="MOL285" s="18">
        <v>0</v>
      </c>
      <c r="MOM285" s="18">
        <v>0</v>
      </c>
      <c r="MON285" s="18">
        <v>0</v>
      </c>
      <c r="MOO285" s="18">
        <v>0</v>
      </c>
      <c r="MOP285" s="18">
        <v>0</v>
      </c>
      <c r="MOQ285" s="18">
        <v>0</v>
      </c>
      <c r="MOR285" s="18">
        <v>0</v>
      </c>
      <c r="MOS285" s="18">
        <v>0</v>
      </c>
      <c r="MOT285" s="18">
        <v>0</v>
      </c>
      <c r="MOU285" s="18">
        <v>0</v>
      </c>
      <c r="MOV285" s="18">
        <v>0</v>
      </c>
      <c r="MOW285" s="18">
        <v>0</v>
      </c>
      <c r="MOX285" s="18">
        <v>0</v>
      </c>
      <c r="MOY285" s="18">
        <v>0</v>
      </c>
      <c r="MOZ285" s="18">
        <v>0</v>
      </c>
      <c r="MPA285" s="18">
        <v>0</v>
      </c>
      <c r="MPB285" s="18">
        <v>0</v>
      </c>
      <c r="MPC285" s="18">
        <v>0</v>
      </c>
      <c r="MPD285" s="18">
        <v>0</v>
      </c>
      <c r="MPE285" s="18">
        <v>0</v>
      </c>
      <c r="MPF285" s="18">
        <v>0</v>
      </c>
      <c r="MPG285" s="18">
        <v>0</v>
      </c>
      <c r="MPH285" s="18">
        <v>0</v>
      </c>
      <c r="MPI285" s="18">
        <v>0</v>
      </c>
      <c r="MPJ285" s="18">
        <v>0</v>
      </c>
      <c r="MPK285" s="18">
        <v>0</v>
      </c>
      <c r="MPL285" s="18">
        <v>0</v>
      </c>
      <c r="MPM285" s="18">
        <v>0</v>
      </c>
      <c r="MPN285" s="18">
        <v>0</v>
      </c>
      <c r="MPO285" s="18">
        <v>0</v>
      </c>
      <c r="MPP285" s="18">
        <v>0</v>
      </c>
      <c r="MPQ285" s="18">
        <v>0</v>
      </c>
      <c r="MPR285" s="18">
        <v>0</v>
      </c>
      <c r="MPS285" s="18">
        <v>0</v>
      </c>
      <c r="MPT285" s="18">
        <v>0</v>
      </c>
      <c r="MPU285" s="18">
        <v>0</v>
      </c>
      <c r="MPV285" s="18">
        <v>0</v>
      </c>
      <c r="MPW285" s="18">
        <v>0</v>
      </c>
      <c r="MPX285" s="18">
        <v>0</v>
      </c>
      <c r="MPY285" s="18">
        <v>0</v>
      </c>
      <c r="MPZ285" s="18">
        <v>0</v>
      </c>
      <c r="MQA285" s="18">
        <v>0</v>
      </c>
      <c r="MQB285" s="18">
        <v>0</v>
      </c>
      <c r="MQC285" s="18">
        <v>0</v>
      </c>
      <c r="MQD285" s="18">
        <v>0</v>
      </c>
      <c r="MQE285" s="18">
        <v>0</v>
      </c>
      <c r="MQF285" s="18">
        <v>0</v>
      </c>
      <c r="MQG285" s="18">
        <v>0</v>
      </c>
      <c r="MQH285" s="18">
        <v>0</v>
      </c>
      <c r="MQI285" s="18">
        <v>0</v>
      </c>
      <c r="MQJ285" s="18">
        <v>0</v>
      </c>
      <c r="MQK285" s="18">
        <v>0</v>
      </c>
      <c r="MQL285" s="18">
        <v>0</v>
      </c>
      <c r="MQM285" s="18">
        <v>0</v>
      </c>
      <c r="MQN285" s="18">
        <v>0</v>
      </c>
      <c r="MQO285" s="18">
        <v>0</v>
      </c>
      <c r="MQP285" s="18">
        <v>0</v>
      </c>
      <c r="MQQ285" s="18">
        <v>0</v>
      </c>
      <c r="MQR285" s="18">
        <v>0</v>
      </c>
      <c r="MQS285" s="18">
        <v>0</v>
      </c>
      <c r="MQT285" s="18">
        <v>0</v>
      </c>
      <c r="MQU285" s="18">
        <v>0</v>
      </c>
      <c r="MQV285" s="18">
        <v>0</v>
      </c>
      <c r="MQW285" s="18">
        <v>0</v>
      </c>
      <c r="MQX285" s="18">
        <v>0</v>
      </c>
      <c r="MQY285" s="18">
        <v>0</v>
      </c>
      <c r="MQZ285" s="18">
        <v>0</v>
      </c>
      <c r="MRA285" s="18">
        <v>0</v>
      </c>
      <c r="MRB285" s="18">
        <v>0</v>
      </c>
      <c r="MRC285" s="18">
        <v>0</v>
      </c>
      <c r="MRD285" s="18">
        <v>0</v>
      </c>
      <c r="MRE285" s="18">
        <v>0</v>
      </c>
      <c r="MRF285" s="18">
        <v>0</v>
      </c>
      <c r="MRG285" s="18">
        <v>0</v>
      </c>
      <c r="MRH285" s="18">
        <v>0</v>
      </c>
      <c r="MRI285" s="18">
        <v>0</v>
      </c>
      <c r="MRJ285" s="18">
        <v>0</v>
      </c>
      <c r="MRK285" s="18">
        <v>0</v>
      </c>
      <c r="MRL285" s="18">
        <v>0</v>
      </c>
      <c r="MRM285" s="18">
        <v>0</v>
      </c>
      <c r="MRN285" s="18">
        <v>0</v>
      </c>
      <c r="MRO285" s="18">
        <v>0</v>
      </c>
      <c r="MRP285" s="18">
        <v>0</v>
      </c>
      <c r="MRQ285" s="18">
        <v>0</v>
      </c>
      <c r="MRR285" s="18">
        <v>0</v>
      </c>
      <c r="MRS285" s="18">
        <v>0</v>
      </c>
      <c r="MRT285" s="18">
        <v>0</v>
      </c>
      <c r="MRU285" s="18">
        <v>0</v>
      </c>
      <c r="MRV285" s="18">
        <v>0</v>
      </c>
      <c r="MRW285" s="18">
        <v>0</v>
      </c>
      <c r="MRX285" s="18">
        <v>0</v>
      </c>
      <c r="MRY285" s="18">
        <v>0</v>
      </c>
      <c r="MRZ285" s="18">
        <v>0</v>
      </c>
      <c r="MSA285" s="18">
        <v>0</v>
      </c>
      <c r="MSB285" s="18">
        <v>0</v>
      </c>
      <c r="MSC285" s="18">
        <v>0</v>
      </c>
      <c r="MSD285" s="18">
        <v>0</v>
      </c>
      <c r="MSE285" s="18">
        <v>0</v>
      </c>
      <c r="MSF285" s="18">
        <v>0</v>
      </c>
      <c r="MSG285" s="18">
        <v>0</v>
      </c>
      <c r="MSH285" s="18">
        <v>0</v>
      </c>
      <c r="MSI285" s="18">
        <v>0</v>
      </c>
      <c r="MSJ285" s="18">
        <v>0</v>
      </c>
      <c r="MSK285" s="18">
        <v>0</v>
      </c>
      <c r="MSL285" s="18">
        <v>0</v>
      </c>
      <c r="MSM285" s="18">
        <v>0</v>
      </c>
      <c r="MSN285" s="18">
        <v>0</v>
      </c>
      <c r="MSO285" s="18">
        <v>0</v>
      </c>
      <c r="MSP285" s="18">
        <v>0</v>
      </c>
      <c r="MSQ285" s="18">
        <v>0</v>
      </c>
      <c r="MSR285" s="18">
        <v>0</v>
      </c>
      <c r="MSS285" s="18">
        <v>0</v>
      </c>
      <c r="MST285" s="18">
        <v>0</v>
      </c>
      <c r="MSU285" s="18">
        <v>0</v>
      </c>
      <c r="MSV285" s="18">
        <v>0</v>
      </c>
      <c r="MSW285" s="18">
        <v>0</v>
      </c>
      <c r="MSX285" s="18">
        <v>0</v>
      </c>
      <c r="MSY285" s="18">
        <v>0</v>
      </c>
      <c r="MSZ285" s="18">
        <v>0</v>
      </c>
      <c r="MTA285" s="18">
        <v>0</v>
      </c>
      <c r="MTB285" s="18">
        <v>0</v>
      </c>
      <c r="MTC285" s="18">
        <v>0</v>
      </c>
      <c r="MTD285" s="18">
        <v>0</v>
      </c>
      <c r="MTE285" s="18">
        <v>0</v>
      </c>
      <c r="MTF285" s="18">
        <v>0</v>
      </c>
      <c r="MTG285" s="18">
        <v>0</v>
      </c>
      <c r="MTH285" s="18">
        <v>0</v>
      </c>
      <c r="MTI285" s="18">
        <v>0</v>
      </c>
      <c r="MTJ285" s="18">
        <v>0</v>
      </c>
      <c r="MTK285" s="18">
        <v>0</v>
      </c>
      <c r="MTL285" s="18">
        <v>0</v>
      </c>
      <c r="MTM285" s="18">
        <v>0</v>
      </c>
      <c r="MTN285" s="18">
        <v>0</v>
      </c>
      <c r="MTO285" s="18">
        <v>0</v>
      </c>
      <c r="MTP285" s="18">
        <v>0</v>
      </c>
      <c r="MTQ285" s="18">
        <v>0</v>
      </c>
      <c r="MTR285" s="18">
        <v>0</v>
      </c>
      <c r="MTS285" s="18">
        <v>0</v>
      </c>
      <c r="MTT285" s="18">
        <v>0</v>
      </c>
      <c r="MTU285" s="18">
        <v>0</v>
      </c>
      <c r="MTV285" s="18">
        <v>0</v>
      </c>
      <c r="MTW285" s="18">
        <v>0</v>
      </c>
      <c r="MTX285" s="18">
        <v>0</v>
      </c>
      <c r="MTY285" s="18">
        <v>0</v>
      </c>
      <c r="MTZ285" s="18">
        <v>0</v>
      </c>
      <c r="MUA285" s="18">
        <v>0</v>
      </c>
      <c r="MUB285" s="18">
        <v>0</v>
      </c>
      <c r="MUC285" s="18">
        <v>0</v>
      </c>
      <c r="MUD285" s="18">
        <v>0</v>
      </c>
      <c r="MUE285" s="18">
        <v>0</v>
      </c>
      <c r="MUF285" s="18">
        <v>0</v>
      </c>
      <c r="MUG285" s="18">
        <v>0</v>
      </c>
      <c r="MUH285" s="18">
        <v>0</v>
      </c>
      <c r="MUI285" s="18">
        <v>0</v>
      </c>
      <c r="MUJ285" s="18">
        <v>0</v>
      </c>
      <c r="MUK285" s="18">
        <v>0</v>
      </c>
      <c r="MUL285" s="18">
        <v>0</v>
      </c>
      <c r="MUM285" s="18">
        <v>0</v>
      </c>
      <c r="MUN285" s="18">
        <v>0</v>
      </c>
      <c r="MUO285" s="18">
        <v>0</v>
      </c>
      <c r="MUP285" s="18">
        <v>0</v>
      </c>
      <c r="MUQ285" s="18">
        <v>0</v>
      </c>
      <c r="MUR285" s="18">
        <v>0</v>
      </c>
      <c r="MUS285" s="18">
        <v>0</v>
      </c>
      <c r="MUT285" s="18">
        <v>0</v>
      </c>
      <c r="MUU285" s="18">
        <v>0</v>
      </c>
      <c r="MUV285" s="18">
        <v>0</v>
      </c>
      <c r="MUW285" s="18">
        <v>0</v>
      </c>
      <c r="MUX285" s="18">
        <v>0</v>
      </c>
      <c r="MUY285" s="18">
        <v>0</v>
      </c>
      <c r="MUZ285" s="18">
        <v>0</v>
      </c>
      <c r="MVA285" s="18">
        <v>0</v>
      </c>
      <c r="MVB285" s="18">
        <v>0</v>
      </c>
      <c r="MVC285" s="18">
        <v>0</v>
      </c>
      <c r="MVD285" s="18">
        <v>0</v>
      </c>
      <c r="MVE285" s="18">
        <v>0</v>
      </c>
      <c r="MVF285" s="18">
        <v>0</v>
      </c>
      <c r="MVG285" s="18">
        <v>0</v>
      </c>
      <c r="MVH285" s="18">
        <v>0</v>
      </c>
      <c r="MVI285" s="18">
        <v>0</v>
      </c>
      <c r="MVJ285" s="18">
        <v>0</v>
      </c>
      <c r="MVK285" s="18">
        <v>0</v>
      </c>
      <c r="MVL285" s="18">
        <v>0</v>
      </c>
      <c r="MVM285" s="18">
        <v>0</v>
      </c>
      <c r="MVN285" s="18">
        <v>0</v>
      </c>
      <c r="MVO285" s="18">
        <v>0</v>
      </c>
      <c r="MVP285" s="18">
        <v>0</v>
      </c>
      <c r="MVQ285" s="18">
        <v>0</v>
      </c>
      <c r="MVR285" s="18">
        <v>0</v>
      </c>
      <c r="MVS285" s="18">
        <v>0</v>
      </c>
      <c r="MVT285" s="18">
        <v>0</v>
      </c>
      <c r="MVU285" s="18">
        <v>0</v>
      </c>
      <c r="MVV285" s="18">
        <v>0</v>
      </c>
      <c r="MVW285" s="18">
        <v>0</v>
      </c>
      <c r="MVX285" s="18">
        <v>0</v>
      </c>
      <c r="MVY285" s="18">
        <v>0</v>
      </c>
      <c r="MVZ285" s="18">
        <v>0</v>
      </c>
      <c r="MWA285" s="18">
        <v>0</v>
      </c>
      <c r="MWB285" s="18">
        <v>0</v>
      </c>
      <c r="MWC285" s="18">
        <v>0</v>
      </c>
      <c r="MWD285" s="18">
        <v>0</v>
      </c>
      <c r="MWE285" s="18">
        <v>0</v>
      </c>
      <c r="MWF285" s="18">
        <v>0</v>
      </c>
      <c r="MWG285" s="18">
        <v>0</v>
      </c>
      <c r="MWH285" s="18">
        <v>0</v>
      </c>
      <c r="MWI285" s="18">
        <v>0</v>
      </c>
      <c r="MWJ285" s="18">
        <v>0</v>
      </c>
      <c r="MWK285" s="18">
        <v>0</v>
      </c>
      <c r="MWL285" s="18">
        <v>0</v>
      </c>
      <c r="MWM285" s="18">
        <v>0</v>
      </c>
      <c r="MWN285" s="18">
        <v>0</v>
      </c>
      <c r="MWO285" s="18">
        <v>0</v>
      </c>
      <c r="MWP285" s="18">
        <v>0</v>
      </c>
      <c r="MWQ285" s="18">
        <v>0</v>
      </c>
      <c r="MWR285" s="18">
        <v>0</v>
      </c>
      <c r="MWS285" s="18">
        <v>0</v>
      </c>
      <c r="MWT285" s="18">
        <v>0</v>
      </c>
      <c r="MWU285" s="18">
        <v>0</v>
      </c>
      <c r="MWV285" s="18">
        <v>0</v>
      </c>
      <c r="MWW285" s="18">
        <v>0</v>
      </c>
      <c r="MWX285" s="18">
        <v>0</v>
      </c>
      <c r="MWY285" s="18">
        <v>0</v>
      </c>
      <c r="MWZ285" s="18">
        <v>0</v>
      </c>
      <c r="MXA285" s="18">
        <v>0</v>
      </c>
      <c r="MXB285" s="18">
        <v>0</v>
      </c>
      <c r="MXC285" s="18">
        <v>0</v>
      </c>
      <c r="MXD285" s="18">
        <v>0</v>
      </c>
      <c r="MXE285" s="18">
        <v>0</v>
      </c>
      <c r="MXF285" s="18">
        <v>0</v>
      </c>
      <c r="MXG285" s="18">
        <v>0</v>
      </c>
      <c r="MXH285" s="18">
        <v>0</v>
      </c>
      <c r="MXI285" s="18">
        <v>0</v>
      </c>
      <c r="MXJ285" s="18">
        <v>0</v>
      </c>
      <c r="MXK285" s="18">
        <v>0</v>
      </c>
      <c r="MXL285" s="18">
        <v>0</v>
      </c>
      <c r="MXM285" s="18">
        <v>0</v>
      </c>
      <c r="MXN285" s="18">
        <v>0</v>
      </c>
      <c r="MXO285" s="18">
        <v>0</v>
      </c>
      <c r="MXP285" s="18">
        <v>0</v>
      </c>
      <c r="MXQ285" s="18">
        <v>0</v>
      </c>
      <c r="MXR285" s="18">
        <v>0</v>
      </c>
      <c r="MXS285" s="18">
        <v>0</v>
      </c>
      <c r="MXT285" s="18">
        <v>0</v>
      </c>
      <c r="MXU285" s="18">
        <v>0</v>
      </c>
      <c r="MXV285" s="18">
        <v>0</v>
      </c>
      <c r="MXW285" s="18">
        <v>0</v>
      </c>
      <c r="MXX285" s="18">
        <v>0</v>
      </c>
      <c r="MXY285" s="18">
        <v>0</v>
      </c>
      <c r="MXZ285" s="18">
        <v>0</v>
      </c>
      <c r="MYA285" s="18">
        <v>0</v>
      </c>
      <c r="MYB285" s="18">
        <v>0</v>
      </c>
      <c r="MYC285" s="18">
        <v>0</v>
      </c>
      <c r="MYD285" s="18">
        <v>0</v>
      </c>
      <c r="MYE285" s="18">
        <v>0</v>
      </c>
      <c r="MYF285" s="18">
        <v>0</v>
      </c>
      <c r="MYG285" s="18">
        <v>0</v>
      </c>
      <c r="MYH285" s="18">
        <v>0</v>
      </c>
      <c r="MYI285" s="18">
        <v>0</v>
      </c>
      <c r="MYJ285" s="18">
        <v>0</v>
      </c>
      <c r="MYK285" s="18">
        <v>0</v>
      </c>
      <c r="MYL285" s="18">
        <v>0</v>
      </c>
      <c r="MYM285" s="18">
        <v>0</v>
      </c>
      <c r="MYN285" s="18">
        <v>0</v>
      </c>
      <c r="MYO285" s="18">
        <v>0</v>
      </c>
      <c r="MYP285" s="18">
        <v>0</v>
      </c>
      <c r="MYQ285" s="18">
        <v>0</v>
      </c>
      <c r="MYR285" s="18">
        <v>0</v>
      </c>
      <c r="MYS285" s="18">
        <v>0</v>
      </c>
      <c r="MYT285" s="18">
        <v>0</v>
      </c>
      <c r="MYU285" s="18">
        <v>0</v>
      </c>
      <c r="MYV285" s="18">
        <v>0</v>
      </c>
      <c r="MYW285" s="18">
        <v>0</v>
      </c>
      <c r="MYX285" s="18">
        <v>0</v>
      </c>
      <c r="MYY285" s="18">
        <v>0</v>
      </c>
      <c r="MYZ285" s="18">
        <v>0</v>
      </c>
      <c r="MZA285" s="18">
        <v>0</v>
      </c>
      <c r="MZB285" s="18">
        <v>0</v>
      </c>
      <c r="MZC285" s="18">
        <v>0</v>
      </c>
      <c r="MZD285" s="18">
        <v>0</v>
      </c>
      <c r="MZE285" s="18">
        <v>0</v>
      </c>
      <c r="MZF285" s="18">
        <v>0</v>
      </c>
      <c r="MZG285" s="18">
        <v>0</v>
      </c>
      <c r="MZH285" s="18">
        <v>0</v>
      </c>
      <c r="MZI285" s="18">
        <v>0</v>
      </c>
      <c r="MZJ285" s="18">
        <v>0</v>
      </c>
      <c r="MZK285" s="18">
        <v>0</v>
      </c>
      <c r="MZL285" s="18">
        <v>0</v>
      </c>
      <c r="MZM285" s="18">
        <v>0</v>
      </c>
      <c r="MZN285" s="18">
        <v>0</v>
      </c>
      <c r="MZO285" s="18">
        <v>0</v>
      </c>
      <c r="MZP285" s="18">
        <v>0</v>
      </c>
      <c r="MZQ285" s="18">
        <v>0</v>
      </c>
      <c r="MZR285" s="18">
        <v>0</v>
      </c>
      <c r="MZS285" s="18">
        <v>0</v>
      </c>
      <c r="MZT285" s="18">
        <v>0</v>
      </c>
      <c r="MZU285" s="18">
        <v>0</v>
      </c>
      <c r="MZV285" s="18">
        <v>0</v>
      </c>
      <c r="MZW285" s="18">
        <v>0</v>
      </c>
      <c r="MZX285" s="18">
        <v>0</v>
      </c>
      <c r="MZY285" s="18">
        <v>0</v>
      </c>
      <c r="MZZ285" s="18">
        <v>0</v>
      </c>
      <c r="NAA285" s="18">
        <v>0</v>
      </c>
      <c r="NAB285" s="18">
        <v>0</v>
      </c>
      <c r="NAC285" s="18">
        <v>0</v>
      </c>
      <c r="NAD285" s="18">
        <v>0</v>
      </c>
      <c r="NAE285" s="18">
        <v>0</v>
      </c>
      <c r="NAF285" s="18">
        <v>0</v>
      </c>
      <c r="NAG285" s="18">
        <v>0</v>
      </c>
      <c r="NAH285" s="18">
        <v>0</v>
      </c>
      <c r="NAI285" s="18">
        <v>0</v>
      </c>
      <c r="NAJ285" s="18">
        <v>0</v>
      </c>
      <c r="NAK285" s="18">
        <v>0</v>
      </c>
      <c r="NAL285" s="18">
        <v>0</v>
      </c>
      <c r="NAM285" s="18">
        <v>0</v>
      </c>
      <c r="NAN285" s="18">
        <v>0</v>
      </c>
      <c r="NAO285" s="18">
        <v>0</v>
      </c>
      <c r="NAP285" s="18">
        <v>0</v>
      </c>
      <c r="NAQ285" s="18">
        <v>0</v>
      </c>
      <c r="NAR285" s="18">
        <v>0</v>
      </c>
      <c r="NAS285" s="18">
        <v>0</v>
      </c>
      <c r="NAT285" s="18">
        <v>0</v>
      </c>
      <c r="NAU285" s="18">
        <v>0</v>
      </c>
      <c r="NAV285" s="18">
        <v>0</v>
      </c>
      <c r="NAW285" s="18">
        <v>0</v>
      </c>
      <c r="NAX285" s="18">
        <v>0</v>
      </c>
      <c r="NAY285" s="18">
        <v>0</v>
      </c>
      <c r="NAZ285" s="18">
        <v>0</v>
      </c>
      <c r="NBA285" s="18">
        <v>0</v>
      </c>
      <c r="NBB285" s="18">
        <v>0</v>
      </c>
      <c r="NBC285" s="18">
        <v>0</v>
      </c>
      <c r="NBD285" s="18">
        <v>0</v>
      </c>
      <c r="NBE285" s="18">
        <v>0</v>
      </c>
      <c r="NBF285" s="18">
        <v>0</v>
      </c>
      <c r="NBG285" s="18">
        <v>0</v>
      </c>
      <c r="NBH285" s="18">
        <v>0</v>
      </c>
      <c r="NBI285" s="18">
        <v>0</v>
      </c>
      <c r="NBJ285" s="18">
        <v>0</v>
      </c>
      <c r="NBK285" s="18">
        <v>0</v>
      </c>
      <c r="NBL285" s="18">
        <v>0</v>
      </c>
      <c r="NBM285" s="18">
        <v>0</v>
      </c>
      <c r="NBN285" s="18">
        <v>0</v>
      </c>
      <c r="NBO285" s="18">
        <v>0</v>
      </c>
      <c r="NBP285" s="18">
        <v>0</v>
      </c>
      <c r="NBQ285" s="18">
        <v>0</v>
      </c>
      <c r="NBR285" s="18">
        <v>0</v>
      </c>
      <c r="NBS285" s="18">
        <v>0</v>
      </c>
      <c r="NBT285" s="18">
        <v>0</v>
      </c>
      <c r="NBU285" s="18">
        <v>0</v>
      </c>
      <c r="NBV285" s="18">
        <v>0</v>
      </c>
      <c r="NBW285" s="18">
        <v>0</v>
      </c>
      <c r="NBX285" s="18">
        <v>0</v>
      </c>
      <c r="NBY285" s="18">
        <v>0</v>
      </c>
      <c r="NBZ285" s="18">
        <v>0</v>
      </c>
      <c r="NCA285" s="18">
        <v>0</v>
      </c>
      <c r="NCB285" s="18">
        <v>0</v>
      </c>
      <c r="NCC285" s="18">
        <v>0</v>
      </c>
      <c r="NCD285" s="18">
        <v>0</v>
      </c>
      <c r="NCE285" s="18">
        <v>0</v>
      </c>
      <c r="NCF285" s="18">
        <v>0</v>
      </c>
      <c r="NCG285" s="18">
        <v>0</v>
      </c>
      <c r="NCH285" s="18">
        <v>0</v>
      </c>
      <c r="NCI285" s="18">
        <v>0</v>
      </c>
      <c r="NCJ285" s="18">
        <v>0</v>
      </c>
      <c r="NCK285" s="18">
        <v>0</v>
      </c>
      <c r="NCL285" s="18">
        <v>0</v>
      </c>
      <c r="NCM285" s="18">
        <v>0</v>
      </c>
      <c r="NCN285" s="18">
        <v>0</v>
      </c>
      <c r="NCO285" s="18">
        <v>0</v>
      </c>
      <c r="NCP285" s="18">
        <v>0</v>
      </c>
      <c r="NCQ285" s="18">
        <v>0</v>
      </c>
      <c r="NCR285" s="18">
        <v>0</v>
      </c>
      <c r="NCS285" s="18">
        <v>0</v>
      </c>
      <c r="NCT285" s="18">
        <v>0</v>
      </c>
      <c r="NCU285" s="18">
        <v>0</v>
      </c>
      <c r="NCV285" s="18">
        <v>0</v>
      </c>
      <c r="NCW285" s="18">
        <v>0</v>
      </c>
      <c r="NCX285" s="18">
        <v>0</v>
      </c>
      <c r="NCY285" s="18">
        <v>0</v>
      </c>
      <c r="NCZ285" s="18">
        <v>0</v>
      </c>
      <c r="NDA285" s="18">
        <v>0</v>
      </c>
      <c r="NDB285" s="18">
        <v>0</v>
      </c>
      <c r="NDC285" s="18">
        <v>0</v>
      </c>
      <c r="NDD285" s="18">
        <v>0</v>
      </c>
      <c r="NDE285" s="18">
        <v>0</v>
      </c>
      <c r="NDF285" s="18">
        <v>0</v>
      </c>
      <c r="NDG285" s="18">
        <v>0</v>
      </c>
      <c r="NDH285" s="18">
        <v>0</v>
      </c>
      <c r="NDI285" s="18">
        <v>0</v>
      </c>
      <c r="NDJ285" s="18">
        <v>0</v>
      </c>
      <c r="NDK285" s="18">
        <v>0</v>
      </c>
      <c r="NDL285" s="18">
        <v>0</v>
      </c>
      <c r="NDM285" s="18">
        <v>0</v>
      </c>
      <c r="NDN285" s="18">
        <v>0</v>
      </c>
      <c r="NDO285" s="18">
        <v>0</v>
      </c>
      <c r="NDP285" s="18">
        <v>0</v>
      </c>
      <c r="NDQ285" s="18">
        <v>0</v>
      </c>
      <c r="NDR285" s="18">
        <v>0</v>
      </c>
      <c r="NDS285" s="18">
        <v>0</v>
      </c>
      <c r="NDT285" s="18">
        <v>0</v>
      </c>
      <c r="NDU285" s="18">
        <v>0</v>
      </c>
      <c r="NDV285" s="18">
        <v>0</v>
      </c>
      <c r="NDW285" s="18">
        <v>0</v>
      </c>
      <c r="NDX285" s="18">
        <v>0</v>
      </c>
      <c r="NDY285" s="18">
        <v>0</v>
      </c>
      <c r="NDZ285" s="18">
        <v>0</v>
      </c>
      <c r="NEA285" s="18">
        <v>0</v>
      </c>
      <c r="NEB285" s="18">
        <v>0</v>
      </c>
      <c r="NEC285" s="18">
        <v>0</v>
      </c>
      <c r="NED285" s="18">
        <v>0</v>
      </c>
      <c r="NEE285" s="18">
        <v>0</v>
      </c>
      <c r="NEF285" s="18">
        <v>0</v>
      </c>
      <c r="NEG285" s="18">
        <v>0</v>
      </c>
      <c r="NEH285" s="18">
        <v>0</v>
      </c>
      <c r="NEI285" s="18">
        <v>0</v>
      </c>
      <c r="NEJ285" s="18">
        <v>0</v>
      </c>
      <c r="NEK285" s="18">
        <v>0</v>
      </c>
      <c r="NEL285" s="18">
        <v>0</v>
      </c>
      <c r="NEM285" s="18">
        <v>0</v>
      </c>
      <c r="NEN285" s="18">
        <v>0</v>
      </c>
      <c r="NEO285" s="18">
        <v>0</v>
      </c>
      <c r="NEP285" s="18">
        <v>0</v>
      </c>
      <c r="NEQ285" s="18">
        <v>0</v>
      </c>
      <c r="NER285" s="18">
        <v>0</v>
      </c>
      <c r="NES285" s="18">
        <v>0</v>
      </c>
      <c r="NET285" s="18">
        <v>0</v>
      </c>
      <c r="NEU285" s="18">
        <v>0</v>
      </c>
      <c r="NEV285" s="18">
        <v>0</v>
      </c>
      <c r="NEW285" s="18">
        <v>0</v>
      </c>
      <c r="NEX285" s="18">
        <v>0</v>
      </c>
      <c r="NEY285" s="18">
        <v>0</v>
      </c>
      <c r="NEZ285" s="18">
        <v>0</v>
      </c>
      <c r="NFA285" s="18">
        <v>0</v>
      </c>
      <c r="NFB285" s="18">
        <v>0</v>
      </c>
      <c r="NFC285" s="18">
        <v>0</v>
      </c>
      <c r="NFD285" s="18">
        <v>0</v>
      </c>
      <c r="NFE285" s="18">
        <v>0</v>
      </c>
      <c r="NFF285" s="18">
        <v>0</v>
      </c>
      <c r="NFG285" s="18">
        <v>0</v>
      </c>
      <c r="NFH285" s="18">
        <v>0</v>
      </c>
      <c r="NFI285" s="18">
        <v>0</v>
      </c>
      <c r="NFJ285" s="18">
        <v>0</v>
      </c>
      <c r="NFK285" s="18">
        <v>0</v>
      </c>
      <c r="NFL285" s="18">
        <v>0</v>
      </c>
      <c r="NFM285" s="18">
        <v>0</v>
      </c>
      <c r="NFN285" s="18">
        <v>0</v>
      </c>
      <c r="NFO285" s="18">
        <v>0</v>
      </c>
      <c r="NFP285" s="18">
        <v>0</v>
      </c>
      <c r="NFQ285" s="18">
        <v>0</v>
      </c>
      <c r="NFR285" s="18">
        <v>0</v>
      </c>
      <c r="NFS285" s="18">
        <v>0</v>
      </c>
      <c r="NFT285" s="18">
        <v>0</v>
      </c>
      <c r="NFU285" s="18">
        <v>0</v>
      </c>
      <c r="NFV285" s="18">
        <v>0</v>
      </c>
      <c r="NFW285" s="18">
        <v>0</v>
      </c>
      <c r="NFX285" s="18">
        <v>0</v>
      </c>
      <c r="NFY285" s="18">
        <v>0</v>
      </c>
      <c r="NFZ285" s="18">
        <v>0</v>
      </c>
      <c r="NGA285" s="18">
        <v>0</v>
      </c>
      <c r="NGB285" s="18">
        <v>0</v>
      </c>
      <c r="NGC285" s="18">
        <v>0</v>
      </c>
      <c r="NGD285" s="18">
        <v>0</v>
      </c>
      <c r="NGE285" s="18">
        <v>0</v>
      </c>
      <c r="NGF285" s="18">
        <v>0</v>
      </c>
      <c r="NGG285" s="18">
        <v>0</v>
      </c>
      <c r="NGH285" s="18">
        <v>0</v>
      </c>
      <c r="NGI285" s="18">
        <v>0</v>
      </c>
      <c r="NGJ285" s="18">
        <v>0</v>
      </c>
      <c r="NGK285" s="18">
        <v>0</v>
      </c>
      <c r="NGL285" s="18">
        <v>0</v>
      </c>
      <c r="NGM285" s="18">
        <v>0</v>
      </c>
      <c r="NGN285" s="18">
        <v>0</v>
      </c>
      <c r="NGO285" s="18">
        <v>0</v>
      </c>
      <c r="NGP285" s="18">
        <v>0</v>
      </c>
      <c r="NGQ285" s="18">
        <v>0</v>
      </c>
      <c r="NGR285" s="18">
        <v>0</v>
      </c>
      <c r="NGS285" s="18">
        <v>0</v>
      </c>
      <c r="NGT285" s="18">
        <v>0</v>
      </c>
      <c r="NGU285" s="18">
        <v>0</v>
      </c>
      <c r="NGV285" s="18">
        <v>0</v>
      </c>
      <c r="NGW285" s="18">
        <v>0</v>
      </c>
      <c r="NGX285" s="18">
        <v>0</v>
      </c>
      <c r="NGY285" s="18">
        <v>0</v>
      </c>
      <c r="NGZ285" s="18">
        <v>0</v>
      </c>
      <c r="NHA285" s="18">
        <v>0</v>
      </c>
      <c r="NHB285" s="18">
        <v>0</v>
      </c>
      <c r="NHC285" s="18">
        <v>0</v>
      </c>
      <c r="NHD285" s="18">
        <v>0</v>
      </c>
      <c r="NHE285" s="18">
        <v>0</v>
      </c>
      <c r="NHF285" s="18">
        <v>0</v>
      </c>
      <c r="NHG285" s="18">
        <v>0</v>
      </c>
      <c r="NHH285" s="18">
        <v>0</v>
      </c>
      <c r="NHI285" s="18">
        <v>0</v>
      </c>
      <c r="NHJ285" s="18">
        <v>0</v>
      </c>
      <c r="NHK285" s="18">
        <v>0</v>
      </c>
      <c r="NHL285" s="18">
        <v>0</v>
      </c>
      <c r="NHM285" s="18">
        <v>0</v>
      </c>
      <c r="NHN285" s="18">
        <v>0</v>
      </c>
      <c r="NHO285" s="18">
        <v>0</v>
      </c>
      <c r="NHP285" s="18">
        <v>0</v>
      </c>
      <c r="NHQ285" s="18">
        <v>0</v>
      </c>
      <c r="NHR285" s="18">
        <v>0</v>
      </c>
      <c r="NHS285" s="18">
        <v>0</v>
      </c>
      <c r="NHT285" s="18">
        <v>0</v>
      </c>
      <c r="NHU285" s="18">
        <v>0</v>
      </c>
      <c r="NHV285" s="18">
        <v>0</v>
      </c>
      <c r="NHW285" s="18">
        <v>0</v>
      </c>
      <c r="NHX285" s="18">
        <v>0</v>
      </c>
      <c r="NHY285" s="18">
        <v>0</v>
      </c>
      <c r="NHZ285" s="18">
        <v>0</v>
      </c>
      <c r="NIA285" s="18">
        <v>0</v>
      </c>
      <c r="NIB285" s="18">
        <v>0</v>
      </c>
      <c r="NIC285" s="18">
        <v>0</v>
      </c>
      <c r="NID285" s="18">
        <v>0</v>
      </c>
      <c r="NIE285" s="18">
        <v>0</v>
      </c>
      <c r="NIF285" s="18">
        <v>0</v>
      </c>
      <c r="NIG285" s="18">
        <v>0</v>
      </c>
      <c r="NIH285" s="18">
        <v>0</v>
      </c>
      <c r="NII285" s="18">
        <v>0</v>
      </c>
      <c r="NIJ285" s="18">
        <v>0</v>
      </c>
      <c r="NIK285" s="18">
        <v>0</v>
      </c>
      <c r="NIL285" s="18">
        <v>0</v>
      </c>
      <c r="NIM285" s="18">
        <v>0</v>
      </c>
      <c r="NIN285" s="18">
        <v>0</v>
      </c>
      <c r="NIO285" s="18">
        <v>0</v>
      </c>
      <c r="NIP285" s="18">
        <v>0</v>
      </c>
      <c r="NIQ285" s="18">
        <v>0</v>
      </c>
      <c r="NIR285" s="18">
        <v>0</v>
      </c>
      <c r="NIS285" s="18">
        <v>0</v>
      </c>
      <c r="NIT285" s="18">
        <v>0</v>
      </c>
      <c r="NIU285" s="18">
        <v>0</v>
      </c>
      <c r="NIV285" s="18">
        <v>0</v>
      </c>
      <c r="NIW285" s="18">
        <v>0</v>
      </c>
      <c r="NIX285" s="18">
        <v>0</v>
      </c>
      <c r="NIY285" s="18">
        <v>0</v>
      </c>
      <c r="NIZ285" s="18">
        <v>0</v>
      </c>
      <c r="NJA285" s="18">
        <v>0</v>
      </c>
      <c r="NJB285" s="18">
        <v>0</v>
      </c>
      <c r="NJC285" s="18">
        <v>0</v>
      </c>
      <c r="NJD285" s="18">
        <v>0</v>
      </c>
      <c r="NJE285" s="18">
        <v>0</v>
      </c>
      <c r="NJF285" s="18">
        <v>0</v>
      </c>
      <c r="NJG285" s="18">
        <v>0</v>
      </c>
      <c r="NJH285" s="18">
        <v>0</v>
      </c>
      <c r="NJI285" s="18">
        <v>0</v>
      </c>
      <c r="NJJ285" s="18">
        <v>0</v>
      </c>
      <c r="NJK285" s="18">
        <v>0</v>
      </c>
      <c r="NJL285" s="18">
        <v>0</v>
      </c>
      <c r="NJM285" s="18">
        <v>0</v>
      </c>
      <c r="NJN285" s="18">
        <v>0</v>
      </c>
      <c r="NJO285" s="18">
        <v>0</v>
      </c>
      <c r="NJP285" s="18">
        <v>0</v>
      </c>
      <c r="NJQ285" s="18">
        <v>0</v>
      </c>
      <c r="NJR285" s="18">
        <v>0</v>
      </c>
      <c r="NJS285" s="18">
        <v>0</v>
      </c>
      <c r="NJT285" s="18">
        <v>0</v>
      </c>
      <c r="NJU285" s="18">
        <v>0</v>
      </c>
      <c r="NJV285" s="18">
        <v>0</v>
      </c>
      <c r="NJW285" s="18">
        <v>0</v>
      </c>
      <c r="NJX285" s="18">
        <v>0</v>
      </c>
      <c r="NJY285" s="18">
        <v>0</v>
      </c>
      <c r="NJZ285" s="18">
        <v>0</v>
      </c>
      <c r="NKA285" s="18">
        <v>0</v>
      </c>
      <c r="NKB285" s="18">
        <v>0</v>
      </c>
      <c r="NKC285" s="18">
        <v>0</v>
      </c>
      <c r="NKD285" s="18">
        <v>0</v>
      </c>
      <c r="NKE285" s="18">
        <v>0</v>
      </c>
      <c r="NKF285" s="18">
        <v>0</v>
      </c>
      <c r="NKG285" s="18">
        <v>0</v>
      </c>
      <c r="NKH285" s="18">
        <v>0</v>
      </c>
      <c r="NKI285" s="18">
        <v>0</v>
      </c>
      <c r="NKJ285" s="18">
        <v>0</v>
      </c>
      <c r="NKK285" s="18">
        <v>0</v>
      </c>
      <c r="NKL285" s="18">
        <v>0</v>
      </c>
      <c r="NKM285" s="18">
        <v>0</v>
      </c>
      <c r="NKN285" s="18">
        <v>0</v>
      </c>
      <c r="NKO285" s="18">
        <v>0</v>
      </c>
      <c r="NKP285" s="18">
        <v>0</v>
      </c>
      <c r="NKQ285" s="18">
        <v>0</v>
      </c>
      <c r="NKR285" s="18">
        <v>0</v>
      </c>
      <c r="NKS285" s="18">
        <v>0</v>
      </c>
      <c r="NKT285" s="18">
        <v>0</v>
      </c>
      <c r="NKU285" s="18">
        <v>0</v>
      </c>
      <c r="NKV285" s="18">
        <v>0</v>
      </c>
      <c r="NKW285" s="18">
        <v>0</v>
      </c>
      <c r="NKX285" s="18">
        <v>0</v>
      </c>
      <c r="NKY285" s="18">
        <v>0</v>
      </c>
      <c r="NKZ285" s="18">
        <v>0</v>
      </c>
      <c r="NLA285" s="18">
        <v>0</v>
      </c>
      <c r="NLB285" s="18">
        <v>0</v>
      </c>
      <c r="NLC285" s="18">
        <v>0</v>
      </c>
      <c r="NLD285" s="18">
        <v>0</v>
      </c>
      <c r="NLE285" s="18">
        <v>0</v>
      </c>
      <c r="NLF285" s="18">
        <v>0</v>
      </c>
      <c r="NLG285" s="18">
        <v>0</v>
      </c>
      <c r="NLH285" s="18">
        <v>0</v>
      </c>
      <c r="NLI285" s="18">
        <v>0</v>
      </c>
      <c r="NLJ285" s="18">
        <v>0</v>
      </c>
      <c r="NLK285" s="18">
        <v>0</v>
      </c>
      <c r="NLL285" s="18">
        <v>0</v>
      </c>
      <c r="NLM285" s="18">
        <v>0</v>
      </c>
      <c r="NLN285" s="18">
        <v>0</v>
      </c>
      <c r="NLO285" s="18">
        <v>0</v>
      </c>
      <c r="NLP285" s="18">
        <v>0</v>
      </c>
      <c r="NLQ285" s="18">
        <v>0</v>
      </c>
      <c r="NLR285" s="18">
        <v>0</v>
      </c>
      <c r="NLS285" s="18">
        <v>0</v>
      </c>
      <c r="NLT285" s="18">
        <v>0</v>
      </c>
      <c r="NLU285" s="18">
        <v>0</v>
      </c>
      <c r="NLV285" s="18">
        <v>0</v>
      </c>
      <c r="NLW285" s="18">
        <v>0</v>
      </c>
      <c r="NLX285" s="18">
        <v>0</v>
      </c>
      <c r="NLY285" s="18">
        <v>0</v>
      </c>
      <c r="NLZ285" s="18">
        <v>0</v>
      </c>
      <c r="NMA285" s="18">
        <v>0</v>
      </c>
      <c r="NMB285" s="18">
        <v>0</v>
      </c>
      <c r="NMC285" s="18">
        <v>0</v>
      </c>
      <c r="NMD285" s="18">
        <v>0</v>
      </c>
      <c r="NME285" s="18">
        <v>0</v>
      </c>
      <c r="NMF285" s="18">
        <v>0</v>
      </c>
      <c r="NMG285" s="18">
        <v>0</v>
      </c>
      <c r="NMH285" s="18">
        <v>0</v>
      </c>
      <c r="NMI285" s="18">
        <v>0</v>
      </c>
      <c r="NMJ285" s="18">
        <v>0</v>
      </c>
      <c r="NMK285" s="18">
        <v>0</v>
      </c>
      <c r="NML285" s="18">
        <v>0</v>
      </c>
      <c r="NMM285" s="18">
        <v>0</v>
      </c>
      <c r="NMN285" s="18">
        <v>0</v>
      </c>
      <c r="NMO285" s="18">
        <v>0</v>
      </c>
      <c r="NMP285" s="18">
        <v>0</v>
      </c>
      <c r="NMQ285" s="18">
        <v>0</v>
      </c>
      <c r="NMR285" s="18">
        <v>0</v>
      </c>
      <c r="NMS285" s="18">
        <v>0</v>
      </c>
      <c r="NMT285" s="18">
        <v>0</v>
      </c>
      <c r="NMU285" s="18">
        <v>0</v>
      </c>
      <c r="NMV285" s="18">
        <v>0</v>
      </c>
      <c r="NMW285" s="18">
        <v>0</v>
      </c>
      <c r="NMX285" s="18">
        <v>0</v>
      </c>
      <c r="NMY285" s="18">
        <v>0</v>
      </c>
      <c r="NMZ285" s="18">
        <v>0</v>
      </c>
      <c r="NNA285" s="18">
        <v>0</v>
      </c>
      <c r="NNB285" s="18">
        <v>0</v>
      </c>
      <c r="NNC285" s="18">
        <v>0</v>
      </c>
      <c r="NND285" s="18">
        <v>0</v>
      </c>
      <c r="NNE285" s="18">
        <v>0</v>
      </c>
      <c r="NNF285" s="18">
        <v>0</v>
      </c>
      <c r="NNG285" s="18">
        <v>0</v>
      </c>
      <c r="NNH285" s="18">
        <v>0</v>
      </c>
      <c r="NNI285" s="18">
        <v>0</v>
      </c>
      <c r="NNJ285" s="18">
        <v>0</v>
      </c>
      <c r="NNK285" s="18">
        <v>0</v>
      </c>
      <c r="NNL285" s="18">
        <v>0</v>
      </c>
      <c r="NNM285" s="18">
        <v>0</v>
      </c>
      <c r="NNN285" s="18">
        <v>0</v>
      </c>
      <c r="NNO285" s="18">
        <v>0</v>
      </c>
      <c r="NNP285" s="18">
        <v>0</v>
      </c>
      <c r="NNQ285" s="18">
        <v>0</v>
      </c>
      <c r="NNR285" s="18">
        <v>0</v>
      </c>
      <c r="NNS285" s="18">
        <v>0</v>
      </c>
      <c r="NNT285" s="18">
        <v>0</v>
      </c>
      <c r="NNU285" s="18">
        <v>0</v>
      </c>
      <c r="NNV285" s="18">
        <v>0</v>
      </c>
      <c r="NNW285" s="18">
        <v>0</v>
      </c>
      <c r="NNX285" s="18">
        <v>0</v>
      </c>
      <c r="NNY285" s="18">
        <v>0</v>
      </c>
      <c r="NNZ285" s="18">
        <v>0</v>
      </c>
      <c r="NOA285" s="18">
        <v>0</v>
      </c>
      <c r="NOB285" s="18">
        <v>0</v>
      </c>
      <c r="NOC285" s="18">
        <v>0</v>
      </c>
      <c r="NOD285" s="18">
        <v>0</v>
      </c>
      <c r="NOE285" s="18">
        <v>0</v>
      </c>
      <c r="NOF285" s="18">
        <v>0</v>
      </c>
      <c r="NOG285" s="18">
        <v>0</v>
      </c>
      <c r="NOH285" s="18">
        <v>0</v>
      </c>
      <c r="NOI285" s="18">
        <v>0</v>
      </c>
      <c r="NOJ285" s="18">
        <v>0</v>
      </c>
      <c r="NOK285" s="18">
        <v>0</v>
      </c>
      <c r="NOL285" s="18">
        <v>0</v>
      </c>
      <c r="NOM285" s="18">
        <v>0</v>
      </c>
      <c r="NON285" s="18">
        <v>0</v>
      </c>
      <c r="NOO285" s="18">
        <v>0</v>
      </c>
      <c r="NOP285" s="18">
        <v>0</v>
      </c>
      <c r="NOQ285" s="18">
        <v>0</v>
      </c>
      <c r="NOR285" s="18">
        <v>0</v>
      </c>
      <c r="NOS285" s="18">
        <v>0</v>
      </c>
      <c r="NOT285" s="18">
        <v>0</v>
      </c>
      <c r="NOU285" s="18">
        <v>0</v>
      </c>
      <c r="NOV285" s="18">
        <v>0</v>
      </c>
      <c r="NOW285" s="18">
        <v>0</v>
      </c>
      <c r="NOX285" s="18">
        <v>0</v>
      </c>
      <c r="NOY285" s="18">
        <v>0</v>
      </c>
      <c r="NOZ285" s="18">
        <v>0</v>
      </c>
      <c r="NPA285" s="18">
        <v>0</v>
      </c>
      <c r="NPB285" s="18">
        <v>0</v>
      </c>
      <c r="NPC285" s="18">
        <v>0</v>
      </c>
      <c r="NPD285" s="18">
        <v>0</v>
      </c>
      <c r="NPE285" s="18">
        <v>0</v>
      </c>
      <c r="NPF285" s="18">
        <v>0</v>
      </c>
      <c r="NPG285" s="18">
        <v>0</v>
      </c>
      <c r="NPH285" s="18">
        <v>0</v>
      </c>
      <c r="NPI285" s="18">
        <v>0</v>
      </c>
      <c r="NPJ285" s="18">
        <v>0</v>
      </c>
      <c r="NPK285" s="18">
        <v>0</v>
      </c>
      <c r="NPL285" s="18">
        <v>0</v>
      </c>
      <c r="NPM285" s="18">
        <v>0</v>
      </c>
      <c r="NPN285" s="18">
        <v>0</v>
      </c>
      <c r="NPO285" s="18">
        <v>0</v>
      </c>
      <c r="NPP285" s="18">
        <v>0</v>
      </c>
      <c r="NPQ285" s="18">
        <v>0</v>
      </c>
      <c r="NPR285" s="18">
        <v>0</v>
      </c>
      <c r="NPS285" s="18">
        <v>0</v>
      </c>
      <c r="NPT285" s="18">
        <v>0</v>
      </c>
      <c r="NPU285" s="18">
        <v>0</v>
      </c>
      <c r="NPV285" s="18">
        <v>0</v>
      </c>
      <c r="NPW285" s="18">
        <v>0</v>
      </c>
      <c r="NPX285" s="18">
        <v>0</v>
      </c>
      <c r="NPY285" s="18">
        <v>0</v>
      </c>
      <c r="NPZ285" s="18">
        <v>0</v>
      </c>
      <c r="NQA285" s="18">
        <v>0</v>
      </c>
      <c r="NQB285" s="18">
        <v>0</v>
      </c>
      <c r="NQC285" s="18">
        <v>0</v>
      </c>
      <c r="NQD285" s="18">
        <v>0</v>
      </c>
      <c r="NQE285" s="18">
        <v>0</v>
      </c>
      <c r="NQF285" s="18">
        <v>0</v>
      </c>
      <c r="NQG285" s="18">
        <v>0</v>
      </c>
      <c r="NQH285" s="18">
        <v>0</v>
      </c>
      <c r="NQI285" s="18">
        <v>0</v>
      </c>
      <c r="NQJ285" s="18">
        <v>0</v>
      </c>
      <c r="NQK285" s="18">
        <v>0</v>
      </c>
      <c r="NQL285" s="18">
        <v>0</v>
      </c>
      <c r="NQM285" s="18">
        <v>0</v>
      </c>
      <c r="NQN285" s="18">
        <v>0</v>
      </c>
      <c r="NQO285" s="18">
        <v>0</v>
      </c>
      <c r="NQP285" s="18">
        <v>0</v>
      </c>
      <c r="NQQ285" s="18">
        <v>0</v>
      </c>
      <c r="NQR285" s="18">
        <v>0</v>
      </c>
      <c r="NQS285" s="18">
        <v>0</v>
      </c>
      <c r="NQT285" s="18">
        <v>0</v>
      </c>
      <c r="NQU285" s="18">
        <v>0</v>
      </c>
      <c r="NQV285" s="18">
        <v>0</v>
      </c>
      <c r="NQW285" s="18">
        <v>0</v>
      </c>
      <c r="NQX285" s="18">
        <v>0</v>
      </c>
      <c r="NQY285" s="18">
        <v>0</v>
      </c>
      <c r="NQZ285" s="18">
        <v>0</v>
      </c>
      <c r="NRA285" s="18">
        <v>0</v>
      </c>
      <c r="NRB285" s="18">
        <v>0</v>
      </c>
      <c r="NRC285" s="18">
        <v>0</v>
      </c>
      <c r="NRD285" s="18">
        <v>0</v>
      </c>
      <c r="NRE285" s="18">
        <v>0</v>
      </c>
      <c r="NRF285" s="18">
        <v>0</v>
      </c>
      <c r="NRG285" s="18">
        <v>0</v>
      </c>
      <c r="NRH285" s="18">
        <v>0</v>
      </c>
      <c r="NRI285" s="18">
        <v>0</v>
      </c>
      <c r="NRJ285" s="18">
        <v>0</v>
      </c>
      <c r="NRK285" s="18">
        <v>0</v>
      </c>
      <c r="NRL285" s="18">
        <v>0</v>
      </c>
      <c r="NRM285" s="18">
        <v>0</v>
      </c>
      <c r="NRN285" s="18">
        <v>0</v>
      </c>
      <c r="NRO285" s="18">
        <v>0</v>
      </c>
      <c r="NRP285" s="18">
        <v>0</v>
      </c>
      <c r="NRQ285" s="18">
        <v>0</v>
      </c>
      <c r="NRR285" s="18">
        <v>0</v>
      </c>
      <c r="NRS285" s="18">
        <v>0</v>
      </c>
      <c r="NRT285" s="18">
        <v>0</v>
      </c>
      <c r="NRU285" s="18">
        <v>0</v>
      </c>
      <c r="NRV285" s="18">
        <v>0</v>
      </c>
      <c r="NRW285" s="18">
        <v>0</v>
      </c>
      <c r="NRX285" s="18">
        <v>0</v>
      </c>
      <c r="NRY285" s="18">
        <v>0</v>
      </c>
      <c r="NRZ285" s="18">
        <v>0</v>
      </c>
      <c r="NSA285" s="18">
        <v>0</v>
      </c>
      <c r="NSB285" s="18">
        <v>0</v>
      </c>
      <c r="NSC285" s="18">
        <v>0</v>
      </c>
      <c r="NSD285" s="18">
        <v>0</v>
      </c>
      <c r="NSE285" s="18">
        <v>0</v>
      </c>
      <c r="NSF285" s="18">
        <v>0</v>
      </c>
      <c r="NSG285" s="18">
        <v>0</v>
      </c>
      <c r="NSH285" s="18">
        <v>0</v>
      </c>
      <c r="NSI285" s="18">
        <v>0</v>
      </c>
      <c r="NSJ285" s="18">
        <v>0</v>
      </c>
      <c r="NSK285" s="18">
        <v>0</v>
      </c>
      <c r="NSL285" s="18">
        <v>0</v>
      </c>
      <c r="NSM285" s="18">
        <v>0</v>
      </c>
      <c r="NSN285" s="18">
        <v>0</v>
      </c>
      <c r="NSO285" s="18">
        <v>0</v>
      </c>
      <c r="NSP285" s="18">
        <v>0</v>
      </c>
      <c r="NSQ285" s="18">
        <v>0</v>
      </c>
      <c r="NSR285" s="18">
        <v>0</v>
      </c>
      <c r="NSS285" s="18">
        <v>0</v>
      </c>
      <c r="NST285" s="18">
        <v>0</v>
      </c>
      <c r="NSU285" s="18">
        <v>0</v>
      </c>
      <c r="NSV285" s="18">
        <v>0</v>
      </c>
      <c r="NSW285" s="18">
        <v>0</v>
      </c>
      <c r="NSX285" s="18">
        <v>0</v>
      </c>
      <c r="NSY285" s="18">
        <v>0</v>
      </c>
      <c r="NSZ285" s="18">
        <v>0</v>
      </c>
      <c r="NTA285" s="18">
        <v>0</v>
      </c>
      <c r="NTB285" s="18">
        <v>0</v>
      </c>
      <c r="NTC285" s="18">
        <v>0</v>
      </c>
      <c r="NTD285" s="18">
        <v>0</v>
      </c>
      <c r="NTE285" s="18">
        <v>0</v>
      </c>
      <c r="NTF285" s="18">
        <v>0</v>
      </c>
      <c r="NTG285" s="18">
        <v>0</v>
      </c>
      <c r="NTH285" s="18">
        <v>0</v>
      </c>
      <c r="NTI285" s="18">
        <v>0</v>
      </c>
      <c r="NTJ285" s="18">
        <v>0</v>
      </c>
      <c r="NTK285" s="18">
        <v>0</v>
      </c>
      <c r="NTL285" s="18">
        <v>0</v>
      </c>
      <c r="NTM285" s="18">
        <v>0</v>
      </c>
      <c r="NTN285" s="18">
        <v>0</v>
      </c>
      <c r="NTO285" s="18">
        <v>0</v>
      </c>
      <c r="NTP285" s="18">
        <v>0</v>
      </c>
      <c r="NTQ285" s="18">
        <v>0</v>
      </c>
      <c r="NTR285" s="18">
        <v>0</v>
      </c>
      <c r="NTS285" s="18">
        <v>0</v>
      </c>
      <c r="NTT285" s="18">
        <v>0</v>
      </c>
      <c r="NTU285" s="18">
        <v>0</v>
      </c>
      <c r="NTV285" s="18">
        <v>0</v>
      </c>
      <c r="NTW285" s="18">
        <v>0</v>
      </c>
      <c r="NTX285" s="18">
        <v>0</v>
      </c>
      <c r="NTY285" s="18">
        <v>0</v>
      </c>
      <c r="NTZ285" s="18">
        <v>0</v>
      </c>
      <c r="NUA285" s="18">
        <v>0</v>
      </c>
      <c r="NUB285" s="18">
        <v>0</v>
      </c>
      <c r="NUC285" s="18">
        <v>0</v>
      </c>
      <c r="NUD285" s="18">
        <v>0</v>
      </c>
      <c r="NUE285" s="18">
        <v>0</v>
      </c>
      <c r="NUF285" s="18">
        <v>0</v>
      </c>
      <c r="NUG285" s="18">
        <v>0</v>
      </c>
      <c r="NUH285" s="18">
        <v>0</v>
      </c>
      <c r="NUI285" s="18">
        <v>0</v>
      </c>
      <c r="NUJ285" s="18">
        <v>0</v>
      </c>
      <c r="NUK285" s="18">
        <v>0</v>
      </c>
      <c r="NUL285" s="18">
        <v>0</v>
      </c>
      <c r="NUM285" s="18">
        <v>0</v>
      </c>
      <c r="NUN285" s="18">
        <v>0</v>
      </c>
      <c r="NUO285" s="18">
        <v>0</v>
      </c>
      <c r="NUP285" s="18">
        <v>0</v>
      </c>
      <c r="NUQ285" s="18">
        <v>0</v>
      </c>
      <c r="NUR285" s="18">
        <v>0</v>
      </c>
      <c r="NUS285" s="18">
        <v>0</v>
      </c>
      <c r="NUT285" s="18">
        <v>0</v>
      </c>
      <c r="NUU285" s="18">
        <v>0</v>
      </c>
      <c r="NUV285" s="18">
        <v>0</v>
      </c>
      <c r="NUW285" s="18">
        <v>0</v>
      </c>
      <c r="NUX285" s="18">
        <v>0</v>
      </c>
      <c r="NUY285" s="18">
        <v>0</v>
      </c>
      <c r="NUZ285" s="18">
        <v>0</v>
      </c>
      <c r="NVA285" s="18">
        <v>0</v>
      </c>
      <c r="NVB285" s="18">
        <v>0</v>
      </c>
      <c r="NVC285" s="18">
        <v>0</v>
      </c>
      <c r="NVD285" s="18">
        <v>0</v>
      </c>
      <c r="NVE285" s="18">
        <v>0</v>
      </c>
      <c r="NVF285" s="18">
        <v>0</v>
      </c>
      <c r="NVG285" s="18">
        <v>0</v>
      </c>
      <c r="NVH285" s="18">
        <v>0</v>
      </c>
      <c r="NVI285" s="18">
        <v>0</v>
      </c>
      <c r="NVJ285" s="18">
        <v>0</v>
      </c>
      <c r="NVK285" s="18">
        <v>0</v>
      </c>
      <c r="NVL285" s="18">
        <v>0</v>
      </c>
      <c r="NVM285" s="18">
        <v>0</v>
      </c>
      <c r="NVN285" s="18">
        <v>0</v>
      </c>
      <c r="NVO285" s="18">
        <v>0</v>
      </c>
      <c r="NVP285" s="18">
        <v>0</v>
      </c>
      <c r="NVQ285" s="18">
        <v>0</v>
      </c>
      <c r="NVR285" s="18">
        <v>0</v>
      </c>
      <c r="NVS285" s="18">
        <v>0</v>
      </c>
      <c r="NVT285" s="18">
        <v>0</v>
      </c>
      <c r="NVU285" s="18">
        <v>0</v>
      </c>
      <c r="NVV285" s="18">
        <v>0</v>
      </c>
      <c r="NVW285" s="18">
        <v>0</v>
      </c>
      <c r="NVX285" s="18">
        <v>0</v>
      </c>
      <c r="NVY285" s="18">
        <v>0</v>
      </c>
      <c r="NVZ285" s="18">
        <v>0</v>
      </c>
      <c r="NWA285" s="18">
        <v>0</v>
      </c>
      <c r="NWB285" s="18">
        <v>0</v>
      </c>
      <c r="NWC285" s="18">
        <v>0</v>
      </c>
      <c r="NWD285" s="18">
        <v>0</v>
      </c>
      <c r="NWE285" s="18">
        <v>0</v>
      </c>
      <c r="NWF285" s="18">
        <v>0</v>
      </c>
      <c r="NWG285" s="18">
        <v>0</v>
      </c>
      <c r="NWH285" s="18">
        <v>0</v>
      </c>
      <c r="NWI285" s="18">
        <v>0</v>
      </c>
      <c r="NWJ285" s="18">
        <v>0</v>
      </c>
      <c r="NWK285" s="18">
        <v>0</v>
      </c>
      <c r="NWL285" s="18">
        <v>0</v>
      </c>
      <c r="NWM285" s="18">
        <v>0</v>
      </c>
      <c r="NWN285" s="18">
        <v>0</v>
      </c>
      <c r="NWO285" s="18">
        <v>0</v>
      </c>
      <c r="NWP285" s="18">
        <v>0</v>
      </c>
      <c r="NWQ285" s="18">
        <v>0</v>
      </c>
      <c r="NWR285" s="18">
        <v>0</v>
      </c>
      <c r="NWS285" s="18">
        <v>0</v>
      </c>
      <c r="NWT285" s="18">
        <v>0</v>
      </c>
      <c r="NWU285" s="18">
        <v>0</v>
      </c>
      <c r="NWV285" s="18">
        <v>0</v>
      </c>
      <c r="NWW285" s="18">
        <v>0</v>
      </c>
      <c r="NWX285" s="18">
        <v>0</v>
      </c>
      <c r="NWY285" s="18">
        <v>0</v>
      </c>
      <c r="NWZ285" s="18">
        <v>0</v>
      </c>
      <c r="NXA285" s="18">
        <v>0</v>
      </c>
      <c r="NXB285" s="18">
        <v>0</v>
      </c>
      <c r="NXC285" s="18">
        <v>0</v>
      </c>
      <c r="NXD285" s="18">
        <v>0</v>
      </c>
      <c r="NXE285" s="18">
        <v>0</v>
      </c>
      <c r="NXF285" s="18">
        <v>0</v>
      </c>
      <c r="NXG285" s="18">
        <v>0</v>
      </c>
      <c r="NXH285" s="18">
        <v>0</v>
      </c>
      <c r="NXI285" s="18">
        <v>0</v>
      </c>
      <c r="NXJ285" s="18">
        <v>0</v>
      </c>
      <c r="NXK285" s="18">
        <v>0</v>
      </c>
      <c r="NXL285" s="18">
        <v>0</v>
      </c>
      <c r="NXM285" s="18">
        <v>0</v>
      </c>
      <c r="NXN285" s="18">
        <v>0</v>
      </c>
      <c r="NXO285" s="18">
        <v>0</v>
      </c>
      <c r="NXP285" s="18">
        <v>0</v>
      </c>
      <c r="NXQ285" s="18">
        <v>0</v>
      </c>
      <c r="NXR285" s="18">
        <v>0</v>
      </c>
      <c r="NXS285" s="18">
        <v>0</v>
      </c>
      <c r="NXT285" s="18">
        <v>0</v>
      </c>
      <c r="NXU285" s="18">
        <v>0</v>
      </c>
      <c r="NXV285" s="18">
        <v>0</v>
      </c>
      <c r="NXW285" s="18">
        <v>0</v>
      </c>
      <c r="NXX285" s="18">
        <v>0</v>
      </c>
      <c r="NXY285" s="18">
        <v>0</v>
      </c>
      <c r="NXZ285" s="18">
        <v>0</v>
      </c>
      <c r="NYA285" s="18">
        <v>0</v>
      </c>
      <c r="NYB285" s="18">
        <v>0</v>
      </c>
      <c r="NYC285" s="18">
        <v>0</v>
      </c>
      <c r="NYD285" s="18">
        <v>0</v>
      </c>
      <c r="NYE285" s="18">
        <v>0</v>
      </c>
      <c r="NYF285" s="18">
        <v>0</v>
      </c>
      <c r="NYG285" s="18">
        <v>0</v>
      </c>
      <c r="NYH285" s="18">
        <v>0</v>
      </c>
      <c r="NYI285" s="18">
        <v>0</v>
      </c>
      <c r="NYJ285" s="18">
        <v>0</v>
      </c>
      <c r="NYK285" s="18">
        <v>0</v>
      </c>
      <c r="NYL285" s="18">
        <v>0</v>
      </c>
      <c r="NYM285" s="18">
        <v>0</v>
      </c>
      <c r="NYN285" s="18">
        <v>0</v>
      </c>
      <c r="NYO285" s="18">
        <v>0</v>
      </c>
      <c r="NYP285" s="18">
        <v>0</v>
      </c>
      <c r="NYQ285" s="18">
        <v>0</v>
      </c>
      <c r="NYR285" s="18">
        <v>0</v>
      </c>
      <c r="NYS285" s="18">
        <v>0</v>
      </c>
      <c r="NYT285" s="18">
        <v>0</v>
      </c>
      <c r="NYU285" s="18">
        <v>0</v>
      </c>
      <c r="NYV285" s="18">
        <v>0</v>
      </c>
      <c r="NYW285" s="18">
        <v>0</v>
      </c>
      <c r="NYX285" s="18">
        <v>0</v>
      </c>
      <c r="NYY285" s="18">
        <v>0</v>
      </c>
      <c r="NYZ285" s="18">
        <v>0</v>
      </c>
      <c r="NZA285" s="18">
        <v>0</v>
      </c>
      <c r="NZB285" s="18">
        <v>0</v>
      </c>
      <c r="NZC285" s="18">
        <v>0</v>
      </c>
      <c r="NZD285" s="18">
        <v>0</v>
      </c>
      <c r="NZE285" s="18">
        <v>0</v>
      </c>
      <c r="NZF285" s="18">
        <v>0</v>
      </c>
      <c r="NZG285" s="18">
        <v>0</v>
      </c>
      <c r="NZH285" s="18">
        <v>0</v>
      </c>
      <c r="NZI285" s="18">
        <v>0</v>
      </c>
      <c r="NZJ285" s="18">
        <v>0</v>
      </c>
      <c r="NZK285" s="18">
        <v>0</v>
      </c>
      <c r="NZL285" s="18">
        <v>0</v>
      </c>
      <c r="NZM285" s="18">
        <v>0</v>
      </c>
      <c r="NZN285" s="18">
        <v>0</v>
      </c>
      <c r="NZO285" s="18">
        <v>0</v>
      </c>
      <c r="NZP285" s="18">
        <v>0</v>
      </c>
      <c r="NZQ285" s="18">
        <v>0</v>
      </c>
      <c r="NZR285" s="18">
        <v>0</v>
      </c>
      <c r="NZS285" s="18">
        <v>0</v>
      </c>
      <c r="NZT285" s="18">
        <v>0</v>
      </c>
      <c r="NZU285" s="18">
        <v>0</v>
      </c>
      <c r="NZV285" s="18">
        <v>0</v>
      </c>
      <c r="NZW285" s="18">
        <v>0</v>
      </c>
      <c r="NZX285" s="18">
        <v>0</v>
      </c>
      <c r="NZY285" s="18">
        <v>0</v>
      </c>
      <c r="NZZ285" s="18">
        <v>0</v>
      </c>
      <c r="OAA285" s="18">
        <v>0</v>
      </c>
      <c r="OAB285" s="18">
        <v>0</v>
      </c>
      <c r="OAC285" s="18">
        <v>0</v>
      </c>
      <c r="OAD285" s="18">
        <v>0</v>
      </c>
      <c r="OAE285" s="18">
        <v>0</v>
      </c>
      <c r="OAF285" s="18">
        <v>0</v>
      </c>
      <c r="OAG285" s="18">
        <v>0</v>
      </c>
      <c r="OAH285" s="18">
        <v>0</v>
      </c>
      <c r="OAI285" s="18">
        <v>0</v>
      </c>
      <c r="OAJ285" s="18">
        <v>0</v>
      </c>
      <c r="OAK285" s="18">
        <v>0</v>
      </c>
      <c r="OAL285" s="18">
        <v>0</v>
      </c>
      <c r="OAM285" s="18">
        <v>0</v>
      </c>
      <c r="OAN285" s="18">
        <v>0</v>
      </c>
      <c r="OAO285" s="18">
        <v>0</v>
      </c>
      <c r="OAP285" s="18">
        <v>0</v>
      </c>
      <c r="OAQ285" s="18">
        <v>0</v>
      </c>
      <c r="OAR285" s="18">
        <v>0</v>
      </c>
      <c r="OAS285" s="18">
        <v>0</v>
      </c>
      <c r="OAT285" s="18">
        <v>0</v>
      </c>
      <c r="OAU285" s="18">
        <v>0</v>
      </c>
      <c r="OAV285" s="18">
        <v>0</v>
      </c>
      <c r="OAW285" s="18">
        <v>0</v>
      </c>
      <c r="OAX285" s="18">
        <v>0</v>
      </c>
      <c r="OAY285" s="18">
        <v>0</v>
      </c>
      <c r="OAZ285" s="18">
        <v>0</v>
      </c>
      <c r="OBA285" s="18">
        <v>0</v>
      </c>
      <c r="OBB285" s="18">
        <v>0</v>
      </c>
      <c r="OBC285" s="18">
        <v>0</v>
      </c>
      <c r="OBD285" s="18">
        <v>0</v>
      </c>
      <c r="OBE285" s="18">
        <v>0</v>
      </c>
      <c r="OBF285" s="18">
        <v>0</v>
      </c>
      <c r="OBG285" s="18">
        <v>0</v>
      </c>
      <c r="OBH285" s="18">
        <v>0</v>
      </c>
      <c r="OBI285" s="18">
        <v>0</v>
      </c>
      <c r="OBJ285" s="18">
        <v>0</v>
      </c>
      <c r="OBK285" s="18">
        <v>0</v>
      </c>
      <c r="OBL285" s="18">
        <v>0</v>
      </c>
      <c r="OBM285" s="18">
        <v>0</v>
      </c>
      <c r="OBN285" s="18">
        <v>0</v>
      </c>
      <c r="OBO285" s="18">
        <v>0</v>
      </c>
      <c r="OBP285" s="18">
        <v>0</v>
      </c>
      <c r="OBQ285" s="18">
        <v>0</v>
      </c>
      <c r="OBR285" s="18">
        <v>0</v>
      </c>
      <c r="OBS285" s="18">
        <v>0</v>
      </c>
      <c r="OBT285" s="18">
        <v>0</v>
      </c>
      <c r="OBU285" s="18">
        <v>0</v>
      </c>
      <c r="OBV285" s="18">
        <v>0</v>
      </c>
      <c r="OBW285" s="18">
        <v>0</v>
      </c>
      <c r="OBX285" s="18">
        <v>0</v>
      </c>
      <c r="OBY285" s="18">
        <v>0</v>
      </c>
      <c r="OBZ285" s="18">
        <v>0</v>
      </c>
      <c r="OCA285" s="18">
        <v>0</v>
      </c>
      <c r="OCB285" s="18">
        <v>0</v>
      </c>
      <c r="OCC285" s="18">
        <v>0</v>
      </c>
      <c r="OCD285" s="18">
        <v>0</v>
      </c>
      <c r="OCE285" s="18">
        <v>0</v>
      </c>
      <c r="OCF285" s="18">
        <v>0</v>
      </c>
      <c r="OCG285" s="18">
        <v>0</v>
      </c>
      <c r="OCH285" s="18">
        <v>0</v>
      </c>
      <c r="OCI285" s="18">
        <v>0</v>
      </c>
      <c r="OCJ285" s="18">
        <v>0</v>
      </c>
      <c r="OCK285" s="18">
        <v>0</v>
      </c>
      <c r="OCL285" s="18">
        <v>0</v>
      </c>
      <c r="OCM285" s="18">
        <v>0</v>
      </c>
      <c r="OCN285" s="18">
        <v>0</v>
      </c>
      <c r="OCO285" s="18">
        <v>0</v>
      </c>
      <c r="OCP285" s="18">
        <v>0</v>
      </c>
      <c r="OCQ285" s="18">
        <v>0</v>
      </c>
      <c r="OCR285" s="18">
        <v>0</v>
      </c>
      <c r="OCS285" s="18">
        <v>0</v>
      </c>
      <c r="OCT285" s="18">
        <v>0</v>
      </c>
      <c r="OCU285" s="18">
        <v>0</v>
      </c>
      <c r="OCV285" s="18">
        <v>0</v>
      </c>
      <c r="OCW285" s="18">
        <v>0</v>
      </c>
      <c r="OCX285" s="18">
        <v>0</v>
      </c>
      <c r="OCY285" s="18">
        <v>0</v>
      </c>
      <c r="OCZ285" s="18">
        <v>0</v>
      </c>
      <c r="ODA285" s="18">
        <v>0</v>
      </c>
      <c r="ODB285" s="18">
        <v>0</v>
      </c>
      <c r="ODC285" s="18">
        <v>0</v>
      </c>
      <c r="ODD285" s="18">
        <v>0</v>
      </c>
      <c r="ODE285" s="18">
        <v>0</v>
      </c>
      <c r="ODF285" s="18">
        <v>0</v>
      </c>
      <c r="ODG285" s="18">
        <v>0</v>
      </c>
      <c r="ODH285" s="18">
        <v>0</v>
      </c>
      <c r="ODI285" s="18">
        <v>0</v>
      </c>
      <c r="ODJ285" s="18">
        <v>0</v>
      </c>
      <c r="ODK285" s="18">
        <v>0</v>
      </c>
      <c r="ODL285" s="18">
        <v>0</v>
      </c>
      <c r="ODM285" s="18">
        <v>0</v>
      </c>
      <c r="ODN285" s="18">
        <v>0</v>
      </c>
      <c r="ODO285" s="18">
        <v>0</v>
      </c>
      <c r="ODP285" s="18">
        <v>0</v>
      </c>
      <c r="ODQ285" s="18">
        <v>0</v>
      </c>
      <c r="ODR285" s="18">
        <v>0</v>
      </c>
      <c r="ODS285" s="18">
        <v>0</v>
      </c>
      <c r="ODT285" s="18">
        <v>0</v>
      </c>
      <c r="ODU285" s="18">
        <v>0</v>
      </c>
      <c r="ODV285" s="18">
        <v>0</v>
      </c>
      <c r="ODW285" s="18">
        <v>0</v>
      </c>
      <c r="ODX285" s="18">
        <v>0</v>
      </c>
      <c r="ODY285" s="18">
        <v>0</v>
      </c>
      <c r="ODZ285" s="18">
        <v>0</v>
      </c>
      <c r="OEA285" s="18">
        <v>0</v>
      </c>
      <c r="OEB285" s="18">
        <v>0</v>
      </c>
      <c r="OEC285" s="18">
        <v>0</v>
      </c>
      <c r="OED285" s="18">
        <v>0</v>
      </c>
      <c r="OEE285" s="18">
        <v>0</v>
      </c>
      <c r="OEF285" s="18">
        <v>0</v>
      </c>
      <c r="OEG285" s="18">
        <v>0</v>
      </c>
      <c r="OEH285" s="18">
        <v>0</v>
      </c>
      <c r="OEI285" s="18">
        <v>0</v>
      </c>
      <c r="OEJ285" s="18">
        <v>0</v>
      </c>
      <c r="OEK285" s="18">
        <v>0</v>
      </c>
      <c r="OEL285" s="18">
        <v>0</v>
      </c>
      <c r="OEM285" s="18">
        <v>0</v>
      </c>
      <c r="OEN285" s="18">
        <v>0</v>
      </c>
      <c r="OEO285" s="18">
        <v>0</v>
      </c>
      <c r="OEP285" s="18">
        <v>0</v>
      </c>
      <c r="OEQ285" s="18">
        <v>0</v>
      </c>
      <c r="OER285" s="18">
        <v>0</v>
      </c>
      <c r="OES285" s="18">
        <v>0</v>
      </c>
      <c r="OET285" s="18">
        <v>0</v>
      </c>
      <c r="OEU285" s="18">
        <v>0</v>
      </c>
      <c r="OEV285" s="18">
        <v>0</v>
      </c>
      <c r="OEW285" s="18">
        <v>0</v>
      </c>
      <c r="OEX285" s="18">
        <v>0</v>
      </c>
      <c r="OEY285" s="18">
        <v>0</v>
      </c>
      <c r="OEZ285" s="18">
        <v>0</v>
      </c>
      <c r="OFA285" s="18">
        <v>0</v>
      </c>
      <c r="OFB285" s="18">
        <v>0</v>
      </c>
      <c r="OFC285" s="18">
        <v>0</v>
      </c>
      <c r="OFD285" s="18">
        <v>0</v>
      </c>
      <c r="OFE285" s="18">
        <v>0</v>
      </c>
      <c r="OFF285" s="18">
        <v>0</v>
      </c>
      <c r="OFG285" s="18">
        <v>0</v>
      </c>
      <c r="OFH285" s="18">
        <v>0</v>
      </c>
      <c r="OFI285" s="18">
        <v>0</v>
      </c>
      <c r="OFJ285" s="18">
        <v>0</v>
      </c>
      <c r="OFK285" s="18">
        <v>0</v>
      </c>
      <c r="OFL285" s="18">
        <v>0</v>
      </c>
      <c r="OFM285" s="18">
        <v>0</v>
      </c>
      <c r="OFN285" s="18">
        <v>0</v>
      </c>
      <c r="OFO285" s="18">
        <v>0</v>
      </c>
      <c r="OFP285" s="18">
        <v>0</v>
      </c>
      <c r="OFQ285" s="18">
        <v>0</v>
      </c>
      <c r="OFR285" s="18">
        <v>0</v>
      </c>
      <c r="OFS285" s="18">
        <v>0</v>
      </c>
      <c r="OFT285" s="18">
        <v>0</v>
      </c>
      <c r="OFU285" s="18">
        <v>0</v>
      </c>
      <c r="OFV285" s="18">
        <v>0</v>
      </c>
      <c r="OFW285" s="18">
        <v>0</v>
      </c>
      <c r="OFX285" s="18">
        <v>0</v>
      </c>
      <c r="OFY285" s="18">
        <v>0</v>
      </c>
      <c r="OFZ285" s="18">
        <v>0</v>
      </c>
      <c r="OGA285" s="18">
        <v>0</v>
      </c>
      <c r="OGB285" s="18">
        <v>0</v>
      </c>
      <c r="OGC285" s="18">
        <v>0</v>
      </c>
      <c r="OGD285" s="18">
        <v>0</v>
      </c>
      <c r="OGE285" s="18">
        <v>0</v>
      </c>
      <c r="OGF285" s="18">
        <v>0</v>
      </c>
      <c r="OGG285" s="18">
        <v>0</v>
      </c>
      <c r="OGH285" s="18">
        <v>0</v>
      </c>
      <c r="OGI285" s="18">
        <v>0</v>
      </c>
      <c r="OGJ285" s="18">
        <v>0</v>
      </c>
      <c r="OGK285" s="18">
        <v>0</v>
      </c>
      <c r="OGL285" s="18">
        <v>0</v>
      </c>
      <c r="OGM285" s="18">
        <v>0</v>
      </c>
      <c r="OGN285" s="18">
        <v>0</v>
      </c>
      <c r="OGO285" s="18">
        <v>0</v>
      </c>
      <c r="OGP285" s="18">
        <v>0</v>
      </c>
      <c r="OGQ285" s="18">
        <v>0</v>
      </c>
      <c r="OGR285" s="18">
        <v>0</v>
      </c>
      <c r="OGS285" s="18">
        <v>0</v>
      </c>
      <c r="OGT285" s="18">
        <v>0</v>
      </c>
      <c r="OGU285" s="18">
        <v>0</v>
      </c>
      <c r="OGV285" s="18">
        <v>0</v>
      </c>
      <c r="OGW285" s="18">
        <v>0</v>
      </c>
      <c r="OGX285" s="18">
        <v>0</v>
      </c>
      <c r="OGY285" s="18">
        <v>0</v>
      </c>
      <c r="OGZ285" s="18">
        <v>0</v>
      </c>
      <c r="OHA285" s="18">
        <v>0</v>
      </c>
      <c r="OHB285" s="18">
        <v>0</v>
      </c>
      <c r="OHC285" s="18">
        <v>0</v>
      </c>
      <c r="OHD285" s="18">
        <v>0</v>
      </c>
      <c r="OHE285" s="18">
        <v>0</v>
      </c>
      <c r="OHF285" s="18">
        <v>0</v>
      </c>
      <c r="OHG285" s="18">
        <v>0</v>
      </c>
      <c r="OHH285" s="18">
        <v>0</v>
      </c>
      <c r="OHI285" s="18">
        <v>0</v>
      </c>
      <c r="OHJ285" s="18">
        <v>0</v>
      </c>
      <c r="OHK285" s="18">
        <v>0</v>
      </c>
      <c r="OHL285" s="18">
        <v>0</v>
      </c>
      <c r="OHM285" s="18">
        <v>0</v>
      </c>
      <c r="OHN285" s="18">
        <v>0</v>
      </c>
      <c r="OHO285" s="18">
        <v>0</v>
      </c>
      <c r="OHP285" s="18">
        <v>0</v>
      </c>
      <c r="OHQ285" s="18">
        <v>0</v>
      </c>
      <c r="OHR285" s="18">
        <v>0</v>
      </c>
      <c r="OHS285" s="18">
        <v>0</v>
      </c>
      <c r="OHT285" s="18">
        <v>0</v>
      </c>
      <c r="OHU285" s="18">
        <v>0</v>
      </c>
      <c r="OHV285" s="18">
        <v>0</v>
      </c>
      <c r="OHW285" s="18">
        <v>0</v>
      </c>
      <c r="OHX285" s="18">
        <v>0</v>
      </c>
      <c r="OHY285" s="18">
        <v>0</v>
      </c>
      <c r="OHZ285" s="18">
        <v>0</v>
      </c>
      <c r="OIA285" s="18">
        <v>0</v>
      </c>
      <c r="OIB285" s="18">
        <v>0</v>
      </c>
      <c r="OIC285" s="18">
        <v>0</v>
      </c>
      <c r="OID285" s="18">
        <v>0</v>
      </c>
      <c r="OIE285" s="18">
        <v>0</v>
      </c>
      <c r="OIF285" s="18">
        <v>0</v>
      </c>
      <c r="OIG285" s="18">
        <v>0</v>
      </c>
      <c r="OIH285" s="18">
        <v>0</v>
      </c>
      <c r="OII285" s="18">
        <v>0</v>
      </c>
      <c r="OIJ285" s="18">
        <v>0</v>
      </c>
      <c r="OIK285" s="18">
        <v>0</v>
      </c>
      <c r="OIL285" s="18">
        <v>0</v>
      </c>
      <c r="OIM285" s="18">
        <v>0</v>
      </c>
      <c r="OIN285" s="18">
        <v>0</v>
      </c>
      <c r="OIO285" s="18">
        <v>0</v>
      </c>
      <c r="OIP285" s="18">
        <v>0</v>
      </c>
      <c r="OIQ285" s="18">
        <v>0</v>
      </c>
      <c r="OIR285" s="18">
        <v>0</v>
      </c>
      <c r="OIS285" s="18">
        <v>0</v>
      </c>
      <c r="OIT285" s="18">
        <v>0</v>
      </c>
      <c r="OIU285" s="18">
        <v>0</v>
      </c>
      <c r="OIV285" s="18">
        <v>0</v>
      </c>
      <c r="OIW285" s="18">
        <v>0</v>
      </c>
      <c r="OIX285" s="18">
        <v>0</v>
      </c>
      <c r="OIY285" s="18">
        <v>0</v>
      </c>
      <c r="OIZ285" s="18">
        <v>0</v>
      </c>
      <c r="OJA285" s="18">
        <v>0</v>
      </c>
      <c r="OJB285" s="18">
        <v>0</v>
      </c>
      <c r="OJC285" s="18">
        <v>0</v>
      </c>
      <c r="OJD285" s="18">
        <v>0</v>
      </c>
      <c r="OJE285" s="18">
        <v>0</v>
      </c>
      <c r="OJF285" s="18">
        <v>0</v>
      </c>
      <c r="OJG285" s="18">
        <v>0</v>
      </c>
      <c r="OJH285" s="18">
        <v>0</v>
      </c>
      <c r="OJI285" s="18">
        <v>0</v>
      </c>
      <c r="OJJ285" s="18">
        <v>0</v>
      </c>
      <c r="OJK285" s="18">
        <v>0</v>
      </c>
      <c r="OJL285" s="18">
        <v>0</v>
      </c>
      <c r="OJM285" s="18">
        <v>0</v>
      </c>
      <c r="OJN285" s="18">
        <v>0</v>
      </c>
      <c r="OJO285" s="18">
        <v>0</v>
      </c>
      <c r="OJP285" s="18">
        <v>0</v>
      </c>
      <c r="OJQ285" s="18">
        <v>0</v>
      </c>
      <c r="OJR285" s="18">
        <v>0</v>
      </c>
      <c r="OJS285" s="18">
        <v>0</v>
      </c>
      <c r="OJT285" s="18">
        <v>0</v>
      </c>
      <c r="OJU285" s="18">
        <v>0</v>
      </c>
      <c r="OJV285" s="18">
        <v>0</v>
      </c>
      <c r="OJW285" s="18">
        <v>0</v>
      </c>
      <c r="OJX285" s="18">
        <v>0</v>
      </c>
      <c r="OJY285" s="18">
        <v>0</v>
      </c>
      <c r="OJZ285" s="18">
        <v>0</v>
      </c>
      <c r="OKA285" s="18">
        <v>0</v>
      </c>
      <c r="OKB285" s="18">
        <v>0</v>
      </c>
      <c r="OKC285" s="18">
        <v>0</v>
      </c>
      <c r="OKD285" s="18">
        <v>0</v>
      </c>
      <c r="OKE285" s="18">
        <v>0</v>
      </c>
      <c r="OKF285" s="18">
        <v>0</v>
      </c>
      <c r="OKG285" s="18">
        <v>0</v>
      </c>
      <c r="OKH285" s="18">
        <v>0</v>
      </c>
      <c r="OKI285" s="18">
        <v>0</v>
      </c>
      <c r="OKJ285" s="18">
        <v>0</v>
      </c>
      <c r="OKK285" s="18">
        <v>0</v>
      </c>
      <c r="OKL285" s="18">
        <v>0</v>
      </c>
      <c r="OKM285" s="18">
        <v>0</v>
      </c>
      <c r="OKN285" s="18">
        <v>0</v>
      </c>
      <c r="OKO285" s="18">
        <v>0</v>
      </c>
      <c r="OKP285" s="18">
        <v>0</v>
      </c>
      <c r="OKQ285" s="18">
        <v>0</v>
      </c>
      <c r="OKR285" s="18">
        <v>0</v>
      </c>
      <c r="OKS285" s="18">
        <v>0</v>
      </c>
      <c r="OKT285" s="18">
        <v>0</v>
      </c>
      <c r="OKU285" s="18">
        <v>0</v>
      </c>
      <c r="OKV285" s="18">
        <v>0</v>
      </c>
      <c r="OKW285" s="18">
        <v>0</v>
      </c>
      <c r="OKX285" s="18">
        <v>0</v>
      </c>
      <c r="OKY285" s="18">
        <v>0</v>
      </c>
      <c r="OKZ285" s="18">
        <v>0</v>
      </c>
      <c r="OLA285" s="18">
        <v>0</v>
      </c>
      <c r="OLB285" s="18">
        <v>0</v>
      </c>
      <c r="OLC285" s="18">
        <v>0</v>
      </c>
      <c r="OLD285" s="18">
        <v>0</v>
      </c>
      <c r="OLE285" s="18">
        <v>0</v>
      </c>
      <c r="OLF285" s="18">
        <v>0</v>
      </c>
      <c r="OLG285" s="18">
        <v>0</v>
      </c>
      <c r="OLH285" s="18">
        <v>0</v>
      </c>
      <c r="OLI285" s="18">
        <v>0</v>
      </c>
      <c r="OLJ285" s="18">
        <v>0</v>
      </c>
      <c r="OLK285" s="18">
        <v>0</v>
      </c>
      <c r="OLL285" s="18">
        <v>0</v>
      </c>
      <c r="OLM285" s="18">
        <v>0</v>
      </c>
      <c r="OLN285" s="18">
        <v>0</v>
      </c>
      <c r="OLO285" s="18">
        <v>0</v>
      </c>
      <c r="OLP285" s="18">
        <v>0</v>
      </c>
      <c r="OLQ285" s="18">
        <v>0</v>
      </c>
      <c r="OLR285" s="18">
        <v>0</v>
      </c>
      <c r="OLS285" s="18">
        <v>0</v>
      </c>
      <c r="OLT285" s="18">
        <v>0</v>
      </c>
      <c r="OLU285" s="18">
        <v>0</v>
      </c>
      <c r="OLV285" s="18">
        <v>0</v>
      </c>
      <c r="OLW285" s="18">
        <v>0</v>
      </c>
      <c r="OLX285" s="18">
        <v>0</v>
      </c>
      <c r="OLY285" s="18">
        <v>0</v>
      </c>
      <c r="OLZ285" s="18">
        <v>0</v>
      </c>
      <c r="OMA285" s="18">
        <v>0</v>
      </c>
      <c r="OMB285" s="18">
        <v>0</v>
      </c>
      <c r="OMC285" s="18">
        <v>0</v>
      </c>
      <c r="OMD285" s="18">
        <v>0</v>
      </c>
      <c r="OME285" s="18">
        <v>0</v>
      </c>
      <c r="OMF285" s="18">
        <v>0</v>
      </c>
      <c r="OMG285" s="18">
        <v>0</v>
      </c>
      <c r="OMH285" s="18">
        <v>0</v>
      </c>
      <c r="OMI285" s="18">
        <v>0</v>
      </c>
      <c r="OMJ285" s="18">
        <v>0</v>
      </c>
      <c r="OMK285" s="18">
        <v>0</v>
      </c>
      <c r="OML285" s="18">
        <v>0</v>
      </c>
      <c r="OMM285" s="18">
        <v>0</v>
      </c>
      <c r="OMN285" s="18">
        <v>0</v>
      </c>
      <c r="OMO285" s="18">
        <v>0</v>
      </c>
      <c r="OMP285" s="18">
        <v>0</v>
      </c>
      <c r="OMQ285" s="18">
        <v>0</v>
      </c>
      <c r="OMR285" s="18">
        <v>0</v>
      </c>
      <c r="OMS285" s="18">
        <v>0</v>
      </c>
      <c r="OMT285" s="18">
        <v>0</v>
      </c>
      <c r="OMU285" s="18">
        <v>0</v>
      </c>
      <c r="OMV285" s="18">
        <v>0</v>
      </c>
      <c r="OMW285" s="18">
        <v>0</v>
      </c>
      <c r="OMX285" s="18">
        <v>0</v>
      </c>
      <c r="OMY285" s="18">
        <v>0</v>
      </c>
      <c r="OMZ285" s="18">
        <v>0</v>
      </c>
      <c r="ONA285" s="18">
        <v>0</v>
      </c>
      <c r="ONB285" s="18">
        <v>0</v>
      </c>
      <c r="ONC285" s="18">
        <v>0</v>
      </c>
      <c r="OND285" s="18">
        <v>0</v>
      </c>
      <c r="ONE285" s="18">
        <v>0</v>
      </c>
      <c r="ONF285" s="18">
        <v>0</v>
      </c>
      <c r="ONG285" s="18">
        <v>0</v>
      </c>
      <c r="ONH285" s="18">
        <v>0</v>
      </c>
      <c r="ONI285" s="18">
        <v>0</v>
      </c>
      <c r="ONJ285" s="18">
        <v>0</v>
      </c>
      <c r="ONK285" s="18">
        <v>0</v>
      </c>
      <c r="ONL285" s="18">
        <v>0</v>
      </c>
      <c r="ONM285" s="18">
        <v>0</v>
      </c>
      <c r="ONN285" s="18">
        <v>0</v>
      </c>
      <c r="ONO285" s="18">
        <v>0</v>
      </c>
      <c r="ONP285" s="18">
        <v>0</v>
      </c>
      <c r="ONQ285" s="18">
        <v>0</v>
      </c>
      <c r="ONR285" s="18">
        <v>0</v>
      </c>
      <c r="ONS285" s="18">
        <v>0</v>
      </c>
      <c r="ONT285" s="18">
        <v>0</v>
      </c>
      <c r="ONU285" s="18">
        <v>0</v>
      </c>
      <c r="ONV285" s="18">
        <v>0</v>
      </c>
      <c r="ONW285" s="18">
        <v>0</v>
      </c>
      <c r="ONX285" s="18">
        <v>0</v>
      </c>
      <c r="ONY285" s="18">
        <v>0</v>
      </c>
      <c r="ONZ285" s="18">
        <v>0</v>
      </c>
      <c r="OOA285" s="18">
        <v>0</v>
      </c>
      <c r="OOB285" s="18">
        <v>0</v>
      </c>
      <c r="OOC285" s="18">
        <v>0</v>
      </c>
      <c r="OOD285" s="18">
        <v>0</v>
      </c>
      <c r="OOE285" s="18">
        <v>0</v>
      </c>
      <c r="OOF285" s="18">
        <v>0</v>
      </c>
      <c r="OOG285" s="18">
        <v>0</v>
      </c>
      <c r="OOH285" s="18">
        <v>0</v>
      </c>
      <c r="OOI285" s="18">
        <v>0</v>
      </c>
      <c r="OOJ285" s="18">
        <v>0</v>
      </c>
      <c r="OOK285" s="18">
        <v>0</v>
      </c>
      <c r="OOL285" s="18">
        <v>0</v>
      </c>
      <c r="OOM285" s="18">
        <v>0</v>
      </c>
      <c r="OON285" s="18">
        <v>0</v>
      </c>
      <c r="OOO285" s="18">
        <v>0</v>
      </c>
      <c r="OOP285" s="18">
        <v>0</v>
      </c>
      <c r="OOQ285" s="18">
        <v>0</v>
      </c>
      <c r="OOR285" s="18">
        <v>0</v>
      </c>
      <c r="OOS285" s="18">
        <v>0</v>
      </c>
      <c r="OOT285" s="18">
        <v>0</v>
      </c>
      <c r="OOU285" s="18">
        <v>0</v>
      </c>
      <c r="OOV285" s="18">
        <v>0</v>
      </c>
      <c r="OOW285" s="18">
        <v>0</v>
      </c>
      <c r="OOX285" s="18">
        <v>0</v>
      </c>
      <c r="OOY285" s="18">
        <v>0</v>
      </c>
      <c r="OOZ285" s="18">
        <v>0</v>
      </c>
      <c r="OPA285" s="18">
        <v>0</v>
      </c>
      <c r="OPB285" s="18">
        <v>0</v>
      </c>
      <c r="OPC285" s="18">
        <v>0</v>
      </c>
      <c r="OPD285" s="18">
        <v>0</v>
      </c>
      <c r="OPE285" s="18">
        <v>0</v>
      </c>
      <c r="OPF285" s="18">
        <v>0</v>
      </c>
      <c r="OPG285" s="18">
        <v>0</v>
      </c>
      <c r="OPH285" s="18">
        <v>0</v>
      </c>
      <c r="OPI285" s="18">
        <v>0</v>
      </c>
      <c r="OPJ285" s="18">
        <v>0</v>
      </c>
      <c r="OPK285" s="18">
        <v>0</v>
      </c>
      <c r="OPL285" s="18">
        <v>0</v>
      </c>
      <c r="OPM285" s="18">
        <v>0</v>
      </c>
      <c r="OPN285" s="18">
        <v>0</v>
      </c>
      <c r="OPO285" s="18">
        <v>0</v>
      </c>
      <c r="OPP285" s="18">
        <v>0</v>
      </c>
      <c r="OPQ285" s="18">
        <v>0</v>
      </c>
      <c r="OPR285" s="18">
        <v>0</v>
      </c>
      <c r="OPS285" s="18">
        <v>0</v>
      </c>
      <c r="OPT285" s="18">
        <v>0</v>
      </c>
      <c r="OPU285" s="18">
        <v>0</v>
      </c>
      <c r="OPV285" s="18">
        <v>0</v>
      </c>
      <c r="OPW285" s="18">
        <v>0</v>
      </c>
      <c r="OPX285" s="18">
        <v>0</v>
      </c>
      <c r="OPY285" s="18">
        <v>0</v>
      </c>
      <c r="OPZ285" s="18">
        <v>0</v>
      </c>
      <c r="OQA285" s="18">
        <v>0</v>
      </c>
      <c r="OQB285" s="18">
        <v>0</v>
      </c>
      <c r="OQC285" s="18">
        <v>0</v>
      </c>
      <c r="OQD285" s="18">
        <v>0</v>
      </c>
      <c r="OQE285" s="18">
        <v>0</v>
      </c>
      <c r="OQF285" s="18">
        <v>0</v>
      </c>
      <c r="OQG285" s="18">
        <v>0</v>
      </c>
      <c r="OQH285" s="18">
        <v>0</v>
      </c>
      <c r="OQI285" s="18">
        <v>0</v>
      </c>
      <c r="OQJ285" s="18">
        <v>0</v>
      </c>
      <c r="OQK285" s="18">
        <v>0</v>
      </c>
      <c r="OQL285" s="18">
        <v>0</v>
      </c>
      <c r="OQM285" s="18">
        <v>0</v>
      </c>
      <c r="OQN285" s="18">
        <v>0</v>
      </c>
      <c r="OQO285" s="18">
        <v>0</v>
      </c>
      <c r="OQP285" s="18">
        <v>0</v>
      </c>
      <c r="OQQ285" s="18">
        <v>0</v>
      </c>
      <c r="OQR285" s="18">
        <v>0</v>
      </c>
      <c r="OQS285" s="18">
        <v>0</v>
      </c>
      <c r="OQT285" s="18">
        <v>0</v>
      </c>
      <c r="OQU285" s="18">
        <v>0</v>
      </c>
      <c r="OQV285" s="18">
        <v>0</v>
      </c>
      <c r="OQW285" s="18">
        <v>0</v>
      </c>
      <c r="OQX285" s="18">
        <v>0</v>
      </c>
      <c r="OQY285" s="18">
        <v>0</v>
      </c>
      <c r="OQZ285" s="18">
        <v>0</v>
      </c>
      <c r="ORA285" s="18">
        <v>0</v>
      </c>
      <c r="ORB285" s="18">
        <v>0</v>
      </c>
      <c r="ORC285" s="18">
        <v>0</v>
      </c>
      <c r="ORD285" s="18">
        <v>0</v>
      </c>
      <c r="ORE285" s="18">
        <v>0</v>
      </c>
      <c r="ORF285" s="18">
        <v>0</v>
      </c>
      <c r="ORG285" s="18">
        <v>0</v>
      </c>
      <c r="ORH285" s="18">
        <v>0</v>
      </c>
      <c r="ORI285" s="18">
        <v>0</v>
      </c>
      <c r="ORJ285" s="18">
        <v>0</v>
      </c>
      <c r="ORK285" s="18">
        <v>0</v>
      </c>
      <c r="ORL285" s="18">
        <v>0</v>
      </c>
      <c r="ORM285" s="18">
        <v>0</v>
      </c>
      <c r="ORN285" s="18">
        <v>0</v>
      </c>
      <c r="ORO285" s="18">
        <v>0</v>
      </c>
      <c r="ORP285" s="18">
        <v>0</v>
      </c>
      <c r="ORQ285" s="18">
        <v>0</v>
      </c>
      <c r="ORR285" s="18">
        <v>0</v>
      </c>
      <c r="ORS285" s="18">
        <v>0</v>
      </c>
      <c r="ORT285" s="18">
        <v>0</v>
      </c>
      <c r="ORU285" s="18">
        <v>0</v>
      </c>
      <c r="ORV285" s="18">
        <v>0</v>
      </c>
      <c r="ORW285" s="18">
        <v>0</v>
      </c>
      <c r="ORX285" s="18">
        <v>0</v>
      </c>
      <c r="ORY285" s="18">
        <v>0</v>
      </c>
      <c r="ORZ285" s="18">
        <v>0</v>
      </c>
      <c r="OSA285" s="18">
        <v>0</v>
      </c>
      <c r="OSB285" s="18">
        <v>0</v>
      </c>
      <c r="OSC285" s="18">
        <v>0</v>
      </c>
      <c r="OSD285" s="18">
        <v>0</v>
      </c>
      <c r="OSE285" s="18">
        <v>0</v>
      </c>
      <c r="OSF285" s="18">
        <v>0</v>
      </c>
      <c r="OSG285" s="18">
        <v>0</v>
      </c>
      <c r="OSH285" s="18">
        <v>0</v>
      </c>
      <c r="OSI285" s="18">
        <v>0</v>
      </c>
      <c r="OSJ285" s="18">
        <v>0</v>
      </c>
      <c r="OSK285" s="18">
        <v>0</v>
      </c>
      <c r="OSL285" s="18">
        <v>0</v>
      </c>
      <c r="OSM285" s="18">
        <v>0</v>
      </c>
      <c r="OSN285" s="18">
        <v>0</v>
      </c>
      <c r="OSO285" s="18">
        <v>0</v>
      </c>
      <c r="OSP285" s="18">
        <v>0</v>
      </c>
      <c r="OSQ285" s="18">
        <v>0</v>
      </c>
      <c r="OSR285" s="18">
        <v>0</v>
      </c>
      <c r="OSS285" s="18">
        <v>0</v>
      </c>
      <c r="OST285" s="18">
        <v>0</v>
      </c>
      <c r="OSU285" s="18">
        <v>0</v>
      </c>
      <c r="OSV285" s="18">
        <v>0</v>
      </c>
      <c r="OSW285" s="18">
        <v>0</v>
      </c>
      <c r="OSX285" s="18">
        <v>0</v>
      </c>
      <c r="OSY285" s="18">
        <v>0</v>
      </c>
      <c r="OSZ285" s="18">
        <v>0</v>
      </c>
      <c r="OTA285" s="18">
        <v>0</v>
      </c>
      <c r="OTB285" s="18">
        <v>0</v>
      </c>
      <c r="OTC285" s="18">
        <v>0</v>
      </c>
      <c r="OTD285" s="18">
        <v>0</v>
      </c>
      <c r="OTE285" s="18">
        <v>0</v>
      </c>
      <c r="OTF285" s="18">
        <v>0</v>
      </c>
      <c r="OTG285" s="18">
        <v>0</v>
      </c>
      <c r="OTH285" s="18">
        <v>0</v>
      </c>
      <c r="OTI285" s="18">
        <v>0</v>
      </c>
      <c r="OTJ285" s="18">
        <v>0</v>
      </c>
      <c r="OTK285" s="18">
        <v>0</v>
      </c>
      <c r="OTL285" s="18">
        <v>0</v>
      </c>
      <c r="OTM285" s="18">
        <v>0</v>
      </c>
      <c r="OTN285" s="18">
        <v>0</v>
      </c>
      <c r="OTO285" s="18">
        <v>0</v>
      </c>
      <c r="OTP285" s="18">
        <v>0</v>
      </c>
      <c r="OTQ285" s="18">
        <v>0</v>
      </c>
      <c r="OTR285" s="18">
        <v>0</v>
      </c>
      <c r="OTS285" s="18">
        <v>0</v>
      </c>
      <c r="OTT285" s="18">
        <v>0</v>
      </c>
      <c r="OTU285" s="18">
        <v>0</v>
      </c>
      <c r="OTV285" s="18">
        <v>0</v>
      </c>
      <c r="OTW285" s="18">
        <v>0</v>
      </c>
      <c r="OTX285" s="18">
        <v>0</v>
      </c>
      <c r="OTY285" s="18">
        <v>0</v>
      </c>
      <c r="OTZ285" s="18">
        <v>0</v>
      </c>
      <c r="OUA285" s="18">
        <v>0</v>
      </c>
      <c r="OUB285" s="18">
        <v>0</v>
      </c>
      <c r="OUC285" s="18">
        <v>0</v>
      </c>
      <c r="OUD285" s="18">
        <v>0</v>
      </c>
      <c r="OUE285" s="18">
        <v>0</v>
      </c>
      <c r="OUF285" s="18">
        <v>0</v>
      </c>
      <c r="OUG285" s="18">
        <v>0</v>
      </c>
      <c r="OUH285" s="18">
        <v>0</v>
      </c>
      <c r="OUI285" s="18">
        <v>0</v>
      </c>
      <c r="OUJ285" s="18">
        <v>0</v>
      </c>
      <c r="OUK285" s="18">
        <v>0</v>
      </c>
      <c r="OUL285" s="18">
        <v>0</v>
      </c>
      <c r="OUM285" s="18">
        <v>0</v>
      </c>
      <c r="OUN285" s="18">
        <v>0</v>
      </c>
      <c r="OUO285" s="18">
        <v>0</v>
      </c>
      <c r="OUP285" s="18">
        <v>0</v>
      </c>
      <c r="OUQ285" s="18">
        <v>0</v>
      </c>
      <c r="OUR285" s="18">
        <v>0</v>
      </c>
      <c r="OUS285" s="18">
        <v>0</v>
      </c>
      <c r="OUT285" s="18">
        <v>0</v>
      </c>
      <c r="OUU285" s="18">
        <v>0</v>
      </c>
      <c r="OUV285" s="18">
        <v>0</v>
      </c>
      <c r="OUW285" s="18">
        <v>0</v>
      </c>
      <c r="OUX285" s="18">
        <v>0</v>
      </c>
      <c r="OUY285" s="18">
        <v>0</v>
      </c>
      <c r="OUZ285" s="18">
        <v>0</v>
      </c>
      <c r="OVA285" s="18">
        <v>0</v>
      </c>
      <c r="OVB285" s="18">
        <v>0</v>
      </c>
      <c r="OVC285" s="18">
        <v>0</v>
      </c>
      <c r="OVD285" s="18">
        <v>0</v>
      </c>
      <c r="OVE285" s="18">
        <v>0</v>
      </c>
      <c r="OVF285" s="18">
        <v>0</v>
      </c>
      <c r="OVG285" s="18">
        <v>0</v>
      </c>
      <c r="OVH285" s="18">
        <v>0</v>
      </c>
      <c r="OVI285" s="18">
        <v>0</v>
      </c>
      <c r="OVJ285" s="18">
        <v>0</v>
      </c>
      <c r="OVK285" s="18">
        <v>0</v>
      </c>
      <c r="OVL285" s="18">
        <v>0</v>
      </c>
      <c r="OVM285" s="18">
        <v>0</v>
      </c>
      <c r="OVN285" s="18">
        <v>0</v>
      </c>
      <c r="OVO285" s="18">
        <v>0</v>
      </c>
      <c r="OVP285" s="18">
        <v>0</v>
      </c>
      <c r="OVQ285" s="18">
        <v>0</v>
      </c>
      <c r="OVR285" s="18">
        <v>0</v>
      </c>
      <c r="OVS285" s="18">
        <v>0</v>
      </c>
      <c r="OVT285" s="18">
        <v>0</v>
      </c>
      <c r="OVU285" s="18">
        <v>0</v>
      </c>
      <c r="OVV285" s="18">
        <v>0</v>
      </c>
      <c r="OVW285" s="18">
        <v>0</v>
      </c>
      <c r="OVX285" s="18">
        <v>0</v>
      </c>
      <c r="OVY285" s="18">
        <v>0</v>
      </c>
      <c r="OVZ285" s="18">
        <v>0</v>
      </c>
      <c r="OWA285" s="18">
        <v>0</v>
      </c>
      <c r="OWB285" s="18">
        <v>0</v>
      </c>
      <c r="OWC285" s="18">
        <v>0</v>
      </c>
      <c r="OWD285" s="18">
        <v>0</v>
      </c>
      <c r="OWE285" s="18">
        <v>0</v>
      </c>
      <c r="OWF285" s="18">
        <v>0</v>
      </c>
      <c r="OWG285" s="18">
        <v>0</v>
      </c>
      <c r="OWH285" s="18">
        <v>0</v>
      </c>
      <c r="OWI285" s="18">
        <v>0</v>
      </c>
      <c r="OWJ285" s="18">
        <v>0</v>
      </c>
      <c r="OWK285" s="18">
        <v>0</v>
      </c>
      <c r="OWL285" s="18">
        <v>0</v>
      </c>
      <c r="OWM285" s="18">
        <v>0</v>
      </c>
      <c r="OWN285" s="18">
        <v>0</v>
      </c>
      <c r="OWO285" s="18">
        <v>0</v>
      </c>
      <c r="OWP285" s="18">
        <v>0</v>
      </c>
      <c r="OWQ285" s="18">
        <v>0</v>
      </c>
      <c r="OWR285" s="18">
        <v>0</v>
      </c>
      <c r="OWS285" s="18">
        <v>0</v>
      </c>
      <c r="OWT285" s="18">
        <v>0</v>
      </c>
      <c r="OWU285" s="18">
        <v>0</v>
      </c>
      <c r="OWV285" s="18">
        <v>0</v>
      </c>
      <c r="OWW285" s="18">
        <v>0</v>
      </c>
      <c r="OWX285" s="18">
        <v>0</v>
      </c>
      <c r="OWY285" s="18">
        <v>0</v>
      </c>
      <c r="OWZ285" s="18">
        <v>0</v>
      </c>
      <c r="OXA285" s="18">
        <v>0</v>
      </c>
      <c r="OXB285" s="18">
        <v>0</v>
      </c>
      <c r="OXC285" s="18">
        <v>0</v>
      </c>
      <c r="OXD285" s="18">
        <v>0</v>
      </c>
      <c r="OXE285" s="18">
        <v>0</v>
      </c>
      <c r="OXF285" s="18">
        <v>0</v>
      </c>
      <c r="OXG285" s="18">
        <v>0</v>
      </c>
      <c r="OXH285" s="18">
        <v>0</v>
      </c>
      <c r="OXI285" s="18">
        <v>0</v>
      </c>
      <c r="OXJ285" s="18">
        <v>0</v>
      </c>
      <c r="OXK285" s="18">
        <v>0</v>
      </c>
      <c r="OXL285" s="18">
        <v>0</v>
      </c>
      <c r="OXM285" s="18">
        <v>0</v>
      </c>
      <c r="OXN285" s="18">
        <v>0</v>
      </c>
      <c r="OXO285" s="18">
        <v>0</v>
      </c>
      <c r="OXP285" s="18">
        <v>0</v>
      </c>
      <c r="OXQ285" s="18">
        <v>0</v>
      </c>
      <c r="OXR285" s="18">
        <v>0</v>
      </c>
      <c r="OXS285" s="18">
        <v>0</v>
      </c>
      <c r="OXT285" s="18">
        <v>0</v>
      </c>
      <c r="OXU285" s="18">
        <v>0</v>
      </c>
      <c r="OXV285" s="18">
        <v>0</v>
      </c>
      <c r="OXW285" s="18">
        <v>0</v>
      </c>
      <c r="OXX285" s="18">
        <v>0</v>
      </c>
      <c r="OXY285" s="18">
        <v>0</v>
      </c>
      <c r="OXZ285" s="18">
        <v>0</v>
      </c>
      <c r="OYA285" s="18">
        <v>0</v>
      </c>
      <c r="OYB285" s="18">
        <v>0</v>
      </c>
      <c r="OYC285" s="18">
        <v>0</v>
      </c>
      <c r="OYD285" s="18">
        <v>0</v>
      </c>
      <c r="OYE285" s="18">
        <v>0</v>
      </c>
      <c r="OYF285" s="18">
        <v>0</v>
      </c>
      <c r="OYG285" s="18">
        <v>0</v>
      </c>
      <c r="OYH285" s="18">
        <v>0</v>
      </c>
      <c r="OYI285" s="18">
        <v>0</v>
      </c>
      <c r="OYJ285" s="18">
        <v>0</v>
      </c>
      <c r="OYK285" s="18">
        <v>0</v>
      </c>
      <c r="OYL285" s="18">
        <v>0</v>
      </c>
      <c r="OYM285" s="18">
        <v>0</v>
      </c>
      <c r="OYN285" s="18">
        <v>0</v>
      </c>
      <c r="OYO285" s="18">
        <v>0</v>
      </c>
      <c r="OYP285" s="18">
        <v>0</v>
      </c>
      <c r="OYQ285" s="18">
        <v>0</v>
      </c>
      <c r="OYR285" s="18">
        <v>0</v>
      </c>
      <c r="OYS285" s="18">
        <v>0</v>
      </c>
      <c r="OYT285" s="18">
        <v>0</v>
      </c>
      <c r="OYU285" s="18">
        <v>0</v>
      </c>
      <c r="OYV285" s="18">
        <v>0</v>
      </c>
      <c r="OYW285" s="18">
        <v>0</v>
      </c>
      <c r="OYX285" s="18">
        <v>0</v>
      </c>
      <c r="OYY285" s="18">
        <v>0</v>
      </c>
      <c r="OYZ285" s="18">
        <v>0</v>
      </c>
      <c r="OZA285" s="18">
        <v>0</v>
      </c>
      <c r="OZB285" s="18">
        <v>0</v>
      </c>
      <c r="OZC285" s="18">
        <v>0</v>
      </c>
      <c r="OZD285" s="18">
        <v>0</v>
      </c>
      <c r="OZE285" s="18">
        <v>0</v>
      </c>
      <c r="OZF285" s="18">
        <v>0</v>
      </c>
      <c r="OZG285" s="18">
        <v>0</v>
      </c>
      <c r="OZH285" s="18">
        <v>0</v>
      </c>
      <c r="OZI285" s="18">
        <v>0</v>
      </c>
      <c r="OZJ285" s="18">
        <v>0</v>
      </c>
      <c r="OZK285" s="18">
        <v>0</v>
      </c>
      <c r="OZL285" s="18">
        <v>0</v>
      </c>
      <c r="OZM285" s="18">
        <v>0</v>
      </c>
      <c r="OZN285" s="18">
        <v>0</v>
      </c>
      <c r="OZO285" s="18">
        <v>0</v>
      </c>
      <c r="OZP285" s="18">
        <v>0</v>
      </c>
      <c r="OZQ285" s="18">
        <v>0</v>
      </c>
      <c r="OZR285" s="18">
        <v>0</v>
      </c>
      <c r="OZS285" s="18">
        <v>0</v>
      </c>
      <c r="OZT285" s="18">
        <v>0</v>
      </c>
      <c r="OZU285" s="18">
        <v>0</v>
      </c>
      <c r="OZV285" s="18">
        <v>0</v>
      </c>
      <c r="OZW285" s="18">
        <v>0</v>
      </c>
      <c r="OZX285" s="18">
        <v>0</v>
      </c>
      <c r="OZY285" s="18">
        <v>0</v>
      </c>
      <c r="OZZ285" s="18">
        <v>0</v>
      </c>
      <c r="PAA285" s="18">
        <v>0</v>
      </c>
      <c r="PAB285" s="18">
        <v>0</v>
      </c>
      <c r="PAC285" s="18">
        <v>0</v>
      </c>
      <c r="PAD285" s="18">
        <v>0</v>
      </c>
      <c r="PAE285" s="18">
        <v>0</v>
      </c>
      <c r="PAF285" s="18">
        <v>0</v>
      </c>
      <c r="PAG285" s="18">
        <v>0</v>
      </c>
      <c r="PAH285" s="18">
        <v>0</v>
      </c>
      <c r="PAI285" s="18">
        <v>0</v>
      </c>
      <c r="PAJ285" s="18">
        <v>0</v>
      </c>
      <c r="PAK285" s="18">
        <v>0</v>
      </c>
      <c r="PAL285" s="18">
        <v>0</v>
      </c>
      <c r="PAM285" s="18">
        <v>0</v>
      </c>
      <c r="PAN285" s="18">
        <v>0</v>
      </c>
      <c r="PAO285" s="18">
        <v>0</v>
      </c>
      <c r="PAP285" s="18">
        <v>0</v>
      </c>
      <c r="PAQ285" s="18">
        <v>0</v>
      </c>
      <c r="PAR285" s="18">
        <v>0</v>
      </c>
      <c r="PAS285" s="18">
        <v>0</v>
      </c>
      <c r="PAT285" s="18">
        <v>0</v>
      </c>
      <c r="PAU285" s="18">
        <v>0</v>
      </c>
      <c r="PAV285" s="18">
        <v>0</v>
      </c>
      <c r="PAW285" s="18">
        <v>0</v>
      </c>
      <c r="PAX285" s="18">
        <v>0</v>
      </c>
      <c r="PAY285" s="18">
        <v>0</v>
      </c>
      <c r="PAZ285" s="18">
        <v>0</v>
      </c>
      <c r="PBA285" s="18">
        <v>0</v>
      </c>
      <c r="PBB285" s="18">
        <v>0</v>
      </c>
      <c r="PBC285" s="18">
        <v>0</v>
      </c>
      <c r="PBD285" s="18">
        <v>0</v>
      </c>
      <c r="PBE285" s="18">
        <v>0</v>
      </c>
      <c r="PBF285" s="18">
        <v>0</v>
      </c>
      <c r="PBG285" s="18">
        <v>0</v>
      </c>
      <c r="PBH285" s="18">
        <v>0</v>
      </c>
      <c r="PBI285" s="18">
        <v>0</v>
      </c>
      <c r="PBJ285" s="18">
        <v>0</v>
      </c>
      <c r="PBK285" s="18">
        <v>0</v>
      </c>
      <c r="PBL285" s="18">
        <v>0</v>
      </c>
      <c r="PBM285" s="18">
        <v>0</v>
      </c>
      <c r="PBN285" s="18">
        <v>0</v>
      </c>
      <c r="PBO285" s="18">
        <v>0</v>
      </c>
      <c r="PBP285" s="18">
        <v>0</v>
      </c>
      <c r="PBQ285" s="18">
        <v>0</v>
      </c>
      <c r="PBR285" s="18">
        <v>0</v>
      </c>
      <c r="PBS285" s="18">
        <v>0</v>
      </c>
      <c r="PBT285" s="18">
        <v>0</v>
      </c>
      <c r="PBU285" s="18">
        <v>0</v>
      </c>
      <c r="PBV285" s="18">
        <v>0</v>
      </c>
      <c r="PBW285" s="18">
        <v>0</v>
      </c>
      <c r="PBX285" s="18">
        <v>0</v>
      </c>
      <c r="PBY285" s="18">
        <v>0</v>
      </c>
      <c r="PBZ285" s="18">
        <v>0</v>
      </c>
      <c r="PCA285" s="18">
        <v>0</v>
      </c>
      <c r="PCB285" s="18">
        <v>0</v>
      </c>
      <c r="PCC285" s="18">
        <v>0</v>
      </c>
      <c r="PCD285" s="18">
        <v>0</v>
      </c>
      <c r="PCE285" s="18">
        <v>0</v>
      </c>
      <c r="PCF285" s="18">
        <v>0</v>
      </c>
      <c r="PCG285" s="18">
        <v>0</v>
      </c>
      <c r="PCH285" s="18">
        <v>0</v>
      </c>
      <c r="PCI285" s="18">
        <v>0</v>
      </c>
      <c r="PCJ285" s="18">
        <v>0</v>
      </c>
      <c r="PCK285" s="18">
        <v>0</v>
      </c>
      <c r="PCL285" s="18">
        <v>0</v>
      </c>
      <c r="PCM285" s="18">
        <v>0</v>
      </c>
      <c r="PCN285" s="18">
        <v>0</v>
      </c>
      <c r="PCO285" s="18">
        <v>0</v>
      </c>
      <c r="PCP285" s="18">
        <v>0</v>
      </c>
      <c r="PCQ285" s="18">
        <v>0</v>
      </c>
      <c r="PCR285" s="18">
        <v>0</v>
      </c>
      <c r="PCS285" s="18">
        <v>0</v>
      </c>
      <c r="PCT285" s="18">
        <v>0</v>
      </c>
      <c r="PCU285" s="18">
        <v>0</v>
      </c>
      <c r="PCV285" s="18">
        <v>0</v>
      </c>
      <c r="PCW285" s="18">
        <v>0</v>
      </c>
      <c r="PCX285" s="18">
        <v>0</v>
      </c>
      <c r="PCY285" s="18">
        <v>0</v>
      </c>
      <c r="PCZ285" s="18">
        <v>0</v>
      </c>
      <c r="PDA285" s="18">
        <v>0</v>
      </c>
      <c r="PDB285" s="18">
        <v>0</v>
      </c>
      <c r="PDC285" s="18">
        <v>0</v>
      </c>
      <c r="PDD285" s="18">
        <v>0</v>
      </c>
      <c r="PDE285" s="18">
        <v>0</v>
      </c>
      <c r="PDF285" s="18">
        <v>0</v>
      </c>
      <c r="PDG285" s="18">
        <v>0</v>
      </c>
      <c r="PDH285" s="18">
        <v>0</v>
      </c>
      <c r="PDI285" s="18">
        <v>0</v>
      </c>
      <c r="PDJ285" s="18">
        <v>0</v>
      </c>
      <c r="PDK285" s="18">
        <v>0</v>
      </c>
      <c r="PDL285" s="18">
        <v>0</v>
      </c>
      <c r="PDM285" s="18">
        <v>0</v>
      </c>
      <c r="PDN285" s="18">
        <v>0</v>
      </c>
      <c r="PDO285" s="18">
        <v>0</v>
      </c>
      <c r="PDP285" s="18">
        <v>0</v>
      </c>
      <c r="PDQ285" s="18">
        <v>0</v>
      </c>
      <c r="PDR285" s="18">
        <v>0</v>
      </c>
      <c r="PDS285" s="18">
        <v>0</v>
      </c>
      <c r="PDT285" s="18">
        <v>0</v>
      </c>
      <c r="PDU285" s="18">
        <v>0</v>
      </c>
      <c r="PDV285" s="18">
        <v>0</v>
      </c>
      <c r="PDW285" s="18">
        <v>0</v>
      </c>
      <c r="PDX285" s="18">
        <v>0</v>
      </c>
      <c r="PDY285" s="18">
        <v>0</v>
      </c>
      <c r="PDZ285" s="18">
        <v>0</v>
      </c>
      <c r="PEA285" s="18">
        <v>0</v>
      </c>
      <c r="PEB285" s="18">
        <v>0</v>
      </c>
      <c r="PEC285" s="18">
        <v>0</v>
      </c>
      <c r="PED285" s="18">
        <v>0</v>
      </c>
      <c r="PEE285" s="18">
        <v>0</v>
      </c>
      <c r="PEF285" s="18">
        <v>0</v>
      </c>
      <c r="PEG285" s="18">
        <v>0</v>
      </c>
      <c r="PEH285" s="18">
        <v>0</v>
      </c>
      <c r="PEI285" s="18">
        <v>0</v>
      </c>
      <c r="PEJ285" s="18">
        <v>0</v>
      </c>
      <c r="PEK285" s="18">
        <v>0</v>
      </c>
      <c r="PEL285" s="18">
        <v>0</v>
      </c>
      <c r="PEM285" s="18">
        <v>0</v>
      </c>
      <c r="PEN285" s="18">
        <v>0</v>
      </c>
      <c r="PEO285" s="18">
        <v>0</v>
      </c>
      <c r="PEP285" s="18">
        <v>0</v>
      </c>
      <c r="PEQ285" s="18">
        <v>0</v>
      </c>
      <c r="PER285" s="18">
        <v>0</v>
      </c>
      <c r="PES285" s="18">
        <v>0</v>
      </c>
      <c r="PET285" s="18">
        <v>0</v>
      </c>
      <c r="PEU285" s="18">
        <v>0</v>
      </c>
      <c r="PEV285" s="18">
        <v>0</v>
      </c>
      <c r="PEW285" s="18">
        <v>0</v>
      </c>
      <c r="PEX285" s="18">
        <v>0</v>
      </c>
      <c r="PEY285" s="18">
        <v>0</v>
      </c>
      <c r="PEZ285" s="18">
        <v>0</v>
      </c>
      <c r="PFA285" s="18">
        <v>0</v>
      </c>
      <c r="PFB285" s="18">
        <v>0</v>
      </c>
      <c r="PFC285" s="18">
        <v>0</v>
      </c>
      <c r="PFD285" s="18">
        <v>0</v>
      </c>
      <c r="PFE285" s="18">
        <v>0</v>
      </c>
      <c r="PFF285" s="18">
        <v>0</v>
      </c>
      <c r="PFG285" s="18">
        <v>0</v>
      </c>
      <c r="PFH285" s="18">
        <v>0</v>
      </c>
      <c r="PFI285" s="18">
        <v>0</v>
      </c>
      <c r="PFJ285" s="18">
        <v>0</v>
      </c>
      <c r="PFK285" s="18">
        <v>0</v>
      </c>
      <c r="PFL285" s="18">
        <v>0</v>
      </c>
      <c r="PFM285" s="18">
        <v>0</v>
      </c>
      <c r="PFN285" s="18">
        <v>0</v>
      </c>
      <c r="PFO285" s="18">
        <v>0</v>
      </c>
      <c r="PFP285" s="18">
        <v>0</v>
      </c>
      <c r="PFQ285" s="18">
        <v>0</v>
      </c>
      <c r="PFR285" s="18">
        <v>0</v>
      </c>
      <c r="PFS285" s="18">
        <v>0</v>
      </c>
      <c r="PFT285" s="18">
        <v>0</v>
      </c>
      <c r="PFU285" s="18">
        <v>0</v>
      </c>
      <c r="PFV285" s="18">
        <v>0</v>
      </c>
      <c r="PFW285" s="18">
        <v>0</v>
      </c>
      <c r="PFX285" s="18">
        <v>0</v>
      </c>
      <c r="PFY285" s="18">
        <v>0</v>
      </c>
      <c r="PFZ285" s="18">
        <v>0</v>
      </c>
      <c r="PGA285" s="18">
        <v>0</v>
      </c>
      <c r="PGB285" s="18">
        <v>0</v>
      </c>
      <c r="PGC285" s="18">
        <v>0</v>
      </c>
      <c r="PGD285" s="18">
        <v>0</v>
      </c>
      <c r="PGE285" s="18">
        <v>0</v>
      </c>
      <c r="PGF285" s="18">
        <v>0</v>
      </c>
      <c r="PGG285" s="18">
        <v>0</v>
      </c>
      <c r="PGH285" s="18">
        <v>0</v>
      </c>
      <c r="PGI285" s="18">
        <v>0</v>
      </c>
      <c r="PGJ285" s="18">
        <v>0</v>
      </c>
      <c r="PGK285" s="18">
        <v>0</v>
      </c>
      <c r="PGL285" s="18">
        <v>0</v>
      </c>
      <c r="PGM285" s="18">
        <v>0</v>
      </c>
      <c r="PGN285" s="18">
        <v>0</v>
      </c>
      <c r="PGO285" s="18">
        <v>0</v>
      </c>
      <c r="PGP285" s="18">
        <v>0</v>
      </c>
      <c r="PGQ285" s="18">
        <v>0</v>
      </c>
      <c r="PGR285" s="18">
        <v>0</v>
      </c>
      <c r="PGS285" s="18">
        <v>0</v>
      </c>
      <c r="PGT285" s="18">
        <v>0</v>
      </c>
      <c r="PGU285" s="18">
        <v>0</v>
      </c>
      <c r="PGV285" s="18">
        <v>0</v>
      </c>
      <c r="PGW285" s="18">
        <v>0</v>
      </c>
      <c r="PGX285" s="18">
        <v>0</v>
      </c>
      <c r="PGY285" s="18">
        <v>0</v>
      </c>
      <c r="PGZ285" s="18">
        <v>0</v>
      </c>
      <c r="PHA285" s="18">
        <v>0</v>
      </c>
      <c r="PHB285" s="18">
        <v>0</v>
      </c>
      <c r="PHC285" s="18">
        <v>0</v>
      </c>
      <c r="PHD285" s="18">
        <v>0</v>
      </c>
      <c r="PHE285" s="18">
        <v>0</v>
      </c>
      <c r="PHF285" s="18">
        <v>0</v>
      </c>
      <c r="PHG285" s="18">
        <v>0</v>
      </c>
      <c r="PHH285" s="18">
        <v>0</v>
      </c>
      <c r="PHI285" s="18">
        <v>0</v>
      </c>
      <c r="PHJ285" s="18">
        <v>0</v>
      </c>
      <c r="PHK285" s="18">
        <v>0</v>
      </c>
      <c r="PHL285" s="18">
        <v>0</v>
      </c>
      <c r="PHM285" s="18">
        <v>0</v>
      </c>
      <c r="PHN285" s="18">
        <v>0</v>
      </c>
      <c r="PHO285" s="18">
        <v>0</v>
      </c>
      <c r="PHP285" s="18">
        <v>0</v>
      </c>
      <c r="PHQ285" s="18">
        <v>0</v>
      </c>
      <c r="PHR285" s="18">
        <v>0</v>
      </c>
      <c r="PHS285" s="18">
        <v>0</v>
      </c>
      <c r="PHT285" s="18">
        <v>0</v>
      </c>
      <c r="PHU285" s="18">
        <v>0</v>
      </c>
      <c r="PHV285" s="18">
        <v>0</v>
      </c>
      <c r="PHW285" s="18">
        <v>0</v>
      </c>
      <c r="PHX285" s="18">
        <v>0</v>
      </c>
      <c r="PHY285" s="18">
        <v>0</v>
      </c>
      <c r="PHZ285" s="18">
        <v>0</v>
      </c>
      <c r="PIA285" s="18">
        <v>0</v>
      </c>
      <c r="PIB285" s="18">
        <v>0</v>
      </c>
      <c r="PIC285" s="18">
        <v>0</v>
      </c>
      <c r="PID285" s="18">
        <v>0</v>
      </c>
      <c r="PIE285" s="18">
        <v>0</v>
      </c>
      <c r="PIF285" s="18">
        <v>0</v>
      </c>
      <c r="PIG285" s="18">
        <v>0</v>
      </c>
      <c r="PIH285" s="18">
        <v>0</v>
      </c>
      <c r="PII285" s="18">
        <v>0</v>
      </c>
      <c r="PIJ285" s="18">
        <v>0</v>
      </c>
      <c r="PIK285" s="18">
        <v>0</v>
      </c>
      <c r="PIL285" s="18">
        <v>0</v>
      </c>
      <c r="PIM285" s="18">
        <v>0</v>
      </c>
      <c r="PIN285" s="18">
        <v>0</v>
      </c>
      <c r="PIO285" s="18">
        <v>0</v>
      </c>
      <c r="PIP285" s="18">
        <v>0</v>
      </c>
      <c r="PIQ285" s="18">
        <v>0</v>
      </c>
      <c r="PIR285" s="18">
        <v>0</v>
      </c>
      <c r="PIS285" s="18">
        <v>0</v>
      </c>
      <c r="PIT285" s="18">
        <v>0</v>
      </c>
      <c r="PIU285" s="18">
        <v>0</v>
      </c>
      <c r="PIV285" s="18">
        <v>0</v>
      </c>
      <c r="PIW285" s="18">
        <v>0</v>
      </c>
      <c r="PIX285" s="18">
        <v>0</v>
      </c>
      <c r="PIY285" s="18">
        <v>0</v>
      </c>
      <c r="PIZ285" s="18">
        <v>0</v>
      </c>
      <c r="PJA285" s="18">
        <v>0</v>
      </c>
      <c r="PJB285" s="18">
        <v>0</v>
      </c>
      <c r="PJC285" s="18">
        <v>0</v>
      </c>
      <c r="PJD285" s="18">
        <v>0</v>
      </c>
      <c r="PJE285" s="18">
        <v>0</v>
      </c>
      <c r="PJF285" s="18">
        <v>0</v>
      </c>
      <c r="PJG285" s="18">
        <v>0</v>
      </c>
      <c r="PJH285" s="18">
        <v>0</v>
      </c>
      <c r="PJI285" s="18">
        <v>0</v>
      </c>
      <c r="PJJ285" s="18">
        <v>0</v>
      </c>
      <c r="PJK285" s="18">
        <v>0</v>
      </c>
      <c r="PJL285" s="18">
        <v>0</v>
      </c>
      <c r="PJM285" s="18">
        <v>0</v>
      </c>
      <c r="PJN285" s="18">
        <v>0</v>
      </c>
      <c r="PJO285" s="18">
        <v>0</v>
      </c>
      <c r="PJP285" s="18">
        <v>0</v>
      </c>
      <c r="PJQ285" s="18">
        <v>0</v>
      </c>
      <c r="PJR285" s="18">
        <v>0</v>
      </c>
      <c r="PJS285" s="18">
        <v>0</v>
      </c>
      <c r="PJT285" s="18">
        <v>0</v>
      </c>
      <c r="PJU285" s="18">
        <v>0</v>
      </c>
      <c r="PJV285" s="18">
        <v>0</v>
      </c>
      <c r="PJW285" s="18">
        <v>0</v>
      </c>
      <c r="PJX285" s="18">
        <v>0</v>
      </c>
      <c r="PJY285" s="18">
        <v>0</v>
      </c>
      <c r="PJZ285" s="18">
        <v>0</v>
      </c>
      <c r="PKA285" s="18">
        <v>0</v>
      </c>
      <c r="PKB285" s="18">
        <v>0</v>
      </c>
      <c r="PKC285" s="18">
        <v>0</v>
      </c>
      <c r="PKD285" s="18">
        <v>0</v>
      </c>
      <c r="PKE285" s="18">
        <v>0</v>
      </c>
      <c r="PKF285" s="18">
        <v>0</v>
      </c>
      <c r="PKG285" s="18">
        <v>0</v>
      </c>
      <c r="PKH285" s="18">
        <v>0</v>
      </c>
      <c r="PKI285" s="18">
        <v>0</v>
      </c>
      <c r="PKJ285" s="18">
        <v>0</v>
      </c>
      <c r="PKK285" s="18">
        <v>0</v>
      </c>
      <c r="PKL285" s="18">
        <v>0</v>
      </c>
      <c r="PKM285" s="18">
        <v>0</v>
      </c>
      <c r="PKN285" s="18">
        <v>0</v>
      </c>
      <c r="PKO285" s="18">
        <v>0</v>
      </c>
      <c r="PKP285" s="18">
        <v>0</v>
      </c>
      <c r="PKQ285" s="18">
        <v>0</v>
      </c>
      <c r="PKR285" s="18">
        <v>0</v>
      </c>
      <c r="PKS285" s="18">
        <v>0</v>
      </c>
      <c r="PKT285" s="18">
        <v>0</v>
      </c>
      <c r="PKU285" s="18">
        <v>0</v>
      </c>
      <c r="PKV285" s="18">
        <v>0</v>
      </c>
      <c r="PKW285" s="18">
        <v>0</v>
      </c>
      <c r="PKX285" s="18">
        <v>0</v>
      </c>
      <c r="PKY285" s="18">
        <v>0</v>
      </c>
      <c r="PKZ285" s="18">
        <v>0</v>
      </c>
      <c r="PLA285" s="18">
        <v>0</v>
      </c>
      <c r="PLB285" s="18">
        <v>0</v>
      </c>
      <c r="PLC285" s="18">
        <v>0</v>
      </c>
      <c r="PLD285" s="18">
        <v>0</v>
      </c>
      <c r="PLE285" s="18">
        <v>0</v>
      </c>
      <c r="PLF285" s="18">
        <v>0</v>
      </c>
      <c r="PLG285" s="18">
        <v>0</v>
      </c>
      <c r="PLH285" s="18">
        <v>0</v>
      </c>
      <c r="PLI285" s="18">
        <v>0</v>
      </c>
      <c r="PLJ285" s="18">
        <v>0</v>
      </c>
      <c r="PLK285" s="18">
        <v>0</v>
      </c>
      <c r="PLL285" s="18">
        <v>0</v>
      </c>
      <c r="PLM285" s="18">
        <v>0</v>
      </c>
      <c r="PLN285" s="18">
        <v>0</v>
      </c>
      <c r="PLO285" s="18">
        <v>0</v>
      </c>
      <c r="PLP285" s="18">
        <v>0</v>
      </c>
      <c r="PLQ285" s="18">
        <v>0</v>
      </c>
      <c r="PLR285" s="18">
        <v>0</v>
      </c>
      <c r="PLS285" s="18">
        <v>0</v>
      </c>
      <c r="PLT285" s="18">
        <v>0</v>
      </c>
      <c r="PLU285" s="18">
        <v>0</v>
      </c>
      <c r="PLV285" s="18">
        <v>0</v>
      </c>
      <c r="PLW285" s="18">
        <v>0</v>
      </c>
      <c r="PLX285" s="18">
        <v>0</v>
      </c>
      <c r="PLY285" s="18">
        <v>0</v>
      </c>
      <c r="PLZ285" s="18">
        <v>0</v>
      </c>
      <c r="PMA285" s="18">
        <v>0</v>
      </c>
      <c r="PMB285" s="18">
        <v>0</v>
      </c>
      <c r="PMC285" s="18">
        <v>0</v>
      </c>
      <c r="PMD285" s="18">
        <v>0</v>
      </c>
      <c r="PME285" s="18">
        <v>0</v>
      </c>
      <c r="PMF285" s="18">
        <v>0</v>
      </c>
      <c r="PMG285" s="18">
        <v>0</v>
      </c>
      <c r="PMH285" s="18">
        <v>0</v>
      </c>
      <c r="PMI285" s="18">
        <v>0</v>
      </c>
      <c r="PMJ285" s="18">
        <v>0</v>
      </c>
      <c r="PMK285" s="18">
        <v>0</v>
      </c>
      <c r="PML285" s="18">
        <v>0</v>
      </c>
      <c r="PMM285" s="18">
        <v>0</v>
      </c>
      <c r="PMN285" s="18">
        <v>0</v>
      </c>
      <c r="PMO285" s="18">
        <v>0</v>
      </c>
      <c r="PMP285" s="18">
        <v>0</v>
      </c>
      <c r="PMQ285" s="18">
        <v>0</v>
      </c>
      <c r="PMR285" s="18">
        <v>0</v>
      </c>
      <c r="PMS285" s="18">
        <v>0</v>
      </c>
      <c r="PMT285" s="18">
        <v>0</v>
      </c>
      <c r="PMU285" s="18">
        <v>0</v>
      </c>
      <c r="PMV285" s="18">
        <v>0</v>
      </c>
      <c r="PMW285" s="18">
        <v>0</v>
      </c>
      <c r="PMX285" s="18">
        <v>0</v>
      </c>
      <c r="PMY285" s="18">
        <v>0</v>
      </c>
      <c r="PMZ285" s="18">
        <v>0</v>
      </c>
      <c r="PNA285" s="18">
        <v>0</v>
      </c>
      <c r="PNB285" s="18">
        <v>0</v>
      </c>
      <c r="PNC285" s="18">
        <v>0</v>
      </c>
      <c r="PND285" s="18">
        <v>0</v>
      </c>
      <c r="PNE285" s="18">
        <v>0</v>
      </c>
      <c r="PNF285" s="18">
        <v>0</v>
      </c>
      <c r="PNG285" s="18">
        <v>0</v>
      </c>
      <c r="PNH285" s="18">
        <v>0</v>
      </c>
      <c r="PNI285" s="18">
        <v>0</v>
      </c>
      <c r="PNJ285" s="18">
        <v>0</v>
      </c>
      <c r="PNK285" s="18">
        <v>0</v>
      </c>
      <c r="PNL285" s="18">
        <v>0</v>
      </c>
      <c r="PNM285" s="18">
        <v>0</v>
      </c>
      <c r="PNN285" s="18">
        <v>0</v>
      </c>
      <c r="PNO285" s="18">
        <v>0</v>
      </c>
      <c r="PNP285" s="18">
        <v>0</v>
      </c>
      <c r="PNQ285" s="18">
        <v>0</v>
      </c>
      <c r="PNR285" s="18">
        <v>0</v>
      </c>
      <c r="PNS285" s="18">
        <v>0</v>
      </c>
      <c r="PNT285" s="18">
        <v>0</v>
      </c>
      <c r="PNU285" s="18">
        <v>0</v>
      </c>
      <c r="PNV285" s="18">
        <v>0</v>
      </c>
      <c r="PNW285" s="18">
        <v>0</v>
      </c>
      <c r="PNX285" s="18">
        <v>0</v>
      </c>
      <c r="PNY285" s="18">
        <v>0</v>
      </c>
      <c r="PNZ285" s="18">
        <v>0</v>
      </c>
      <c r="POA285" s="18">
        <v>0</v>
      </c>
      <c r="POB285" s="18">
        <v>0</v>
      </c>
      <c r="POC285" s="18">
        <v>0</v>
      </c>
      <c r="POD285" s="18">
        <v>0</v>
      </c>
      <c r="POE285" s="18">
        <v>0</v>
      </c>
      <c r="POF285" s="18">
        <v>0</v>
      </c>
      <c r="POG285" s="18">
        <v>0</v>
      </c>
      <c r="POH285" s="18">
        <v>0</v>
      </c>
      <c r="POI285" s="18">
        <v>0</v>
      </c>
      <c r="POJ285" s="18">
        <v>0</v>
      </c>
      <c r="POK285" s="18">
        <v>0</v>
      </c>
      <c r="POL285" s="18">
        <v>0</v>
      </c>
      <c r="POM285" s="18">
        <v>0</v>
      </c>
      <c r="PON285" s="18">
        <v>0</v>
      </c>
      <c r="POO285" s="18">
        <v>0</v>
      </c>
      <c r="POP285" s="18">
        <v>0</v>
      </c>
      <c r="POQ285" s="18">
        <v>0</v>
      </c>
      <c r="POR285" s="18">
        <v>0</v>
      </c>
      <c r="POS285" s="18">
        <v>0</v>
      </c>
      <c r="POT285" s="18">
        <v>0</v>
      </c>
      <c r="POU285" s="18">
        <v>0</v>
      </c>
      <c r="POV285" s="18">
        <v>0</v>
      </c>
      <c r="POW285" s="18">
        <v>0</v>
      </c>
      <c r="POX285" s="18">
        <v>0</v>
      </c>
      <c r="POY285" s="18">
        <v>0</v>
      </c>
      <c r="POZ285" s="18">
        <v>0</v>
      </c>
      <c r="PPA285" s="18">
        <v>0</v>
      </c>
      <c r="PPB285" s="18">
        <v>0</v>
      </c>
      <c r="PPC285" s="18">
        <v>0</v>
      </c>
      <c r="PPD285" s="18">
        <v>0</v>
      </c>
      <c r="PPE285" s="18">
        <v>0</v>
      </c>
      <c r="PPF285" s="18">
        <v>0</v>
      </c>
      <c r="PPG285" s="18">
        <v>0</v>
      </c>
      <c r="PPH285" s="18">
        <v>0</v>
      </c>
      <c r="PPI285" s="18">
        <v>0</v>
      </c>
      <c r="PPJ285" s="18">
        <v>0</v>
      </c>
      <c r="PPK285" s="18">
        <v>0</v>
      </c>
      <c r="PPL285" s="18">
        <v>0</v>
      </c>
      <c r="PPM285" s="18">
        <v>0</v>
      </c>
      <c r="PPN285" s="18">
        <v>0</v>
      </c>
      <c r="PPO285" s="18">
        <v>0</v>
      </c>
      <c r="PPP285" s="18">
        <v>0</v>
      </c>
      <c r="PPQ285" s="18">
        <v>0</v>
      </c>
      <c r="PPR285" s="18">
        <v>0</v>
      </c>
      <c r="PPS285" s="18">
        <v>0</v>
      </c>
      <c r="PPT285" s="18">
        <v>0</v>
      </c>
      <c r="PPU285" s="18">
        <v>0</v>
      </c>
      <c r="PPV285" s="18">
        <v>0</v>
      </c>
      <c r="PPW285" s="18">
        <v>0</v>
      </c>
      <c r="PPX285" s="18">
        <v>0</v>
      </c>
      <c r="PPY285" s="18">
        <v>0</v>
      </c>
      <c r="PPZ285" s="18">
        <v>0</v>
      </c>
      <c r="PQA285" s="18">
        <v>0</v>
      </c>
      <c r="PQB285" s="18">
        <v>0</v>
      </c>
      <c r="PQC285" s="18">
        <v>0</v>
      </c>
      <c r="PQD285" s="18">
        <v>0</v>
      </c>
      <c r="PQE285" s="18">
        <v>0</v>
      </c>
      <c r="PQF285" s="18">
        <v>0</v>
      </c>
      <c r="PQG285" s="18">
        <v>0</v>
      </c>
      <c r="PQH285" s="18">
        <v>0</v>
      </c>
      <c r="PQI285" s="18">
        <v>0</v>
      </c>
      <c r="PQJ285" s="18">
        <v>0</v>
      </c>
      <c r="PQK285" s="18">
        <v>0</v>
      </c>
      <c r="PQL285" s="18">
        <v>0</v>
      </c>
      <c r="PQM285" s="18">
        <v>0</v>
      </c>
      <c r="PQN285" s="18">
        <v>0</v>
      </c>
      <c r="PQO285" s="18">
        <v>0</v>
      </c>
      <c r="PQP285" s="18">
        <v>0</v>
      </c>
      <c r="PQQ285" s="18">
        <v>0</v>
      </c>
      <c r="PQR285" s="18">
        <v>0</v>
      </c>
      <c r="PQS285" s="18">
        <v>0</v>
      </c>
      <c r="PQT285" s="18">
        <v>0</v>
      </c>
      <c r="PQU285" s="18">
        <v>0</v>
      </c>
      <c r="PQV285" s="18">
        <v>0</v>
      </c>
      <c r="PQW285" s="18">
        <v>0</v>
      </c>
      <c r="PQX285" s="18">
        <v>0</v>
      </c>
      <c r="PQY285" s="18">
        <v>0</v>
      </c>
      <c r="PQZ285" s="18">
        <v>0</v>
      </c>
      <c r="PRA285" s="18">
        <v>0</v>
      </c>
      <c r="PRB285" s="18">
        <v>0</v>
      </c>
      <c r="PRC285" s="18">
        <v>0</v>
      </c>
      <c r="PRD285" s="18">
        <v>0</v>
      </c>
      <c r="PRE285" s="18">
        <v>0</v>
      </c>
      <c r="PRF285" s="18">
        <v>0</v>
      </c>
      <c r="PRG285" s="18">
        <v>0</v>
      </c>
      <c r="PRH285" s="18">
        <v>0</v>
      </c>
      <c r="PRI285" s="18">
        <v>0</v>
      </c>
      <c r="PRJ285" s="18">
        <v>0</v>
      </c>
      <c r="PRK285" s="18">
        <v>0</v>
      </c>
      <c r="PRL285" s="18">
        <v>0</v>
      </c>
      <c r="PRM285" s="18">
        <v>0</v>
      </c>
      <c r="PRN285" s="18">
        <v>0</v>
      </c>
      <c r="PRO285" s="18">
        <v>0</v>
      </c>
      <c r="PRP285" s="18">
        <v>0</v>
      </c>
      <c r="PRQ285" s="18">
        <v>0</v>
      </c>
      <c r="PRR285" s="18">
        <v>0</v>
      </c>
      <c r="PRS285" s="18">
        <v>0</v>
      </c>
      <c r="PRT285" s="18">
        <v>0</v>
      </c>
      <c r="PRU285" s="18">
        <v>0</v>
      </c>
      <c r="PRV285" s="18">
        <v>0</v>
      </c>
      <c r="PRW285" s="18">
        <v>0</v>
      </c>
      <c r="PRX285" s="18">
        <v>0</v>
      </c>
      <c r="PRY285" s="18">
        <v>0</v>
      </c>
      <c r="PRZ285" s="18">
        <v>0</v>
      </c>
      <c r="PSA285" s="18">
        <v>0</v>
      </c>
      <c r="PSB285" s="18">
        <v>0</v>
      </c>
      <c r="PSC285" s="18">
        <v>0</v>
      </c>
      <c r="PSD285" s="18">
        <v>0</v>
      </c>
      <c r="PSE285" s="18">
        <v>0</v>
      </c>
      <c r="PSF285" s="18">
        <v>0</v>
      </c>
      <c r="PSG285" s="18">
        <v>0</v>
      </c>
      <c r="PSH285" s="18">
        <v>0</v>
      </c>
      <c r="PSI285" s="18">
        <v>0</v>
      </c>
      <c r="PSJ285" s="18">
        <v>0</v>
      </c>
      <c r="PSK285" s="18">
        <v>0</v>
      </c>
      <c r="PSL285" s="18">
        <v>0</v>
      </c>
      <c r="PSM285" s="18">
        <v>0</v>
      </c>
      <c r="PSN285" s="18">
        <v>0</v>
      </c>
      <c r="PSO285" s="18">
        <v>0</v>
      </c>
      <c r="PSP285" s="18">
        <v>0</v>
      </c>
      <c r="PSQ285" s="18">
        <v>0</v>
      </c>
      <c r="PSR285" s="18">
        <v>0</v>
      </c>
      <c r="PSS285" s="18">
        <v>0</v>
      </c>
      <c r="PST285" s="18">
        <v>0</v>
      </c>
      <c r="PSU285" s="18">
        <v>0</v>
      </c>
      <c r="PSV285" s="18">
        <v>0</v>
      </c>
      <c r="PSW285" s="18">
        <v>0</v>
      </c>
      <c r="PSX285" s="18">
        <v>0</v>
      </c>
      <c r="PSY285" s="18">
        <v>0</v>
      </c>
      <c r="PSZ285" s="18">
        <v>0</v>
      </c>
      <c r="PTA285" s="18">
        <v>0</v>
      </c>
      <c r="PTB285" s="18">
        <v>0</v>
      </c>
      <c r="PTC285" s="18">
        <v>0</v>
      </c>
      <c r="PTD285" s="18">
        <v>0</v>
      </c>
      <c r="PTE285" s="18">
        <v>0</v>
      </c>
      <c r="PTF285" s="18">
        <v>0</v>
      </c>
      <c r="PTG285" s="18">
        <v>0</v>
      </c>
      <c r="PTH285" s="18">
        <v>0</v>
      </c>
      <c r="PTI285" s="18">
        <v>0</v>
      </c>
      <c r="PTJ285" s="18">
        <v>0</v>
      </c>
      <c r="PTK285" s="18">
        <v>0</v>
      </c>
      <c r="PTL285" s="18">
        <v>0</v>
      </c>
      <c r="PTM285" s="18">
        <v>0</v>
      </c>
      <c r="PTN285" s="18">
        <v>0</v>
      </c>
      <c r="PTO285" s="18">
        <v>0</v>
      </c>
      <c r="PTP285" s="18">
        <v>0</v>
      </c>
      <c r="PTQ285" s="18">
        <v>0</v>
      </c>
      <c r="PTR285" s="18">
        <v>0</v>
      </c>
      <c r="PTS285" s="18">
        <v>0</v>
      </c>
      <c r="PTT285" s="18">
        <v>0</v>
      </c>
      <c r="PTU285" s="18">
        <v>0</v>
      </c>
      <c r="PTV285" s="18">
        <v>0</v>
      </c>
      <c r="PTW285" s="18">
        <v>0</v>
      </c>
      <c r="PTX285" s="18">
        <v>0</v>
      </c>
      <c r="PTY285" s="18">
        <v>0</v>
      </c>
      <c r="PTZ285" s="18">
        <v>0</v>
      </c>
      <c r="PUA285" s="18">
        <v>0</v>
      </c>
      <c r="PUB285" s="18">
        <v>0</v>
      </c>
      <c r="PUC285" s="18">
        <v>0</v>
      </c>
      <c r="PUD285" s="18">
        <v>0</v>
      </c>
      <c r="PUE285" s="18">
        <v>0</v>
      </c>
      <c r="PUF285" s="18">
        <v>0</v>
      </c>
      <c r="PUG285" s="18">
        <v>0</v>
      </c>
      <c r="PUH285" s="18">
        <v>0</v>
      </c>
      <c r="PUI285" s="18">
        <v>0</v>
      </c>
      <c r="PUJ285" s="18">
        <v>0</v>
      </c>
      <c r="PUK285" s="18">
        <v>0</v>
      </c>
      <c r="PUL285" s="18">
        <v>0</v>
      </c>
      <c r="PUM285" s="18">
        <v>0</v>
      </c>
      <c r="PUN285" s="18">
        <v>0</v>
      </c>
      <c r="PUO285" s="18">
        <v>0</v>
      </c>
      <c r="PUP285" s="18">
        <v>0</v>
      </c>
      <c r="PUQ285" s="18">
        <v>0</v>
      </c>
      <c r="PUR285" s="18">
        <v>0</v>
      </c>
      <c r="PUS285" s="18">
        <v>0</v>
      </c>
      <c r="PUT285" s="18">
        <v>0</v>
      </c>
      <c r="PUU285" s="18">
        <v>0</v>
      </c>
      <c r="PUV285" s="18">
        <v>0</v>
      </c>
      <c r="PUW285" s="18">
        <v>0</v>
      </c>
      <c r="PUX285" s="18">
        <v>0</v>
      </c>
      <c r="PUY285" s="18">
        <v>0</v>
      </c>
      <c r="PUZ285" s="18">
        <v>0</v>
      </c>
      <c r="PVA285" s="18">
        <v>0</v>
      </c>
      <c r="PVB285" s="18">
        <v>0</v>
      </c>
      <c r="PVC285" s="18">
        <v>0</v>
      </c>
      <c r="PVD285" s="18">
        <v>0</v>
      </c>
      <c r="PVE285" s="18">
        <v>0</v>
      </c>
      <c r="PVF285" s="18">
        <v>0</v>
      </c>
      <c r="PVG285" s="18">
        <v>0</v>
      </c>
      <c r="PVH285" s="18">
        <v>0</v>
      </c>
      <c r="PVI285" s="18">
        <v>0</v>
      </c>
      <c r="PVJ285" s="18">
        <v>0</v>
      </c>
      <c r="PVK285" s="18">
        <v>0</v>
      </c>
      <c r="PVL285" s="18">
        <v>0</v>
      </c>
      <c r="PVM285" s="18">
        <v>0</v>
      </c>
      <c r="PVN285" s="18">
        <v>0</v>
      </c>
      <c r="PVO285" s="18">
        <v>0</v>
      </c>
      <c r="PVP285" s="18">
        <v>0</v>
      </c>
      <c r="PVQ285" s="18">
        <v>0</v>
      </c>
      <c r="PVR285" s="18">
        <v>0</v>
      </c>
      <c r="PVS285" s="18">
        <v>0</v>
      </c>
      <c r="PVT285" s="18">
        <v>0</v>
      </c>
      <c r="PVU285" s="18">
        <v>0</v>
      </c>
      <c r="PVV285" s="18">
        <v>0</v>
      </c>
      <c r="PVW285" s="18">
        <v>0</v>
      </c>
      <c r="PVX285" s="18">
        <v>0</v>
      </c>
      <c r="PVY285" s="18">
        <v>0</v>
      </c>
      <c r="PVZ285" s="18">
        <v>0</v>
      </c>
      <c r="PWA285" s="18">
        <v>0</v>
      </c>
      <c r="PWB285" s="18">
        <v>0</v>
      </c>
      <c r="PWC285" s="18">
        <v>0</v>
      </c>
      <c r="PWD285" s="18">
        <v>0</v>
      </c>
      <c r="PWE285" s="18">
        <v>0</v>
      </c>
      <c r="PWF285" s="18">
        <v>0</v>
      </c>
      <c r="PWG285" s="18">
        <v>0</v>
      </c>
      <c r="PWH285" s="18">
        <v>0</v>
      </c>
      <c r="PWI285" s="18">
        <v>0</v>
      </c>
      <c r="PWJ285" s="18">
        <v>0</v>
      </c>
      <c r="PWK285" s="18">
        <v>0</v>
      </c>
      <c r="PWL285" s="18">
        <v>0</v>
      </c>
      <c r="PWM285" s="18">
        <v>0</v>
      </c>
      <c r="PWN285" s="18">
        <v>0</v>
      </c>
      <c r="PWO285" s="18">
        <v>0</v>
      </c>
      <c r="PWP285" s="18">
        <v>0</v>
      </c>
      <c r="PWQ285" s="18">
        <v>0</v>
      </c>
      <c r="PWR285" s="18">
        <v>0</v>
      </c>
      <c r="PWS285" s="18">
        <v>0</v>
      </c>
      <c r="PWT285" s="18">
        <v>0</v>
      </c>
      <c r="PWU285" s="18">
        <v>0</v>
      </c>
      <c r="PWV285" s="18">
        <v>0</v>
      </c>
      <c r="PWW285" s="18">
        <v>0</v>
      </c>
      <c r="PWX285" s="18">
        <v>0</v>
      </c>
      <c r="PWY285" s="18">
        <v>0</v>
      </c>
      <c r="PWZ285" s="18">
        <v>0</v>
      </c>
      <c r="PXA285" s="18">
        <v>0</v>
      </c>
      <c r="PXB285" s="18">
        <v>0</v>
      </c>
      <c r="PXC285" s="18">
        <v>0</v>
      </c>
      <c r="PXD285" s="18">
        <v>0</v>
      </c>
      <c r="PXE285" s="18">
        <v>0</v>
      </c>
      <c r="PXF285" s="18">
        <v>0</v>
      </c>
      <c r="PXG285" s="18">
        <v>0</v>
      </c>
      <c r="PXH285" s="18">
        <v>0</v>
      </c>
      <c r="PXI285" s="18">
        <v>0</v>
      </c>
      <c r="PXJ285" s="18">
        <v>0</v>
      </c>
      <c r="PXK285" s="18">
        <v>0</v>
      </c>
      <c r="PXL285" s="18">
        <v>0</v>
      </c>
      <c r="PXM285" s="18">
        <v>0</v>
      </c>
      <c r="PXN285" s="18">
        <v>0</v>
      </c>
      <c r="PXO285" s="18">
        <v>0</v>
      </c>
      <c r="PXP285" s="18">
        <v>0</v>
      </c>
      <c r="PXQ285" s="18">
        <v>0</v>
      </c>
      <c r="PXR285" s="18">
        <v>0</v>
      </c>
      <c r="PXS285" s="18">
        <v>0</v>
      </c>
      <c r="PXT285" s="18">
        <v>0</v>
      </c>
      <c r="PXU285" s="18">
        <v>0</v>
      </c>
      <c r="PXV285" s="18">
        <v>0</v>
      </c>
      <c r="PXW285" s="18">
        <v>0</v>
      </c>
      <c r="PXX285" s="18">
        <v>0</v>
      </c>
      <c r="PXY285" s="18">
        <v>0</v>
      </c>
      <c r="PXZ285" s="18">
        <v>0</v>
      </c>
      <c r="PYA285" s="18">
        <v>0</v>
      </c>
      <c r="PYB285" s="18">
        <v>0</v>
      </c>
      <c r="PYC285" s="18">
        <v>0</v>
      </c>
      <c r="PYD285" s="18">
        <v>0</v>
      </c>
      <c r="PYE285" s="18">
        <v>0</v>
      </c>
      <c r="PYF285" s="18">
        <v>0</v>
      </c>
      <c r="PYG285" s="18">
        <v>0</v>
      </c>
      <c r="PYH285" s="18">
        <v>0</v>
      </c>
      <c r="PYI285" s="18">
        <v>0</v>
      </c>
      <c r="PYJ285" s="18">
        <v>0</v>
      </c>
      <c r="PYK285" s="18">
        <v>0</v>
      </c>
      <c r="PYL285" s="18">
        <v>0</v>
      </c>
      <c r="PYM285" s="18">
        <v>0</v>
      </c>
      <c r="PYN285" s="18">
        <v>0</v>
      </c>
      <c r="PYO285" s="18">
        <v>0</v>
      </c>
      <c r="PYP285" s="18">
        <v>0</v>
      </c>
      <c r="PYQ285" s="18">
        <v>0</v>
      </c>
      <c r="PYR285" s="18">
        <v>0</v>
      </c>
      <c r="PYS285" s="18">
        <v>0</v>
      </c>
      <c r="PYT285" s="18">
        <v>0</v>
      </c>
      <c r="PYU285" s="18">
        <v>0</v>
      </c>
      <c r="PYV285" s="18">
        <v>0</v>
      </c>
      <c r="PYW285" s="18">
        <v>0</v>
      </c>
      <c r="PYX285" s="18">
        <v>0</v>
      </c>
      <c r="PYY285" s="18">
        <v>0</v>
      </c>
      <c r="PYZ285" s="18">
        <v>0</v>
      </c>
      <c r="PZA285" s="18">
        <v>0</v>
      </c>
      <c r="PZB285" s="18">
        <v>0</v>
      </c>
      <c r="PZC285" s="18">
        <v>0</v>
      </c>
      <c r="PZD285" s="18">
        <v>0</v>
      </c>
      <c r="PZE285" s="18">
        <v>0</v>
      </c>
      <c r="PZF285" s="18">
        <v>0</v>
      </c>
      <c r="PZG285" s="18">
        <v>0</v>
      </c>
      <c r="PZH285" s="18">
        <v>0</v>
      </c>
      <c r="PZI285" s="18">
        <v>0</v>
      </c>
      <c r="PZJ285" s="18">
        <v>0</v>
      </c>
      <c r="PZK285" s="18">
        <v>0</v>
      </c>
      <c r="PZL285" s="18">
        <v>0</v>
      </c>
      <c r="PZM285" s="18">
        <v>0</v>
      </c>
      <c r="PZN285" s="18">
        <v>0</v>
      </c>
      <c r="PZO285" s="18">
        <v>0</v>
      </c>
      <c r="PZP285" s="18">
        <v>0</v>
      </c>
      <c r="PZQ285" s="18">
        <v>0</v>
      </c>
      <c r="PZR285" s="18">
        <v>0</v>
      </c>
      <c r="PZS285" s="18">
        <v>0</v>
      </c>
      <c r="PZT285" s="18">
        <v>0</v>
      </c>
      <c r="PZU285" s="18">
        <v>0</v>
      </c>
      <c r="PZV285" s="18">
        <v>0</v>
      </c>
      <c r="PZW285" s="18">
        <v>0</v>
      </c>
      <c r="PZX285" s="18">
        <v>0</v>
      </c>
      <c r="PZY285" s="18">
        <v>0</v>
      </c>
      <c r="PZZ285" s="18">
        <v>0</v>
      </c>
      <c r="QAA285" s="18">
        <v>0</v>
      </c>
      <c r="QAB285" s="18">
        <v>0</v>
      </c>
      <c r="QAC285" s="18">
        <v>0</v>
      </c>
      <c r="QAD285" s="18">
        <v>0</v>
      </c>
      <c r="QAE285" s="18">
        <v>0</v>
      </c>
      <c r="QAF285" s="18">
        <v>0</v>
      </c>
      <c r="QAG285" s="18">
        <v>0</v>
      </c>
      <c r="QAH285" s="18">
        <v>0</v>
      </c>
      <c r="QAI285" s="18">
        <v>0</v>
      </c>
      <c r="QAJ285" s="18">
        <v>0</v>
      </c>
      <c r="QAK285" s="18">
        <v>0</v>
      </c>
      <c r="QAL285" s="18">
        <v>0</v>
      </c>
      <c r="QAM285" s="18">
        <v>0</v>
      </c>
      <c r="QAN285" s="18">
        <v>0</v>
      </c>
      <c r="QAO285" s="18">
        <v>0</v>
      </c>
      <c r="QAP285" s="18">
        <v>0</v>
      </c>
      <c r="QAQ285" s="18">
        <v>0</v>
      </c>
      <c r="QAR285" s="18">
        <v>0</v>
      </c>
      <c r="QAS285" s="18">
        <v>0</v>
      </c>
      <c r="QAT285" s="18">
        <v>0</v>
      </c>
      <c r="QAU285" s="18">
        <v>0</v>
      </c>
      <c r="QAV285" s="18">
        <v>0</v>
      </c>
      <c r="QAW285" s="18">
        <v>0</v>
      </c>
      <c r="QAX285" s="18">
        <v>0</v>
      </c>
      <c r="QAY285" s="18">
        <v>0</v>
      </c>
      <c r="QAZ285" s="18">
        <v>0</v>
      </c>
      <c r="QBA285" s="18">
        <v>0</v>
      </c>
      <c r="QBB285" s="18">
        <v>0</v>
      </c>
      <c r="QBC285" s="18">
        <v>0</v>
      </c>
      <c r="QBD285" s="18">
        <v>0</v>
      </c>
      <c r="QBE285" s="18">
        <v>0</v>
      </c>
      <c r="QBF285" s="18">
        <v>0</v>
      </c>
      <c r="QBG285" s="18">
        <v>0</v>
      </c>
      <c r="QBH285" s="18">
        <v>0</v>
      </c>
      <c r="QBI285" s="18">
        <v>0</v>
      </c>
      <c r="QBJ285" s="18">
        <v>0</v>
      </c>
      <c r="QBK285" s="18">
        <v>0</v>
      </c>
      <c r="QBL285" s="18">
        <v>0</v>
      </c>
      <c r="QBM285" s="18">
        <v>0</v>
      </c>
      <c r="QBN285" s="18">
        <v>0</v>
      </c>
      <c r="QBO285" s="18">
        <v>0</v>
      </c>
      <c r="QBP285" s="18">
        <v>0</v>
      </c>
      <c r="QBQ285" s="18">
        <v>0</v>
      </c>
      <c r="QBR285" s="18">
        <v>0</v>
      </c>
      <c r="QBS285" s="18">
        <v>0</v>
      </c>
      <c r="QBT285" s="18">
        <v>0</v>
      </c>
      <c r="QBU285" s="18">
        <v>0</v>
      </c>
      <c r="QBV285" s="18">
        <v>0</v>
      </c>
      <c r="QBW285" s="18">
        <v>0</v>
      </c>
      <c r="QBX285" s="18">
        <v>0</v>
      </c>
      <c r="QBY285" s="18">
        <v>0</v>
      </c>
      <c r="QBZ285" s="18">
        <v>0</v>
      </c>
      <c r="QCA285" s="18">
        <v>0</v>
      </c>
      <c r="QCB285" s="18">
        <v>0</v>
      </c>
      <c r="QCC285" s="18">
        <v>0</v>
      </c>
      <c r="QCD285" s="18">
        <v>0</v>
      </c>
      <c r="QCE285" s="18">
        <v>0</v>
      </c>
      <c r="QCF285" s="18">
        <v>0</v>
      </c>
      <c r="QCG285" s="18">
        <v>0</v>
      </c>
      <c r="QCH285" s="18">
        <v>0</v>
      </c>
      <c r="QCI285" s="18">
        <v>0</v>
      </c>
      <c r="QCJ285" s="18">
        <v>0</v>
      </c>
      <c r="QCK285" s="18">
        <v>0</v>
      </c>
      <c r="QCL285" s="18">
        <v>0</v>
      </c>
      <c r="QCM285" s="18">
        <v>0</v>
      </c>
      <c r="QCN285" s="18">
        <v>0</v>
      </c>
      <c r="QCO285" s="18">
        <v>0</v>
      </c>
      <c r="QCP285" s="18">
        <v>0</v>
      </c>
      <c r="QCQ285" s="18">
        <v>0</v>
      </c>
      <c r="QCR285" s="18">
        <v>0</v>
      </c>
      <c r="QCS285" s="18">
        <v>0</v>
      </c>
      <c r="QCT285" s="18">
        <v>0</v>
      </c>
      <c r="QCU285" s="18">
        <v>0</v>
      </c>
      <c r="QCV285" s="18">
        <v>0</v>
      </c>
      <c r="QCW285" s="18">
        <v>0</v>
      </c>
      <c r="QCX285" s="18">
        <v>0</v>
      </c>
      <c r="QCY285" s="18">
        <v>0</v>
      </c>
      <c r="QCZ285" s="18">
        <v>0</v>
      </c>
      <c r="QDA285" s="18">
        <v>0</v>
      </c>
      <c r="QDB285" s="18">
        <v>0</v>
      </c>
      <c r="QDC285" s="18">
        <v>0</v>
      </c>
      <c r="QDD285" s="18">
        <v>0</v>
      </c>
      <c r="QDE285" s="18">
        <v>0</v>
      </c>
      <c r="QDF285" s="18">
        <v>0</v>
      </c>
      <c r="QDG285" s="18">
        <v>0</v>
      </c>
      <c r="QDH285" s="18">
        <v>0</v>
      </c>
      <c r="QDI285" s="18">
        <v>0</v>
      </c>
      <c r="QDJ285" s="18">
        <v>0</v>
      </c>
      <c r="QDK285" s="18">
        <v>0</v>
      </c>
      <c r="QDL285" s="18">
        <v>0</v>
      </c>
      <c r="QDM285" s="18">
        <v>0</v>
      </c>
      <c r="QDN285" s="18">
        <v>0</v>
      </c>
      <c r="QDO285" s="18">
        <v>0</v>
      </c>
      <c r="QDP285" s="18">
        <v>0</v>
      </c>
      <c r="QDQ285" s="18">
        <v>0</v>
      </c>
      <c r="QDR285" s="18">
        <v>0</v>
      </c>
      <c r="QDS285" s="18">
        <v>0</v>
      </c>
      <c r="QDT285" s="18">
        <v>0</v>
      </c>
      <c r="QDU285" s="18">
        <v>0</v>
      </c>
      <c r="QDV285" s="18">
        <v>0</v>
      </c>
      <c r="QDW285" s="18">
        <v>0</v>
      </c>
      <c r="QDX285" s="18">
        <v>0</v>
      </c>
      <c r="QDY285" s="18">
        <v>0</v>
      </c>
      <c r="QDZ285" s="18">
        <v>0</v>
      </c>
      <c r="QEA285" s="18">
        <v>0</v>
      </c>
      <c r="QEB285" s="18">
        <v>0</v>
      </c>
      <c r="QEC285" s="18">
        <v>0</v>
      </c>
      <c r="QED285" s="18">
        <v>0</v>
      </c>
      <c r="QEE285" s="18">
        <v>0</v>
      </c>
      <c r="QEF285" s="18">
        <v>0</v>
      </c>
      <c r="QEG285" s="18">
        <v>0</v>
      </c>
      <c r="QEH285" s="18">
        <v>0</v>
      </c>
      <c r="QEI285" s="18">
        <v>0</v>
      </c>
      <c r="QEJ285" s="18">
        <v>0</v>
      </c>
      <c r="QEK285" s="18">
        <v>0</v>
      </c>
      <c r="QEL285" s="18">
        <v>0</v>
      </c>
      <c r="QEM285" s="18">
        <v>0</v>
      </c>
      <c r="QEN285" s="18">
        <v>0</v>
      </c>
      <c r="QEO285" s="18">
        <v>0</v>
      </c>
      <c r="QEP285" s="18">
        <v>0</v>
      </c>
      <c r="QEQ285" s="18">
        <v>0</v>
      </c>
      <c r="QER285" s="18">
        <v>0</v>
      </c>
      <c r="QES285" s="18">
        <v>0</v>
      </c>
      <c r="QET285" s="18">
        <v>0</v>
      </c>
      <c r="QEU285" s="18">
        <v>0</v>
      </c>
      <c r="QEV285" s="18">
        <v>0</v>
      </c>
      <c r="QEW285" s="18">
        <v>0</v>
      </c>
      <c r="QEX285" s="18">
        <v>0</v>
      </c>
      <c r="QEY285" s="18">
        <v>0</v>
      </c>
      <c r="QEZ285" s="18">
        <v>0</v>
      </c>
      <c r="QFA285" s="18">
        <v>0</v>
      </c>
      <c r="QFB285" s="18">
        <v>0</v>
      </c>
      <c r="QFC285" s="18">
        <v>0</v>
      </c>
      <c r="QFD285" s="18">
        <v>0</v>
      </c>
      <c r="QFE285" s="18">
        <v>0</v>
      </c>
      <c r="QFF285" s="18">
        <v>0</v>
      </c>
      <c r="QFG285" s="18">
        <v>0</v>
      </c>
      <c r="QFH285" s="18">
        <v>0</v>
      </c>
      <c r="QFI285" s="18">
        <v>0</v>
      </c>
      <c r="QFJ285" s="18">
        <v>0</v>
      </c>
      <c r="QFK285" s="18">
        <v>0</v>
      </c>
      <c r="QFL285" s="18">
        <v>0</v>
      </c>
      <c r="QFM285" s="18">
        <v>0</v>
      </c>
      <c r="QFN285" s="18">
        <v>0</v>
      </c>
      <c r="QFO285" s="18">
        <v>0</v>
      </c>
      <c r="QFP285" s="18">
        <v>0</v>
      </c>
      <c r="QFQ285" s="18">
        <v>0</v>
      </c>
      <c r="QFR285" s="18">
        <v>0</v>
      </c>
      <c r="QFS285" s="18">
        <v>0</v>
      </c>
      <c r="QFT285" s="18">
        <v>0</v>
      </c>
      <c r="QFU285" s="18">
        <v>0</v>
      </c>
      <c r="QFV285" s="18">
        <v>0</v>
      </c>
      <c r="QFW285" s="18">
        <v>0</v>
      </c>
      <c r="QFX285" s="18">
        <v>0</v>
      </c>
      <c r="QFY285" s="18">
        <v>0</v>
      </c>
      <c r="QFZ285" s="18">
        <v>0</v>
      </c>
      <c r="QGA285" s="18">
        <v>0</v>
      </c>
      <c r="QGB285" s="18">
        <v>0</v>
      </c>
      <c r="QGC285" s="18">
        <v>0</v>
      </c>
      <c r="QGD285" s="18">
        <v>0</v>
      </c>
      <c r="QGE285" s="18">
        <v>0</v>
      </c>
      <c r="QGF285" s="18">
        <v>0</v>
      </c>
      <c r="QGG285" s="18">
        <v>0</v>
      </c>
      <c r="QGH285" s="18">
        <v>0</v>
      </c>
      <c r="QGI285" s="18">
        <v>0</v>
      </c>
      <c r="QGJ285" s="18">
        <v>0</v>
      </c>
      <c r="QGK285" s="18">
        <v>0</v>
      </c>
      <c r="QGL285" s="18">
        <v>0</v>
      </c>
      <c r="QGM285" s="18">
        <v>0</v>
      </c>
      <c r="QGN285" s="18">
        <v>0</v>
      </c>
      <c r="QGO285" s="18">
        <v>0</v>
      </c>
      <c r="QGP285" s="18">
        <v>0</v>
      </c>
      <c r="QGQ285" s="18">
        <v>0</v>
      </c>
      <c r="QGR285" s="18">
        <v>0</v>
      </c>
      <c r="QGS285" s="18">
        <v>0</v>
      </c>
      <c r="QGT285" s="18">
        <v>0</v>
      </c>
      <c r="QGU285" s="18">
        <v>0</v>
      </c>
      <c r="QGV285" s="18">
        <v>0</v>
      </c>
      <c r="QGW285" s="18">
        <v>0</v>
      </c>
      <c r="QGX285" s="18">
        <v>0</v>
      </c>
      <c r="QGY285" s="18">
        <v>0</v>
      </c>
      <c r="QGZ285" s="18">
        <v>0</v>
      </c>
      <c r="QHA285" s="18">
        <v>0</v>
      </c>
      <c r="QHB285" s="18">
        <v>0</v>
      </c>
      <c r="QHC285" s="18">
        <v>0</v>
      </c>
      <c r="QHD285" s="18">
        <v>0</v>
      </c>
      <c r="QHE285" s="18">
        <v>0</v>
      </c>
      <c r="QHF285" s="18">
        <v>0</v>
      </c>
      <c r="QHG285" s="18">
        <v>0</v>
      </c>
      <c r="QHH285" s="18">
        <v>0</v>
      </c>
      <c r="QHI285" s="18">
        <v>0</v>
      </c>
      <c r="QHJ285" s="18">
        <v>0</v>
      </c>
      <c r="QHK285" s="18">
        <v>0</v>
      </c>
      <c r="QHL285" s="18">
        <v>0</v>
      </c>
      <c r="QHM285" s="18">
        <v>0</v>
      </c>
      <c r="QHN285" s="18">
        <v>0</v>
      </c>
      <c r="QHO285" s="18">
        <v>0</v>
      </c>
      <c r="QHP285" s="18">
        <v>0</v>
      </c>
      <c r="QHQ285" s="18">
        <v>0</v>
      </c>
      <c r="QHR285" s="18">
        <v>0</v>
      </c>
      <c r="QHS285" s="18">
        <v>0</v>
      </c>
      <c r="QHT285" s="18">
        <v>0</v>
      </c>
      <c r="QHU285" s="18">
        <v>0</v>
      </c>
      <c r="QHV285" s="18">
        <v>0</v>
      </c>
      <c r="QHW285" s="18">
        <v>0</v>
      </c>
      <c r="QHX285" s="18">
        <v>0</v>
      </c>
      <c r="QHY285" s="18">
        <v>0</v>
      </c>
      <c r="QHZ285" s="18">
        <v>0</v>
      </c>
      <c r="QIA285" s="18">
        <v>0</v>
      </c>
      <c r="QIB285" s="18">
        <v>0</v>
      </c>
      <c r="QIC285" s="18">
        <v>0</v>
      </c>
      <c r="QID285" s="18">
        <v>0</v>
      </c>
      <c r="QIE285" s="18">
        <v>0</v>
      </c>
      <c r="QIF285" s="18">
        <v>0</v>
      </c>
      <c r="QIG285" s="18">
        <v>0</v>
      </c>
      <c r="QIH285" s="18">
        <v>0</v>
      </c>
      <c r="QII285" s="18">
        <v>0</v>
      </c>
      <c r="QIJ285" s="18">
        <v>0</v>
      </c>
      <c r="QIK285" s="18">
        <v>0</v>
      </c>
      <c r="QIL285" s="18">
        <v>0</v>
      </c>
      <c r="QIM285" s="18">
        <v>0</v>
      </c>
      <c r="QIN285" s="18">
        <v>0</v>
      </c>
      <c r="QIO285" s="18">
        <v>0</v>
      </c>
      <c r="QIP285" s="18">
        <v>0</v>
      </c>
      <c r="QIQ285" s="18">
        <v>0</v>
      </c>
      <c r="QIR285" s="18">
        <v>0</v>
      </c>
      <c r="QIS285" s="18">
        <v>0</v>
      </c>
      <c r="QIT285" s="18">
        <v>0</v>
      </c>
      <c r="QIU285" s="18">
        <v>0</v>
      </c>
      <c r="QIV285" s="18">
        <v>0</v>
      </c>
      <c r="QIW285" s="18">
        <v>0</v>
      </c>
      <c r="QIX285" s="18">
        <v>0</v>
      </c>
      <c r="QIY285" s="18">
        <v>0</v>
      </c>
      <c r="QIZ285" s="18">
        <v>0</v>
      </c>
      <c r="QJA285" s="18">
        <v>0</v>
      </c>
      <c r="QJB285" s="18">
        <v>0</v>
      </c>
      <c r="QJC285" s="18">
        <v>0</v>
      </c>
      <c r="QJD285" s="18">
        <v>0</v>
      </c>
      <c r="QJE285" s="18">
        <v>0</v>
      </c>
      <c r="QJF285" s="18">
        <v>0</v>
      </c>
      <c r="QJG285" s="18">
        <v>0</v>
      </c>
      <c r="QJH285" s="18">
        <v>0</v>
      </c>
      <c r="QJI285" s="18">
        <v>0</v>
      </c>
      <c r="QJJ285" s="18">
        <v>0</v>
      </c>
      <c r="QJK285" s="18">
        <v>0</v>
      </c>
      <c r="QJL285" s="18">
        <v>0</v>
      </c>
      <c r="QJM285" s="18">
        <v>0</v>
      </c>
      <c r="QJN285" s="18">
        <v>0</v>
      </c>
      <c r="QJO285" s="18">
        <v>0</v>
      </c>
      <c r="QJP285" s="18">
        <v>0</v>
      </c>
      <c r="QJQ285" s="18">
        <v>0</v>
      </c>
      <c r="QJR285" s="18">
        <v>0</v>
      </c>
      <c r="QJS285" s="18">
        <v>0</v>
      </c>
      <c r="QJT285" s="18">
        <v>0</v>
      </c>
      <c r="QJU285" s="18">
        <v>0</v>
      </c>
      <c r="QJV285" s="18">
        <v>0</v>
      </c>
      <c r="QJW285" s="18">
        <v>0</v>
      </c>
      <c r="QJX285" s="18">
        <v>0</v>
      </c>
      <c r="QJY285" s="18">
        <v>0</v>
      </c>
      <c r="QJZ285" s="18">
        <v>0</v>
      </c>
      <c r="QKA285" s="18">
        <v>0</v>
      </c>
      <c r="QKB285" s="18">
        <v>0</v>
      </c>
      <c r="QKC285" s="18">
        <v>0</v>
      </c>
      <c r="QKD285" s="18">
        <v>0</v>
      </c>
      <c r="QKE285" s="18">
        <v>0</v>
      </c>
      <c r="QKF285" s="18">
        <v>0</v>
      </c>
      <c r="QKG285" s="18">
        <v>0</v>
      </c>
      <c r="QKH285" s="18">
        <v>0</v>
      </c>
      <c r="QKI285" s="18">
        <v>0</v>
      </c>
      <c r="QKJ285" s="18">
        <v>0</v>
      </c>
      <c r="QKK285" s="18">
        <v>0</v>
      </c>
      <c r="QKL285" s="18">
        <v>0</v>
      </c>
      <c r="QKM285" s="18">
        <v>0</v>
      </c>
      <c r="QKN285" s="18">
        <v>0</v>
      </c>
      <c r="QKO285" s="18">
        <v>0</v>
      </c>
      <c r="QKP285" s="18">
        <v>0</v>
      </c>
      <c r="QKQ285" s="18">
        <v>0</v>
      </c>
      <c r="QKR285" s="18">
        <v>0</v>
      </c>
      <c r="QKS285" s="18">
        <v>0</v>
      </c>
      <c r="QKT285" s="18">
        <v>0</v>
      </c>
      <c r="QKU285" s="18">
        <v>0</v>
      </c>
      <c r="QKV285" s="18">
        <v>0</v>
      </c>
      <c r="QKW285" s="18">
        <v>0</v>
      </c>
      <c r="QKX285" s="18">
        <v>0</v>
      </c>
      <c r="QKY285" s="18">
        <v>0</v>
      </c>
      <c r="QKZ285" s="18">
        <v>0</v>
      </c>
      <c r="QLA285" s="18">
        <v>0</v>
      </c>
      <c r="QLB285" s="18">
        <v>0</v>
      </c>
      <c r="QLC285" s="18">
        <v>0</v>
      </c>
      <c r="QLD285" s="18">
        <v>0</v>
      </c>
      <c r="QLE285" s="18">
        <v>0</v>
      </c>
      <c r="QLF285" s="18">
        <v>0</v>
      </c>
      <c r="QLG285" s="18">
        <v>0</v>
      </c>
      <c r="QLH285" s="18">
        <v>0</v>
      </c>
      <c r="QLI285" s="18">
        <v>0</v>
      </c>
      <c r="QLJ285" s="18">
        <v>0</v>
      </c>
      <c r="QLK285" s="18">
        <v>0</v>
      </c>
      <c r="QLL285" s="18">
        <v>0</v>
      </c>
      <c r="QLM285" s="18">
        <v>0</v>
      </c>
      <c r="QLN285" s="18">
        <v>0</v>
      </c>
      <c r="QLO285" s="18">
        <v>0</v>
      </c>
      <c r="QLP285" s="18">
        <v>0</v>
      </c>
      <c r="QLQ285" s="18">
        <v>0</v>
      </c>
      <c r="QLR285" s="18">
        <v>0</v>
      </c>
      <c r="QLS285" s="18">
        <v>0</v>
      </c>
      <c r="QLT285" s="18">
        <v>0</v>
      </c>
      <c r="QLU285" s="18">
        <v>0</v>
      </c>
      <c r="QLV285" s="18">
        <v>0</v>
      </c>
      <c r="QLW285" s="18">
        <v>0</v>
      </c>
      <c r="QLX285" s="18">
        <v>0</v>
      </c>
      <c r="QLY285" s="18">
        <v>0</v>
      </c>
      <c r="QLZ285" s="18">
        <v>0</v>
      </c>
      <c r="QMA285" s="18">
        <v>0</v>
      </c>
      <c r="QMB285" s="18">
        <v>0</v>
      </c>
      <c r="QMC285" s="18">
        <v>0</v>
      </c>
      <c r="QMD285" s="18">
        <v>0</v>
      </c>
      <c r="QME285" s="18">
        <v>0</v>
      </c>
      <c r="QMF285" s="18">
        <v>0</v>
      </c>
      <c r="QMG285" s="18">
        <v>0</v>
      </c>
      <c r="QMH285" s="18">
        <v>0</v>
      </c>
      <c r="QMI285" s="18">
        <v>0</v>
      </c>
      <c r="QMJ285" s="18">
        <v>0</v>
      </c>
      <c r="QMK285" s="18">
        <v>0</v>
      </c>
      <c r="QML285" s="18">
        <v>0</v>
      </c>
      <c r="QMM285" s="18">
        <v>0</v>
      </c>
      <c r="QMN285" s="18">
        <v>0</v>
      </c>
      <c r="QMO285" s="18">
        <v>0</v>
      </c>
      <c r="QMP285" s="18">
        <v>0</v>
      </c>
      <c r="QMQ285" s="18">
        <v>0</v>
      </c>
      <c r="QMR285" s="18">
        <v>0</v>
      </c>
      <c r="QMS285" s="18">
        <v>0</v>
      </c>
      <c r="QMT285" s="18">
        <v>0</v>
      </c>
      <c r="QMU285" s="18">
        <v>0</v>
      </c>
      <c r="QMV285" s="18">
        <v>0</v>
      </c>
      <c r="QMW285" s="18">
        <v>0</v>
      </c>
      <c r="QMX285" s="18">
        <v>0</v>
      </c>
      <c r="QMY285" s="18">
        <v>0</v>
      </c>
      <c r="QMZ285" s="18">
        <v>0</v>
      </c>
      <c r="QNA285" s="18">
        <v>0</v>
      </c>
      <c r="QNB285" s="18">
        <v>0</v>
      </c>
      <c r="QNC285" s="18">
        <v>0</v>
      </c>
      <c r="QND285" s="18">
        <v>0</v>
      </c>
      <c r="QNE285" s="18">
        <v>0</v>
      </c>
      <c r="QNF285" s="18">
        <v>0</v>
      </c>
      <c r="QNG285" s="18">
        <v>0</v>
      </c>
      <c r="QNH285" s="18">
        <v>0</v>
      </c>
      <c r="QNI285" s="18">
        <v>0</v>
      </c>
      <c r="QNJ285" s="18">
        <v>0</v>
      </c>
      <c r="QNK285" s="18">
        <v>0</v>
      </c>
      <c r="QNL285" s="18">
        <v>0</v>
      </c>
      <c r="QNM285" s="18">
        <v>0</v>
      </c>
      <c r="QNN285" s="18">
        <v>0</v>
      </c>
      <c r="QNO285" s="18">
        <v>0</v>
      </c>
      <c r="QNP285" s="18">
        <v>0</v>
      </c>
      <c r="QNQ285" s="18">
        <v>0</v>
      </c>
      <c r="QNR285" s="18">
        <v>0</v>
      </c>
      <c r="QNS285" s="18">
        <v>0</v>
      </c>
      <c r="QNT285" s="18">
        <v>0</v>
      </c>
      <c r="QNU285" s="18">
        <v>0</v>
      </c>
      <c r="QNV285" s="18">
        <v>0</v>
      </c>
      <c r="QNW285" s="18">
        <v>0</v>
      </c>
      <c r="QNX285" s="18">
        <v>0</v>
      </c>
      <c r="QNY285" s="18">
        <v>0</v>
      </c>
      <c r="QNZ285" s="18">
        <v>0</v>
      </c>
      <c r="QOA285" s="18">
        <v>0</v>
      </c>
      <c r="QOB285" s="18">
        <v>0</v>
      </c>
      <c r="QOC285" s="18">
        <v>0</v>
      </c>
      <c r="QOD285" s="18">
        <v>0</v>
      </c>
      <c r="QOE285" s="18">
        <v>0</v>
      </c>
      <c r="QOF285" s="18">
        <v>0</v>
      </c>
      <c r="QOG285" s="18">
        <v>0</v>
      </c>
      <c r="QOH285" s="18">
        <v>0</v>
      </c>
      <c r="QOI285" s="18">
        <v>0</v>
      </c>
      <c r="QOJ285" s="18">
        <v>0</v>
      </c>
      <c r="QOK285" s="18">
        <v>0</v>
      </c>
      <c r="QOL285" s="18">
        <v>0</v>
      </c>
      <c r="QOM285" s="18">
        <v>0</v>
      </c>
      <c r="QON285" s="18">
        <v>0</v>
      </c>
      <c r="QOO285" s="18">
        <v>0</v>
      </c>
      <c r="QOP285" s="18">
        <v>0</v>
      </c>
      <c r="QOQ285" s="18">
        <v>0</v>
      </c>
      <c r="QOR285" s="18">
        <v>0</v>
      </c>
      <c r="QOS285" s="18">
        <v>0</v>
      </c>
      <c r="QOT285" s="18">
        <v>0</v>
      </c>
      <c r="QOU285" s="18">
        <v>0</v>
      </c>
      <c r="QOV285" s="18">
        <v>0</v>
      </c>
      <c r="QOW285" s="18">
        <v>0</v>
      </c>
      <c r="QOX285" s="18">
        <v>0</v>
      </c>
      <c r="QOY285" s="18">
        <v>0</v>
      </c>
      <c r="QOZ285" s="18">
        <v>0</v>
      </c>
      <c r="QPA285" s="18">
        <v>0</v>
      </c>
      <c r="QPB285" s="18">
        <v>0</v>
      </c>
      <c r="QPC285" s="18">
        <v>0</v>
      </c>
      <c r="QPD285" s="18">
        <v>0</v>
      </c>
      <c r="QPE285" s="18">
        <v>0</v>
      </c>
      <c r="QPF285" s="18">
        <v>0</v>
      </c>
      <c r="QPG285" s="18">
        <v>0</v>
      </c>
      <c r="QPH285" s="18">
        <v>0</v>
      </c>
      <c r="QPI285" s="18">
        <v>0</v>
      </c>
      <c r="QPJ285" s="18">
        <v>0</v>
      </c>
      <c r="QPK285" s="18">
        <v>0</v>
      </c>
      <c r="QPL285" s="18">
        <v>0</v>
      </c>
      <c r="QPM285" s="18">
        <v>0</v>
      </c>
      <c r="QPN285" s="18">
        <v>0</v>
      </c>
      <c r="QPO285" s="18">
        <v>0</v>
      </c>
      <c r="QPP285" s="18">
        <v>0</v>
      </c>
      <c r="QPQ285" s="18">
        <v>0</v>
      </c>
      <c r="QPR285" s="18">
        <v>0</v>
      </c>
      <c r="QPS285" s="18">
        <v>0</v>
      </c>
      <c r="QPT285" s="18">
        <v>0</v>
      </c>
      <c r="QPU285" s="18">
        <v>0</v>
      </c>
      <c r="QPV285" s="18">
        <v>0</v>
      </c>
      <c r="QPW285" s="18">
        <v>0</v>
      </c>
      <c r="QPX285" s="18">
        <v>0</v>
      </c>
      <c r="QPY285" s="18">
        <v>0</v>
      </c>
      <c r="QPZ285" s="18">
        <v>0</v>
      </c>
      <c r="QQA285" s="18">
        <v>0</v>
      </c>
      <c r="QQB285" s="18">
        <v>0</v>
      </c>
      <c r="QQC285" s="18">
        <v>0</v>
      </c>
      <c r="QQD285" s="18">
        <v>0</v>
      </c>
      <c r="QQE285" s="18">
        <v>0</v>
      </c>
      <c r="QQF285" s="18">
        <v>0</v>
      </c>
      <c r="QQG285" s="18">
        <v>0</v>
      </c>
      <c r="QQH285" s="18">
        <v>0</v>
      </c>
      <c r="QQI285" s="18">
        <v>0</v>
      </c>
      <c r="QQJ285" s="18">
        <v>0</v>
      </c>
      <c r="QQK285" s="18">
        <v>0</v>
      </c>
      <c r="QQL285" s="18">
        <v>0</v>
      </c>
      <c r="QQM285" s="18">
        <v>0</v>
      </c>
      <c r="QQN285" s="18">
        <v>0</v>
      </c>
      <c r="QQO285" s="18">
        <v>0</v>
      </c>
      <c r="QQP285" s="18">
        <v>0</v>
      </c>
      <c r="QQQ285" s="18">
        <v>0</v>
      </c>
      <c r="QQR285" s="18">
        <v>0</v>
      </c>
      <c r="QQS285" s="18">
        <v>0</v>
      </c>
      <c r="QQT285" s="18">
        <v>0</v>
      </c>
      <c r="QQU285" s="18">
        <v>0</v>
      </c>
      <c r="QQV285" s="18">
        <v>0</v>
      </c>
      <c r="QQW285" s="18">
        <v>0</v>
      </c>
      <c r="QQX285" s="18">
        <v>0</v>
      </c>
      <c r="QQY285" s="18">
        <v>0</v>
      </c>
      <c r="QQZ285" s="18">
        <v>0</v>
      </c>
      <c r="QRA285" s="18">
        <v>0</v>
      </c>
      <c r="QRB285" s="18">
        <v>0</v>
      </c>
      <c r="QRC285" s="18">
        <v>0</v>
      </c>
      <c r="QRD285" s="18">
        <v>0</v>
      </c>
      <c r="QRE285" s="18">
        <v>0</v>
      </c>
      <c r="QRF285" s="18">
        <v>0</v>
      </c>
      <c r="QRG285" s="18">
        <v>0</v>
      </c>
      <c r="QRH285" s="18">
        <v>0</v>
      </c>
      <c r="QRI285" s="18">
        <v>0</v>
      </c>
      <c r="QRJ285" s="18">
        <v>0</v>
      </c>
      <c r="QRK285" s="18">
        <v>0</v>
      </c>
      <c r="QRL285" s="18">
        <v>0</v>
      </c>
      <c r="QRM285" s="18">
        <v>0</v>
      </c>
      <c r="QRN285" s="18">
        <v>0</v>
      </c>
      <c r="QRO285" s="18">
        <v>0</v>
      </c>
      <c r="QRP285" s="18">
        <v>0</v>
      </c>
      <c r="QRQ285" s="18">
        <v>0</v>
      </c>
      <c r="QRR285" s="18">
        <v>0</v>
      </c>
      <c r="QRS285" s="18">
        <v>0</v>
      </c>
      <c r="QRT285" s="18">
        <v>0</v>
      </c>
      <c r="QRU285" s="18">
        <v>0</v>
      </c>
      <c r="QRV285" s="18">
        <v>0</v>
      </c>
      <c r="QRW285" s="18">
        <v>0</v>
      </c>
      <c r="QRX285" s="18">
        <v>0</v>
      </c>
      <c r="QRY285" s="18">
        <v>0</v>
      </c>
      <c r="QRZ285" s="18">
        <v>0</v>
      </c>
      <c r="QSA285" s="18">
        <v>0</v>
      </c>
      <c r="QSB285" s="18">
        <v>0</v>
      </c>
      <c r="QSC285" s="18">
        <v>0</v>
      </c>
      <c r="QSD285" s="18">
        <v>0</v>
      </c>
      <c r="QSE285" s="18">
        <v>0</v>
      </c>
      <c r="QSF285" s="18">
        <v>0</v>
      </c>
      <c r="QSG285" s="18">
        <v>0</v>
      </c>
      <c r="QSH285" s="18">
        <v>0</v>
      </c>
      <c r="QSI285" s="18">
        <v>0</v>
      </c>
      <c r="QSJ285" s="18">
        <v>0</v>
      </c>
      <c r="QSK285" s="18">
        <v>0</v>
      </c>
      <c r="QSL285" s="18">
        <v>0</v>
      </c>
      <c r="QSM285" s="18">
        <v>0</v>
      </c>
      <c r="QSN285" s="18">
        <v>0</v>
      </c>
      <c r="QSO285" s="18">
        <v>0</v>
      </c>
      <c r="QSP285" s="18">
        <v>0</v>
      </c>
      <c r="QSQ285" s="18">
        <v>0</v>
      </c>
      <c r="QSR285" s="18">
        <v>0</v>
      </c>
      <c r="QSS285" s="18">
        <v>0</v>
      </c>
      <c r="QST285" s="18">
        <v>0</v>
      </c>
      <c r="QSU285" s="18">
        <v>0</v>
      </c>
      <c r="QSV285" s="18">
        <v>0</v>
      </c>
      <c r="QSW285" s="18">
        <v>0</v>
      </c>
      <c r="QSX285" s="18">
        <v>0</v>
      </c>
      <c r="QSY285" s="18">
        <v>0</v>
      </c>
      <c r="QSZ285" s="18">
        <v>0</v>
      </c>
      <c r="QTA285" s="18">
        <v>0</v>
      </c>
      <c r="QTB285" s="18">
        <v>0</v>
      </c>
      <c r="QTC285" s="18">
        <v>0</v>
      </c>
      <c r="QTD285" s="18">
        <v>0</v>
      </c>
      <c r="QTE285" s="18">
        <v>0</v>
      </c>
      <c r="QTF285" s="18">
        <v>0</v>
      </c>
      <c r="QTG285" s="18">
        <v>0</v>
      </c>
      <c r="QTH285" s="18">
        <v>0</v>
      </c>
      <c r="QTI285" s="18">
        <v>0</v>
      </c>
      <c r="QTJ285" s="18">
        <v>0</v>
      </c>
      <c r="QTK285" s="18">
        <v>0</v>
      </c>
      <c r="QTL285" s="18">
        <v>0</v>
      </c>
      <c r="QTM285" s="18">
        <v>0</v>
      </c>
      <c r="QTN285" s="18">
        <v>0</v>
      </c>
      <c r="QTO285" s="18">
        <v>0</v>
      </c>
      <c r="QTP285" s="18">
        <v>0</v>
      </c>
      <c r="QTQ285" s="18">
        <v>0</v>
      </c>
      <c r="QTR285" s="18">
        <v>0</v>
      </c>
      <c r="QTS285" s="18">
        <v>0</v>
      </c>
      <c r="QTT285" s="18">
        <v>0</v>
      </c>
      <c r="QTU285" s="18">
        <v>0</v>
      </c>
      <c r="QTV285" s="18">
        <v>0</v>
      </c>
      <c r="QTW285" s="18">
        <v>0</v>
      </c>
      <c r="QTX285" s="18">
        <v>0</v>
      </c>
      <c r="QTY285" s="18">
        <v>0</v>
      </c>
      <c r="QTZ285" s="18">
        <v>0</v>
      </c>
      <c r="QUA285" s="18">
        <v>0</v>
      </c>
      <c r="QUB285" s="18">
        <v>0</v>
      </c>
      <c r="QUC285" s="18">
        <v>0</v>
      </c>
      <c r="QUD285" s="18">
        <v>0</v>
      </c>
      <c r="QUE285" s="18">
        <v>0</v>
      </c>
      <c r="QUF285" s="18">
        <v>0</v>
      </c>
      <c r="QUG285" s="18">
        <v>0</v>
      </c>
      <c r="QUH285" s="18">
        <v>0</v>
      </c>
      <c r="QUI285" s="18">
        <v>0</v>
      </c>
      <c r="QUJ285" s="18">
        <v>0</v>
      </c>
      <c r="QUK285" s="18">
        <v>0</v>
      </c>
      <c r="QUL285" s="18">
        <v>0</v>
      </c>
      <c r="QUM285" s="18">
        <v>0</v>
      </c>
      <c r="QUN285" s="18">
        <v>0</v>
      </c>
      <c r="QUO285" s="18">
        <v>0</v>
      </c>
      <c r="QUP285" s="18">
        <v>0</v>
      </c>
      <c r="QUQ285" s="18">
        <v>0</v>
      </c>
      <c r="QUR285" s="18">
        <v>0</v>
      </c>
      <c r="QUS285" s="18">
        <v>0</v>
      </c>
      <c r="QUT285" s="18">
        <v>0</v>
      </c>
      <c r="QUU285" s="18">
        <v>0</v>
      </c>
      <c r="QUV285" s="18">
        <v>0</v>
      </c>
      <c r="QUW285" s="18">
        <v>0</v>
      </c>
      <c r="QUX285" s="18">
        <v>0</v>
      </c>
      <c r="QUY285" s="18">
        <v>0</v>
      </c>
      <c r="QUZ285" s="18">
        <v>0</v>
      </c>
      <c r="QVA285" s="18">
        <v>0</v>
      </c>
      <c r="QVB285" s="18">
        <v>0</v>
      </c>
      <c r="QVC285" s="18">
        <v>0</v>
      </c>
      <c r="QVD285" s="18">
        <v>0</v>
      </c>
      <c r="QVE285" s="18">
        <v>0</v>
      </c>
      <c r="QVF285" s="18">
        <v>0</v>
      </c>
      <c r="QVG285" s="18">
        <v>0</v>
      </c>
      <c r="QVH285" s="18">
        <v>0</v>
      </c>
      <c r="QVI285" s="18">
        <v>0</v>
      </c>
      <c r="QVJ285" s="18">
        <v>0</v>
      </c>
      <c r="QVK285" s="18">
        <v>0</v>
      </c>
      <c r="QVL285" s="18">
        <v>0</v>
      </c>
      <c r="QVM285" s="18">
        <v>0</v>
      </c>
      <c r="QVN285" s="18">
        <v>0</v>
      </c>
      <c r="QVO285" s="18">
        <v>0</v>
      </c>
      <c r="QVP285" s="18">
        <v>0</v>
      </c>
      <c r="QVQ285" s="18">
        <v>0</v>
      </c>
      <c r="QVR285" s="18">
        <v>0</v>
      </c>
      <c r="QVS285" s="18">
        <v>0</v>
      </c>
      <c r="QVT285" s="18">
        <v>0</v>
      </c>
      <c r="QVU285" s="18">
        <v>0</v>
      </c>
      <c r="QVV285" s="18">
        <v>0</v>
      </c>
      <c r="QVW285" s="18">
        <v>0</v>
      </c>
      <c r="QVX285" s="18">
        <v>0</v>
      </c>
      <c r="QVY285" s="18">
        <v>0</v>
      </c>
      <c r="QVZ285" s="18">
        <v>0</v>
      </c>
      <c r="QWA285" s="18">
        <v>0</v>
      </c>
      <c r="QWB285" s="18">
        <v>0</v>
      </c>
      <c r="QWC285" s="18">
        <v>0</v>
      </c>
      <c r="QWD285" s="18">
        <v>0</v>
      </c>
      <c r="QWE285" s="18">
        <v>0</v>
      </c>
      <c r="QWF285" s="18">
        <v>0</v>
      </c>
      <c r="QWG285" s="18">
        <v>0</v>
      </c>
      <c r="QWH285" s="18">
        <v>0</v>
      </c>
      <c r="QWI285" s="18">
        <v>0</v>
      </c>
      <c r="QWJ285" s="18">
        <v>0</v>
      </c>
      <c r="QWK285" s="18">
        <v>0</v>
      </c>
      <c r="QWL285" s="18">
        <v>0</v>
      </c>
      <c r="QWM285" s="18">
        <v>0</v>
      </c>
      <c r="QWN285" s="18">
        <v>0</v>
      </c>
      <c r="QWO285" s="18">
        <v>0</v>
      </c>
      <c r="QWP285" s="18">
        <v>0</v>
      </c>
      <c r="QWQ285" s="18">
        <v>0</v>
      </c>
      <c r="QWR285" s="18">
        <v>0</v>
      </c>
      <c r="QWS285" s="18">
        <v>0</v>
      </c>
      <c r="QWT285" s="18">
        <v>0</v>
      </c>
      <c r="QWU285" s="18">
        <v>0</v>
      </c>
      <c r="QWV285" s="18">
        <v>0</v>
      </c>
      <c r="QWW285" s="18">
        <v>0</v>
      </c>
      <c r="QWX285" s="18">
        <v>0</v>
      </c>
      <c r="QWY285" s="18">
        <v>0</v>
      </c>
      <c r="QWZ285" s="18">
        <v>0</v>
      </c>
      <c r="QXA285" s="18">
        <v>0</v>
      </c>
      <c r="QXB285" s="18">
        <v>0</v>
      </c>
      <c r="QXC285" s="18">
        <v>0</v>
      </c>
      <c r="QXD285" s="18">
        <v>0</v>
      </c>
      <c r="QXE285" s="18">
        <v>0</v>
      </c>
      <c r="QXF285" s="18">
        <v>0</v>
      </c>
      <c r="QXG285" s="18">
        <v>0</v>
      </c>
      <c r="QXH285" s="18">
        <v>0</v>
      </c>
      <c r="QXI285" s="18">
        <v>0</v>
      </c>
      <c r="QXJ285" s="18">
        <v>0</v>
      </c>
      <c r="QXK285" s="18">
        <v>0</v>
      </c>
      <c r="QXL285" s="18">
        <v>0</v>
      </c>
      <c r="QXM285" s="18">
        <v>0</v>
      </c>
      <c r="QXN285" s="18">
        <v>0</v>
      </c>
      <c r="QXO285" s="18">
        <v>0</v>
      </c>
      <c r="QXP285" s="18">
        <v>0</v>
      </c>
      <c r="QXQ285" s="18">
        <v>0</v>
      </c>
      <c r="QXR285" s="18">
        <v>0</v>
      </c>
      <c r="QXS285" s="18">
        <v>0</v>
      </c>
      <c r="QXT285" s="18">
        <v>0</v>
      </c>
      <c r="QXU285" s="18">
        <v>0</v>
      </c>
      <c r="QXV285" s="18">
        <v>0</v>
      </c>
      <c r="QXW285" s="18">
        <v>0</v>
      </c>
      <c r="QXX285" s="18">
        <v>0</v>
      </c>
      <c r="QXY285" s="18">
        <v>0</v>
      </c>
      <c r="QXZ285" s="18">
        <v>0</v>
      </c>
      <c r="QYA285" s="18">
        <v>0</v>
      </c>
      <c r="QYB285" s="18">
        <v>0</v>
      </c>
      <c r="QYC285" s="18">
        <v>0</v>
      </c>
      <c r="QYD285" s="18">
        <v>0</v>
      </c>
      <c r="QYE285" s="18">
        <v>0</v>
      </c>
      <c r="QYF285" s="18">
        <v>0</v>
      </c>
      <c r="QYG285" s="18">
        <v>0</v>
      </c>
      <c r="QYH285" s="18">
        <v>0</v>
      </c>
      <c r="QYI285" s="18">
        <v>0</v>
      </c>
      <c r="QYJ285" s="18">
        <v>0</v>
      </c>
      <c r="QYK285" s="18">
        <v>0</v>
      </c>
      <c r="QYL285" s="18">
        <v>0</v>
      </c>
      <c r="QYM285" s="18">
        <v>0</v>
      </c>
      <c r="QYN285" s="18">
        <v>0</v>
      </c>
      <c r="QYO285" s="18">
        <v>0</v>
      </c>
      <c r="QYP285" s="18">
        <v>0</v>
      </c>
      <c r="QYQ285" s="18">
        <v>0</v>
      </c>
      <c r="QYR285" s="18">
        <v>0</v>
      </c>
      <c r="QYS285" s="18">
        <v>0</v>
      </c>
      <c r="QYT285" s="18">
        <v>0</v>
      </c>
      <c r="QYU285" s="18">
        <v>0</v>
      </c>
      <c r="QYV285" s="18">
        <v>0</v>
      </c>
      <c r="QYW285" s="18">
        <v>0</v>
      </c>
      <c r="QYX285" s="18">
        <v>0</v>
      </c>
      <c r="QYY285" s="18">
        <v>0</v>
      </c>
      <c r="QYZ285" s="18">
        <v>0</v>
      </c>
      <c r="QZA285" s="18">
        <v>0</v>
      </c>
      <c r="QZB285" s="18">
        <v>0</v>
      </c>
      <c r="QZC285" s="18">
        <v>0</v>
      </c>
      <c r="QZD285" s="18">
        <v>0</v>
      </c>
      <c r="QZE285" s="18">
        <v>0</v>
      </c>
      <c r="QZF285" s="18">
        <v>0</v>
      </c>
      <c r="QZG285" s="18">
        <v>0</v>
      </c>
      <c r="QZH285" s="18">
        <v>0</v>
      </c>
      <c r="QZI285" s="18">
        <v>0</v>
      </c>
      <c r="QZJ285" s="18">
        <v>0</v>
      </c>
      <c r="QZK285" s="18">
        <v>0</v>
      </c>
      <c r="QZL285" s="18">
        <v>0</v>
      </c>
      <c r="QZM285" s="18">
        <v>0</v>
      </c>
      <c r="QZN285" s="18">
        <v>0</v>
      </c>
      <c r="QZO285" s="18">
        <v>0</v>
      </c>
      <c r="QZP285" s="18">
        <v>0</v>
      </c>
      <c r="QZQ285" s="18">
        <v>0</v>
      </c>
      <c r="QZR285" s="18">
        <v>0</v>
      </c>
      <c r="QZS285" s="18">
        <v>0</v>
      </c>
      <c r="QZT285" s="18">
        <v>0</v>
      </c>
      <c r="QZU285" s="18">
        <v>0</v>
      </c>
      <c r="QZV285" s="18">
        <v>0</v>
      </c>
      <c r="QZW285" s="18">
        <v>0</v>
      </c>
      <c r="QZX285" s="18">
        <v>0</v>
      </c>
      <c r="QZY285" s="18">
        <v>0</v>
      </c>
      <c r="QZZ285" s="18">
        <v>0</v>
      </c>
      <c r="RAA285" s="18">
        <v>0</v>
      </c>
      <c r="RAB285" s="18">
        <v>0</v>
      </c>
      <c r="RAC285" s="18">
        <v>0</v>
      </c>
      <c r="RAD285" s="18">
        <v>0</v>
      </c>
      <c r="RAE285" s="18">
        <v>0</v>
      </c>
      <c r="RAF285" s="18">
        <v>0</v>
      </c>
      <c r="RAG285" s="18">
        <v>0</v>
      </c>
      <c r="RAH285" s="18">
        <v>0</v>
      </c>
      <c r="RAI285" s="18">
        <v>0</v>
      </c>
      <c r="RAJ285" s="18">
        <v>0</v>
      </c>
      <c r="RAK285" s="18">
        <v>0</v>
      </c>
      <c r="RAL285" s="18">
        <v>0</v>
      </c>
      <c r="RAM285" s="18">
        <v>0</v>
      </c>
      <c r="RAN285" s="18">
        <v>0</v>
      </c>
      <c r="RAO285" s="18">
        <v>0</v>
      </c>
      <c r="RAP285" s="18">
        <v>0</v>
      </c>
      <c r="RAQ285" s="18">
        <v>0</v>
      </c>
      <c r="RAR285" s="18">
        <v>0</v>
      </c>
      <c r="RAS285" s="18">
        <v>0</v>
      </c>
      <c r="RAT285" s="18">
        <v>0</v>
      </c>
      <c r="RAU285" s="18">
        <v>0</v>
      </c>
      <c r="RAV285" s="18">
        <v>0</v>
      </c>
      <c r="RAW285" s="18">
        <v>0</v>
      </c>
      <c r="RAX285" s="18">
        <v>0</v>
      </c>
      <c r="RAY285" s="18">
        <v>0</v>
      </c>
      <c r="RAZ285" s="18">
        <v>0</v>
      </c>
      <c r="RBA285" s="18">
        <v>0</v>
      </c>
      <c r="RBB285" s="18">
        <v>0</v>
      </c>
      <c r="RBC285" s="18">
        <v>0</v>
      </c>
      <c r="RBD285" s="18">
        <v>0</v>
      </c>
      <c r="RBE285" s="18">
        <v>0</v>
      </c>
      <c r="RBF285" s="18">
        <v>0</v>
      </c>
      <c r="RBG285" s="18">
        <v>0</v>
      </c>
      <c r="RBH285" s="18">
        <v>0</v>
      </c>
      <c r="RBI285" s="18">
        <v>0</v>
      </c>
      <c r="RBJ285" s="18">
        <v>0</v>
      </c>
      <c r="RBK285" s="18">
        <v>0</v>
      </c>
      <c r="RBL285" s="18">
        <v>0</v>
      </c>
      <c r="RBM285" s="18">
        <v>0</v>
      </c>
      <c r="RBN285" s="18">
        <v>0</v>
      </c>
      <c r="RBO285" s="18">
        <v>0</v>
      </c>
      <c r="RBP285" s="18">
        <v>0</v>
      </c>
      <c r="RBQ285" s="18">
        <v>0</v>
      </c>
      <c r="RBR285" s="18">
        <v>0</v>
      </c>
      <c r="RBS285" s="18">
        <v>0</v>
      </c>
      <c r="RBT285" s="18">
        <v>0</v>
      </c>
      <c r="RBU285" s="18">
        <v>0</v>
      </c>
      <c r="RBV285" s="18">
        <v>0</v>
      </c>
      <c r="RBW285" s="18">
        <v>0</v>
      </c>
      <c r="RBX285" s="18">
        <v>0</v>
      </c>
      <c r="RBY285" s="18">
        <v>0</v>
      </c>
      <c r="RBZ285" s="18">
        <v>0</v>
      </c>
      <c r="RCA285" s="18">
        <v>0</v>
      </c>
      <c r="RCB285" s="18">
        <v>0</v>
      </c>
      <c r="RCC285" s="18">
        <v>0</v>
      </c>
      <c r="RCD285" s="18">
        <v>0</v>
      </c>
      <c r="RCE285" s="18">
        <v>0</v>
      </c>
      <c r="RCF285" s="18">
        <v>0</v>
      </c>
      <c r="RCG285" s="18">
        <v>0</v>
      </c>
      <c r="RCH285" s="18">
        <v>0</v>
      </c>
      <c r="RCI285" s="18">
        <v>0</v>
      </c>
      <c r="RCJ285" s="18">
        <v>0</v>
      </c>
      <c r="RCK285" s="18">
        <v>0</v>
      </c>
      <c r="RCL285" s="18">
        <v>0</v>
      </c>
      <c r="RCM285" s="18">
        <v>0</v>
      </c>
      <c r="RCN285" s="18">
        <v>0</v>
      </c>
      <c r="RCO285" s="18">
        <v>0</v>
      </c>
      <c r="RCP285" s="18">
        <v>0</v>
      </c>
      <c r="RCQ285" s="18">
        <v>0</v>
      </c>
      <c r="RCR285" s="18">
        <v>0</v>
      </c>
      <c r="RCS285" s="18">
        <v>0</v>
      </c>
      <c r="RCT285" s="18">
        <v>0</v>
      </c>
      <c r="RCU285" s="18">
        <v>0</v>
      </c>
      <c r="RCV285" s="18">
        <v>0</v>
      </c>
      <c r="RCW285" s="18">
        <v>0</v>
      </c>
      <c r="RCX285" s="18">
        <v>0</v>
      </c>
      <c r="RCY285" s="18">
        <v>0</v>
      </c>
      <c r="RCZ285" s="18">
        <v>0</v>
      </c>
      <c r="RDA285" s="18">
        <v>0</v>
      </c>
      <c r="RDB285" s="18">
        <v>0</v>
      </c>
      <c r="RDC285" s="18">
        <v>0</v>
      </c>
      <c r="RDD285" s="18">
        <v>0</v>
      </c>
      <c r="RDE285" s="18">
        <v>0</v>
      </c>
      <c r="RDF285" s="18">
        <v>0</v>
      </c>
      <c r="RDG285" s="18">
        <v>0</v>
      </c>
      <c r="RDH285" s="18">
        <v>0</v>
      </c>
      <c r="RDI285" s="18">
        <v>0</v>
      </c>
      <c r="RDJ285" s="18">
        <v>0</v>
      </c>
      <c r="RDK285" s="18">
        <v>0</v>
      </c>
      <c r="RDL285" s="18">
        <v>0</v>
      </c>
      <c r="RDM285" s="18">
        <v>0</v>
      </c>
      <c r="RDN285" s="18">
        <v>0</v>
      </c>
      <c r="RDO285" s="18">
        <v>0</v>
      </c>
      <c r="RDP285" s="18">
        <v>0</v>
      </c>
      <c r="RDQ285" s="18">
        <v>0</v>
      </c>
      <c r="RDR285" s="18">
        <v>0</v>
      </c>
      <c r="RDS285" s="18">
        <v>0</v>
      </c>
      <c r="RDT285" s="18">
        <v>0</v>
      </c>
      <c r="RDU285" s="18">
        <v>0</v>
      </c>
      <c r="RDV285" s="18">
        <v>0</v>
      </c>
      <c r="RDW285" s="18">
        <v>0</v>
      </c>
      <c r="RDX285" s="18">
        <v>0</v>
      </c>
      <c r="RDY285" s="18">
        <v>0</v>
      </c>
      <c r="RDZ285" s="18">
        <v>0</v>
      </c>
      <c r="REA285" s="18">
        <v>0</v>
      </c>
      <c r="REB285" s="18">
        <v>0</v>
      </c>
      <c r="REC285" s="18">
        <v>0</v>
      </c>
      <c r="RED285" s="18">
        <v>0</v>
      </c>
      <c r="REE285" s="18">
        <v>0</v>
      </c>
      <c r="REF285" s="18">
        <v>0</v>
      </c>
      <c r="REG285" s="18">
        <v>0</v>
      </c>
      <c r="REH285" s="18">
        <v>0</v>
      </c>
      <c r="REI285" s="18">
        <v>0</v>
      </c>
      <c r="REJ285" s="18">
        <v>0</v>
      </c>
      <c r="REK285" s="18">
        <v>0</v>
      </c>
      <c r="REL285" s="18">
        <v>0</v>
      </c>
      <c r="REM285" s="18">
        <v>0</v>
      </c>
      <c r="REN285" s="18">
        <v>0</v>
      </c>
      <c r="REO285" s="18">
        <v>0</v>
      </c>
      <c r="REP285" s="18">
        <v>0</v>
      </c>
      <c r="REQ285" s="18">
        <v>0</v>
      </c>
      <c r="RER285" s="18">
        <v>0</v>
      </c>
      <c r="RES285" s="18">
        <v>0</v>
      </c>
      <c r="RET285" s="18">
        <v>0</v>
      </c>
      <c r="REU285" s="18">
        <v>0</v>
      </c>
      <c r="REV285" s="18">
        <v>0</v>
      </c>
      <c r="REW285" s="18">
        <v>0</v>
      </c>
      <c r="REX285" s="18">
        <v>0</v>
      </c>
      <c r="REY285" s="18">
        <v>0</v>
      </c>
      <c r="REZ285" s="18">
        <v>0</v>
      </c>
      <c r="RFA285" s="18">
        <v>0</v>
      </c>
      <c r="RFB285" s="18">
        <v>0</v>
      </c>
      <c r="RFC285" s="18">
        <v>0</v>
      </c>
      <c r="RFD285" s="18">
        <v>0</v>
      </c>
      <c r="RFE285" s="18">
        <v>0</v>
      </c>
      <c r="RFF285" s="18">
        <v>0</v>
      </c>
      <c r="RFG285" s="18">
        <v>0</v>
      </c>
      <c r="RFH285" s="18">
        <v>0</v>
      </c>
      <c r="RFI285" s="18">
        <v>0</v>
      </c>
      <c r="RFJ285" s="18">
        <v>0</v>
      </c>
      <c r="RFK285" s="18">
        <v>0</v>
      </c>
      <c r="RFL285" s="18">
        <v>0</v>
      </c>
      <c r="RFM285" s="18">
        <v>0</v>
      </c>
      <c r="RFN285" s="18">
        <v>0</v>
      </c>
      <c r="RFO285" s="18">
        <v>0</v>
      </c>
      <c r="RFP285" s="18">
        <v>0</v>
      </c>
      <c r="RFQ285" s="18">
        <v>0</v>
      </c>
      <c r="RFR285" s="18">
        <v>0</v>
      </c>
      <c r="RFS285" s="18">
        <v>0</v>
      </c>
      <c r="RFT285" s="18">
        <v>0</v>
      </c>
      <c r="RFU285" s="18">
        <v>0</v>
      </c>
      <c r="RFV285" s="18">
        <v>0</v>
      </c>
      <c r="RFW285" s="18">
        <v>0</v>
      </c>
      <c r="RFX285" s="18">
        <v>0</v>
      </c>
      <c r="RFY285" s="18">
        <v>0</v>
      </c>
      <c r="RFZ285" s="18">
        <v>0</v>
      </c>
      <c r="RGA285" s="18">
        <v>0</v>
      </c>
      <c r="RGB285" s="18">
        <v>0</v>
      </c>
      <c r="RGC285" s="18">
        <v>0</v>
      </c>
      <c r="RGD285" s="18">
        <v>0</v>
      </c>
      <c r="RGE285" s="18">
        <v>0</v>
      </c>
      <c r="RGF285" s="18">
        <v>0</v>
      </c>
      <c r="RGG285" s="18">
        <v>0</v>
      </c>
      <c r="RGH285" s="18">
        <v>0</v>
      </c>
      <c r="RGI285" s="18">
        <v>0</v>
      </c>
      <c r="RGJ285" s="18">
        <v>0</v>
      </c>
      <c r="RGK285" s="18">
        <v>0</v>
      </c>
      <c r="RGL285" s="18">
        <v>0</v>
      </c>
      <c r="RGM285" s="18">
        <v>0</v>
      </c>
      <c r="RGN285" s="18">
        <v>0</v>
      </c>
      <c r="RGO285" s="18">
        <v>0</v>
      </c>
      <c r="RGP285" s="18">
        <v>0</v>
      </c>
      <c r="RGQ285" s="18">
        <v>0</v>
      </c>
      <c r="RGR285" s="18">
        <v>0</v>
      </c>
      <c r="RGS285" s="18">
        <v>0</v>
      </c>
      <c r="RGT285" s="18">
        <v>0</v>
      </c>
      <c r="RGU285" s="18">
        <v>0</v>
      </c>
      <c r="RGV285" s="18">
        <v>0</v>
      </c>
      <c r="RGW285" s="18">
        <v>0</v>
      </c>
      <c r="RGX285" s="18">
        <v>0</v>
      </c>
      <c r="RGY285" s="18">
        <v>0</v>
      </c>
      <c r="RGZ285" s="18">
        <v>0</v>
      </c>
      <c r="RHA285" s="18">
        <v>0</v>
      </c>
      <c r="RHB285" s="18">
        <v>0</v>
      </c>
      <c r="RHC285" s="18">
        <v>0</v>
      </c>
      <c r="RHD285" s="18">
        <v>0</v>
      </c>
      <c r="RHE285" s="18">
        <v>0</v>
      </c>
      <c r="RHF285" s="18">
        <v>0</v>
      </c>
      <c r="RHG285" s="18">
        <v>0</v>
      </c>
      <c r="RHH285" s="18">
        <v>0</v>
      </c>
      <c r="RHI285" s="18">
        <v>0</v>
      </c>
      <c r="RHJ285" s="18">
        <v>0</v>
      </c>
      <c r="RHK285" s="18">
        <v>0</v>
      </c>
      <c r="RHL285" s="18">
        <v>0</v>
      </c>
      <c r="RHM285" s="18">
        <v>0</v>
      </c>
      <c r="RHN285" s="18">
        <v>0</v>
      </c>
      <c r="RHO285" s="18">
        <v>0</v>
      </c>
      <c r="RHP285" s="18">
        <v>0</v>
      </c>
      <c r="RHQ285" s="18">
        <v>0</v>
      </c>
      <c r="RHR285" s="18">
        <v>0</v>
      </c>
      <c r="RHS285" s="18">
        <v>0</v>
      </c>
      <c r="RHT285" s="18">
        <v>0</v>
      </c>
      <c r="RHU285" s="18">
        <v>0</v>
      </c>
      <c r="RHV285" s="18">
        <v>0</v>
      </c>
      <c r="RHW285" s="18">
        <v>0</v>
      </c>
      <c r="RHX285" s="18">
        <v>0</v>
      </c>
      <c r="RHY285" s="18">
        <v>0</v>
      </c>
      <c r="RHZ285" s="18">
        <v>0</v>
      </c>
      <c r="RIA285" s="18">
        <v>0</v>
      </c>
      <c r="RIB285" s="18">
        <v>0</v>
      </c>
      <c r="RIC285" s="18">
        <v>0</v>
      </c>
      <c r="RID285" s="18">
        <v>0</v>
      </c>
      <c r="RIE285" s="18">
        <v>0</v>
      </c>
      <c r="RIF285" s="18">
        <v>0</v>
      </c>
      <c r="RIG285" s="18">
        <v>0</v>
      </c>
      <c r="RIH285" s="18">
        <v>0</v>
      </c>
      <c r="RII285" s="18">
        <v>0</v>
      </c>
      <c r="RIJ285" s="18">
        <v>0</v>
      </c>
      <c r="RIK285" s="18">
        <v>0</v>
      </c>
      <c r="RIL285" s="18">
        <v>0</v>
      </c>
      <c r="RIM285" s="18">
        <v>0</v>
      </c>
      <c r="RIN285" s="18">
        <v>0</v>
      </c>
      <c r="RIO285" s="18">
        <v>0</v>
      </c>
      <c r="RIP285" s="18">
        <v>0</v>
      </c>
      <c r="RIQ285" s="18">
        <v>0</v>
      </c>
      <c r="RIR285" s="18">
        <v>0</v>
      </c>
      <c r="RIS285" s="18">
        <v>0</v>
      </c>
      <c r="RIT285" s="18">
        <v>0</v>
      </c>
      <c r="RIU285" s="18">
        <v>0</v>
      </c>
      <c r="RIV285" s="18">
        <v>0</v>
      </c>
      <c r="RIW285" s="18">
        <v>0</v>
      </c>
      <c r="RIX285" s="18">
        <v>0</v>
      </c>
      <c r="RIY285" s="18">
        <v>0</v>
      </c>
      <c r="RIZ285" s="18">
        <v>0</v>
      </c>
      <c r="RJA285" s="18">
        <v>0</v>
      </c>
      <c r="RJB285" s="18">
        <v>0</v>
      </c>
      <c r="RJC285" s="18">
        <v>0</v>
      </c>
      <c r="RJD285" s="18">
        <v>0</v>
      </c>
      <c r="RJE285" s="18">
        <v>0</v>
      </c>
      <c r="RJF285" s="18">
        <v>0</v>
      </c>
      <c r="RJG285" s="18">
        <v>0</v>
      </c>
      <c r="RJH285" s="18">
        <v>0</v>
      </c>
      <c r="RJI285" s="18">
        <v>0</v>
      </c>
      <c r="RJJ285" s="18">
        <v>0</v>
      </c>
      <c r="RJK285" s="18">
        <v>0</v>
      </c>
      <c r="RJL285" s="18">
        <v>0</v>
      </c>
      <c r="RJM285" s="18">
        <v>0</v>
      </c>
      <c r="RJN285" s="18">
        <v>0</v>
      </c>
      <c r="RJO285" s="18">
        <v>0</v>
      </c>
      <c r="RJP285" s="18">
        <v>0</v>
      </c>
      <c r="RJQ285" s="18">
        <v>0</v>
      </c>
      <c r="RJR285" s="18">
        <v>0</v>
      </c>
      <c r="RJS285" s="18">
        <v>0</v>
      </c>
      <c r="RJT285" s="18">
        <v>0</v>
      </c>
      <c r="RJU285" s="18">
        <v>0</v>
      </c>
      <c r="RJV285" s="18">
        <v>0</v>
      </c>
      <c r="RJW285" s="18">
        <v>0</v>
      </c>
      <c r="RJX285" s="18">
        <v>0</v>
      </c>
      <c r="RJY285" s="18">
        <v>0</v>
      </c>
      <c r="RJZ285" s="18">
        <v>0</v>
      </c>
      <c r="RKA285" s="18">
        <v>0</v>
      </c>
      <c r="RKB285" s="18">
        <v>0</v>
      </c>
      <c r="RKC285" s="18">
        <v>0</v>
      </c>
      <c r="RKD285" s="18">
        <v>0</v>
      </c>
      <c r="RKE285" s="18">
        <v>0</v>
      </c>
      <c r="RKF285" s="18">
        <v>0</v>
      </c>
      <c r="RKG285" s="18">
        <v>0</v>
      </c>
      <c r="RKH285" s="18">
        <v>0</v>
      </c>
      <c r="RKI285" s="18">
        <v>0</v>
      </c>
      <c r="RKJ285" s="18">
        <v>0</v>
      </c>
      <c r="RKK285" s="18">
        <v>0</v>
      </c>
      <c r="RKL285" s="18">
        <v>0</v>
      </c>
      <c r="RKM285" s="18">
        <v>0</v>
      </c>
      <c r="RKN285" s="18">
        <v>0</v>
      </c>
      <c r="RKO285" s="18">
        <v>0</v>
      </c>
      <c r="RKP285" s="18">
        <v>0</v>
      </c>
      <c r="RKQ285" s="18">
        <v>0</v>
      </c>
      <c r="RKR285" s="18">
        <v>0</v>
      </c>
      <c r="RKS285" s="18">
        <v>0</v>
      </c>
      <c r="RKT285" s="18">
        <v>0</v>
      </c>
      <c r="RKU285" s="18">
        <v>0</v>
      </c>
      <c r="RKV285" s="18">
        <v>0</v>
      </c>
      <c r="RKW285" s="18">
        <v>0</v>
      </c>
      <c r="RKX285" s="18">
        <v>0</v>
      </c>
      <c r="RKY285" s="18">
        <v>0</v>
      </c>
      <c r="RKZ285" s="18">
        <v>0</v>
      </c>
      <c r="RLA285" s="18">
        <v>0</v>
      </c>
      <c r="RLB285" s="18">
        <v>0</v>
      </c>
      <c r="RLC285" s="18">
        <v>0</v>
      </c>
      <c r="RLD285" s="18">
        <v>0</v>
      </c>
      <c r="RLE285" s="18">
        <v>0</v>
      </c>
      <c r="RLF285" s="18">
        <v>0</v>
      </c>
      <c r="RLG285" s="18">
        <v>0</v>
      </c>
      <c r="RLH285" s="18">
        <v>0</v>
      </c>
      <c r="RLI285" s="18">
        <v>0</v>
      </c>
      <c r="RLJ285" s="18">
        <v>0</v>
      </c>
      <c r="RLK285" s="18">
        <v>0</v>
      </c>
      <c r="RLL285" s="18">
        <v>0</v>
      </c>
      <c r="RLM285" s="18">
        <v>0</v>
      </c>
      <c r="RLN285" s="18">
        <v>0</v>
      </c>
      <c r="RLO285" s="18">
        <v>0</v>
      </c>
      <c r="RLP285" s="18">
        <v>0</v>
      </c>
      <c r="RLQ285" s="18">
        <v>0</v>
      </c>
      <c r="RLR285" s="18">
        <v>0</v>
      </c>
      <c r="RLS285" s="18">
        <v>0</v>
      </c>
      <c r="RLT285" s="18">
        <v>0</v>
      </c>
      <c r="RLU285" s="18">
        <v>0</v>
      </c>
      <c r="RLV285" s="18">
        <v>0</v>
      </c>
      <c r="RLW285" s="18">
        <v>0</v>
      </c>
      <c r="RLX285" s="18">
        <v>0</v>
      </c>
      <c r="RLY285" s="18">
        <v>0</v>
      </c>
      <c r="RLZ285" s="18">
        <v>0</v>
      </c>
      <c r="RMA285" s="18">
        <v>0</v>
      </c>
      <c r="RMB285" s="18">
        <v>0</v>
      </c>
      <c r="RMC285" s="18">
        <v>0</v>
      </c>
      <c r="RMD285" s="18">
        <v>0</v>
      </c>
      <c r="RME285" s="18">
        <v>0</v>
      </c>
      <c r="RMF285" s="18">
        <v>0</v>
      </c>
      <c r="RMG285" s="18">
        <v>0</v>
      </c>
      <c r="RMH285" s="18">
        <v>0</v>
      </c>
      <c r="RMI285" s="18">
        <v>0</v>
      </c>
      <c r="RMJ285" s="18">
        <v>0</v>
      </c>
      <c r="RMK285" s="18">
        <v>0</v>
      </c>
      <c r="RML285" s="18">
        <v>0</v>
      </c>
      <c r="RMM285" s="18">
        <v>0</v>
      </c>
      <c r="RMN285" s="18">
        <v>0</v>
      </c>
      <c r="RMO285" s="18">
        <v>0</v>
      </c>
      <c r="RMP285" s="18">
        <v>0</v>
      </c>
      <c r="RMQ285" s="18">
        <v>0</v>
      </c>
      <c r="RMR285" s="18">
        <v>0</v>
      </c>
      <c r="RMS285" s="18">
        <v>0</v>
      </c>
      <c r="RMT285" s="18">
        <v>0</v>
      </c>
      <c r="RMU285" s="18">
        <v>0</v>
      </c>
      <c r="RMV285" s="18">
        <v>0</v>
      </c>
      <c r="RMW285" s="18">
        <v>0</v>
      </c>
      <c r="RMX285" s="18">
        <v>0</v>
      </c>
      <c r="RMY285" s="18">
        <v>0</v>
      </c>
      <c r="RMZ285" s="18">
        <v>0</v>
      </c>
      <c r="RNA285" s="18">
        <v>0</v>
      </c>
      <c r="RNB285" s="18">
        <v>0</v>
      </c>
      <c r="RNC285" s="18">
        <v>0</v>
      </c>
      <c r="RND285" s="18">
        <v>0</v>
      </c>
      <c r="RNE285" s="18">
        <v>0</v>
      </c>
      <c r="RNF285" s="18">
        <v>0</v>
      </c>
      <c r="RNG285" s="18">
        <v>0</v>
      </c>
      <c r="RNH285" s="18">
        <v>0</v>
      </c>
      <c r="RNI285" s="18">
        <v>0</v>
      </c>
      <c r="RNJ285" s="18">
        <v>0</v>
      </c>
      <c r="RNK285" s="18">
        <v>0</v>
      </c>
      <c r="RNL285" s="18">
        <v>0</v>
      </c>
      <c r="RNM285" s="18">
        <v>0</v>
      </c>
      <c r="RNN285" s="18">
        <v>0</v>
      </c>
      <c r="RNO285" s="18">
        <v>0</v>
      </c>
      <c r="RNP285" s="18">
        <v>0</v>
      </c>
      <c r="RNQ285" s="18">
        <v>0</v>
      </c>
      <c r="RNR285" s="18">
        <v>0</v>
      </c>
      <c r="RNS285" s="18">
        <v>0</v>
      </c>
      <c r="RNT285" s="18">
        <v>0</v>
      </c>
      <c r="RNU285" s="18">
        <v>0</v>
      </c>
      <c r="RNV285" s="18">
        <v>0</v>
      </c>
      <c r="RNW285" s="18">
        <v>0</v>
      </c>
      <c r="RNX285" s="18">
        <v>0</v>
      </c>
      <c r="RNY285" s="18">
        <v>0</v>
      </c>
      <c r="RNZ285" s="18">
        <v>0</v>
      </c>
      <c r="ROA285" s="18">
        <v>0</v>
      </c>
      <c r="ROB285" s="18">
        <v>0</v>
      </c>
      <c r="ROC285" s="18">
        <v>0</v>
      </c>
      <c r="ROD285" s="18">
        <v>0</v>
      </c>
      <c r="ROE285" s="18">
        <v>0</v>
      </c>
      <c r="ROF285" s="18">
        <v>0</v>
      </c>
      <c r="ROG285" s="18">
        <v>0</v>
      </c>
      <c r="ROH285" s="18">
        <v>0</v>
      </c>
      <c r="ROI285" s="18">
        <v>0</v>
      </c>
      <c r="ROJ285" s="18">
        <v>0</v>
      </c>
      <c r="ROK285" s="18">
        <v>0</v>
      </c>
      <c r="ROL285" s="18">
        <v>0</v>
      </c>
      <c r="ROM285" s="18">
        <v>0</v>
      </c>
      <c r="RON285" s="18">
        <v>0</v>
      </c>
      <c r="ROO285" s="18">
        <v>0</v>
      </c>
      <c r="ROP285" s="18">
        <v>0</v>
      </c>
      <c r="ROQ285" s="18">
        <v>0</v>
      </c>
      <c r="ROR285" s="18">
        <v>0</v>
      </c>
      <c r="ROS285" s="18">
        <v>0</v>
      </c>
      <c r="ROT285" s="18">
        <v>0</v>
      </c>
      <c r="ROU285" s="18">
        <v>0</v>
      </c>
      <c r="ROV285" s="18">
        <v>0</v>
      </c>
      <c r="ROW285" s="18">
        <v>0</v>
      </c>
      <c r="ROX285" s="18">
        <v>0</v>
      </c>
      <c r="ROY285" s="18">
        <v>0</v>
      </c>
      <c r="ROZ285" s="18">
        <v>0</v>
      </c>
      <c r="RPA285" s="18">
        <v>0</v>
      </c>
      <c r="RPB285" s="18">
        <v>0</v>
      </c>
      <c r="RPC285" s="18">
        <v>0</v>
      </c>
      <c r="RPD285" s="18">
        <v>0</v>
      </c>
      <c r="RPE285" s="18">
        <v>0</v>
      </c>
      <c r="RPF285" s="18">
        <v>0</v>
      </c>
      <c r="RPG285" s="18">
        <v>0</v>
      </c>
      <c r="RPH285" s="18">
        <v>0</v>
      </c>
      <c r="RPI285" s="18">
        <v>0</v>
      </c>
      <c r="RPJ285" s="18">
        <v>0</v>
      </c>
      <c r="RPK285" s="18">
        <v>0</v>
      </c>
      <c r="RPL285" s="18">
        <v>0</v>
      </c>
      <c r="RPM285" s="18">
        <v>0</v>
      </c>
      <c r="RPN285" s="18">
        <v>0</v>
      </c>
      <c r="RPO285" s="18">
        <v>0</v>
      </c>
      <c r="RPP285" s="18">
        <v>0</v>
      </c>
      <c r="RPQ285" s="18">
        <v>0</v>
      </c>
      <c r="RPR285" s="18">
        <v>0</v>
      </c>
      <c r="RPS285" s="18">
        <v>0</v>
      </c>
      <c r="RPT285" s="18">
        <v>0</v>
      </c>
      <c r="RPU285" s="18">
        <v>0</v>
      </c>
      <c r="RPV285" s="18">
        <v>0</v>
      </c>
      <c r="RPW285" s="18">
        <v>0</v>
      </c>
      <c r="RPX285" s="18">
        <v>0</v>
      </c>
      <c r="RPY285" s="18">
        <v>0</v>
      </c>
      <c r="RPZ285" s="18">
        <v>0</v>
      </c>
      <c r="RQA285" s="18">
        <v>0</v>
      </c>
      <c r="RQB285" s="18">
        <v>0</v>
      </c>
      <c r="RQC285" s="18">
        <v>0</v>
      </c>
      <c r="RQD285" s="18">
        <v>0</v>
      </c>
      <c r="RQE285" s="18">
        <v>0</v>
      </c>
      <c r="RQF285" s="18">
        <v>0</v>
      </c>
      <c r="RQG285" s="18">
        <v>0</v>
      </c>
      <c r="RQH285" s="18">
        <v>0</v>
      </c>
      <c r="RQI285" s="18">
        <v>0</v>
      </c>
      <c r="RQJ285" s="18">
        <v>0</v>
      </c>
      <c r="RQK285" s="18">
        <v>0</v>
      </c>
      <c r="RQL285" s="18">
        <v>0</v>
      </c>
      <c r="RQM285" s="18">
        <v>0</v>
      </c>
      <c r="RQN285" s="18">
        <v>0</v>
      </c>
      <c r="RQO285" s="18">
        <v>0</v>
      </c>
      <c r="RQP285" s="18">
        <v>0</v>
      </c>
      <c r="RQQ285" s="18">
        <v>0</v>
      </c>
      <c r="RQR285" s="18">
        <v>0</v>
      </c>
      <c r="RQS285" s="18">
        <v>0</v>
      </c>
      <c r="RQT285" s="18">
        <v>0</v>
      </c>
      <c r="RQU285" s="18">
        <v>0</v>
      </c>
      <c r="RQV285" s="18">
        <v>0</v>
      </c>
      <c r="RQW285" s="18">
        <v>0</v>
      </c>
      <c r="RQX285" s="18">
        <v>0</v>
      </c>
      <c r="RQY285" s="18">
        <v>0</v>
      </c>
      <c r="RQZ285" s="18">
        <v>0</v>
      </c>
      <c r="RRA285" s="18">
        <v>0</v>
      </c>
      <c r="RRB285" s="18">
        <v>0</v>
      </c>
      <c r="RRC285" s="18">
        <v>0</v>
      </c>
      <c r="RRD285" s="18">
        <v>0</v>
      </c>
      <c r="RRE285" s="18">
        <v>0</v>
      </c>
      <c r="RRF285" s="18">
        <v>0</v>
      </c>
      <c r="RRG285" s="18">
        <v>0</v>
      </c>
      <c r="RRH285" s="18">
        <v>0</v>
      </c>
      <c r="RRI285" s="18">
        <v>0</v>
      </c>
      <c r="RRJ285" s="18">
        <v>0</v>
      </c>
      <c r="RRK285" s="18">
        <v>0</v>
      </c>
      <c r="RRL285" s="18">
        <v>0</v>
      </c>
      <c r="RRM285" s="18">
        <v>0</v>
      </c>
      <c r="RRN285" s="18">
        <v>0</v>
      </c>
      <c r="RRO285" s="18">
        <v>0</v>
      </c>
      <c r="RRP285" s="18">
        <v>0</v>
      </c>
      <c r="RRQ285" s="18">
        <v>0</v>
      </c>
      <c r="RRR285" s="18">
        <v>0</v>
      </c>
      <c r="RRS285" s="18">
        <v>0</v>
      </c>
      <c r="RRT285" s="18">
        <v>0</v>
      </c>
      <c r="RRU285" s="18">
        <v>0</v>
      </c>
      <c r="RRV285" s="18">
        <v>0</v>
      </c>
      <c r="RRW285" s="18">
        <v>0</v>
      </c>
      <c r="RRX285" s="18">
        <v>0</v>
      </c>
      <c r="RRY285" s="18">
        <v>0</v>
      </c>
      <c r="RRZ285" s="18">
        <v>0</v>
      </c>
      <c r="RSA285" s="18">
        <v>0</v>
      </c>
      <c r="RSB285" s="18">
        <v>0</v>
      </c>
      <c r="RSC285" s="18">
        <v>0</v>
      </c>
      <c r="RSD285" s="18">
        <v>0</v>
      </c>
      <c r="RSE285" s="18">
        <v>0</v>
      </c>
      <c r="RSF285" s="18">
        <v>0</v>
      </c>
      <c r="RSG285" s="18">
        <v>0</v>
      </c>
      <c r="RSH285" s="18">
        <v>0</v>
      </c>
      <c r="RSI285" s="18">
        <v>0</v>
      </c>
      <c r="RSJ285" s="18">
        <v>0</v>
      </c>
      <c r="RSK285" s="18">
        <v>0</v>
      </c>
      <c r="RSL285" s="18">
        <v>0</v>
      </c>
      <c r="RSM285" s="18">
        <v>0</v>
      </c>
      <c r="RSN285" s="18">
        <v>0</v>
      </c>
      <c r="RSO285" s="18">
        <v>0</v>
      </c>
      <c r="RSP285" s="18">
        <v>0</v>
      </c>
      <c r="RSQ285" s="18">
        <v>0</v>
      </c>
      <c r="RSR285" s="18">
        <v>0</v>
      </c>
      <c r="RSS285" s="18">
        <v>0</v>
      </c>
      <c r="RST285" s="18">
        <v>0</v>
      </c>
      <c r="RSU285" s="18">
        <v>0</v>
      </c>
      <c r="RSV285" s="18">
        <v>0</v>
      </c>
      <c r="RSW285" s="18">
        <v>0</v>
      </c>
      <c r="RSX285" s="18">
        <v>0</v>
      </c>
      <c r="RSY285" s="18">
        <v>0</v>
      </c>
      <c r="RSZ285" s="18">
        <v>0</v>
      </c>
      <c r="RTA285" s="18">
        <v>0</v>
      </c>
      <c r="RTB285" s="18">
        <v>0</v>
      </c>
      <c r="RTC285" s="18">
        <v>0</v>
      </c>
      <c r="RTD285" s="18">
        <v>0</v>
      </c>
      <c r="RTE285" s="18">
        <v>0</v>
      </c>
      <c r="RTF285" s="18">
        <v>0</v>
      </c>
      <c r="RTG285" s="18">
        <v>0</v>
      </c>
      <c r="RTH285" s="18">
        <v>0</v>
      </c>
      <c r="RTI285" s="18">
        <v>0</v>
      </c>
      <c r="RTJ285" s="18">
        <v>0</v>
      </c>
      <c r="RTK285" s="18">
        <v>0</v>
      </c>
      <c r="RTL285" s="18">
        <v>0</v>
      </c>
      <c r="RTM285" s="18">
        <v>0</v>
      </c>
      <c r="RTN285" s="18">
        <v>0</v>
      </c>
      <c r="RTO285" s="18">
        <v>0</v>
      </c>
      <c r="RTP285" s="18">
        <v>0</v>
      </c>
      <c r="RTQ285" s="18">
        <v>0</v>
      </c>
      <c r="RTR285" s="18">
        <v>0</v>
      </c>
      <c r="RTS285" s="18">
        <v>0</v>
      </c>
      <c r="RTT285" s="18">
        <v>0</v>
      </c>
      <c r="RTU285" s="18">
        <v>0</v>
      </c>
      <c r="RTV285" s="18">
        <v>0</v>
      </c>
      <c r="RTW285" s="18">
        <v>0</v>
      </c>
      <c r="RTX285" s="18">
        <v>0</v>
      </c>
      <c r="RTY285" s="18">
        <v>0</v>
      </c>
      <c r="RTZ285" s="18">
        <v>0</v>
      </c>
      <c r="RUA285" s="18">
        <v>0</v>
      </c>
      <c r="RUB285" s="18">
        <v>0</v>
      </c>
      <c r="RUC285" s="18">
        <v>0</v>
      </c>
      <c r="RUD285" s="18">
        <v>0</v>
      </c>
      <c r="RUE285" s="18">
        <v>0</v>
      </c>
      <c r="RUF285" s="18">
        <v>0</v>
      </c>
      <c r="RUG285" s="18">
        <v>0</v>
      </c>
      <c r="RUH285" s="18">
        <v>0</v>
      </c>
      <c r="RUI285" s="18">
        <v>0</v>
      </c>
      <c r="RUJ285" s="18">
        <v>0</v>
      </c>
      <c r="RUK285" s="18">
        <v>0</v>
      </c>
      <c r="RUL285" s="18">
        <v>0</v>
      </c>
      <c r="RUM285" s="18">
        <v>0</v>
      </c>
      <c r="RUN285" s="18">
        <v>0</v>
      </c>
      <c r="RUO285" s="18">
        <v>0</v>
      </c>
      <c r="RUP285" s="18">
        <v>0</v>
      </c>
      <c r="RUQ285" s="18">
        <v>0</v>
      </c>
      <c r="RUR285" s="18">
        <v>0</v>
      </c>
      <c r="RUS285" s="18">
        <v>0</v>
      </c>
      <c r="RUT285" s="18">
        <v>0</v>
      </c>
      <c r="RUU285" s="18">
        <v>0</v>
      </c>
      <c r="RUV285" s="18">
        <v>0</v>
      </c>
      <c r="RUW285" s="18">
        <v>0</v>
      </c>
      <c r="RUX285" s="18">
        <v>0</v>
      </c>
      <c r="RUY285" s="18">
        <v>0</v>
      </c>
      <c r="RUZ285" s="18">
        <v>0</v>
      </c>
      <c r="RVA285" s="18">
        <v>0</v>
      </c>
      <c r="RVB285" s="18">
        <v>0</v>
      </c>
      <c r="RVC285" s="18">
        <v>0</v>
      </c>
      <c r="RVD285" s="18">
        <v>0</v>
      </c>
      <c r="RVE285" s="18">
        <v>0</v>
      </c>
      <c r="RVF285" s="18">
        <v>0</v>
      </c>
      <c r="RVG285" s="18">
        <v>0</v>
      </c>
      <c r="RVH285" s="18">
        <v>0</v>
      </c>
      <c r="RVI285" s="18">
        <v>0</v>
      </c>
      <c r="RVJ285" s="18">
        <v>0</v>
      </c>
      <c r="RVK285" s="18">
        <v>0</v>
      </c>
      <c r="RVL285" s="18">
        <v>0</v>
      </c>
      <c r="RVM285" s="18">
        <v>0</v>
      </c>
      <c r="RVN285" s="18">
        <v>0</v>
      </c>
      <c r="RVO285" s="18">
        <v>0</v>
      </c>
      <c r="RVP285" s="18">
        <v>0</v>
      </c>
      <c r="RVQ285" s="18">
        <v>0</v>
      </c>
      <c r="RVR285" s="18">
        <v>0</v>
      </c>
      <c r="RVS285" s="18">
        <v>0</v>
      </c>
      <c r="RVT285" s="18">
        <v>0</v>
      </c>
      <c r="RVU285" s="18">
        <v>0</v>
      </c>
      <c r="RVV285" s="18">
        <v>0</v>
      </c>
      <c r="RVW285" s="18">
        <v>0</v>
      </c>
      <c r="RVX285" s="18">
        <v>0</v>
      </c>
      <c r="RVY285" s="18">
        <v>0</v>
      </c>
      <c r="RVZ285" s="18">
        <v>0</v>
      </c>
      <c r="RWA285" s="18">
        <v>0</v>
      </c>
      <c r="RWB285" s="18">
        <v>0</v>
      </c>
      <c r="RWC285" s="18">
        <v>0</v>
      </c>
      <c r="RWD285" s="18">
        <v>0</v>
      </c>
      <c r="RWE285" s="18">
        <v>0</v>
      </c>
      <c r="RWF285" s="18">
        <v>0</v>
      </c>
      <c r="RWG285" s="18">
        <v>0</v>
      </c>
      <c r="RWH285" s="18">
        <v>0</v>
      </c>
      <c r="RWI285" s="18">
        <v>0</v>
      </c>
      <c r="RWJ285" s="18">
        <v>0</v>
      </c>
      <c r="RWK285" s="18">
        <v>0</v>
      </c>
      <c r="RWL285" s="18">
        <v>0</v>
      </c>
      <c r="RWM285" s="18">
        <v>0</v>
      </c>
      <c r="RWN285" s="18">
        <v>0</v>
      </c>
      <c r="RWO285" s="18">
        <v>0</v>
      </c>
      <c r="RWP285" s="18">
        <v>0</v>
      </c>
      <c r="RWQ285" s="18">
        <v>0</v>
      </c>
      <c r="RWR285" s="18">
        <v>0</v>
      </c>
      <c r="RWS285" s="18">
        <v>0</v>
      </c>
      <c r="RWT285" s="18">
        <v>0</v>
      </c>
      <c r="RWU285" s="18">
        <v>0</v>
      </c>
      <c r="RWV285" s="18">
        <v>0</v>
      </c>
      <c r="RWW285" s="18">
        <v>0</v>
      </c>
      <c r="RWX285" s="18">
        <v>0</v>
      </c>
      <c r="RWY285" s="18">
        <v>0</v>
      </c>
      <c r="RWZ285" s="18">
        <v>0</v>
      </c>
      <c r="RXA285" s="18">
        <v>0</v>
      </c>
      <c r="RXB285" s="18">
        <v>0</v>
      </c>
      <c r="RXC285" s="18">
        <v>0</v>
      </c>
      <c r="RXD285" s="18">
        <v>0</v>
      </c>
      <c r="RXE285" s="18">
        <v>0</v>
      </c>
      <c r="RXF285" s="18">
        <v>0</v>
      </c>
      <c r="RXG285" s="18">
        <v>0</v>
      </c>
      <c r="RXH285" s="18">
        <v>0</v>
      </c>
      <c r="RXI285" s="18">
        <v>0</v>
      </c>
      <c r="RXJ285" s="18">
        <v>0</v>
      </c>
      <c r="RXK285" s="18">
        <v>0</v>
      </c>
      <c r="RXL285" s="18">
        <v>0</v>
      </c>
      <c r="RXM285" s="18">
        <v>0</v>
      </c>
      <c r="RXN285" s="18">
        <v>0</v>
      </c>
      <c r="RXO285" s="18">
        <v>0</v>
      </c>
      <c r="RXP285" s="18">
        <v>0</v>
      </c>
      <c r="RXQ285" s="18">
        <v>0</v>
      </c>
      <c r="RXR285" s="18">
        <v>0</v>
      </c>
      <c r="RXS285" s="18">
        <v>0</v>
      </c>
      <c r="RXT285" s="18">
        <v>0</v>
      </c>
      <c r="RXU285" s="18">
        <v>0</v>
      </c>
      <c r="RXV285" s="18">
        <v>0</v>
      </c>
      <c r="RXW285" s="18">
        <v>0</v>
      </c>
      <c r="RXX285" s="18">
        <v>0</v>
      </c>
      <c r="RXY285" s="18">
        <v>0</v>
      </c>
      <c r="RXZ285" s="18">
        <v>0</v>
      </c>
      <c r="RYA285" s="18">
        <v>0</v>
      </c>
      <c r="RYB285" s="18">
        <v>0</v>
      </c>
      <c r="RYC285" s="18">
        <v>0</v>
      </c>
      <c r="RYD285" s="18">
        <v>0</v>
      </c>
      <c r="RYE285" s="18">
        <v>0</v>
      </c>
      <c r="RYF285" s="18">
        <v>0</v>
      </c>
      <c r="RYG285" s="18">
        <v>0</v>
      </c>
      <c r="RYH285" s="18">
        <v>0</v>
      </c>
      <c r="RYI285" s="18">
        <v>0</v>
      </c>
      <c r="RYJ285" s="18">
        <v>0</v>
      </c>
      <c r="RYK285" s="18">
        <v>0</v>
      </c>
      <c r="RYL285" s="18">
        <v>0</v>
      </c>
      <c r="RYM285" s="18">
        <v>0</v>
      </c>
      <c r="RYN285" s="18">
        <v>0</v>
      </c>
      <c r="RYO285" s="18">
        <v>0</v>
      </c>
      <c r="RYP285" s="18">
        <v>0</v>
      </c>
      <c r="RYQ285" s="18">
        <v>0</v>
      </c>
      <c r="RYR285" s="18">
        <v>0</v>
      </c>
      <c r="RYS285" s="18">
        <v>0</v>
      </c>
      <c r="RYT285" s="18">
        <v>0</v>
      </c>
      <c r="RYU285" s="18">
        <v>0</v>
      </c>
      <c r="RYV285" s="18">
        <v>0</v>
      </c>
      <c r="RYW285" s="18">
        <v>0</v>
      </c>
      <c r="RYX285" s="18">
        <v>0</v>
      </c>
      <c r="RYY285" s="18">
        <v>0</v>
      </c>
      <c r="RYZ285" s="18">
        <v>0</v>
      </c>
      <c r="RZA285" s="18">
        <v>0</v>
      </c>
      <c r="RZB285" s="18">
        <v>0</v>
      </c>
      <c r="RZC285" s="18">
        <v>0</v>
      </c>
      <c r="RZD285" s="18">
        <v>0</v>
      </c>
      <c r="RZE285" s="18">
        <v>0</v>
      </c>
      <c r="RZF285" s="18">
        <v>0</v>
      </c>
      <c r="RZG285" s="18">
        <v>0</v>
      </c>
      <c r="RZH285" s="18">
        <v>0</v>
      </c>
      <c r="RZI285" s="18">
        <v>0</v>
      </c>
      <c r="RZJ285" s="18">
        <v>0</v>
      </c>
      <c r="RZK285" s="18">
        <v>0</v>
      </c>
      <c r="RZL285" s="18">
        <v>0</v>
      </c>
      <c r="RZM285" s="18">
        <v>0</v>
      </c>
      <c r="RZN285" s="18">
        <v>0</v>
      </c>
      <c r="RZO285" s="18">
        <v>0</v>
      </c>
      <c r="RZP285" s="18">
        <v>0</v>
      </c>
      <c r="RZQ285" s="18">
        <v>0</v>
      </c>
      <c r="RZR285" s="18">
        <v>0</v>
      </c>
      <c r="RZS285" s="18">
        <v>0</v>
      </c>
      <c r="RZT285" s="18">
        <v>0</v>
      </c>
      <c r="RZU285" s="18">
        <v>0</v>
      </c>
      <c r="RZV285" s="18">
        <v>0</v>
      </c>
      <c r="RZW285" s="18">
        <v>0</v>
      </c>
      <c r="RZX285" s="18">
        <v>0</v>
      </c>
      <c r="RZY285" s="18">
        <v>0</v>
      </c>
      <c r="RZZ285" s="18">
        <v>0</v>
      </c>
      <c r="SAA285" s="18">
        <v>0</v>
      </c>
      <c r="SAB285" s="18">
        <v>0</v>
      </c>
      <c r="SAC285" s="18">
        <v>0</v>
      </c>
      <c r="SAD285" s="18">
        <v>0</v>
      </c>
      <c r="SAE285" s="18">
        <v>0</v>
      </c>
      <c r="SAF285" s="18">
        <v>0</v>
      </c>
      <c r="SAG285" s="18">
        <v>0</v>
      </c>
      <c r="SAH285" s="18">
        <v>0</v>
      </c>
      <c r="SAI285" s="18">
        <v>0</v>
      </c>
      <c r="SAJ285" s="18">
        <v>0</v>
      </c>
      <c r="SAK285" s="18">
        <v>0</v>
      </c>
      <c r="SAL285" s="18">
        <v>0</v>
      </c>
      <c r="SAM285" s="18">
        <v>0</v>
      </c>
      <c r="SAN285" s="18">
        <v>0</v>
      </c>
      <c r="SAO285" s="18">
        <v>0</v>
      </c>
      <c r="SAP285" s="18">
        <v>0</v>
      </c>
      <c r="SAQ285" s="18">
        <v>0</v>
      </c>
      <c r="SAR285" s="18">
        <v>0</v>
      </c>
      <c r="SAS285" s="18">
        <v>0</v>
      </c>
      <c r="SAT285" s="18">
        <v>0</v>
      </c>
      <c r="SAU285" s="18">
        <v>0</v>
      </c>
      <c r="SAV285" s="18">
        <v>0</v>
      </c>
      <c r="SAW285" s="18">
        <v>0</v>
      </c>
      <c r="SAX285" s="18">
        <v>0</v>
      </c>
      <c r="SAY285" s="18">
        <v>0</v>
      </c>
      <c r="SAZ285" s="18">
        <v>0</v>
      </c>
      <c r="SBA285" s="18">
        <v>0</v>
      </c>
      <c r="SBB285" s="18">
        <v>0</v>
      </c>
      <c r="SBC285" s="18">
        <v>0</v>
      </c>
      <c r="SBD285" s="18">
        <v>0</v>
      </c>
      <c r="SBE285" s="18">
        <v>0</v>
      </c>
      <c r="SBF285" s="18">
        <v>0</v>
      </c>
      <c r="SBG285" s="18">
        <v>0</v>
      </c>
      <c r="SBH285" s="18">
        <v>0</v>
      </c>
      <c r="SBI285" s="18">
        <v>0</v>
      </c>
      <c r="SBJ285" s="18">
        <v>0</v>
      </c>
      <c r="SBK285" s="18">
        <v>0</v>
      </c>
      <c r="SBL285" s="18">
        <v>0</v>
      </c>
      <c r="SBM285" s="18">
        <v>0</v>
      </c>
      <c r="SBN285" s="18">
        <v>0</v>
      </c>
      <c r="SBO285" s="18">
        <v>0</v>
      </c>
      <c r="SBP285" s="18">
        <v>0</v>
      </c>
      <c r="SBQ285" s="18">
        <v>0</v>
      </c>
      <c r="SBR285" s="18">
        <v>0</v>
      </c>
      <c r="SBS285" s="18">
        <v>0</v>
      </c>
      <c r="SBT285" s="18">
        <v>0</v>
      </c>
      <c r="SBU285" s="18">
        <v>0</v>
      </c>
      <c r="SBV285" s="18">
        <v>0</v>
      </c>
      <c r="SBW285" s="18">
        <v>0</v>
      </c>
      <c r="SBX285" s="18">
        <v>0</v>
      </c>
      <c r="SBY285" s="18">
        <v>0</v>
      </c>
      <c r="SBZ285" s="18">
        <v>0</v>
      </c>
      <c r="SCA285" s="18">
        <v>0</v>
      </c>
      <c r="SCB285" s="18">
        <v>0</v>
      </c>
      <c r="SCC285" s="18">
        <v>0</v>
      </c>
      <c r="SCD285" s="18">
        <v>0</v>
      </c>
      <c r="SCE285" s="18">
        <v>0</v>
      </c>
      <c r="SCF285" s="18">
        <v>0</v>
      </c>
      <c r="SCG285" s="18">
        <v>0</v>
      </c>
      <c r="SCH285" s="18">
        <v>0</v>
      </c>
      <c r="SCI285" s="18">
        <v>0</v>
      </c>
      <c r="SCJ285" s="18">
        <v>0</v>
      </c>
      <c r="SCK285" s="18">
        <v>0</v>
      </c>
      <c r="SCL285" s="18">
        <v>0</v>
      </c>
      <c r="SCM285" s="18">
        <v>0</v>
      </c>
      <c r="SCN285" s="18">
        <v>0</v>
      </c>
      <c r="SCO285" s="18">
        <v>0</v>
      </c>
      <c r="SCP285" s="18">
        <v>0</v>
      </c>
      <c r="SCQ285" s="18">
        <v>0</v>
      </c>
      <c r="SCR285" s="18">
        <v>0</v>
      </c>
      <c r="SCS285" s="18">
        <v>0</v>
      </c>
      <c r="SCT285" s="18">
        <v>0</v>
      </c>
      <c r="SCU285" s="18">
        <v>0</v>
      </c>
      <c r="SCV285" s="18">
        <v>0</v>
      </c>
      <c r="SCW285" s="18">
        <v>0</v>
      </c>
      <c r="SCX285" s="18">
        <v>0</v>
      </c>
      <c r="SCY285" s="18">
        <v>0</v>
      </c>
      <c r="SCZ285" s="18">
        <v>0</v>
      </c>
      <c r="SDA285" s="18">
        <v>0</v>
      </c>
      <c r="SDB285" s="18">
        <v>0</v>
      </c>
      <c r="SDC285" s="18">
        <v>0</v>
      </c>
      <c r="SDD285" s="18">
        <v>0</v>
      </c>
      <c r="SDE285" s="18">
        <v>0</v>
      </c>
      <c r="SDF285" s="18">
        <v>0</v>
      </c>
      <c r="SDG285" s="18">
        <v>0</v>
      </c>
      <c r="SDH285" s="18">
        <v>0</v>
      </c>
      <c r="SDI285" s="18">
        <v>0</v>
      </c>
      <c r="SDJ285" s="18">
        <v>0</v>
      </c>
      <c r="SDK285" s="18">
        <v>0</v>
      </c>
      <c r="SDL285" s="18">
        <v>0</v>
      </c>
      <c r="SDM285" s="18">
        <v>0</v>
      </c>
      <c r="SDN285" s="18">
        <v>0</v>
      </c>
      <c r="SDO285" s="18">
        <v>0</v>
      </c>
      <c r="SDP285" s="18">
        <v>0</v>
      </c>
      <c r="SDQ285" s="18">
        <v>0</v>
      </c>
      <c r="SDR285" s="18">
        <v>0</v>
      </c>
      <c r="SDS285" s="18">
        <v>0</v>
      </c>
      <c r="SDT285" s="18">
        <v>0</v>
      </c>
      <c r="SDU285" s="18">
        <v>0</v>
      </c>
      <c r="SDV285" s="18">
        <v>0</v>
      </c>
      <c r="SDW285" s="18">
        <v>0</v>
      </c>
      <c r="SDX285" s="18">
        <v>0</v>
      </c>
      <c r="SDY285" s="18">
        <v>0</v>
      </c>
      <c r="SDZ285" s="18">
        <v>0</v>
      </c>
      <c r="SEA285" s="18">
        <v>0</v>
      </c>
      <c r="SEB285" s="18">
        <v>0</v>
      </c>
      <c r="SEC285" s="18">
        <v>0</v>
      </c>
      <c r="SED285" s="18">
        <v>0</v>
      </c>
      <c r="SEE285" s="18">
        <v>0</v>
      </c>
      <c r="SEF285" s="18">
        <v>0</v>
      </c>
      <c r="SEG285" s="18">
        <v>0</v>
      </c>
      <c r="SEH285" s="18">
        <v>0</v>
      </c>
      <c r="SEI285" s="18">
        <v>0</v>
      </c>
      <c r="SEJ285" s="18">
        <v>0</v>
      </c>
      <c r="SEK285" s="18">
        <v>0</v>
      </c>
      <c r="SEL285" s="18">
        <v>0</v>
      </c>
      <c r="SEM285" s="18">
        <v>0</v>
      </c>
      <c r="SEN285" s="18">
        <v>0</v>
      </c>
      <c r="SEO285" s="18">
        <v>0</v>
      </c>
      <c r="SEP285" s="18">
        <v>0</v>
      </c>
      <c r="SEQ285" s="18">
        <v>0</v>
      </c>
      <c r="SER285" s="18">
        <v>0</v>
      </c>
      <c r="SES285" s="18">
        <v>0</v>
      </c>
      <c r="SET285" s="18">
        <v>0</v>
      </c>
      <c r="SEU285" s="18">
        <v>0</v>
      </c>
      <c r="SEV285" s="18">
        <v>0</v>
      </c>
      <c r="SEW285" s="18">
        <v>0</v>
      </c>
      <c r="SEX285" s="18">
        <v>0</v>
      </c>
      <c r="SEY285" s="18">
        <v>0</v>
      </c>
      <c r="SEZ285" s="18">
        <v>0</v>
      </c>
      <c r="SFA285" s="18">
        <v>0</v>
      </c>
      <c r="SFB285" s="18">
        <v>0</v>
      </c>
      <c r="SFC285" s="18">
        <v>0</v>
      </c>
      <c r="SFD285" s="18">
        <v>0</v>
      </c>
      <c r="SFE285" s="18">
        <v>0</v>
      </c>
      <c r="SFF285" s="18">
        <v>0</v>
      </c>
      <c r="SFG285" s="18">
        <v>0</v>
      </c>
      <c r="SFH285" s="18">
        <v>0</v>
      </c>
      <c r="SFI285" s="18">
        <v>0</v>
      </c>
      <c r="SFJ285" s="18">
        <v>0</v>
      </c>
      <c r="SFK285" s="18">
        <v>0</v>
      </c>
      <c r="SFL285" s="18">
        <v>0</v>
      </c>
      <c r="SFM285" s="18">
        <v>0</v>
      </c>
      <c r="SFN285" s="18">
        <v>0</v>
      </c>
      <c r="SFO285" s="18">
        <v>0</v>
      </c>
      <c r="SFP285" s="18">
        <v>0</v>
      </c>
      <c r="SFQ285" s="18">
        <v>0</v>
      </c>
      <c r="SFR285" s="18">
        <v>0</v>
      </c>
      <c r="SFS285" s="18">
        <v>0</v>
      </c>
      <c r="SFT285" s="18">
        <v>0</v>
      </c>
      <c r="SFU285" s="18">
        <v>0</v>
      </c>
      <c r="SFV285" s="18">
        <v>0</v>
      </c>
      <c r="SFW285" s="18">
        <v>0</v>
      </c>
      <c r="SFX285" s="18">
        <v>0</v>
      </c>
      <c r="SFY285" s="18">
        <v>0</v>
      </c>
      <c r="SFZ285" s="18">
        <v>0</v>
      </c>
      <c r="SGA285" s="18">
        <v>0</v>
      </c>
      <c r="SGB285" s="18">
        <v>0</v>
      </c>
      <c r="SGC285" s="18">
        <v>0</v>
      </c>
      <c r="SGD285" s="18">
        <v>0</v>
      </c>
      <c r="SGE285" s="18">
        <v>0</v>
      </c>
      <c r="SGF285" s="18">
        <v>0</v>
      </c>
      <c r="SGG285" s="18">
        <v>0</v>
      </c>
      <c r="SGH285" s="18">
        <v>0</v>
      </c>
      <c r="SGI285" s="18">
        <v>0</v>
      </c>
      <c r="SGJ285" s="18">
        <v>0</v>
      </c>
      <c r="SGK285" s="18">
        <v>0</v>
      </c>
      <c r="SGL285" s="18">
        <v>0</v>
      </c>
      <c r="SGM285" s="18">
        <v>0</v>
      </c>
      <c r="SGN285" s="18">
        <v>0</v>
      </c>
      <c r="SGO285" s="18">
        <v>0</v>
      </c>
      <c r="SGP285" s="18">
        <v>0</v>
      </c>
      <c r="SGQ285" s="18">
        <v>0</v>
      </c>
      <c r="SGR285" s="18">
        <v>0</v>
      </c>
      <c r="SGS285" s="18">
        <v>0</v>
      </c>
      <c r="SGT285" s="18">
        <v>0</v>
      </c>
      <c r="SGU285" s="18">
        <v>0</v>
      </c>
      <c r="SGV285" s="18">
        <v>0</v>
      </c>
      <c r="SGW285" s="18">
        <v>0</v>
      </c>
      <c r="SGX285" s="18">
        <v>0</v>
      </c>
      <c r="SGY285" s="18">
        <v>0</v>
      </c>
      <c r="SGZ285" s="18">
        <v>0</v>
      </c>
      <c r="SHA285" s="18">
        <v>0</v>
      </c>
      <c r="SHB285" s="18">
        <v>0</v>
      </c>
      <c r="SHC285" s="18">
        <v>0</v>
      </c>
      <c r="SHD285" s="18">
        <v>0</v>
      </c>
      <c r="SHE285" s="18">
        <v>0</v>
      </c>
      <c r="SHF285" s="18">
        <v>0</v>
      </c>
      <c r="SHG285" s="18">
        <v>0</v>
      </c>
      <c r="SHH285" s="18">
        <v>0</v>
      </c>
      <c r="SHI285" s="18">
        <v>0</v>
      </c>
      <c r="SHJ285" s="18">
        <v>0</v>
      </c>
      <c r="SHK285" s="18">
        <v>0</v>
      </c>
      <c r="SHL285" s="18">
        <v>0</v>
      </c>
      <c r="SHM285" s="18">
        <v>0</v>
      </c>
      <c r="SHN285" s="18">
        <v>0</v>
      </c>
      <c r="SHO285" s="18">
        <v>0</v>
      </c>
      <c r="SHP285" s="18">
        <v>0</v>
      </c>
      <c r="SHQ285" s="18">
        <v>0</v>
      </c>
      <c r="SHR285" s="18">
        <v>0</v>
      </c>
      <c r="SHS285" s="18">
        <v>0</v>
      </c>
      <c r="SHT285" s="18">
        <v>0</v>
      </c>
      <c r="SHU285" s="18">
        <v>0</v>
      </c>
      <c r="SHV285" s="18">
        <v>0</v>
      </c>
      <c r="SHW285" s="18">
        <v>0</v>
      </c>
      <c r="SHX285" s="18">
        <v>0</v>
      </c>
      <c r="SHY285" s="18">
        <v>0</v>
      </c>
      <c r="SHZ285" s="18">
        <v>0</v>
      </c>
      <c r="SIA285" s="18">
        <v>0</v>
      </c>
      <c r="SIB285" s="18">
        <v>0</v>
      </c>
      <c r="SIC285" s="18">
        <v>0</v>
      </c>
      <c r="SID285" s="18">
        <v>0</v>
      </c>
      <c r="SIE285" s="18">
        <v>0</v>
      </c>
      <c r="SIF285" s="18">
        <v>0</v>
      </c>
      <c r="SIG285" s="18">
        <v>0</v>
      </c>
      <c r="SIH285" s="18">
        <v>0</v>
      </c>
      <c r="SII285" s="18">
        <v>0</v>
      </c>
      <c r="SIJ285" s="18">
        <v>0</v>
      </c>
      <c r="SIK285" s="18">
        <v>0</v>
      </c>
      <c r="SIL285" s="18">
        <v>0</v>
      </c>
      <c r="SIM285" s="18">
        <v>0</v>
      </c>
      <c r="SIN285" s="18">
        <v>0</v>
      </c>
      <c r="SIO285" s="18">
        <v>0</v>
      </c>
      <c r="SIP285" s="18">
        <v>0</v>
      </c>
      <c r="SIQ285" s="18">
        <v>0</v>
      </c>
      <c r="SIR285" s="18">
        <v>0</v>
      </c>
      <c r="SIS285" s="18">
        <v>0</v>
      </c>
      <c r="SIT285" s="18">
        <v>0</v>
      </c>
      <c r="SIU285" s="18">
        <v>0</v>
      </c>
      <c r="SIV285" s="18">
        <v>0</v>
      </c>
      <c r="SIW285" s="18">
        <v>0</v>
      </c>
      <c r="SIX285" s="18">
        <v>0</v>
      </c>
      <c r="SIY285" s="18">
        <v>0</v>
      </c>
      <c r="SIZ285" s="18">
        <v>0</v>
      </c>
      <c r="SJA285" s="18">
        <v>0</v>
      </c>
      <c r="SJB285" s="18">
        <v>0</v>
      </c>
      <c r="SJC285" s="18">
        <v>0</v>
      </c>
      <c r="SJD285" s="18">
        <v>0</v>
      </c>
      <c r="SJE285" s="18">
        <v>0</v>
      </c>
      <c r="SJF285" s="18">
        <v>0</v>
      </c>
      <c r="SJG285" s="18">
        <v>0</v>
      </c>
      <c r="SJH285" s="18">
        <v>0</v>
      </c>
      <c r="SJI285" s="18">
        <v>0</v>
      </c>
      <c r="SJJ285" s="18">
        <v>0</v>
      </c>
      <c r="SJK285" s="18">
        <v>0</v>
      </c>
      <c r="SJL285" s="18">
        <v>0</v>
      </c>
      <c r="SJM285" s="18">
        <v>0</v>
      </c>
      <c r="SJN285" s="18">
        <v>0</v>
      </c>
      <c r="SJO285" s="18">
        <v>0</v>
      </c>
      <c r="SJP285" s="18">
        <v>0</v>
      </c>
      <c r="SJQ285" s="18">
        <v>0</v>
      </c>
      <c r="SJR285" s="18">
        <v>0</v>
      </c>
      <c r="SJS285" s="18">
        <v>0</v>
      </c>
      <c r="SJT285" s="18">
        <v>0</v>
      </c>
      <c r="SJU285" s="18">
        <v>0</v>
      </c>
      <c r="SJV285" s="18">
        <v>0</v>
      </c>
      <c r="SJW285" s="18">
        <v>0</v>
      </c>
      <c r="SJX285" s="18">
        <v>0</v>
      </c>
      <c r="SJY285" s="18">
        <v>0</v>
      </c>
      <c r="SJZ285" s="18">
        <v>0</v>
      </c>
      <c r="SKA285" s="18">
        <v>0</v>
      </c>
      <c r="SKB285" s="18">
        <v>0</v>
      </c>
      <c r="SKC285" s="18">
        <v>0</v>
      </c>
      <c r="SKD285" s="18">
        <v>0</v>
      </c>
      <c r="SKE285" s="18">
        <v>0</v>
      </c>
      <c r="SKF285" s="18">
        <v>0</v>
      </c>
      <c r="SKG285" s="18">
        <v>0</v>
      </c>
      <c r="SKH285" s="18">
        <v>0</v>
      </c>
      <c r="SKI285" s="18">
        <v>0</v>
      </c>
      <c r="SKJ285" s="18">
        <v>0</v>
      </c>
      <c r="SKK285" s="18">
        <v>0</v>
      </c>
      <c r="SKL285" s="18">
        <v>0</v>
      </c>
      <c r="SKM285" s="18">
        <v>0</v>
      </c>
      <c r="SKN285" s="18">
        <v>0</v>
      </c>
      <c r="SKO285" s="18">
        <v>0</v>
      </c>
      <c r="SKP285" s="18">
        <v>0</v>
      </c>
      <c r="SKQ285" s="18">
        <v>0</v>
      </c>
      <c r="SKR285" s="18">
        <v>0</v>
      </c>
      <c r="SKS285" s="18">
        <v>0</v>
      </c>
      <c r="SKT285" s="18">
        <v>0</v>
      </c>
      <c r="SKU285" s="18">
        <v>0</v>
      </c>
      <c r="SKV285" s="18">
        <v>0</v>
      </c>
      <c r="SKW285" s="18">
        <v>0</v>
      </c>
      <c r="SKX285" s="18">
        <v>0</v>
      </c>
      <c r="SKY285" s="18">
        <v>0</v>
      </c>
      <c r="SKZ285" s="18">
        <v>0</v>
      </c>
      <c r="SLA285" s="18">
        <v>0</v>
      </c>
      <c r="SLB285" s="18">
        <v>0</v>
      </c>
      <c r="SLC285" s="18">
        <v>0</v>
      </c>
      <c r="SLD285" s="18">
        <v>0</v>
      </c>
      <c r="SLE285" s="18">
        <v>0</v>
      </c>
      <c r="SLF285" s="18">
        <v>0</v>
      </c>
      <c r="SLG285" s="18">
        <v>0</v>
      </c>
      <c r="SLH285" s="18">
        <v>0</v>
      </c>
      <c r="SLI285" s="18">
        <v>0</v>
      </c>
      <c r="SLJ285" s="18">
        <v>0</v>
      </c>
      <c r="SLK285" s="18">
        <v>0</v>
      </c>
      <c r="SLL285" s="18">
        <v>0</v>
      </c>
      <c r="SLM285" s="18">
        <v>0</v>
      </c>
      <c r="SLN285" s="18">
        <v>0</v>
      </c>
      <c r="SLO285" s="18">
        <v>0</v>
      </c>
      <c r="SLP285" s="18">
        <v>0</v>
      </c>
      <c r="SLQ285" s="18">
        <v>0</v>
      </c>
      <c r="SLR285" s="18">
        <v>0</v>
      </c>
      <c r="SLS285" s="18">
        <v>0</v>
      </c>
      <c r="SLT285" s="18">
        <v>0</v>
      </c>
      <c r="SLU285" s="18">
        <v>0</v>
      </c>
      <c r="SLV285" s="18">
        <v>0</v>
      </c>
      <c r="SLW285" s="18">
        <v>0</v>
      </c>
      <c r="SLX285" s="18">
        <v>0</v>
      </c>
      <c r="SLY285" s="18">
        <v>0</v>
      </c>
      <c r="SLZ285" s="18">
        <v>0</v>
      </c>
      <c r="SMA285" s="18">
        <v>0</v>
      </c>
      <c r="SMB285" s="18">
        <v>0</v>
      </c>
      <c r="SMC285" s="18">
        <v>0</v>
      </c>
      <c r="SMD285" s="18">
        <v>0</v>
      </c>
      <c r="SME285" s="18">
        <v>0</v>
      </c>
      <c r="SMF285" s="18">
        <v>0</v>
      </c>
      <c r="SMG285" s="18">
        <v>0</v>
      </c>
      <c r="SMH285" s="18">
        <v>0</v>
      </c>
      <c r="SMI285" s="18">
        <v>0</v>
      </c>
      <c r="SMJ285" s="18">
        <v>0</v>
      </c>
      <c r="SMK285" s="18">
        <v>0</v>
      </c>
      <c r="SML285" s="18">
        <v>0</v>
      </c>
      <c r="SMM285" s="18">
        <v>0</v>
      </c>
      <c r="SMN285" s="18">
        <v>0</v>
      </c>
      <c r="SMO285" s="18">
        <v>0</v>
      </c>
      <c r="SMP285" s="18">
        <v>0</v>
      </c>
      <c r="SMQ285" s="18">
        <v>0</v>
      </c>
      <c r="SMR285" s="18">
        <v>0</v>
      </c>
      <c r="SMS285" s="18">
        <v>0</v>
      </c>
      <c r="SMT285" s="18">
        <v>0</v>
      </c>
      <c r="SMU285" s="18">
        <v>0</v>
      </c>
      <c r="SMV285" s="18">
        <v>0</v>
      </c>
      <c r="SMW285" s="18">
        <v>0</v>
      </c>
      <c r="SMX285" s="18">
        <v>0</v>
      </c>
      <c r="SMY285" s="18">
        <v>0</v>
      </c>
      <c r="SMZ285" s="18">
        <v>0</v>
      </c>
      <c r="SNA285" s="18">
        <v>0</v>
      </c>
      <c r="SNB285" s="18">
        <v>0</v>
      </c>
      <c r="SNC285" s="18">
        <v>0</v>
      </c>
      <c r="SND285" s="18">
        <v>0</v>
      </c>
      <c r="SNE285" s="18">
        <v>0</v>
      </c>
      <c r="SNF285" s="18">
        <v>0</v>
      </c>
      <c r="SNG285" s="18">
        <v>0</v>
      </c>
      <c r="SNH285" s="18">
        <v>0</v>
      </c>
      <c r="SNI285" s="18">
        <v>0</v>
      </c>
      <c r="SNJ285" s="18">
        <v>0</v>
      </c>
      <c r="SNK285" s="18">
        <v>0</v>
      </c>
      <c r="SNL285" s="18">
        <v>0</v>
      </c>
      <c r="SNM285" s="18">
        <v>0</v>
      </c>
      <c r="SNN285" s="18">
        <v>0</v>
      </c>
      <c r="SNO285" s="18">
        <v>0</v>
      </c>
      <c r="SNP285" s="18">
        <v>0</v>
      </c>
      <c r="SNQ285" s="18">
        <v>0</v>
      </c>
      <c r="SNR285" s="18">
        <v>0</v>
      </c>
      <c r="SNS285" s="18">
        <v>0</v>
      </c>
      <c r="SNT285" s="18">
        <v>0</v>
      </c>
      <c r="SNU285" s="18">
        <v>0</v>
      </c>
      <c r="SNV285" s="18">
        <v>0</v>
      </c>
      <c r="SNW285" s="18">
        <v>0</v>
      </c>
      <c r="SNX285" s="18">
        <v>0</v>
      </c>
      <c r="SNY285" s="18">
        <v>0</v>
      </c>
      <c r="SNZ285" s="18">
        <v>0</v>
      </c>
      <c r="SOA285" s="18">
        <v>0</v>
      </c>
      <c r="SOB285" s="18">
        <v>0</v>
      </c>
      <c r="SOC285" s="18">
        <v>0</v>
      </c>
      <c r="SOD285" s="18">
        <v>0</v>
      </c>
      <c r="SOE285" s="18">
        <v>0</v>
      </c>
      <c r="SOF285" s="18">
        <v>0</v>
      </c>
      <c r="SOG285" s="18">
        <v>0</v>
      </c>
      <c r="SOH285" s="18">
        <v>0</v>
      </c>
      <c r="SOI285" s="18">
        <v>0</v>
      </c>
      <c r="SOJ285" s="18">
        <v>0</v>
      </c>
      <c r="SOK285" s="18">
        <v>0</v>
      </c>
      <c r="SOL285" s="18">
        <v>0</v>
      </c>
      <c r="SOM285" s="18">
        <v>0</v>
      </c>
      <c r="SON285" s="18">
        <v>0</v>
      </c>
      <c r="SOO285" s="18">
        <v>0</v>
      </c>
      <c r="SOP285" s="18">
        <v>0</v>
      </c>
      <c r="SOQ285" s="18">
        <v>0</v>
      </c>
      <c r="SOR285" s="18">
        <v>0</v>
      </c>
      <c r="SOS285" s="18">
        <v>0</v>
      </c>
      <c r="SOT285" s="18">
        <v>0</v>
      </c>
      <c r="SOU285" s="18">
        <v>0</v>
      </c>
      <c r="SOV285" s="18">
        <v>0</v>
      </c>
      <c r="SOW285" s="18">
        <v>0</v>
      </c>
      <c r="SOX285" s="18">
        <v>0</v>
      </c>
      <c r="SOY285" s="18">
        <v>0</v>
      </c>
      <c r="SOZ285" s="18">
        <v>0</v>
      </c>
      <c r="SPA285" s="18">
        <v>0</v>
      </c>
      <c r="SPB285" s="18">
        <v>0</v>
      </c>
      <c r="SPC285" s="18">
        <v>0</v>
      </c>
      <c r="SPD285" s="18">
        <v>0</v>
      </c>
      <c r="SPE285" s="18">
        <v>0</v>
      </c>
      <c r="SPF285" s="18">
        <v>0</v>
      </c>
      <c r="SPG285" s="18">
        <v>0</v>
      </c>
      <c r="SPH285" s="18">
        <v>0</v>
      </c>
      <c r="SPI285" s="18">
        <v>0</v>
      </c>
      <c r="SPJ285" s="18">
        <v>0</v>
      </c>
      <c r="SPK285" s="18">
        <v>0</v>
      </c>
      <c r="SPL285" s="18">
        <v>0</v>
      </c>
      <c r="SPM285" s="18">
        <v>0</v>
      </c>
      <c r="SPN285" s="18">
        <v>0</v>
      </c>
      <c r="SPO285" s="18">
        <v>0</v>
      </c>
      <c r="SPP285" s="18">
        <v>0</v>
      </c>
      <c r="SPQ285" s="18">
        <v>0</v>
      </c>
      <c r="SPR285" s="18">
        <v>0</v>
      </c>
      <c r="SPS285" s="18">
        <v>0</v>
      </c>
      <c r="SPT285" s="18">
        <v>0</v>
      </c>
      <c r="SPU285" s="18">
        <v>0</v>
      </c>
      <c r="SPV285" s="18">
        <v>0</v>
      </c>
      <c r="SPW285" s="18">
        <v>0</v>
      </c>
      <c r="SPX285" s="18">
        <v>0</v>
      </c>
      <c r="SPY285" s="18">
        <v>0</v>
      </c>
      <c r="SPZ285" s="18">
        <v>0</v>
      </c>
      <c r="SQA285" s="18">
        <v>0</v>
      </c>
      <c r="SQB285" s="18">
        <v>0</v>
      </c>
      <c r="SQC285" s="18">
        <v>0</v>
      </c>
      <c r="SQD285" s="18">
        <v>0</v>
      </c>
      <c r="SQE285" s="18">
        <v>0</v>
      </c>
      <c r="SQF285" s="18">
        <v>0</v>
      </c>
      <c r="SQG285" s="18">
        <v>0</v>
      </c>
      <c r="SQH285" s="18">
        <v>0</v>
      </c>
      <c r="SQI285" s="18">
        <v>0</v>
      </c>
      <c r="SQJ285" s="18">
        <v>0</v>
      </c>
      <c r="SQK285" s="18">
        <v>0</v>
      </c>
      <c r="SQL285" s="18">
        <v>0</v>
      </c>
      <c r="SQM285" s="18">
        <v>0</v>
      </c>
      <c r="SQN285" s="18">
        <v>0</v>
      </c>
      <c r="SQO285" s="18">
        <v>0</v>
      </c>
      <c r="SQP285" s="18">
        <v>0</v>
      </c>
      <c r="SQQ285" s="18">
        <v>0</v>
      </c>
      <c r="SQR285" s="18">
        <v>0</v>
      </c>
      <c r="SQS285" s="18">
        <v>0</v>
      </c>
      <c r="SQT285" s="18">
        <v>0</v>
      </c>
      <c r="SQU285" s="18">
        <v>0</v>
      </c>
      <c r="SQV285" s="18">
        <v>0</v>
      </c>
      <c r="SQW285" s="18">
        <v>0</v>
      </c>
      <c r="SQX285" s="18">
        <v>0</v>
      </c>
      <c r="SQY285" s="18">
        <v>0</v>
      </c>
      <c r="SQZ285" s="18">
        <v>0</v>
      </c>
      <c r="SRA285" s="18">
        <v>0</v>
      </c>
      <c r="SRB285" s="18">
        <v>0</v>
      </c>
      <c r="SRC285" s="18">
        <v>0</v>
      </c>
      <c r="SRD285" s="18">
        <v>0</v>
      </c>
      <c r="SRE285" s="18">
        <v>0</v>
      </c>
      <c r="SRF285" s="18">
        <v>0</v>
      </c>
      <c r="SRG285" s="18">
        <v>0</v>
      </c>
      <c r="SRH285" s="18">
        <v>0</v>
      </c>
      <c r="SRI285" s="18">
        <v>0</v>
      </c>
      <c r="SRJ285" s="18">
        <v>0</v>
      </c>
      <c r="SRK285" s="18">
        <v>0</v>
      </c>
      <c r="SRL285" s="18">
        <v>0</v>
      </c>
      <c r="SRM285" s="18">
        <v>0</v>
      </c>
      <c r="SRN285" s="18">
        <v>0</v>
      </c>
      <c r="SRO285" s="18">
        <v>0</v>
      </c>
      <c r="SRP285" s="18">
        <v>0</v>
      </c>
      <c r="SRQ285" s="18">
        <v>0</v>
      </c>
      <c r="SRR285" s="18">
        <v>0</v>
      </c>
      <c r="SRS285" s="18">
        <v>0</v>
      </c>
      <c r="SRT285" s="18">
        <v>0</v>
      </c>
      <c r="SRU285" s="18">
        <v>0</v>
      </c>
      <c r="SRV285" s="18">
        <v>0</v>
      </c>
      <c r="SRW285" s="18">
        <v>0</v>
      </c>
      <c r="SRX285" s="18">
        <v>0</v>
      </c>
      <c r="SRY285" s="18">
        <v>0</v>
      </c>
      <c r="SRZ285" s="18">
        <v>0</v>
      </c>
      <c r="SSA285" s="18">
        <v>0</v>
      </c>
      <c r="SSB285" s="18">
        <v>0</v>
      </c>
      <c r="SSC285" s="18">
        <v>0</v>
      </c>
      <c r="SSD285" s="18">
        <v>0</v>
      </c>
      <c r="SSE285" s="18">
        <v>0</v>
      </c>
      <c r="SSF285" s="18">
        <v>0</v>
      </c>
      <c r="SSG285" s="18">
        <v>0</v>
      </c>
      <c r="SSH285" s="18">
        <v>0</v>
      </c>
      <c r="SSI285" s="18">
        <v>0</v>
      </c>
      <c r="SSJ285" s="18">
        <v>0</v>
      </c>
      <c r="SSK285" s="18">
        <v>0</v>
      </c>
      <c r="SSL285" s="18">
        <v>0</v>
      </c>
      <c r="SSM285" s="18">
        <v>0</v>
      </c>
      <c r="SSN285" s="18">
        <v>0</v>
      </c>
      <c r="SSO285" s="18">
        <v>0</v>
      </c>
      <c r="SSP285" s="18">
        <v>0</v>
      </c>
      <c r="SSQ285" s="18">
        <v>0</v>
      </c>
      <c r="SSR285" s="18">
        <v>0</v>
      </c>
      <c r="SSS285" s="18">
        <v>0</v>
      </c>
      <c r="SST285" s="18">
        <v>0</v>
      </c>
      <c r="SSU285" s="18">
        <v>0</v>
      </c>
      <c r="SSV285" s="18">
        <v>0</v>
      </c>
      <c r="SSW285" s="18">
        <v>0</v>
      </c>
      <c r="SSX285" s="18">
        <v>0</v>
      </c>
      <c r="SSY285" s="18">
        <v>0</v>
      </c>
      <c r="SSZ285" s="18">
        <v>0</v>
      </c>
      <c r="STA285" s="18">
        <v>0</v>
      </c>
      <c r="STB285" s="18">
        <v>0</v>
      </c>
      <c r="STC285" s="18">
        <v>0</v>
      </c>
      <c r="STD285" s="18">
        <v>0</v>
      </c>
      <c r="STE285" s="18">
        <v>0</v>
      </c>
      <c r="STF285" s="18">
        <v>0</v>
      </c>
      <c r="STG285" s="18">
        <v>0</v>
      </c>
      <c r="STH285" s="18">
        <v>0</v>
      </c>
      <c r="STI285" s="18">
        <v>0</v>
      </c>
      <c r="STJ285" s="18">
        <v>0</v>
      </c>
      <c r="STK285" s="18">
        <v>0</v>
      </c>
      <c r="STL285" s="18">
        <v>0</v>
      </c>
      <c r="STM285" s="18">
        <v>0</v>
      </c>
      <c r="STN285" s="18">
        <v>0</v>
      </c>
      <c r="STO285" s="18">
        <v>0</v>
      </c>
      <c r="STP285" s="18">
        <v>0</v>
      </c>
      <c r="STQ285" s="18">
        <v>0</v>
      </c>
      <c r="STR285" s="18">
        <v>0</v>
      </c>
      <c r="STS285" s="18">
        <v>0</v>
      </c>
      <c r="STT285" s="18">
        <v>0</v>
      </c>
      <c r="STU285" s="18">
        <v>0</v>
      </c>
      <c r="STV285" s="18">
        <v>0</v>
      </c>
      <c r="STW285" s="18">
        <v>0</v>
      </c>
      <c r="STX285" s="18">
        <v>0</v>
      </c>
      <c r="STY285" s="18">
        <v>0</v>
      </c>
      <c r="STZ285" s="18">
        <v>0</v>
      </c>
      <c r="SUA285" s="18">
        <v>0</v>
      </c>
      <c r="SUB285" s="18">
        <v>0</v>
      </c>
      <c r="SUC285" s="18">
        <v>0</v>
      </c>
      <c r="SUD285" s="18">
        <v>0</v>
      </c>
      <c r="SUE285" s="18">
        <v>0</v>
      </c>
      <c r="SUF285" s="18">
        <v>0</v>
      </c>
      <c r="SUG285" s="18">
        <v>0</v>
      </c>
      <c r="SUH285" s="18">
        <v>0</v>
      </c>
      <c r="SUI285" s="18">
        <v>0</v>
      </c>
      <c r="SUJ285" s="18">
        <v>0</v>
      </c>
      <c r="SUK285" s="18">
        <v>0</v>
      </c>
      <c r="SUL285" s="18">
        <v>0</v>
      </c>
      <c r="SUM285" s="18">
        <v>0</v>
      </c>
      <c r="SUN285" s="18">
        <v>0</v>
      </c>
      <c r="SUO285" s="18">
        <v>0</v>
      </c>
      <c r="SUP285" s="18">
        <v>0</v>
      </c>
      <c r="SUQ285" s="18">
        <v>0</v>
      </c>
      <c r="SUR285" s="18">
        <v>0</v>
      </c>
      <c r="SUS285" s="18">
        <v>0</v>
      </c>
      <c r="SUT285" s="18">
        <v>0</v>
      </c>
      <c r="SUU285" s="18">
        <v>0</v>
      </c>
      <c r="SUV285" s="18">
        <v>0</v>
      </c>
      <c r="SUW285" s="18">
        <v>0</v>
      </c>
      <c r="SUX285" s="18">
        <v>0</v>
      </c>
      <c r="SUY285" s="18">
        <v>0</v>
      </c>
      <c r="SUZ285" s="18">
        <v>0</v>
      </c>
      <c r="SVA285" s="18">
        <v>0</v>
      </c>
      <c r="SVB285" s="18">
        <v>0</v>
      </c>
      <c r="SVC285" s="18">
        <v>0</v>
      </c>
      <c r="SVD285" s="18">
        <v>0</v>
      </c>
      <c r="SVE285" s="18">
        <v>0</v>
      </c>
      <c r="SVF285" s="18">
        <v>0</v>
      </c>
      <c r="SVG285" s="18">
        <v>0</v>
      </c>
      <c r="SVH285" s="18">
        <v>0</v>
      </c>
      <c r="SVI285" s="18">
        <v>0</v>
      </c>
      <c r="SVJ285" s="18">
        <v>0</v>
      </c>
      <c r="SVK285" s="18">
        <v>0</v>
      </c>
      <c r="SVL285" s="18">
        <v>0</v>
      </c>
      <c r="SVM285" s="18">
        <v>0</v>
      </c>
      <c r="SVN285" s="18">
        <v>0</v>
      </c>
      <c r="SVO285" s="18">
        <v>0</v>
      </c>
      <c r="SVP285" s="18">
        <v>0</v>
      </c>
      <c r="SVQ285" s="18">
        <v>0</v>
      </c>
      <c r="SVR285" s="18">
        <v>0</v>
      </c>
      <c r="SVS285" s="18">
        <v>0</v>
      </c>
      <c r="SVT285" s="18">
        <v>0</v>
      </c>
      <c r="SVU285" s="18">
        <v>0</v>
      </c>
      <c r="SVV285" s="18">
        <v>0</v>
      </c>
      <c r="SVW285" s="18">
        <v>0</v>
      </c>
      <c r="SVX285" s="18">
        <v>0</v>
      </c>
      <c r="SVY285" s="18">
        <v>0</v>
      </c>
      <c r="SVZ285" s="18">
        <v>0</v>
      </c>
      <c r="SWA285" s="18">
        <v>0</v>
      </c>
      <c r="SWB285" s="18">
        <v>0</v>
      </c>
      <c r="SWC285" s="18">
        <v>0</v>
      </c>
      <c r="SWD285" s="18">
        <v>0</v>
      </c>
      <c r="SWE285" s="18">
        <v>0</v>
      </c>
      <c r="SWF285" s="18">
        <v>0</v>
      </c>
      <c r="SWG285" s="18">
        <v>0</v>
      </c>
      <c r="SWH285" s="18">
        <v>0</v>
      </c>
      <c r="SWI285" s="18">
        <v>0</v>
      </c>
      <c r="SWJ285" s="18">
        <v>0</v>
      </c>
      <c r="SWK285" s="18">
        <v>0</v>
      </c>
      <c r="SWL285" s="18">
        <v>0</v>
      </c>
      <c r="SWM285" s="18">
        <v>0</v>
      </c>
      <c r="SWN285" s="18">
        <v>0</v>
      </c>
      <c r="SWO285" s="18">
        <v>0</v>
      </c>
      <c r="SWP285" s="18">
        <v>0</v>
      </c>
      <c r="SWQ285" s="18">
        <v>0</v>
      </c>
      <c r="SWR285" s="18">
        <v>0</v>
      </c>
      <c r="SWS285" s="18">
        <v>0</v>
      </c>
      <c r="SWT285" s="18">
        <v>0</v>
      </c>
      <c r="SWU285" s="18">
        <v>0</v>
      </c>
      <c r="SWV285" s="18">
        <v>0</v>
      </c>
      <c r="SWW285" s="18">
        <v>0</v>
      </c>
      <c r="SWX285" s="18">
        <v>0</v>
      </c>
      <c r="SWY285" s="18">
        <v>0</v>
      </c>
      <c r="SWZ285" s="18">
        <v>0</v>
      </c>
      <c r="SXA285" s="18">
        <v>0</v>
      </c>
      <c r="SXB285" s="18">
        <v>0</v>
      </c>
      <c r="SXC285" s="18">
        <v>0</v>
      </c>
      <c r="SXD285" s="18">
        <v>0</v>
      </c>
      <c r="SXE285" s="18">
        <v>0</v>
      </c>
      <c r="SXF285" s="18">
        <v>0</v>
      </c>
      <c r="SXG285" s="18">
        <v>0</v>
      </c>
      <c r="SXH285" s="18">
        <v>0</v>
      </c>
      <c r="SXI285" s="18">
        <v>0</v>
      </c>
      <c r="SXJ285" s="18">
        <v>0</v>
      </c>
      <c r="SXK285" s="18">
        <v>0</v>
      </c>
      <c r="SXL285" s="18">
        <v>0</v>
      </c>
      <c r="SXM285" s="18">
        <v>0</v>
      </c>
      <c r="SXN285" s="18">
        <v>0</v>
      </c>
      <c r="SXO285" s="18">
        <v>0</v>
      </c>
      <c r="SXP285" s="18">
        <v>0</v>
      </c>
      <c r="SXQ285" s="18">
        <v>0</v>
      </c>
      <c r="SXR285" s="18">
        <v>0</v>
      </c>
      <c r="SXS285" s="18">
        <v>0</v>
      </c>
      <c r="SXT285" s="18">
        <v>0</v>
      </c>
      <c r="SXU285" s="18">
        <v>0</v>
      </c>
      <c r="SXV285" s="18">
        <v>0</v>
      </c>
      <c r="SXW285" s="18">
        <v>0</v>
      </c>
      <c r="SXX285" s="18">
        <v>0</v>
      </c>
      <c r="SXY285" s="18">
        <v>0</v>
      </c>
      <c r="SXZ285" s="18">
        <v>0</v>
      </c>
      <c r="SYA285" s="18">
        <v>0</v>
      </c>
      <c r="SYB285" s="18">
        <v>0</v>
      </c>
      <c r="SYC285" s="18">
        <v>0</v>
      </c>
      <c r="SYD285" s="18">
        <v>0</v>
      </c>
      <c r="SYE285" s="18">
        <v>0</v>
      </c>
      <c r="SYF285" s="18">
        <v>0</v>
      </c>
      <c r="SYG285" s="18">
        <v>0</v>
      </c>
      <c r="SYH285" s="18">
        <v>0</v>
      </c>
      <c r="SYI285" s="18">
        <v>0</v>
      </c>
      <c r="SYJ285" s="18">
        <v>0</v>
      </c>
      <c r="SYK285" s="18">
        <v>0</v>
      </c>
      <c r="SYL285" s="18">
        <v>0</v>
      </c>
      <c r="SYM285" s="18">
        <v>0</v>
      </c>
      <c r="SYN285" s="18">
        <v>0</v>
      </c>
      <c r="SYO285" s="18">
        <v>0</v>
      </c>
      <c r="SYP285" s="18">
        <v>0</v>
      </c>
      <c r="SYQ285" s="18">
        <v>0</v>
      </c>
      <c r="SYR285" s="18">
        <v>0</v>
      </c>
      <c r="SYS285" s="18">
        <v>0</v>
      </c>
      <c r="SYT285" s="18">
        <v>0</v>
      </c>
      <c r="SYU285" s="18">
        <v>0</v>
      </c>
      <c r="SYV285" s="18">
        <v>0</v>
      </c>
      <c r="SYW285" s="18">
        <v>0</v>
      </c>
      <c r="SYX285" s="18">
        <v>0</v>
      </c>
      <c r="SYY285" s="18">
        <v>0</v>
      </c>
      <c r="SYZ285" s="18">
        <v>0</v>
      </c>
      <c r="SZA285" s="18">
        <v>0</v>
      </c>
      <c r="SZB285" s="18">
        <v>0</v>
      </c>
      <c r="SZC285" s="18">
        <v>0</v>
      </c>
      <c r="SZD285" s="18">
        <v>0</v>
      </c>
      <c r="SZE285" s="18">
        <v>0</v>
      </c>
      <c r="SZF285" s="18">
        <v>0</v>
      </c>
      <c r="SZG285" s="18">
        <v>0</v>
      </c>
      <c r="SZH285" s="18">
        <v>0</v>
      </c>
      <c r="SZI285" s="18">
        <v>0</v>
      </c>
      <c r="SZJ285" s="18">
        <v>0</v>
      </c>
      <c r="SZK285" s="18">
        <v>0</v>
      </c>
      <c r="SZL285" s="18">
        <v>0</v>
      </c>
      <c r="SZM285" s="18">
        <v>0</v>
      </c>
      <c r="SZN285" s="18">
        <v>0</v>
      </c>
      <c r="SZO285" s="18">
        <v>0</v>
      </c>
      <c r="SZP285" s="18">
        <v>0</v>
      </c>
      <c r="SZQ285" s="18">
        <v>0</v>
      </c>
      <c r="SZR285" s="18">
        <v>0</v>
      </c>
      <c r="SZS285" s="18">
        <v>0</v>
      </c>
      <c r="SZT285" s="18">
        <v>0</v>
      </c>
      <c r="SZU285" s="18">
        <v>0</v>
      </c>
      <c r="SZV285" s="18">
        <v>0</v>
      </c>
      <c r="SZW285" s="18">
        <v>0</v>
      </c>
      <c r="SZX285" s="18">
        <v>0</v>
      </c>
      <c r="SZY285" s="18">
        <v>0</v>
      </c>
      <c r="SZZ285" s="18">
        <v>0</v>
      </c>
      <c r="TAA285" s="18">
        <v>0</v>
      </c>
      <c r="TAB285" s="18">
        <v>0</v>
      </c>
      <c r="TAC285" s="18">
        <v>0</v>
      </c>
      <c r="TAD285" s="18">
        <v>0</v>
      </c>
      <c r="TAE285" s="18">
        <v>0</v>
      </c>
      <c r="TAF285" s="18">
        <v>0</v>
      </c>
      <c r="TAG285" s="18">
        <v>0</v>
      </c>
      <c r="TAH285" s="18">
        <v>0</v>
      </c>
      <c r="TAI285" s="18">
        <v>0</v>
      </c>
      <c r="TAJ285" s="18">
        <v>0</v>
      </c>
      <c r="TAK285" s="18">
        <v>0</v>
      </c>
      <c r="TAL285" s="18">
        <v>0</v>
      </c>
      <c r="TAM285" s="18">
        <v>0</v>
      </c>
      <c r="TAN285" s="18">
        <v>0</v>
      </c>
      <c r="TAO285" s="18">
        <v>0</v>
      </c>
      <c r="TAP285" s="18">
        <v>0</v>
      </c>
      <c r="TAQ285" s="18">
        <v>0</v>
      </c>
      <c r="TAR285" s="18">
        <v>0</v>
      </c>
      <c r="TAS285" s="18">
        <v>0</v>
      </c>
      <c r="TAT285" s="18">
        <v>0</v>
      </c>
      <c r="TAU285" s="18">
        <v>0</v>
      </c>
      <c r="TAV285" s="18">
        <v>0</v>
      </c>
      <c r="TAW285" s="18">
        <v>0</v>
      </c>
      <c r="TAX285" s="18">
        <v>0</v>
      </c>
      <c r="TAY285" s="18">
        <v>0</v>
      </c>
      <c r="TAZ285" s="18">
        <v>0</v>
      </c>
      <c r="TBA285" s="18">
        <v>0</v>
      </c>
      <c r="TBB285" s="18">
        <v>0</v>
      </c>
      <c r="TBC285" s="18">
        <v>0</v>
      </c>
      <c r="TBD285" s="18">
        <v>0</v>
      </c>
      <c r="TBE285" s="18">
        <v>0</v>
      </c>
      <c r="TBF285" s="18">
        <v>0</v>
      </c>
      <c r="TBG285" s="18">
        <v>0</v>
      </c>
      <c r="TBH285" s="18">
        <v>0</v>
      </c>
      <c r="TBI285" s="18">
        <v>0</v>
      </c>
      <c r="TBJ285" s="18">
        <v>0</v>
      </c>
      <c r="TBK285" s="18">
        <v>0</v>
      </c>
      <c r="TBL285" s="18">
        <v>0</v>
      </c>
      <c r="TBM285" s="18">
        <v>0</v>
      </c>
      <c r="TBN285" s="18">
        <v>0</v>
      </c>
      <c r="TBO285" s="18">
        <v>0</v>
      </c>
      <c r="TBP285" s="18">
        <v>0</v>
      </c>
      <c r="TBQ285" s="18">
        <v>0</v>
      </c>
      <c r="TBR285" s="18">
        <v>0</v>
      </c>
      <c r="TBS285" s="18">
        <v>0</v>
      </c>
      <c r="TBT285" s="18">
        <v>0</v>
      </c>
      <c r="TBU285" s="18">
        <v>0</v>
      </c>
      <c r="TBV285" s="18">
        <v>0</v>
      </c>
      <c r="TBW285" s="18">
        <v>0</v>
      </c>
      <c r="TBX285" s="18">
        <v>0</v>
      </c>
      <c r="TBY285" s="18">
        <v>0</v>
      </c>
      <c r="TBZ285" s="18">
        <v>0</v>
      </c>
      <c r="TCA285" s="18">
        <v>0</v>
      </c>
      <c r="TCB285" s="18">
        <v>0</v>
      </c>
      <c r="TCC285" s="18">
        <v>0</v>
      </c>
      <c r="TCD285" s="18">
        <v>0</v>
      </c>
      <c r="TCE285" s="18">
        <v>0</v>
      </c>
      <c r="TCF285" s="18">
        <v>0</v>
      </c>
      <c r="TCG285" s="18">
        <v>0</v>
      </c>
      <c r="TCH285" s="18">
        <v>0</v>
      </c>
      <c r="TCI285" s="18">
        <v>0</v>
      </c>
      <c r="TCJ285" s="18">
        <v>0</v>
      </c>
      <c r="TCK285" s="18">
        <v>0</v>
      </c>
      <c r="TCL285" s="18">
        <v>0</v>
      </c>
      <c r="TCM285" s="18">
        <v>0</v>
      </c>
      <c r="TCN285" s="18">
        <v>0</v>
      </c>
      <c r="TCO285" s="18">
        <v>0</v>
      </c>
      <c r="TCP285" s="18">
        <v>0</v>
      </c>
      <c r="TCQ285" s="18">
        <v>0</v>
      </c>
      <c r="TCR285" s="18">
        <v>0</v>
      </c>
      <c r="TCS285" s="18">
        <v>0</v>
      </c>
      <c r="TCT285" s="18">
        <v>0</v>
      </c>
      <c r="TCU285" s="18">
        <v>0</v>
      </c>
      <c r="TCV285" s="18">
        <v>0</v>
      </c>
      <c r="TCW285" s="18">
        <v>0</v>
      </c>
      <c r="TCX285" s="18">
        <v>0</v>
      </c>
      <c r="TCY285" s="18">
        <v>0</v>
      </c>
      <c r="TCZ285" s="18">
        <v>0</v>
      </c>
      <c r="TDA285" s="18">
        <v>0</v>
      </c>
      <c r="TDB285" s="18">
        <v>0</v>
      </c>
      <c r="TDC285" s="18">
        <v>0</v>
      </c>
      <c r="TDD285" s="18">
        <v>0</v>
      </c>
      <c r="TDE285" s="18">
        <v>0</v>
      </c>
      <c r="TDF285" s="18">
        <v>0</v>
      </c>
      <c r="TDG285" s="18">
        <v>0</v>
      </c>
      <c r="TDH285" s="18">
        <v>0</v>
      </c>
      <c r="TDI285" s="18">
        <v>0</v>
      </c>
      <c r="TDJ285" s="18">
        <v>0</v>
      </c>
      <c r="TDK285" s="18">
        <v>0</v>
      </c>
      <c r="TDL285" s="18">
        <v>0</v>
      </c>
      <c r="TDM285" s="18">
        <v>0</v>
      </c>
      <c r="TDN285" s="18">
        <v>0</v>
      </c>
      <c r="TDO285" s="18">
        <v>0</v>
      </c>
      <c r="TDP285" s="18">
        <v>0</v>
      </c>
      <c r="TDQ285" s="18">
        <v>0</v>
      </c>
      <c r="TDR285" s="18">
        <v>0</v>
      </c>
      <c r="TDS285" s="18">
        <v>0</v>
      </c>
      <c r="TDT285" s="18">
        <v>0</v>
      </c>
      <c r="TDU285" s="18">
        <v>0</v>
      </c>
      <c r="TDV285" s="18">
        <v>0</v>
      </c>
      <c r="TDW285" s="18">
        <v>0</v>
      </c>
      <c r="TDX285" s="18">
        <v>0</v>
      </c>
      <c r="TDY285" s="18">
        <v>0</v>
      </c>
      <c r="TDZ285" s="18">
        <v>0</v>
      </c>
      <c r="TEA285" s="18">
        <v>0</v>
      </c>
      <c r="TEB285" s="18">
        <v>0</v>
      </c>
      <c r="TEC285" s="18">
        <v>0</v>
      </c>
      <c r="TED285" s="18">
        <v>0</v>
      </c>
      <c r="TEE285" s="18">
        <v>0</v>
      </c>
      <c r="TEF285" s="18">
        <v>0</v>
      </c>
      <c r="TEG285" s="18">
        <v>0</v>
      </c>
      <c r="TEH285" s="18">
        <v>0</v>
      </c>
      <c r="TEI285" s="18">
        <v>0</v>
      </c>
      <c r="TEJ285" s="18">
        <v>0</v>
      </c>
      <c r="TEK285" s="18">
        <v>0</v>
      </c>
      <c r="TEL285" s="18">
        <v>0</v>
      </c>
      <c r="TEM285" s="18">
        <v>0</v>
      </c>
      <c r="TEN285" s="18">
        <v>0</v>
      </c>
      <c r="TEO285" s="18">
        <v>0</v>
      </c>
      <c r="TEP285" s="18">
        <v>0</v>
      </c>
      <c r="TEQ285" s="18">
        <v>0</v>
      </c>
      <c r="TER285" s="18">
        <v>0</v>
      </c>
      <c r="TES285" s="18">
        <v>0</v>
      </c>
      <c r="TET285" s="18">
        <v>0</v>
      </c>
      <c r="TEU285" s="18">
        <v>0</v>
      </c>
      <c r="TEV285" s="18">
        <v>0</v>
      </c>
      <c r="TEW285" s="18">
        <v>0</v>
      </c>
      <c r="TEX285" s="18">
        <v>0</v>
      </c>
      <c r="TEY285" s="18">
        <v>0</v>
      </c>
      <c r="TEZ285" s="18">
        <v>0</v>
      </c>
      <c r="TFA285" s="18">
        <v>0</v>
      </c>
      <c r="TFB285" s="18">
        <v>0</v>
      </c>
      <c r="TFC285" s="18">
        <v>0</v>
      </c>
      <c r="TFD285" s="18">
        <v>0</v>
      </c>
      <c r="TFE285" s="18">
        <v>0</v>
      </c>
      <c r="TFF285" s="18">
        <v>0</v>
      </c>
      <c r="TFG285" s="18">
        <v>0</v>
      </c>
      <c r="TFH285" s="18">
        <v>0</v>
      </c>
      <c r="TFI285" s="18">
        <v>0</v>
      </c>
      <c r="TFJ285" s="18">
        <v>0</v>
      </c>
      <c r="TFK285" s="18">
        <v>0</v>
      </c>
      <c r="TFL285" s="18">
        <v>0</v>
      </c>
      <c r="TFM285" s="18">
        <v>0</v>
      </c>
      <c r="TFN285" s="18">
        <v>0</v>
      </c>
      <c r="TFO285" s="18">
        <v>0</v>
      </c>
      <c r="TFP285" s="18">
        <v>0</v>
      </c>
      <c r="TFQ285" s="18">
        <v>0</v>
      </c>
      <c r="TFR285" s="18">
        <v>0</v>
      </c>
      <c r="TFS285" s="18">
        <v>0</v>
      </c>
      <c r="TFT285" s="18">
        <v>0</v>
      </c>
      <c r="TFU285" s="18">
        <v>0</v>
      </c>
      <c r="TFV285" s="18">
        <v>0</v>
      </c>
      <c r="TFW285" s="18">
        <v>0</v>
      </c>
      <c r="TFX285" s="18">
        <v>0</v>
      </c>
      <c r="TFY285" s="18">
        <v>0</v>
      </c>
      <c r="TFZ285" s="18">
        <v>0</v>
      </c>
      <c r="TGA285" s="18">
        <v>0</v>
      </c>
      <c r="TGB285" s="18">
        <v>0</v>
      </c>
      <c r="TGC285" s="18">
        <v>0</v>
      </c>
      <c r="TGD285" s="18">
        <v>0</v>
      </c>
      <c r="TGE285" s="18">
        <v>0</v>
      </c>
      <c r="TGF285" s="18">
        <v>0</v>
      </c>
      <c r="TGG285" s="18">
        <v>0</v>
      </c>
      <c r="TGH285" s="18">
        <v>0</v>
      </c>
      <c r="TGI285" s="18">
        <v>0</v>
      </c>
      <c r="TGJ285" s="18">
        <v>0</v>
      </c>
      <c r="TGK285" s="18">
        <v>0</v>
      </c>
      <c r="TGL285" s="18">
        <v>0</v>
      </c>
      <c r="TGM285" s="18">
        <v>0</v>
      </c>
      <c r="TGN285" s="18">
        <v>0</v>
      </c>
      <c r="TGO285" s="18">
        <v>0</v>
      </c>
      <c r="TGP285" s="18">
        <v>0</v>
      </c>
      <c r="TGQ285" s="18">
        <v>0</v>
      </c>
      <c r="TGR285" s="18">
        <v>0</v>
      </c>
      <c r="TGS285" s="18">
        <v>0</v>
      </c>
      <c r="TGT285" s="18">
        <v>0</v>
      </c>
      <c r="TGU285" s="18">
        <v>0</v>
      </c>
      <c r="TGV285" s="18">
        <v>0</v>
      </c>
      <c r="TGW285" s="18">
        <v>0</v>
      </c>
      <c r="TGX285" s="18">
        <v>0</v>
      </c>
      <c r="TGY285" s="18">
        <v>0</v>
      </c>
      <c r="TGZ285" s="18">
        <v>0</v>
      </c>
      <c r="THA285" s="18">
        <v>0</v>
      </c>
      <c r="THB285" s="18">
        <v>0</v>
      </c>
      <c r="THC285" s="18">
        <v>0</v>
      </c>
      <c r="THD285" s="18">
        <v>0</v>
      </c>
      <c r="THE285" s="18">
        <v>0</v>
      </c>
      <c r="THF285" s="18">
        <v>0</v>
      </c>
      <c r="THG285" s="18">
        <v>0</v>
      </c>
      <c r="THH285" s="18">
        <v>0</v>
      </c>
      <c r="THI285" s="18">
        <v>0</v>
      </c>
      <c r="THJ285" s="18">
        <v>0</v>
      </c>
      <c r="THK285" s="18">
        <v>0</v>
      </c>
      <c r="THL285" s="18">
        <v>0</v>
      </c>
      <c r="THM285" s="18">
        <v>0</v>
      </c>
      <c r="THN285" s="18">
        <v>0</v>
      </c>
      <c r="THO285" s="18">
        <v>0</v>
      </c>
      <c r="THP285" s="18">
        <v>0</v>
      </c>
      <c r="THQ285" s="18">
        <v>0</v>
      </c>
      <c r="THR285" s="18">
        <v>0</v>
      </c>
      <c r="THS285" s="18">
        <v>0</v>
      </c>
      <c r="THT285" s="18">
        <v>0</v>
      </c>
      <c r="THU285" s="18">
        <v>0</v>
      </c>
      <c r="THV285" s="18">
        <v>0</v>
      </c>
      <c r="THW285" s="18">
        <v>0</v>
      </c>
      <c r="THX285" s="18">
        <v>0</v>
      </c>
      <c r="THY285" s="18">
        <v>0</v>
      </c>
      <c r="THZ285" s="18">
        <v>0</v>
      </c>
      <c r="TIA285" s="18">
        <v>0</v>
      </c>
      <c r="TIB285" s="18">
        <v>0</v>
      </c>
      <c r="TIC285" s="18">
        <v>0</v>
      </c>
      <c r="TID285" s="18">
        <v>0</v>
      </c>
      <c r="TIE285" s="18">
        <v>0</v>
      </c>
      <c r="TIF285" s="18">
        <v>0</v>
      </c>
      <c r="TIG285" s="18">
        <v>0</v>
      </c>
      <c r="TIH285" s="18">
        <v>0</v>
      </c>
      <c r="TII285" s="18">
        <v>0</v>
      </c>
      <c r="TIJ285" s="18">
        <v>0</v>
      </c>
      <c r="TIK285" s="18">
        <v>0</v>
      </c>
      <c r="TIL285" s="18">
        <v>0</v>
      </c>
      <c r="TIM285" s="18">
        <v>0</v>
      </c>
      <c r="TIN285" s="18">
        <v>0</v>
      </c>
      <c r="TIO285" s="18">
        <v>0</v>
      </c>
      <c r="TIP285" s="18">
        <v>0</v>
      </c>
      <c r="TIQ285" s="18">
        <v>0</v>
      </c>
      <c r="TIR285" s="18">
        <v>0</v>
      </c>
      <c r="TIS285" s="18">
        <v>0</v>
      </c>
      <c r="TIT285" s="18">
        <v>0</v>
      </c>
      <c r="TIU285" s="18">
        <v>0</v>
      </c>
      <c r="TIV285" s="18">
        <v>0</v>
      </c>
      <c r="TIW285" s="18">
        <v>0</v>
      </c>
      <c r="TIX285" s="18">
        <v>0</v>
      </c>
      <c r="TIY285" s="18">
        <v>0</v>
      </c>
      <c r="TIZ285" s="18">
        <v>0</v>
      </c>
      <c r="TJA285" s="18">
        <v>0</v>
      </c>
      <c r="TJB285" s="18">
        <v>0</v>
      </c>
      <c r="TJC285" s="18">
        <v>0</v>
      </c>
      <c r="TJD285" s="18">
        <v>0</v>
      </c>
      <c r="TJE285" s="18">
        <v>0</v>
      </c>
      <c r="TJF285" s="18">
        <v>0</v>
      </c>
      <c r="TJG285" s="18">
        <v>0</v>
      </c>
      <c r="TJH285" s="18">
        <v>0</v>
      </c>
      <c r="TJI285" s="18">
        <v>0</v>
      </c>
      <c r="TJJ285" s="18">
        <v>0</v>
      </c>
      <c r="TJK285" s="18">
        <v>0</v>
      </c>
      <c r="TJL285" s="18">
        <v>0</v>
      </c>
      <c r="TJM285" s="18">
        <v>0</v>
      </c>
      <c r="TJN285" s="18">
        <v>0</v>
      </c>
      <c r="TJO285" s="18">
        <v>0</v>
      </c>
      <c r="TJP285" s="18">
        <v>0</v>
      </c>
      <c r="TJQ285" s="18">
        <v>0</v>
      </c>
      <c r="TJR285" s="18">
        <v>0</v>
      </c>
      <c r="TJS285" s="18">
        <v>0</v>
      </c>
      <c r="TJT285" s="18">
        <v>0</v>
      </c>
      <c r="TJU285" s="18">
        <v>0</v>
      </c>
      <c r="TJV285" s="18">
        <v>0</v>
      </c>
      <c r="TJW285" s="18">
        <v>0</v>
      </c>
      <c r="TJX285" s="18">
        <v>0</v>
      </c>
      <c r="TJY285" s="18">
        <v>0</v>
      </c>
      <c r="TJZ285" s="18">
        <v>0</v>
      </c>
      <c r="TKA285" s="18">
        <v>0</v>
      </c>
      <c r="TKB285" s="18">
        <v>0</v>
      </c>
      <c r="TKC285" s="18">
        <v>0</v>
      </c>
      <c r="TKD285" s="18">
        <v>0</v>
      </c>
      <c r="TKE285" s="18">
        <v>0</v>
      </c>
      <c r="TKF285" s="18">
        <v>0</v>
      </c>
      <c r="TKG285" s="18">
        <v>0</v>
      </c>
      <c r="TKH285" s="18">
        <v>0</v>
      </c>
      <c r="TKI285" s="18">
        <v>0</v>
      </c>
      <c r="TKJ285" s="18">
        <v>0</v>
      </c>
      <c r="TKK285" s="18">
        <v>0</v>
      </c>
      <c r="TKL285" s="18">
        <v>0</v>
      </c>
      <c r="TKM285" s="18">
        <v>0</v>
      </c>
      <c r="TKN285" s="18">
        <v>0</v>
      </c>
      <c r="TKO285" s="18">
        <v>0</v>
      </c>
      <c r="TKP285" s="18">
        <v>0</v>
      </c>
      <c r="TKQ285" s="18">
        <v>0</v>
      </c>
      <c r="TKR285" s="18">
        <v>0</v>
      </c>
      <c r="TKS285" s="18">
        <v>0</v>
      </c>
      <c r="TKT285" s="18">
        <v>0</v>
      </c>
      <c r="TKU285" s="18">
        <v>0</v>
      </c>
      <c r="TKV285" s="18">
        <v>0</v>
      </c>
      <c r="TKW285" s="18">
        <v>0</v>
      </c>
      <c r="TKX285" s="18">
        <v>0</v>
      </c>
      <c r="TKY285" s="18">
        <v>0</v>
      </c>
      <c r="TKZ285" s="18">
        <v>0</v>
      </c>
      <c r="TLA285" s="18">
        <v>0</v>
      </c>
      <c r="TLB285" s="18">
        <v>0</v>
      </c>
      <c r="TLC285" s="18">
        <v>0</v>
      </c>
      <c r="TLD285" s="18">
        <v>0</v>
      </c>
      <c r="TLE285" s="18">
        <v>0</v>
      </c>
      <c r="TLF285" s="18">
        <v>0</v>
      </c>
      <c r="TLG285" s="18">
        <v>0</v>
      </c>
      <c r="TLH285" s="18">
        <v>0</v>
      </c>
      <c r="TLI285" s="18">
        <v>0</v>
      </c>
      <c r="TLJ285" s="18">
        <v>0</v>
      </c>
      <c r="TLK285" s="18">
        <v>0</v>
      </c>
      <c r="TLL285" s="18">
        <v>0</v>
      </c>
      <c r="TLM285" s="18">
        <v>0</v>
      </c>
      <c r="TLN285" s="18">
        <v>0</v>
      </c>
      <c r="TLO285" s="18">
        <v>0</v>
      </c>
      <c r="TLP285" s="18">
        <v>0</v>
      </c>
      <c r="TLQ285" s="18">
        <v>0</v>
      </c>
      <c r="TLR285" s="18">
        <v>0</v>
      </c>
      <c r="TLS285" s="18">
        <v>0</v>
      </c>
      <c r="TLT285" s="18">
        <v>0</v>
      </c>
      <c r="TLU285" s="18">
        <v>0</v>
      </c>
      <c r="TLV285" s="18">
        <v>0</v>
      </c>
      <c r="TLW285" s="18">
        <v>0</v>
      </c>
      <c r="TLX285" s="18">
        <v>0</v>
      </c>
      <c r="TLY285" s="18">
        <v>0</v>
      </c>
      <c r="TLZ285" s="18">
        <v>0</v>
      </c>
      <c r="TMA285" s="18">
        <v>0</v>
      </c>
      <c r="TMB285" s="18">
        <v>0</v>
      </c>
      <c r="TMC285" s="18">
        <v>0</v>
      </c>
      <c r="TMD285" s="18">
        <v>0</v>
      </c>
      <c r="TME285" s="18">
        <v>0</v>
      </c>
      <c r="TMF285" s="18">
        <v>0</v>
      </c>
      <c r="TMG285" s="18">
        <v>0</v>
      </c>
      <c r="TMH285" s="18">
        <v>0</v>
      </c>
      <c r="TMI285" s="18">
        <v>0</v>
      </c>
      <c r="TMJ285" s="18">
        <v>0</v>
      </c>
      <c r="TMK285" s="18">
        <v>0</v>
      </c>
      <c r="TML285" s="18">
        <v>0</v>
      </c>
      <c r="TMM285" s="18">
        <v>0</v>
      </c>
      <c r="TMN285" s="18">
        <v>0</v>
      </c>
      <c r="TMO285" s="18">
        <v>0</v>
      </c>
      <c r="TMP285" s="18">
        <v>0</v>
      </c>
      <c r="TMQ285" s="18">
        <v>0</v>
      </c>
      <c r="TMR285" s="18">
        <v>0</v>
      </c>
      <c r="TMS285" s="18">
        <v>0</v>
      </c>
      <c r="TMT285" s="18">
        <v>0</v>
      </c>
      <c r="TMU285" s="18">
        <v>0</v>
      </c>
      <c r="TMV285" s="18">
        <v>0</v>
      </c>
      <c r="TMW285" s="18">
        <v>0</v>
      </c>
      <c r="TMX285" s="18">
        <v>0</v>
      </c>
      <c r="TMY285" s="18">
        <v>0</v>
      </c>
      <c r="TMZ285" s="18">
        <v>0</v>
      </c>
      <c r="TNA285" s="18">
        <v>0</v>
      </c>
      <c r="TNB285" s="18">
        <v>0</v>
      </c>
      <c r="TNC285" s="18">
        <v>0</v>
      </c>
      <c r="TND285" s="18">
        <v>0</v>
      </c>
      <c r="TNE285" s="18">
        <v>0</v>
      </c>
      <c r="TNF285" s="18">
        <v>0</v>
      </c>
      <c r="TNG285" s="18">
        <v>0</v>
      </c>
      <c r="TNH285" s="18">
        <v>0</v>
      </c>
      <c r="TNI285" s="18">
        <v>0</v>
      </c>
      <c r="TNJ285" s="18">
        <v>0</v>
      </c>
      <c r="TNK285" s="18">
        <v>0</v>
      </c>
      <c r="TNL285" s="18">
        <v>0</v>
      </c>
      <c r="TNM285" s="18">
        <v>0</v>
      </c>
      <c r="TNN285" s="18">
        <v>0</v>
      </c>
      <c r="TNO285" s="18">
        <v>0</v>
      </c>
      <c r="TNP285" s="18">
        <v>0</v>
      </c>
      <c r="TNQ285" s="18">
        <v>0</v>
      </c>
      <c r="TNR285" s="18">
        <v>0</v>
      </c>
      <c r="TNS285" s="18">
        <v>0</v>
      </c>
      <c r="TNT285" s="18">
        <v>0</v>
      </c>
      <c r="TNU285" s="18">
        <v>0</v>
      </c>
      <c r="TNV285" s="18">
        <v>0</v>
      </c>
      <c r="TNW285" s="18">
        <v>0</v>
      </c>
      <c r="TNX285" s="18">
        <v>0</v>
      </c>
      <c r="TNY285" s="18">
        <v>0</v>
      </c>
      <c r="TNZ285" s="18">
        <v>0</v>
      </c>
      <c r="TOA285" s="18">
        <v>0</v>
      </c>
      <c r="TOB285" s="18">
        <v>0</v>
      </c>
      <c r="TOC285" s="18">
        <v>0</v>
      </c>
      <c r="TOD285" s="18">
        <v>0</v>
      </c>
      <c r="TOE285" s="18">
        <v>0</v>
      </c>
      <c r="TOF285" s="18">
        <v>0</v>
      </c>
      <c r="TOG285" s="18">
        <v>0</v>
      </c>
      <c r="TOH285" s="18">
        <v>0</v>
      </c>
      <c r="TOI285" s="18">
        <v>0</v>
      </c>
      <c r="TOJ285" s="18">
        <v>0</v>
      </c>
      <c r="TOK285" s="18">
        <v>0</v>
      </c>
      <c r="TOL285" s="18">
        <v>0</v>
      </c>
      <c r="TOM285" s="18">
        <v>0</v>
      </c>
      <c r="TON285" s="18">
        <v>0</v>
      </c>
      <c r="TOO285" s="18">
        <v>0</v>
      </c>
      <c r="TOP285" s="18">
        <v>0</v>
      </c>
      <c r="TOQ285" s="18">
        <v>0</v>
      </c>
      <c r="TOR285" s="18">
        <v>0</v>
      </c>
      <c r="TOS285" s="18">
        <v>0</v>
      </c>
      <c r="TOT285" s="18">
        <v>0</v>
      </c>
      <c r="TOU285" s="18">
        <v>0</v>
      </c>
      <c r="TOV285" s="18">
        <v>0</v>
      </c>
      <c r="TOW285" s="18">
        <v>0</v>
      </c>
      <c r="TOX285" s="18">
        <v>0</v>
      </c>
      <c r="TOY285" s="18">
        <v>0</v>
      </c>
      <c r="TOZ285" s="18">
        <v>0</v>
      </c>
      <c r="TPA285" s="18">
        <v>0</v>
      </c>
      <c r="TPB285" s="18">
        <v>0</v>
      </c>
      <c r="TPC285" s="18">
        <v>0</v>
      </c>
      <c r="TPD285" s="18">
        <v>0</v>
      </c>
      <c r="TPE285" s="18">
        <v>0</v>
      </c>
      <c r="TPF285" s="18">
        <v>0</v>
      </c>
      <c r="TPG285" s="18">
        <v>0</v>
      </c>
      <c r="TPH285" s="18">
        <v>0</v>
      </c>
      <c r="TPI285" s="18">
        <v>0</v>
      </c>
      <c r="TPJ285" s="18">
        <v>0</v>
      </c>
      <c r="TPK285" s="18">
        <v>0</v>
      </c>
      <c r="TPL285" s="18">
        <v>0</v>
      </c>
      <c r="TPM285" s="18">
        <v>0</v>
      </c>
      <c r="TPN285" s="18">
        <v>0</v>
      </c>
      <c r="TPO285" s="18">
        <v>0</v>
      </c>
      <c r="TPP285" s="18">
        <v>0</v>
      </c>
      <c r="TPQ285" s="18">
        <v>0</v>
      </c>
      <c r="TPR285" s="18">
        <v>0</v>
      </c>
      <c r="TPS285" s="18">
        <v>0</v>
      </c>
      <c r="TPT285" s="18">
        <v>0</v>
      </c>
      <c r="TPU285" s="18">
        <v>0</v>
      </c>
      <c r="TPV285" s="18">
        <v>0</v>
      </c>
      <c r="TPW285" s="18">
        <v>0</v>
      </c>
      <c r="TPX285" s="18">
        <v>0</v>
      </c>
      <c r="TPY285" s="18">
        <v>0</v>
      </c>
      <c r="TPZ285" s="18">
        <v>0</v>
      </c>
      <c r="TQA285" s="18">
        <v>0</v>
      </c>
      <c r="TQB285" s="18">
        <v>0</v>
      </c>
      <c r="TQC285" s="18">
        <v>0</v>
      </c>
      <c r="TQD285" s="18">
        <v>0</v>
      </c>
      <c r="TQE285" s="18">
        <v>0</v>
      </c>
      <c r="TQF285" s="18">
        <v>0</v>
      </c>
      <c r="TQG285" s="18">
        <v>0</v>
      </c>
      <c r="TQH285" s="18">
        <v>0</v>
      </c>
      <c r="TQI285" s="18">
        <v>0</v>
      </c>
      <c r="TQJ285" s="18">
        <v>0</v>
      </c>
      <c r="TQK285" s="18">
        <v>0</v>
      </c>
      <c r="TQL285" s="18">
        <v>0</v>
      </c>
      <c r="TQM285" s="18">
        <v>0</v>
      </c>
      <c r="TQN285" s="18">
        <v>0</v>
      </c>
      <c r="TQO285" s="18">
        <v>0</v>
      </c>
      <c r="TQP285" s="18">
        <v>0</v>
      </c>
      <c r="TQQ285" s="18">
        <v>0</v>
      </c>
      <c r="TQR285" s="18">
        <v>0</v>
      </c>
      <c r="TQS285" s="18">
        <v>0</v>
      </c>
      <c r="TQT285" s="18">
        <v>0</v>
      </c>
      <c r="TQU285" s="18">
        <v>0</v>
      </c>
      <c r="TQV285" s="18">
        <v>0</v>
      </c>
      <c r="TQW285" s="18">
        <v>0</v>
      </c>
      <c r="TQX285" s="18">
        <v>0</v>
      </c>
      <c r="TQY285" s="18">
        <v>0</v>
      </c>
      <c r="TQZ285" s="18">
        <v>0</v>
      </c>
      <c r="TRA285" s="18">
        <v>0</v>
      </c>
      <c r="TRB285" s="18">
        <v>0</v>
      </c>
      <c r="TRC285" s="18">
        <v>0</v>
      </c>
      <c r="TRD285" s="18">
        <v>0</v>
      </c>
      <c r="TRE285" s="18">
        <v>0</v>
      </c>
      <c r="TRF285" s="18">
        <v>0</v>
      </c>
      <c r="TRG285" s="18">
        <v>0</v>
      </c>
      <c r="TRH285" s="18">
        <v>0</v>
      </c>
      <c r="TRI285" s="18">
        <v>0</v>
      </c>
      <c r="TRJ285" s="18">
        <v>0</v>
      </c>
      <c r="TRK285" s="18">
        <v>0</v>
      </c>
      <c r="TRL285" s="18">
        <v>0</v>
      </c>
      <c r="TRM285" s="18">
        <v>0</v>
      </c>
      <c r="TRN285" s="18">
        <v>0</v>
      </c>
      <c r="TRO285" s="18">
        <v>0</v>
      </c>
      <c r="TRP285" s="18">
        <v>0</v>
      </c>
      <c r="TRQ285" s="18">
        <v>0</v>
      </c>
      <c r="TRR285" s="18">
        <v>0</v>
      </c>
      <c r="TRS285" s="18">
        <v>0</v>
      </c>
      <c r="TRT285" s="18">
        <v>0</v>
      </c>
      <c r="TRU285" s="18">
        <v>0</v>
      </c>
      <c r="TRV285" s="18">
        <v>0</v>
      </c>
      <c r="TRW285" s="18">
        <v>0</v>
      </c>
      <c r="TRX285" s="18">
        <v>0</v>
      </c>
      <c r="TRY285" s="18">
        <v>0</v>
      </c>
      <c r="TRZ285" s="18">
        <v>0</v>
      </c>
      <c r="TSA285" s="18">
        <v>0</v>
      </c>
      <c r="TSB285" s="18">
        <v>0</v>
      </c>
      <c r="TSC285" s="18">
        <v>0</v>
      </c>
      <c r="TSD285" s="18">
        <v>0</v>
      </c>
      <c r="TSE285" s="18">
        <v>0</v>
      </c>
      <c r="TSF285" s="18">
        <v>0</v>
      </c>
      <c r="TSG285" s="18">
        <v>0</v>
      </c>
      <c r="TSH285" s="18">
        <v>0</v>
      </c>
      <c r="TSI285" s="18">
        <v>0</v>
      </c>
      <c r="TSJ285" s="18">
        <v>0</v>
      </c>
      <c r="TSK285" s="18">
        <v>0</v>
      </c>
      <c r="TSL285" s="18">
        <v>0</v>
      </c>
      <c r="TSM285" s="18">
        <v>0</v>
      </c>
      <c r="TSN285" s="18">
        <v>0</v>
      </c>
      <c r="TSO285" s="18">
        <v>0</v>
      </c>
      <c r="TSP285" s="18">
        <v>0</v>
      </c>
      <c r="TSQ285" s="18">
        <v>0</v>
      </c>
      <c r="TSR285" s="18">
        <v>0</v>
      </c>
      <c r="TSS285" s="18">
        <v>0</v>
      </c>
      <c r="TST285" s="18">
        <v>0</v>
      </c>
      <c r="TSU285" s="18">
        <v>0</v>
      </c>
      <c r="TSV285" s="18">
        <v>0</v>
      </c>
      <c r="TSW285" s="18">
        <v>0</v>
      </c>
      <c r="TSX285" s="18">
        <v>0</v>
      </c>
      <c r="TSY285" s="18">
        <v>0</v>
      </c>
      <c r="TSZ285" s="18">
        <v>0</v>
      </c>
      <c r="TTA285" s="18">
        <v>0</v>
      </c>
      <c r="TTB285" s="18">
        <v>0</v>
      </c>
      <c r="TTC285" s="18">
        <v>0</v>
      </c>
      <c r="TTD285" s="18">
        <v>0</v>
      </c>
      <c r="TTE285" s="18">
        <v>0</v>
      </c>
      <c r="TTF285" s="18">
        <v>0</v>
      </c>
      <c r="TTG285" s="18">
        <v>0</v>
      </c>
      <c r="TTH285" s="18">
        <v>0</v>
      </c>
      <c r="TTI285" s="18">
        <v>0</v>
      </c>
      <c r="TTJ285" s="18">
        <v>0</v>
      </c>
      <c r="TTK285" s="18">
        <v>0</v>
      </c>
      <c r="TTL285" s="18">
        <v>0</v>
      </c>
      <c r="TTM285" s="18">
        <v>0</v>
      </c>
      <c r="TTN285" s="18">
        <v>0</v>
      </c>
      <c r="TTO285" s="18">
        <v>0</v>
      </c>
      <c r="TTP285" s="18">
        <v>0</v>
      </c>
      <c r="TTQ285" s="18">
        <v>0</v>
      </c>
      <c r="TTR285" s="18">
        <v>0</v>
      </c>
      <c r="TTS285" s="18">
        <v>0</v>
      </c>
      <c r="TTT285" s="18">
        <v>0</v>
      </c>
      <c r="TTU285" s="18">
        <v>0</v>
      </c>
      <c r="TTV285" s="18">
        <v>0</v>
      </c>
      <c r="TTW285" s="18">
        <v>0</v>
      </c>
      <c r="TTX285" s="18">
        <v>0</v>
      </c>
      <c r="TTY285" s="18">
        <v>0</v>
      </c>
      <c r="TTZ285" s="18">
        <v>0</v>
      </c>
      <c r="TUA285" s="18">
        <v>0</v>
      </c>
      <c r="TUB285" s="18">
        <v>0</v>
      </c>
      <c r="TUC285" s="18">
        <v>0</v>
      </c>
      <c r="TUD285" s="18">
        <v>0</v>
      </c>
      <c r="TUE285" s="18">
        <v>0</v>
      </c>
      <c r="TUF285" s="18">
        <v>0</v>
      </c>
      <c r="TUG285" s="18">
        <v>0</v>
      </c>
      <c r="TUH285" s="18">
        <v>0</v>
      </c>
      <c r="TUI285" s="18">
        <v>0</v>
      </c>
      <c r="TUJ285" s="18">
        <v>0</v>
      </c>
      <c r="TUK285" s="18">
        <v>0</v>
      </c>
      <c r="TUL285" s="18">
        <v>0</v>
      </c>
      <c r="TUM285" s="18">
        <v>0</v>
      </c>
      <c r="TUN285" s="18">
        <v>0</v>
      </c>
      <c r="TUO285" s="18">
        <v>0</v>
      </c>
      <c r="TUP285" s="18">
        <v>0</v>
      </c>
      <c r="TUQ285" s="18">
        <v>0</v>
      </c>
      <c r="TUR285" s="18">
        <v>0</v>
      </c>
      <c r="TUS285" s="18">
        <v>0</v>
      </c>
      <c r="TUT285" s="18">
        <v>0</v>
      </c>
      <c r="TUU285" s="18">
        <v>0</v>
      </c>
      <c r="TUV285" s="18">
        <v>0</v>
      </c>
      <c r="TUW285" s="18">
        <v>0</v>
      </c>
      <c r="TUX285" s="18">
        <v>0</v>
      </c>
      <c r="TUY285" s="18">
        <v>0</v>
      </c>
      <c r="TUZ285" s="18">
        <v>0</v>
      </c>
      <c r="TVA285" s="18">
        <v>0</v>
      </c>
      <c r="TVB285" s="18">
        <v>0</v>
      </c>
      <c r="TVC285" s="18">
        <v>0</v>
      </c>
      <c r="TVD285" s="18">
        <v>0</v>
      </c>
      <c r="TVE285" s="18">
        <v>0</v>
      </c>
      <c r="TVF285" s="18">
        <v>0</v>
      </c>
      <c r="TVG285" s="18">
        <v>0</v>
      </c>
      <c r="TVH285" s="18">
        <v>0</v>
      </c>
      <c r="TVI285" s="18">
        <v>0</v>
      </c>
      <c r="TVJ285" s="18">
        <v>0</v>
      </c>
      <c r="TVK285" s="18">
        <v>0</v>
      </c>
      <c r="TVL285" s="18">
        <v>0</v>
      </c>
      <c r="TVM285" s="18">
        <v>0</v>
      </c>
      <c r="TVN285" s="18">
        <v>0</v>
      </c>
      <c r="TVO285" s="18">
        <v>0</v>
      </c>
      <c r="TVP285" s="18">
        <v>0</v>
      </c>
      <c r="TVQ285" s="18">
        <v>0</v>
      </c>
      <c r="TVR285" s="18">
        <v>0</v>
      </c>
      <c r="TVS285" s="18">
        <v>0</v>
      </c>
      <c r="TVT285" s="18">
        <v>0</v>
      </c>
      <c r="TVU285" s="18">
        <v>0</v>
      </c>
      <c r="TVV285" s="18">
        <v>0</v>
      </c>
      <c r="TVW285" s="18">
        <v>0</v>
      </c>
      <c r="TVX285" s="18">
        <v>0</v>
      </c>
      <c r="TVY285" s="18">
        <v>0</v>
      </c>
      <c r="TVZ285" s="18">
        <v>0</v>
      </c>
      <c r="TWA285" s="18">
        <v>0</v>
      </c>
      <c r="TWB285" s="18">
        <v>0</v>
      </c>
      <c r="TWC285" s="18">
        <v>0</v>
      </c>
      <c r="TWD285" s="18">
        <v>0</v>
      </c>
      <c r="TWE285" s="18">
        <v>0</v>
      </c>
      <c r="TWF285" s="18">
        <v>0</v>
      </c>
      <c r="TWG285" s="18">
        <v>0</v>
      </c>
      <c r="TWH285" s="18">
        <v>0</v>
      </c>
      <c r="TWI285" s="18">
        <v>0</v>
      </c>
      <c r="TWJ285" s="18">
        <v>0</v>
      </c>
      <c r="TWK285" s="18">
        <v>0</v>
      </c>
      <c r="TWL285" s="18">
        <v>0</v>
      </c>
      <c r="TWM285" s="18">
        <v>0</v>
      </c>
      <c r="TWN285" s="18">
        <v>0</v>
      </c>
      <c r="TWO285" s="18">
        <v>0</v>
      </c>
      <c r="TWP285" s="18">
        <v>0</v>
      </c>
      <c r="TWQ285" s="18">
        <v>0</v>
      </c>
      <c r="TWR285" s="18">
        <v>0</v>
      </c>
      <c r="TWS285" s="18">
        <v>0</v>
      </c>
      <c r="TWT285" s="18">
        <v>0</v>
      </c>
      <c r="TWU285" s="18">
        <v>0</v>
      </c>
      <c r="TWV285" s="18">
        <v>0</v>
      </c>
      <c r="TWW285" s="18">
        <v>0</v>
      </c>
      <c r="TWX285" s="18">
        <v>0</v>
      </c>
      <c r="TWY285" s="18">
        <v>0</v>
      </c>
      <c r="TWZ285" s="18">
        <v>0</v>
      </c>
      <c r="TXA285" s="18">
        <v>0</v>
      </c>
      <c r="TXB285" s="18">
        <v>0</v>
      </c>
      <c r="TXC285" s="18">
        <v>0</v>
      </c>
      <c r="TXD285" s="18">
        <v>0</v>
      </c>
      <c r="TXE285" s="18">
        <v>0</v>
      </c>
      <c r="TXF285" s="18">
        <v>0</v>
      </c>
      <c r="TXG285" s="18">
        <v>0</v>
      </c>
      <c r="TXH285" s="18">
        <v>0</v>
      </c>
      <c r="TXI285" s="18">
        <v>0</v>
      </c>
      <c r="TXJ285" s="18">
        <v>0</v>
      </c>
      <c r="TXK285" s="18">
        <v>0</v>
      </c>
      <c r="TXL285" s="18">
        <v>0</v>
      </c>
      <c r="TXM285" s="18">
        <v>0</v>
      </c>
      <c r="TXN285" s="18">
        <v>0</v>
      </c>
      <c r="TXO285" s="18">
        <v>0</v>
      </c>
      <c r="TXP285" s="18">
        <v>0</v>
      </c>
      <c r="TXQ285" s="18">
        <v>0</v>
      </c>
      <c r="TXR285" s="18">
        <v>0</v>
      </c>
      <c r="TXS285" s="18">
        <v>0</v>
      </c>
      <c r="TXT285" s="18">
        <v>0</v>
      </c>
      <c r="TXU285" s="18">
        <v>0</v>
      </c>
      <c r="TXV285" s="18">
        <v>0</v>
      </c>
      <c r="TXW285" s="18">
        <v>0</v>
      </c>
      <c r="TXX285" s="18">
        <v>0</v>
      </c>
      <c r="TXY285" s="18">
        <v>0</v>
      </c>
      <c r="TXZ285" s="18">
        <v>0</v>
      </c>
      <c r="TYA285" s="18">
        <v>0</v>
      </c>
      <c r="TYB285" s="18">
        <v>0</v>
      </c>
      <c r="TYC285" s="18">
        <v>0</v>
      </c>
      <c r="TYD285" s="18">
        <v>0</v>
      </c>
      <c r="TYE285" s="18">
        <v>0</v>
      </c>
      <c r="TYF285" s="18">
        <v>0</v>
      </c>
      <c r="TYG285" s="18">
        <v>0</v>
      </c>
      <c r="TYH285" s="18">
        <v>0</v>
      </c>
      <c r="TYI285" s="18">
        <v>0</v>
      </c>
      <c r="TYJ285" s="18">
        <v>0</v>
      </c>
      <c r="TYK285" s="18">
        <v>0</v>
      </c>
      <c r="TYL285" s="18">
        <v>0</v>
      </c>
      <c r="TYM285" s="18">
        <v>0</v>
      </c>
      <c r="TYN285" s="18">
        <v>0</v>
      </c>
      <c r="TYO285" s="18">
        <v>0</v>
      </c>
      <c r="TYP285" s="18">
        <v>0</v>
      </c>
      <c r="TYQ285" s="18">
        <v>0</v>
      </c>
      <c r="TYR285" s="18">
        <v>0</v>
      </c>
      <c r="TYS285" s="18">
        <v>0</v>
      </c>
      <c r="TYT285" s="18">
        <v>0</v>
      </c>
      <c r="TYU285" s="18">
        <v>0</v>
      </c>
      <c r="TYV285" s="18">
        <v>0</v>
      </c>
      <c r="TYW285" s="18">
        <v>0</v>
      </c>
      <c r="TYX285" s="18">
        <v>0</v>
      </c>
      <c r="TYY285" s="18">
        <v>0</v>
      </c>
      <c r="TYZ285" s="18">
        <v>0</v>
      </c>
      <c r="TZA285" s="18">
        <v>0</v>
      </c>
      <c r="TZB285" s="18">
        <v>0</v>
      </c>
      <c r="TZC285" s="18">
        <v>0</v>
      </c>
      <c r="TZD285" s="18">
        <v>0</v>
      </c>
      <c r="TZE285" s="18">
        <v>0</v>
      </c>
      <c r="TZF285" s="18">
        <v>0</v>
      </c>
      <c r="TZG285" s="18">
        <v>0</v>
      </c>
      <c r="TZH285" s="18">
        <v>0</v>
      </c>
      <c r="TZI285" s="18">
        <v>0</v>
      </c>
      <c r="TZJ285" s="18">
        <v>0</v>
      </c>
      <c r="TZK285" s="18">
        <v>0</v>
      </c>
      <c r="TZL285" s="18">
        <v>0</v>
      </c>
      <c r="TZM285" s="18">
        <v>0</v>
      </c>
      <c r="TZN285" s="18">
        <v>0</v>
      </c>
      <c r="TZO285" s="18">
        <v>0</v>
      </c>
      <c r="TZP285" s="18">
        <v>0</v>
      </c>
      <c r="TZQ285" s="18">
        <v>0</v>
      </c>
      <c r="TZR285" s="18">
        <v>0</v>
      </c>
      <c r="TZS285" s="18">
        <v>0</v>
      </c>
      <c r="TZT285" s="18">
        <v>0</v>
      </c>
      <c r="TZU285" s="18">
        <v>0</v>
      </c>
      <c r="TZV285" s="18">
        <v>0</v>
      </c>
      <c r="TZW285" s="18">
        <v>0</v>
      </c>
      <c r="TZX285" s="18">
        <v>0</v>
      </c>
      <c r="TZY285" s="18">
        <v>0</v>
      </c>
      <c r="TZZ285" s="18">
        <v>0</v>
      </c>
      <c r="UAA285" s="18">
        <v>0</v>
      </c>
      <c r="UAB285" s="18">
        <v>0</v>
      </c>
      <c r="UAC285" s="18">
        <v>0</v>
      </c>
      <c r="UAD285" s="18">
        <v>0</v>
      </c>
      <c r="UAE285" s="18">
        <v>0</v>
      </c>
      <c r="UAF285" s="18">
        <v>0</v>
      </c>
      <c r="UAG285" s="18">
        <v>0</v>
      </c>
      <c r="UAH285" s="18">
        <v>0</v>
      </c>
      <c r="UAI285" s="18">
        <v>0</v>
      </c>
      <c r="UAJ285" s="18">
        <v>0</v>
      </c>
      <c r="UAK285" s="18">
        <v>0</v>
      </c>
      <c r="UAL285" s="18">
        <v>0</v>
      </c>
      <c r="UAM285" s="18">
        <v>0</v>
      </c>
      <c r="UAN285" s="18">
        <v>0</v>
      </c>
      <c r="UAO285" s="18">
        <v>0</v>
      </c>
      <c r="UAP285" s="18">
        <v>0</v>
      </c>
      <c r="UAQ285" s="18">
        <v>0</v>
      </c>
      <c r="UAR285" s="18">
        <v>0</v>
      </c>
      <c r="UAS285" s="18">
        <v>0</v>
      </c>
      <c r="UAT285" s="18">
        <v>0</v>
      </c>
      <c r="UAU285" s="18">
        <v>0</v>
      </c>
      <c r="UAV285" s="18">
        <v>0</v>
      </c>
      <c r="UAW285" s="18">
        <v>0</v>
      </c>
      <c r="UAX285" s="18">
        <v>0</v>
      </c>
      <c r="UAY285" s="18">
        <v>0</v>
      </c>
      <c r="UAZ285" s="18">
        <v>0</v>
      </c>
      <c r="UBA285" s="18">
        <v>0</v>
      </c>
      <c r="UBB285" s="18">
        <v>0</v>
      </c>
      <c r="UBC285" s="18">
        <v>0</v>
      </c>
      <c r="UBD285" s="18">
        <v>0</v>
      </c>
      <c r="UBE285" s="18">
        <v>0</v>
      </c>
      <c r="UBF285" s="18">
        <v>0</v>
      </c>
      <c r="UBG285" s="18">
        <v>0</v>
      </c>
      <c r="UBH285" s="18">
        <v>0</v>
      </c>
      <c r="UBI285" s="18">
        <v>0</v>
      </c>
      <c r="UBJ285" s="18">
        <v>0</v>
      </c>
      <c r="UBK285" s="18">
        <v>0</v>
      </c>
      <c r="UBL285" s="18">
        <v>0</v>
      </c>
      <c r="UBM285" s="18">
        <v>0</v>
      </c>
      <c r="UBN285" s="18">
        <v>0</v>
      </c>
      <c r="UBO285" s="18">
        <v>0</v>
      </c>
      <c r="UBP285" s="18">
        <v>0</v>
      </c>
      <c r="UBQ285" s="18">
        <v>0</v>
      </c>
      <c r="UBR285" s="18">
        <v>0</v>
      </c>
      <c r="UBS285" s="18">
        <v>0</v>
      </c>
      <c r="UBT285" s="18">
        <v>0</v>
      </c>
      <c r="UBU285" s="18">
        <v>0</v>
      </c>
      <c r="UBV285" s="18">
        <v>0</v>
      </c>
      <c r="UBW285" s="18">
        <v>0</v>
      </c>
      <c r="UBX285" s="18">
        <v>0</v>
      </c>
      <c r="UBY285" s="18">
        <v>0</v>
      </c>
      <c r="UBZ285" s="18">
        <v>0</v>
      </c>
      <c r="UCA285" s="18">
        <v>0</v>
      </c>
      <c r="UCB285" s="18">
        <v>0</v>
      </c>
      <c r="UCC285" s="18">
        <v>0</v>
      </c>
      <c r="UCD285" s="18">
        <v>0</v>
      </c>
      <c r="UCE285" s="18">
        <v>0</v>
      </c>
      <c r="UCF285" s="18">
        <v>0</v>
      </c>
      <c r="UCG285" s="18">
        <v>0</v>
      </c>
      <c r="UCH285" s="18">
        <v>0</v>
      </c>
      <c r="UCI285" s="18">
        <v>0</v>
      </c>
      <c r="UCJ285" s="18">
        <v>0</v>
      </c>
      <c r="UCK285" s="18">
        <v>0</v>
      </c>
      <c r="UCL285" s="18">
        <v>0</v>
      </c>
      <c r="UCM285" s="18">
        <v>0</v>
      </c>
      <c r="UCN285" s="18">
        <v>0</v>
      </c>
      <c r="UCO285" s="18">
        <v>0</v>
      </c>
      <c r="UCP285" s="18">
        <v>0</v>
      </c>
      <c r="UCQ285" s="18">
        <v>0</v>
      </c>
      <c r="UCR285" s="18">
        <v>0</v>
      </c>
      <c r="UCS285" s="18">
        <v>0</v>
      </c>
      <c r="UCT285" s="18">
        <v>0</v>
      </c>
      <c r="UCU285" s="18">
        <v>0</v>
      </c>
      <c r="UCV285" s="18">
        <v>0</v>
      </c>
      <c r="UCW285" s="18">
        <v>0</v>
      </c>
      <c r="UCX285" s="18">
        <v>0</v>
      </c>
      <c r="UCY285" s="18">
        <v>0</v>
      </c>
      <c r="UCZ285" s="18">
        <v>0</v>
      </c>
      <c r="UDA285" s="18">
        <v>0</v>
      </c>
      <c r="UDB285" s="18">
        <v>0</v>
      </c>
      <c r="UDC285" s="18">
        <v>0</v>
      </c>
      <c r="UDD285" s="18">
        <v>0</v>
      </c>
      <c r="UDE285" s="18">
        <v>0</v>
      </c>
      <c r="UDF285" s="18">
        <v>0</v>
      </c>
      <c r="UDG285" s="18">
        <v>0</v>
      </c>
      <c r="UDH285" s="18">
        <v>0</v>
      </c>
      <c r="UDI285" s="18">
        <v>0</v>
      </c>
      <c r="UDJ285" s="18">
        <v>0</v>
      </c>
      <c r="UDK285" s="18">
        <v>0</v>
      </c>
      <c r="UDL285" s="18">
        <v>0</v>
      </c>
      <c r="UDM285" s="18">
        <v>0</v>
      </c>
      <c r="UDN285" s="18">
        <v>0</v>
      </c>
      <c r="UDO285" s="18">
        <v>0</v>
      </c>
      <c r="UDP285" s="18">
        <v>0</v>
      </c>
      <c r="UDQ285" s="18">
        <v>0</v>
      </c>
      <c r="UDR285" s="18">
        <v>0</v>
      </c>
      <c r="UDS285" s="18">
        <v>0</v>
      </c>
      <c r="UDT285" s="18">
        <v>0</v>
      </c>
      <c r="UDU285" s="18">
        <v>0</v>
      </c>
      <c r="UDV285" s="18">
        <v>0</v>
      </c>
      <c r="UDW285" s="18">
        <v>0</v>
      </c>
      <c r="UDX285" s="18">
        <v>0</v>
      </c>
      <c r="UDY285" s="18">
        <v>0</v>
      </c>
      <c r="UDZ285" s="18">
        <v>0</v>
      </c>
      <c r="UEA285" s="18">
        <v>0</v>
      </c>
      <c r="UEB285" s="18">
        <v>0</v>
      </c>
      <c r="UEC285" s="18">
        <v>0</v>
      </c>
      <c r="UED285" s="18">
        <v>0</v>
      </c>
      <c r="UEE285" s="18">
        <v>0</v>
      </c>
      <c r="UEF285" s="18">
        <v>0</v>
      </c>
      <c r="UEG285" s="18">
        <v>0</v>
      </c>
      <c r="UEH285" s="18">
        <v>0</v>
      </c>
      <c r="UEI285" s="18">
        <v>0</v>
      </c>
      <c r="UEJ285" s="18">
        <v>0</v>
      </c>
      <c r="UEK285" s="18">
        <v>0</v>
      </c>
      <c r="UEL285" s="18">
        <v>0</v>
      </c>
      <c r="UEM285" s="18">
        <v>0</v>
      </c>
      <c r="UEN285" s="18">
        <v>0</v>
      </c>
      <c r="UEO285" s="18">
        <v>0</v>
      </c>
      <c r="UEP285" s="18">
        <v>0</v>
      </c>
      <c r="UEQ285" s="18">
        <v>0</v>
      </c>
      <c r="UER285" s="18">
        <v>0</v>
      </c>
      <c r="UES285" s="18">
        <v>0</v>
      </c>
      <c r="UET285" s="18">
        <v>0</v>
      </c>
      <c r="UEU285" s="18">
        <v>0</v>
      </c>
      <c r="UEV285" s="18">
        <v>0</v>
      </c>
      <c r="UEW285" s="18">
        <v>0</v>
      </c>
      <c r="UEX285" s="18">
        <v>0</v>
      </c>
      <c r="UEY285" s="18">
        <v>0</v>
      </c>
      <c r="UEZ285" s="18">
        <v>0</v>
      </c>
      <c r="UFA285" s="18">
        <v>0</v>
      </c>
      <c r="UFB285" s="18">
        <v>0</v>
      </c>
      <c r="UFC285" s="18">
        <v>0</v>
      </c>
      <c r="UFD285" s="18">
        <v>0</v>
      </c>
      <c r="UFE285" s="18">
        <v>0</v>
      </c>
      <c r="UFF285" s="18">
        <v>0</v>
      </c>
      <c r="UFG285" s="18">
        <v>0</v>
      </c>
      <c r="UFH285" s="18">
        <v>0</v>
      </c>
      <c r="UFI285" s="18">
        <v>0</v>
      </c>
      <c r="UFJ285" s="18">
        <v>0</v>
      </c>
      <c r="UFK285" s="18">
        <v>0</v>
      </c>
      <c r="UFL285" s="18">
        <v>0</v>
      </c>
      <c r="UFM285" s="18">
        <v>0</v>
      </c>
      <c r="UFN285" s="18">
        <v>0</v>
      </c>
      <c r="UFO285" s="18">
        <v>0</v>
      </c>
      <c r="UFP285" s="18">
        <v>0</v>
      </c>
      <c r="UFQ285" s="18">
        <v>0</v>
      </c>
      <c r="UFR285" s="18">
        <v>0</v>
      </c>
      <c r="UFS285" s="18">
        <v>0</v>
      </c>
      <c r="UFT285" s="18">
        <v>0</v>
      </c>
      <c r="UFU285" s="18">
        <v>0</v>
      </c>
      <c r="UFV285" s="18">
        <v>0</v>
      </c>
      <c r="UFW285" s="18">
        <v>0</v>
      </c>
      <c r="UFX285" s="18">
        <v>0</v>
      </c>
      <c r="UFY285" s="18">
        <v>0</v>
      </c>
      <c r="UFZ285" s="18">
        <v>0</v>
      </c>
      <c r="UGA285" s="18">
        <v>0</v>
      </c>
      <c r="UGB285" s="18">
        <v>0</v>
      </c>
      <c r="UGC285" s="18">
        <v>0</v>
      </c>
      <c r="UGD285" s="18">
        <v>0</v>
      </c>
      <c r="UGE285" s="18">
        <v>0</v>
      </c>
      <c r="UGF285" s="18">
        <v>0</v>
      </c>
      <c r="UGG285" s="18">
        <v>0</v>
      </c>
      <c r="UGH285" s="18">
        <v>0</v>
      </c>
      <c r="UGI285" s="18">
        <v>0</v>
      </c>
      <c r="UGJ285" s="18">
        <v>0</v>
      </c>
      <c r="UGK285" s="18">
        <v>0</v>
      </c>
      <c r="UGL285" s="18">
        <v>0</v>
      </c>
      <c r="UGM285" s="18">
        <v>0</v>
      </c>
      <c r="UGN285" s="18">
        <v>0</v>
      </c>
      <c r="UGO285" s="18">
        <v>0</v>
      </c>
      <c r="UGP285" s="18">
        <v>0</v>
      </c>
      <c r="UGQ285" s="18">
        <v>0</v>
      </c>
      <c r="UGR285" s="18">
        <v>0</v>
      </c>
      <c r="UGS285" s="18">
        <v>0</v>
      </c>
      <c r="UGT285" s="18">
        <v>0</v>
      </c>
      <c r="UGU285" s="18">
        <v>0</v>
      </c>
      <c r="UGV285" s="18">
        <v>0</v>
      </c>
      <c r="UGW285" s="18">
        <v>0</v>
      </c>
      <c r="UGX285" s="18">
        <v>0</v>
      </c>
      <c r="UGY285" s="18">
        <v>0</v>
      </c>
      <c r="UGZ285" s="18">
        <v>0</v>
      </c>
      <c r="UHA285" s="18">
        <v>0</v>
      </c>
      <c r="UHB285" s="18">
        <v>0</v>
      </c>
      <c r="UHC285" s="18">
        <v>0</v>
      </c>
      <c r="UHD285" s="18">
        <v>0</v>
      </c>
      <c r="UHE285" s="18">
        <v>0</v>
      </c>
      <c r="UHF285" s="18">
        <v>0</v>
      </c>
      <c r="UHG285" s="18">
        <v>0</v>
      </c>
      <c r="UHH285" s="18">
        <v>0</v>
      </c>
      <c r="UHI285" s="18">
        <v>0</v>
      </c>
      <c r="UHJ285" s="18">
        <v>0</v>
      </c>
      <c r="UHK285" s="18">
        <v>0</v>
      </c>
      <c r="UHL285" s="18">
        <v>0</v>
      </c>
      <c r="UHM285" s="18">
        <v>0</v>
      </c>
      <c r="UHN285" s="18">
        <v>0</v>
      </c>
      <c r="UHO285" s="18">
        <v>0</v>
      </c>
      <c r="UHP285" s="18">
        <v>0</v>
      </c>
      <c r="UHQ285" s="18">
        <v>0</v>
      </c>
      <c r="UHR285" s="18">
        <v>0</v>
      </c>
      <c r="UHS285" s="18">
        <v>0</v>
      </c>
      <c r="UHT285" s="18">
        <v>0</v>
      </c>
      <c r="UHU285" s="18">
        <v>0</v>
      </c>
      <c r="UHV285" s="18">
        <v>0</v>
      </c>
      <c r="UHW285" s="18">
        <v>0</v>
      </c>
      <c r="UHX285" s="18">
        <v>0</v>
      </c>
      <c r="UHY285" s="18">
        <v>0</v>
      </c>
      <c r="UHZ285" s="18">
        <v>0</v>
      </c>
      <c r="UIA285" s="18">
        <v>0</v>
      </c>
      <c r="UIB285" s="18">
        <v>0</v>
      </c>
      <c r="UIC285" s="18">
        <v>0</v>
      </c>
      <c r="UID285" s="18">
        <v>0</v>
      </c>
      <c r="UIE285" s="18">
        <v>0</v>
      </c>
      <c r="UIF285" s="18">
        <v>0</v>
      </c>
      <c r="UIG285" s="18">
        <v>0</v>
      </c>
      <c r="UIH285" s="18">
        <v>0</v>
      </c>
      <c r="UII285" s="18">
        <v>0</v>
      </c>
      <c r="UIJ285" s="18">
        <v>0</v>
      </c>
      <c r="UIK285" s="18">
        <v>0</v>
      </c>
      <c r="UIL285" s="18">
        <v>0</v>
      </c>
      <c r="UIM285" s="18">
        <v>0</v>
      </c>
      <c r="UIN285" s="18">
        <v>0</v>
      </c>
      <c r="UIO285" s="18">
        <v>0</v>
      </c>
      <c r="UIP285" s="18">
        <v>0</v>
      </c>
      <c r="UIQ285" s="18">
        <v>0</v>
      </c>
      <c r="UIR285" s="18">
        <v>0</v>
      </c>
      <c r="UIS285" s="18">
        <v>0</v>
      </c>
      <c r="UIT285" s="18">
        <v>0</v>
      </c>
      <c r="UIU285" s="18">
        <v>0</v>
      </c>
      <c r="UIV285" s="18">
        <v>0</v>
      </c>
      <c r="UIW285" s="18">
        <v>0</v>
      </c>
      <c r="UIX285" s="18">
        <v>0</v>
      </c>
      <c r="UIY285" s="18">
        <v>0</v>
      </c>
      <c r="UIZ285" s="18">
        <v>0</v>
      </c>
      <c r="UJA285" s="18">
        <v>0</v>
      </c>
      <c r="UJB285" s="18">
        <v>0</v>
      </c>
      <c r="UJC285" s="18">
        <v>0</v>
      </c>
      <c r="UJD285" s="18">
        <v>0</v>
      </c>
      <c r="UJE285" s="18">
        <v>0</v>
      </c>
      <c r="UJF285" s="18">
        <v>0</v>
      </c>
      <c r="UJG285" s="18">
        <v>0</v>
      </c>
      <c r="UJH285" s="18">
        <v>0</v>
      </c>
      <c r="UJI285" s="18">
        <v>0</v>
      </c>
      <c r="UJJ285" s="18">
        <v>0</v>
      </c>
      <c r="UJK285" s="18">
        <v>0</v>
      </c>
      <c r="UJL285" s="18">
        <v>0</v>
      </c>
      <c r="UJM285" s="18">
        <v>0</v>
      </c>
      <c r="UJN285" s="18">
        <v>0</v>
      </c>
      <c r="UJO285" s="18">
        <v>0</v>
      </c>
      <c r="UJP285" s="18">
        <v>0</v>
      </c>
      <c r="UJQ285" s="18">
        <v>0</v>
      </c>
      <c r="UJR285" s="18">
        <v>0</v>
      </c>
      <c r="UJS285" s="18">
        <v>0</v>
      </c>
      <c r="UJT285" s="18">
        <v>0</v>
      </c>
      <c r="UJU285" s="18">
        <v>0</v>
      </c>
      <c r="UJV285" s="18">
        <v>0</v>
      </c>
      <c r="UJW285" s="18">
        <v>0</v>
      </c>
      <c r="UJX285" s="18">
        <v>0</v>
      </c>
      <c r="UJY285" s="18">
        <v>0</v>
      </c>
      <c r="UJZ285" s="18">
        <v>0</v>
      </c>
      <c r="UKA285" s="18">
        <v>0</v>
      </c>
      <c r="UKB285" s="18">
        <v>0</v>
      </c>
      <c r="UKC285" s="18">
        <v>0</v>
      </c>
      <c r="UKD285" s="18">
        <v>0</v>
      </c>
      <c r="UKE285" s="18">
        <v>0</v>
      </c>
      <c r="UKF285" s="18">
        <v>0</v>
      </c>
      <c r="UKG285" s="18">
        <v>0</v>
      </c>
      <c r="UKH285" s="18">
        <v>0</v>
      </c>
      <c r="UKI285" s="18">
        <v>0</v>
      </c>
      <c r="UKJ285" s="18">
        <v>0</v>
      </c>
      <c r="UKK285" s="18">
        <v>0</v>
      </c>
      <c r="UKL285" s="18">
        <v>0</v>
      </c>
      <c r="UKM285" s="18">
        <v>0</v>
      </c>
      <c r="UKN285" s="18">
        <v>0</v>
      </c>
      <c r="UKO285" s="18">
        <v>0</v>
      </c>
      <c r="UKP285" s="18">
        <v>0</v>
      </c>
      <c r="UKQ285" s="18">
        <v>0</v>
      </c>
      <c r="UKR285" s="18">
        <v>0</v>
      </c>
      <c r="UKS285" s="18">
        <v>0</v>
      </c>
      <c r="UKT285" s="18">
        <v>0</v>
      </c>
      <c r="UKU285" s="18">
        <v>0</v>
      </c>
      <c r="UKV285" s="18">
        <v>0</v>
      </c>
      <c r="UKW285" s="18">
        <v>0</v>
      </c>
      <c r="UKX285" s="18">
        <v>0</v>
      </c>
      <c r="UKY285" s="18">
        <v>0</v>
      </c>
      <c r="UKZ285" s="18">
        <v>0</v>
      </c>
      <c r="ULA285" s="18">
        <v>0</v>
      </c>
      <c r="ULB285" s="18">
        <v>0</v>
      </c>
      <c r="ULC285" s="18">
        <v>0</v>
      </c>
      <c r="ULD285" s="18">
        <v>0</v>
      </c>
      <c r="ULE285" s="18">
        <v>0</v>
      </c>
      <c r="ULF285" s="18">
        <v>0</v>
      </c>
      <c r="ULG285" s="18">
        <v>0</v>
      </c>
      <c r="ULH285" s="18">
        <v>0</v>
      </c>
      <c r="ULI285" s="18">
        <v>0</v>
      </c>
      <c r="ULJ285" s="18">
        <v>0</v>
      </c>
      <c r="ULK285" s="18">
        <v>0</v>
      </c>
      <c r="ULL285" s="18">
        <v>0</v>
      </c>
      <c r="ULM285" s="18">
        <v>0</v>
      </c>
      <c r="ULN285" s="18">
        <v>0</v>
      </c>
      <c r="ULO285" s="18">
        <v>0</v>
      </c>
      <c r="ULP285" s="18">
        <v>0</v>
      </c>
      <c r="ULQ285" s="18">
        <v>0</v>
      </c>
      <c r="ULR285" s="18">
        <v>0</v>
      </c>
      <c r="ULS285" s="18">
        <v>0</v>
      </c>
      <c r="ULT285" s="18">
        <v>0</v>
      </c>
      <c r="ULU285" s="18">
        <v>0</v>
      </c>
      <c r="ULV285" s="18">
        <v>0</v>
      </c>
      <c r="ULW285" s="18">
        <v>0</v>
      </c>
      <c r="ULX285" s="18">
        <v>0</v>
      </c>
      <c r="ULY285" s="18">
        <v>0</v>
      </c>
      <c r="ULZ285" s="18">
        <v>0</v>
      </c>
      <c r="UMA285" s="18">
        <v>0</v>
      </c>
      <c r="UMB285" s="18">
        <v>0</v>
      </c>
      <c r="UMC285" s="18">
        <v>0</v>
      </c>
      <c r="UMD285" s="18">
        <v>0</v>
      </c>
      <c r="UME285" s="18">
        <v>0</v>
      </c>
      <c r="UMF285" s="18">
        <v>0</v>
      </c>
      <c r="UMG285" s="18">
        <v>0</v>
      </c>
      <c r="UMH285" s="18">
        <v>0</v>
      </c>
      <c r="UMI285" s="18">
        <v>0</v>
      </c>
      <c r="UMJ285" s="18">
        <v>0</v>
      </c>
      <c r="UMK285" s="18">
        <v>0</v>
      </c>
      <c r="UML285" s="18">
        <v>0</v>
      </c>
      <c r="UMM285" s="18">
        <v>0</v>
      </c>
      <c r="UMN285" s="18">
        <v>0</v>
      </c>
      <c r="UMO285" s="18">
        <v>0</v>
      </c>
      <c r="UMP285" s="18">
        <v>0</v>
      </c>
      <c r="UMQ285" s="18">
        <v>0</v>
      </c>
      <c r="UMR285" s="18">
        <v>0</v>
      </c>
      <c r="UMS285" s="18">
        <v>0</v>
      </c>
      <c r="UMT285" s="18">
        <v>0</v>
      </c>
      <c r="UMU285" s="18">
        <v>0</v>
      </c>
      <c r="UMV285" s="18">
        <v>0</v>
      </c>
      <c r="UMW285" s="18">
        <v>0</v>
      </c>
      <c r="UMX285" s="18">
        <v>0</v>
      </c>
      <c r="UMY285" s="18">
        <v>0</v>
      </c>
      <c r="UMZ285" s="18">
        <v>0</v>
      </c>
      <c r="UNA285" s="18">
        <v>0</v>
      </c>
      <c r="UNB285" s="18">
        <v>0</v>
      </c>
      <c r="UNC285" s="18">
        <v>0</v>
      </c>
      <c r="UND285" s="18">
        <v>0</v>
      </c>
      <c r="UNE285" s="18">
        <v>0</v>
      </c>
      <c r="UNF285" s="18">
        <v>0</v>
      </c>
      <c r="UNG285" s="18">
        <v>0</v>
      </c>
      <c r="UNH285" s="18">
        <v>0</v>
      </c>
      <c r="UNI285" s="18">
        <v>0</v>
      </c>
      <c r="UNJ285" s="18">
        <v>0</v>
      </c>
      <c r="UNK285" s="18">
        <v>0</v>
      </c>
      <c r="UNL285" s="18">
        <v>0</v>
      </c>
      <c r="UNM285" s="18">
        <v>0</v>
      </c>
      <c r="UNN285" s="18">
        <v>0</v>
      </c>
      <c r="UNO285" s="18">
        <v>0</v>
      </c>
      <c r="UNP285" s="18">
        <v>0</v>
      </c>
      <c r="UNQ285" s="18">
        <v>0</v>
      </c>
      <c r="UNR285" s="18">
        <v>0</v>
      </c>
      <c r="UNS285" s="18">
        <v>0</v>
      </c>
      <c r="UNT285" s="18">
        <v>0</v>
      </c>
      <c r="UNU285" s="18">
        <v>0</v>
      </c>
      <c r="UNV285" s="18">
        <v>0</v>
      </c>
      <c r="UNW285" s="18">
        <v>0</v>
      </c>
      <c r="UNX285" s="18">
        <v>0</v>
      </c>
      <c r="UNY285" s="18">
        <v>0</v>
      </c>
      <c r="UNZ285" s="18">
        <v>0</v>
      </c>
      <c r="UOA285" s="18">
        <v>0</v>
      </c>
      <c r="UOB285" s="18">
        <v>0</v>
      </c>
      <c r="UOC285" s="18">
        <v>0</v>
      </c>
      <c r="UOD285" s="18">
        <v>0</v>
      </c>
      <c r="UOE285" s="18">
        <v>0</v>
      </c>
      <c r="UOF285" s="18">
        <v>0</v>
      </c>
      <c r="UOG285" s="18">
        <v>0</v>
      </c>
      <c r="UOH285" s="18">
        <v>0</v>
      </c>
      <c r="UOI285" s="18">
        <v>0</v>
      </c>
      <c r="UOJ285" s="18">
        <v>0</v>
      </c>
      <c r="UOK285" s="18">
        <v>0</v>
      </c>
      <c r="UOL285" s="18">
        <v>0</v>
      </c>
      <c r="UOM285" s="18">
        <v>0</v>
      </c>
      <c r="UON285" s="18">
        <v>0</v>
      </c>
      <c r="UOO285" s="18">
        <v>0</v>
      </c>
      <c r="UOP285" s="18">
        <v>0</v>
      </c>
      <c r="UOQ285" s="18">
        <v>0</v>
      </c>
      <c r="UOR285" s="18">
        <v>0</v>
      </c>
      <c r="UOS285" s="18">
        <v>0</v>
      </c>
      <c r="UOT285" s="18">
        <v>0</v>
      </c>
      <c r="UOU285" s="18">
        <v>0</v>
      </c>
      <c r="UOV285" s="18">
        <v>0</v>
      </c>
      <c r="UOW285" s="18">
        <v>0</v>
      </c>
      <c r="UOX285" s="18">
        <v>0</v>
      </c>
      <c r="UOY285" s="18">
        <v>0</v>
      </c>
      <c r="UOZ285" s="18">
        <v>0</v>
      </c>
      <c r="UPA285" s="18">
        <v>0</v>
      </c>
      <c r="UPB285" s="18">
        <v>0</v>
      </c>
      <c r="UPC285" s="18">
        <v>0</v>
      </c>
      <c r="UPD285" s="18">
        <v>0</v>
      </c>
      <c r="UPE285" s="18">
        <v>0</v>
      </c>
      <c r="UPF285" s="18">
        <v>0</v>
      </c>
      <c r="UPG285" s="18">
        <v>0</v>
      </c>
      <c r="UPH285" s="18">
        <v>0</v>
      </c>
      <c r="UPI285" s="18">
        <v>0</v>
      </c>
      <c r="UPJ285" s="18">
        <v>0</v>
      </c>
      <c r="UPK285" s="18">
        <v>0</v>
      </c>
      <c r="UPL285" s="18">
        <v>0</v>
      </c>
      <c r="UPM285" s="18">
        <v>0</v>
      </c>
      <c r="UPN285" s="18">
        <v>0</v>
      </c>
      <c r="UPO285" s="18">
        <v>0</v>
      </c>
      <c r="UPP285" s="18">
        <v>0</v>
      </c>
      <c r="UPQ285" s="18">
        <v>0</v>
      </c>
      <c r="UPR285" s="18">
        <v>0</v>
      </c>
      <c r="UPS285" s="18">
        <v>0</v>
      </c>
      <c r="UPT285" s="18">
        <v>0</v>
      </c>
      <c r="UPU285" s="18">
        <v>0</v>
      </c>
      <c r="UPV285" s="18">
        <v>0</v>
      </c>
      <c r="UPW285" s="18">
        <v>0</v>
      </c>
      <c r="UPX285" s="18">
        <v>0</v>
      </c>
      <c r="UPY285" s="18">
        <v>0</v>
      </c>
      <c r="UPZ285" s="18">
        <v>0</v>
      </c>
      <c r="UQA285" s="18">
        <v>0</v>
      </c>
      <c r="UQB285" s="18">
        <v>0</v>
      </c>
      <c r="UQC285" s="18">
        <v>0</v>
      </c>
      <c r="UQD285" s="18">
        <v>0</v>
      </c>
      <c r="UQE285" s="18">
        <v>0</v>
      </c>
      <c r="UQF285" s="18">
        <v>0</v>
      </c>
      <c r="UQG285" s="18">
        <v>0</v>
      </c>
      <c r="UQH285" s="18">
        <v>0</v>
      </c>
      <c r="UQI285" s="18">
        <v>0</v>
      </c>
      <c r="UQJ285" s="18">
        <v>0</v>
      </c>
      <c r="UQK285" s="18">
        <v>0</v>
      </c>
      <c r="UQL285" s="18">
        <v>0</v>
      </c>
      <c r="UQM285" s="18">
        <v>0</v>
      </c>
      <c r="UQN285" s="18">
        <v>0</v>
      </c>
      <c r="UQO285" s="18">
        <v>0</v>
      </c>
      <c r="UQP285" s="18">
        <v>0</v>
      </c>
      <c r="UQQ285" s="18">
        <v>0</v>
      </c>
      <c r="UQR285" s="18">
        <v>0</v>
      </c>
      <c r="UQS285" s="18">
        <v>0</v>
      </c>
      <c r="UQT285" s="18">
        <v>0</v>
      </c>
      <c r="UQU285" s="18">
        <v>0</v>
      </c>
      <c r="UQV285" s="18">
        <v>0</v>
      </c>
      <c r="UQW285" s="18">
        <v>0</v>
      </c>
      <c r="UQX285" s="18">
        <v>0</v>
      </c>
      <c r="UQY285" s="18">
        <v>0</v>
      </c>
      <c r="UQZ285" s="18">
        <v>0</v>
      </c>
      <c r="URA285" s="18">
        <v>0</v>
      </c>
      <c r="URB285" s="18">
        <v>0</v>
      </c>
      <c r="URC285" s="18">
        <v>0</v>
      </c>
      <c r="URD285" s="18">
        <v>0</v>
      </c>
      <c r="URE285" s="18">
        <v>0</v>
      </c>
      <c r="URF285" s="18">
        <v>0</v>
      </c>
      <c r="URG285" s="18">
        <v>0</v>
      </c>
      <c r="URH285" s="18">
        <v>0</v>
      </c>
      <c r="URI285" s="18">
        <v>0</v>
      </c>
      <c r="URJ285" s="18">
        <v>0</v>
      </c>
      <c r="URK285" s="18">
        <v>0</v>
      </c>
      <c r="URL285" s="18">
        <v>0</v>
      </c>
      <c r="URM285" s="18">
        <v>0</v>
      </c>
      <c r="URN285" s="18">
        <v>0</v>
      </c>
      <c r="URO285" s="18">
        <v>0</v>
      </c>
      <c r="URP285" s="18">
        <v>0</v>
      </c>
      <c r="URQ285" s="18">
        <v>0</v>
      </c>
      <c r="URR285" s="18">
        <v>0</v>
      </c>
      <c r="URS285" s="18">
        <v>0</v>
      </c>
      <c r="URT285" s="18">
        <v>0</v>
      </c>
      <c r="URU285" s="18">
        <v>0</v>
      </c>
      <c r="URV285" s="18">
        <v>0</v>
      </c>
      <c r="URW285" s="18">
        <v>0</v>
      </c>
      <c r="URX285" s="18">
        <v>0</v>
      </c>
      <c r="URY285" s="18">
        <v>0</v>
      </c>
      <c r="URZ285" s="18">
        <v>0</v>
      </c>
      <c r="USA285" s="18">
        <v>0</v>
      </c>
      <c r="USB285" s="18">
        <v>0</v>
      </c>
      <c r="USC285" s="18">
        <v>0</v>
      </c>
      <c r="USD285" s="18">
        <v>0</v>
      </c>
      <c r="USE285" s="18">
        <v>0</v>
      </c>
      <c r="USF285" s="18">
        <v>0</v>
      </c>
      <c r="USG285" s="18">
        <v>0</v>
      </c>
      <c r="USH285" s="18">
        <v>0</v>
      </c>
      <c r="USI285" s="18">
        <v>0</v>
      </c>
      <c r="USJ285" s="18">
        <v>0</v>
      </c>
      <c r="USK285" s="18">
        <v>0</v>
      </c>
      <c r="USL285" s="18">
        <v>0</v>
      </c>
      <c r="USM285" s="18">
        <v>0</v>
      </c>
      <c r="USN285" s="18">
        <v>0</v>
      </c>
      <c r="USO285" s="18">
        <v>0</v>
      </c>
      <c r="USP285" s="18">
        <v>0</v>
      </c>
      <c r="USQ285" s="18">
        <v>0</v>
      </c>
      <c r="USR285" s="18">
        <v>0</v>
      </c>
      <c r="USS285" s="18">
        <v>0</v>
      </c>
      <c r="UST285" s="18">
        <v>0</v>
      </c>
      <c r="USU285" s="18">
        <v>0</v>
      </c>
      <c r="USV285" s="18">
        <v>0</v>
      </c>
      <c r="USW285" s="18">
        <v>0</v>
      </c>
      <c r="USX285" s="18">
        <v>0</v>
      </c>
      <c r="USY285" s="18">
        <v>0</v>
      </c>
      <c r="USZ285" s="18">
        <v>0</v>
      </c>
      <c r="UTA285" s="18">
        <v>0</v>
      </c>
      <c r="UTB285" s="18">
        <v>0</v>
      </c>
      <c r="UTC285" s="18">
        <v>0</v>
      </c>
      <c r="UTD285" s="18">
        <v>0</v>
      </c>
      <c r="UTE285" s="18">
        <v>0</v>
      </c>
      <c r="UTF285" s="18">
        <v>0</v>
      </c>
      <c r="UTG285" s="18">
        <v>0</v>
      </c>
      <c r="UTH285" s="18">
        <v>0</v>
      </c>
      <c r="UTI285" s="18">
        <v>0</v>
      </c>
      <c r="UTJ285" s="18">
        <v>0</v>
      </c>
      <c r="UTK285" s="18">
        <v>0</v>
      </c>
      <c r="UTL285" s="18">
        <v>0</v>
      </c>
      <c r="UTM285" s="18">
        <v>0</v>
      </c>
      <c r="UTN285" s="18">
        <v>0</v>
      </c>
      <c r="UTO285" s="18">
        <v>0</v>
      </c>
      <c r="UTP285" s="18">
        <v>0</v>
      </c>
      <c r="UTQ285" s="18">
        <v>0</v>
      </c>
      <c r="UTR285" s="18">
        <v>0</v>
      </c>
      <c r="UTS285" s="18">
        <v>0</v>
      </c>
      <c r="UTT285" s="18">
        <v>0</v>
      </c>
      <c r="UTU285" s="18">
        <v>0</v>
      </c>
      <c r="UTV285" s="18">
        <v>0</v>
      </c>
      <c r="UTW285" s="18">
        <v>0</v>
      </c>
      <c r="UTX285" s="18">
        <v>0</v>
      </c>
      <c r="UTY285" s="18">
        <v>0</v>
      </c>
      <c r="UTZ285" s="18">
        <v>0</v>
      </c>
      <c r="UUA285" s="18">
        <v>0</v>
      </c>
      <c r="UUB285" s="18">
        <v>0</v>
      </c>
      <c r="UUC285" s="18">
        <v>0</v>
      </c>
      <c r="UUD285" s="18">
        <v>0</v>
      </c>
      <c r="UUE285" s="18">
        <v>0</v>
      </c>
      <c r="UUF285" s="18">
        <v>0</v>
      </c>
      <c r="UUG285" s="18">
        <v>0</v>
      </c>
      <c r="UUH285" s="18">
        <v>0</v>
      </c>
      <c r="UUI285" s="18">
        <v>0</v>
      </c>
      <c r="UUJ285" s="18">
        <v>0</v>
      </c>
      <c r="UUK285" s="18">
        <v>0</v>
      </c>
      <c r="UUL285" s="18">
        <v>0</v>
      </c>
      <c r="UUM285" s="18">
        <v>0</v>
      </c>
      <c r="UUN285" s="18">
        <v>0</v>
      </c>
      <c r="UUO285" s="18">
        <v>0</v>
      </c>
      <c r="UUP285" s="18">
        <v>0</v>
      </c>
      <c r="UUQ285" s="18">
        <v>0</v>
      </c>
      <c r="UUR285" s="18">
        <v>0</v>
      </c>
      <c r="UUS285" s="18">
        <v>0</v>
      </c>
      <c r="UUT285" s="18">
        <v>0</v>
      </c>
      <c r="UUU285" s="18">
        <v>0</v>
      </c>
      <c r="UUV285" s="18">
        <v>0</v>
      </c>
      <c r="UUW285" s="18">
        <v>0</v>
      </c>
      <c r="UUX285" s="18">
        <v>0</v>
      </c>
      <c r="UUY285" s="18">
        <v>0</v>
      </c>
      <c r="UUZ285" s="18">
        <v>0</v>
      </c>
      <c r="UVA285" s="18">
        <v>0</v>
      </c>
      <c r="UVB285" s="18">
        <v>0</v>
      </c>
      <c r="UVC285" s="18">
        <v>0</v>
      </c>
      <c r="UVD285" s="18">
        <v>0</v>
      </c>
      <c r="UVE285" s="18">
        <v>0</v>
      </c>
      <c r="UVF285" s="18">
        <v>0</v>
      </c>
      <c r="UVG285" s="18">
        <v>0</v>
      </c>
      <c r="UVH285" s="18">
        <v>0</v>
      </c>
      <c r="UVI285" s="18">
        <v>0</v>
      </c>
      <c r="UVJ285" s="18">
        <v>0</v>
      </c>
      <c r="UVK285" s="18">
        <v>0</v>
      </c>
      <c r="UVL285" s="18">
        <v>0</v>
      </c>
      <c r="UVM285" s="18">
        <v>0</v>
      </c>
      <c r="UVN285" s="18">
        <v>0</v>
      </c>
      <c r="UVO285" s="18">
        <v>0</v>
      </c>
      <c r="UVP285" s="18">
        <v>0</v>
      </c>
      <c r="UVQ285" s="18">
        <v>0</v>
      </c>
      <c r="UVR285" s="18">
        <v>0</v>
      </c>
      <c r="UVS285" s="18">
        <v>0</v>
      </c>
      <c r="UVT285" s="18">
        <v>0</v>
      </c>
      <c r="UVU285" s="18">
        <v>0</v>
      </c>
      <c r="UVV285" s="18">
        <v>0</v>
      </c>
      <c r="UVW285" s="18">
        <v>0</v>
      </c>
      <c r="UVX285" s="18">
        <v>0</v>
      </c>
      <c r="UVY285" s="18">
        <v>0</v>
      </c>
      <c r="UVZ285" s="18">
        <v>0</v>
      </c>
      <c r="UWA285" s="18">
        <v>0</v>
      </c>
      <c r="UWB285" s="18">
        <v>0</v>
      </c>
      <c r="UWC285" s="18">
        <v>0</v>
      </c>
      <c r="UWD285" s="18">
        <v>0</v>
      </c>
      <c r="UWE285" s="18">
        <v>0</v>
      </c>
      <c r="UWF285" s="18">
        <v>0</v>
      </c>
      <c r="UWG285" s="18">
        <v>0</v>
      </c>
      <c r="UWH285" s="18">
        <v>0</v>
      </c>
      <c r="UWI285" s="18">
        <v>0</v>
      </c>
      <c r="UWJ285" s="18">
        <v>0</v>
      </c>
      <c r="UWK285" s="18">
        <v>0</v>
      </c>
      <c r="UWL285" s="18">
        <v>0</v>
      </c>
      <c r="UWM285" s="18">
        <v>0</v>
      </c>
      <c r="UWN285" s="18">
        <v>0</v>
      </c>
      <c r="UWO285" s="18">
        <v>0</v>
      </c>
      <c r="UWP285" s="18">
        <v>0</v>
      </c>
      <c r="UWQ285" s="18">
        <v>0</v>
      </c>
      <c r="UWR285" s="18">
        <v>0</v>
      </c>
      <c r="UWS285" s="18">
        <v>0</v>
      </c>
      <c r="UWT285" s="18">
        <v>0</v>
      </c>
      <c r="UWU285" s="18">
        <v>0</v>
      </c>
      <c r="UWV285" s="18">
        <v>0</v>
      </c>
      <c r="UWW285" s="18">
        <v>0</v>
      </c>
      <c r="UWX285" s="18">
        <v>0</v>
      </c>
      <c r="UWY285" s="18">
        <v>0</v>
      </c>
      <c r="UWZ285" s="18">
        <v>0</v>
      </c>
      <c r="UXA285" s="18">
        <v>0</v>
      </c>
      <c r="UXB285" s="18">
        <v>0</v>
      </c>
      <c r="UXC285" s="18">
        <v>0</v>
      </c>
      <c r="UXD285" s="18">
        <v>0</v>
      </c>
      <c r="UXE285" s="18">
        <v>0</v>
      </c>
      <c r="UXF285" s="18">
        <v>0</v>
      </c>
      <c r="UXG285" s="18">
        <v>0</v>
      </c>
      <c r="UXH285" s="18">
        <v>0</v>
      </c>
      <c r="UXI285" s="18">
        <v>0</v>
      </c>
      <c r="UXJ285" s="18">
        <v>0</v>
      </c>
      <c r="UXK285" s="18">
        <v>0</v>
      </c>
      <c r="UXL285" s="18">
        <v>0</v>
      </c>
      <c r="UXM285" s="18">
        <v>0</v>
      </c>
      <c r="UXN285" s="18">
        <v>0</v>
      </c>
      <c r="UXO285" s="18">
        <v>0</v>
      </c>
      <c r="UXP285" s="18">
        <v>0</v>
      </c>
      <c r="UXQ285" s="18">
        <v>0</v>
      </c>
      <c r="UXR285" s="18">
        <v>0</v>
      </c>
      <c r="UXS285" s="18">
        <v>0</v>
      </c>
      <c r="UXT285" s="18">
        <v>0</v>
      </c>
      <c r="UXU285" s="18">
        <v>0</v>
      </c>
      <c r="UXV285" s="18">
        <v>0</v>
      </c>
      <c r="UXW285" s="18">
        <v>0</v>
      </c>
      <c r="UXX285" s="18">
        <v>0</v>
      </c>
      <c r="UXY285" s="18">
        <v>0</v>
      </c>
      <c r="UXZ285" s="18">
        <v>0</v>
      </c>
      <c r="UYA285" s="18">
        <v>0</v>
      </c>
      <c r="UYB285" s="18">
        <v>0</v>
      </c>
      <c r="UYC285" s="18">
        <v>0</v>
      </c>
      <c r="UYD285" s="18">
        <v>0</v>
      </c>
      <c r="UYE285" s="18">
        <v>0</v>
      </c>
      <c r="UYF285" s="18">
        <v>0</v>
      </c>
      <c r="UYG285" s="18">
        <v>0</v>
      </c>
      <c r="UYH285" s="18">
        <v>0</v>
      </c>
      <c r="UYI285" s="18">
        <v>0</v>
      </c>
      <c r="UYJ285" s="18">
        <v>0</v>
      </c>
      <c r="UYK285" s="18">
        <v>0</v>
      </c>
      <c r="UYL285" s="18">
        <v>0</v>
      </c>
      <c r="UYM285" s="18">
        <v>0</v>
      </c>
      <c r="UYN285" s="18">
        <v>0</v>
      </c>
      <c r="UYO285" s="18">
        <v>0</v>
      </c>
      <c r="UYP285" s="18">
        <v>0</v>
      </c>
      <c r="UYQ285" s="18">
        <v>0</v>
      </c>
      <c r="UYR285" s="18">
        <v>0</v>
      </c>
      <c r="UYS285" s="18">
        <v>0</v>
      </c>
      <c r="UYT285" s="18">
        <v>0</v>
      </c>
      <c r="UYU285" s="18">
        <v>0</v>
      </c>
      <c r="UYV285" s="18">
        <v>0</v>
      </c>
      <c r="UYW285" s="18">
        <v>0</v>
      </c>
      <c r="UYX285" s="18">
        <v>0</v>
      </c>
      <c r="UYY285" s="18">
        <v>0</v>
      </c>
      <c r="UYZ285" s="18">
        <v>0</v>
      </c>
      <c r="UZA285" s="18">
        <v>0</v>
      </c>
      <c r="UZB285" s="18">
        <v>0</v>
      </c>
      <c r="UZC285" s="18">
        <v>0</v>
      </c>
      <c r="UZD285" s="18">
        <v>0</v>
      </c>
      <c r="UZE285" s="18">
        <v>0</v>
      </c>
      <c r="UZF285" s="18">
        <v>0</v>
      </c>
      <c r="UZG285" s="18">
        <v>0</v>
      </c>
      <c r="UZH285" s="18">
        <v>0</v>
      </c>
      <c r="UZI285" s="18">
        <v>0</v>
      </c>
      <c r="UZJ285" s="18">
        <v>0</v>
      </c>
      <c r="UZK285" s="18">
        <v>0</v>
      </c>
      <c r="UZL285" s="18">
        <v>0</v>
      </c>
      <c r="UZM285" s="18">
        <v>0</v>
      </c>
      <c r="UZN285" s="18">
        <v>0</v>
      </c>
      <c r="UZO285" s="18">
        <v>0</v>
      </c>
      <c r="UZP285" s="18">
        <v>0</v>
      </c>
      <c r="UZQ285" s="18">
        <v>0</v>
      </c>
      <c r="UZR285" s="18">
        <v>0</v>
      </c>
      <c r="UZS285" s="18">
        <v>0</v>
      </c>
      <c r="UZT285" s="18">
        <v>0</v>
      </c>
      <c r="UZU285" s="18">
        <v>0</v>
      </c>
      <c r="UZV285" s="18">
        <v>0</v>
      </c>
      <c r="UZW285" s="18">
        <v>0</v>
      </c>
      <c r="UZX285" s="18">
        <v>0</v>
      </c>
      <c r="UZY285" s="18">
        <v>0</v>
      </c>
      <c r="UZZ285" s="18">
        <v>0</v>
      </c>
      <c r="VAA285" s="18">
        <v>0</v>
      </c>
      <c r="VAB285" s="18">
        <v>0</v>
      </c>
      <c r="VAC285" s="18">
        <v>0</v>
      </c>
      <c r="VAD285" s="18">
        <v>0</v>
      </c>
      <c r="VAE285" s="18">
        <v>0</v>
      </c>
      <c r="VAF285" s="18">
        <v>0</v>
      </c>
      <c r="VAG285" s="18">
        <v>0</v>
      </c>
      <c r="VAH285" s="18">
        <v>0</v>
      </c>
      <c r="VAI285" s="18">
        <v>0</v>
      </c>
      <c r="VAJ285" s="18">
        <v>0</v>
      </c>
      <c r="VAK285" s="18">
        <v>0</v>
      </c>
      <c r="VAL285" s="18">
        <v>0</v>
      </c>
      <c r="VAM285" s="18">
        <v>0</v>
      </c>
      <c r="VAN285" s="18">
        <v>0</v>
      </c>
      <c r="VAO285" s="18">
        <v>0</v>
      </c>
      <c r="VAP285" s="18">
        <v>0</v>
      </c>
      <c r="VAQ285" s="18">
        <v>0</v>
      </c>
      <c r="VAR285" s="18">
        <v>0</v>
      </c>
      <c r="VAS285" s="18">
        <v>0</v>
      </c>
      <c r="VAT285" s="18">
        <v>0</v>
      </c>
      <c r="VAU285" s="18">
        <v>0</v>
      </c>
      <c r="VAV285" s="18">
        <v>0</v>
      </c>
      <c r="VAW285" s="18">
        <v>0</v>
      </c>
      <c r="VAX285" s="18">
        <v>0</v>
      </c>
      <c r="VAY285" s="18">
        <v>0</v>
      </c>
      <c r="VAZ285" s="18">
        <v>0</v>
      </c>
      <c r="VBA285" s="18">
        <v>0</v>
      </c>
      <c r="VBB285" s="18">
        <v>0</v>
      </c>
      <c r="VBC285" s="18">
        <v>0</v>
      </c>
      <c r="VBD285" s="18">
        <v>0</v>
      </c>
      <c r="VBE285" s="18">
        <v>0</v>
      </c>
      <c r="VBF285" s="18">
        <v>0</v>
      </c>
      <c r="VBG285" s="18">
        <v>0</v>
      </c>
      <c r="VBH285" s="18">
        <v>0</v>
      </c>
      <c r="VBI285" s="18">
        <v>0</v>
      </c>
      <c r="VBJ285" s="18">
        <v>0</v>
      </c>
      <c r="VBK285" s="18">
        <v>0</v>
      </c>
      <c r="VBL285" s="18">
        <v>0</v>
      </c>
      <c r="VBM285" s="18">
        <v>0</v>
      </c>
      <c r="VBN285" s="18">
        <v>0</v>
      </c>
      <c r="VBO285" s="18">
        <v>0</v>
      </c>
      <c r="VBP285" s="18">
        <v>0</v>
      </c>
      <c r="VBQ285" s="18">
        <v>0</v>
      </c>
      <c r="VBR285" s="18">
        <v>0</v>
      </c>
      <c r="VBS285" s="18">
        <v>0</v>
      </c>
      <c r="VBT285" s="18">
        <v>0</v>
      </c>
      <c r="VBU285" s="18">
        <v>0</v>
      </c>
      <c r="VBV285" s="18">
        <v>0</v>
      </c>
      <c r="VBW285" s="18">
        <v>0</v>
      </c>
      <c r="VBX285" s="18">
        <v>0</v>
      </c>
      <c r="VBY285" s="18">
        <v>0</v>
      </c>
      <c r="VBZ285" s="18">
        <v>0</v>
      </c>
      <c r="VCA285" s="18">
        <v>0</v>
      </c>
      <c r="VCB285" s="18">
        <v>0</v>
      </c>
      <c r="VCC285" s="18">
        <v>0</v>
      </c>
      <c r="VCD285" s="18">
        <v>0</v>
      </c>
      <c r="VCE285" s="18">
        <v>0</v>
      </c>
      <c r="VCF285" s="18">
        <v>0</v>
      </c>
      <c r="VCG285" s="18">
        <v>0</v>
      </c>
      <c r="VCH285" s="18">
        <v>0</v>
      </c>
      <c r="VCI285" s="18">
        <v>0</v>
      </c>
      <c r="VCJ285" s="18">
        <v>0</v>
      </c>
      <c r="VCK285" s="18">
        <v>0</v>
      </c>
      <c r="VCL285" s="18">
        <v>0</v>
      </c>
      <c r="VCM285" s="18">
        <v>0</v>
      </c>
      <c r="VCN285" s="18">
        <v>0</v>
      </c>
      <c r="VCO285" s="18">
        <v>0</v>
      </c>
      <c r="VCP285" s="18">
        <v>0</v>
      </c>
      <c r="VCQ285" s="18">
        <v>0</v>
      </c>
      <c r="VCR285" s="18">
        <v>0</v>
      </c>
      <c r="VCS285" s="18">
        <v>0</v>
      </c>
      <c r="VCT285" s="18">
        <v>0</v>
      </c>
      <c r="VCU285" s="18">
        <v>0</v>
      </c>
      <c r="VCV285" s="18">
        <v>0</v>
      </c>
      <c r="VCW285" s="18">
        <v>0</v>
      </c>
      <c r="VCX285" s="18">
        <v>0</v>
      </c>
      <c r="VCY285" s="18">
        <v>0</v>
      </c>
      <c r="VCZ285" s="18">
        <v>0</v>
      </c>
      <c r="VDA285" s="18">
        <v>0</v>
      </c>
      <c r="VDB285" s="18">
        <v>0</v>
      </c>
      <c r="VDC285" s="18">
        <v>0</v>
      </c>
      <c r="VDD285" s="18">
        <v>0</v>
      </c>
      <c r="VDE285" s="18">
        <v>0</v>
      </c>
      <c r="VDF285" s="18">
        <v>0</v>
      </c>
      <c r="VDG285" s="18">
        <v>0</v>
      </c>
      <c r="VDH285" s="18">
        <v>0</v>
      </c>
      <c r="VDI285" s="18">
        <v>0</v>
      </c>
      <c r="VDJ285" s="18">
        <v>0</v>
      </c>
      <c r="VDK285" s="18">
        <v>0</v>
      </c>
      <c r="VDL285" s="18">
        <v>0</v>
      </c>
      <c r="VDM285" s="18">
        <v>0</v>
      </c>
      <c r="VDN285" s="18">
        <v>0</v>
      </c>
      <c r="VDO285" s="18">
        <v>0</v>
      </c>
      <c r="VDP285" s="18">
        <v>0</v>
      </c>
      <c r="VDQ285" s="18">
        <v>0</v>
      </c>
      <c r="VDR285" s="18">
        <v>0</v>
      </c>
      <c r="VDS285" s="18">
        <v>0</v>
      </c>
      <c r="VDT285" s="18">
        <v>0</v>
      </c>
      <c r="VDU285" s="18">
        <v>0</v>
      </c>
      <c r="VDV285" s="18">
        <v>0</v>
      </c>
      <c r="VDW285" s="18">
        <v>0</v>
      </c>
      <c r="VDX285" s="18">
        <v>0</v>
      </c>
      <c r="VDY285" s="18">
        <v>0</v>
      </c>
      <c r="VDZ285" s="18">
        <v>0</v>
      </c>
      <c r="VEA285" s="18">
        <v>0</v>
      </c>
      <c r="VEB285" s="18">
        <v>0</v>
      </c>
      <c r="VEC285" s="18">
        <v>0</v>
      </c>
      <c r="VED285" s="18">
        <v>0</v>
      </c>
      <c r="VEE285" s="18">
        <v>0</v>
      </c>
      <c r="VEF285" s="18">
        <v>0</v>
      </c>
      <c r="VEG285" s="18">
        <v>0</v>
      </c>
      <c r="VEH285" s="18">
        <v>0</v>
      </c>
      <c r="VEI285" s="18">
        <v>0</v>
      </c>
      <c r="VEJ285" s="18">
        <v>0</v>
      </c>
      <c r="VEK285" s="18">
        <v>0</v>
      </c>
      <c r="VEL285" s="18">
        <v>0</v>
      </c>
      <c r="VEM285" s="18">
        <v>0</v>
      </c>
      <c r="VEN285" s="18">
        <v>0</v>
      </c>
      <c r="VEO285" s="18">
        <v>0</v>
      </c>
      <c r="VEP285" s="18">
        <v>0</v>
      </c>
      <c r="VEQ285" s="18">
        <v>0</v>
      </c>
      <c r="VER285" s="18">
        <v>0</v>
      </c>
      <c r="VES285" s="18">
        <v>0</v>
      </c>
      <c r="VET285" s="18">
        <v>0</v>
      </c>
      <c r="VEU285" s="18">
        <v>0</v>
      </c>
      <c r="VEV285" s="18">
        <v>0</v>
      </c>
      <c r="VEW285" s="18">
        <v>0</v>
      </c>
      <c r="VEX285" s="18">
        <v>0</v>
      </c>
      <c r="VEY285" s="18">
        <v>0</v>
      </c>
      <c r="VEZ285" s="18">
        <v>0</v>
      </c>
      <c r="VFA285" s="18">
        <v>0</v>
      </c>
      <c r="VFB285" s="18">
        <v>0</v>
      </c>
      <c r="VFC285" s="18">
        <v>0</v>
      </c>
      <c r="VFD285" s="18">
        <v>0</v>
      </c>
      <c r="VFE285" s="18">
        <v>0</v>
      </c>
      <c r="VFF285" s="18">
        <v>0</v>
      </c>
      <c r="VFG285" s="18">
        <v>0</v>
      </c>
      <c r="VFH285" s="18">
        <v>0</v>
      </c>
      <c r="VFI285" s="18">
        <v>0</v>
      </c>
      <c r="VFJ285" s="18">
        <v>0</v>
      </c>
      <c r="VFK285" s="18">
        <v>0</v>
      </c>
      <c r="VFL285" s="18">
        <v>0</v>
      </c>
      <c r="VFM285" s="18">
        <v>0</v>
      </c>
      <c r="VFN285" s="18">
        <v>0</v>
      </c>
      <c r="VFO285" s="18">
        <v>0</v>
      </c>
      <c r="VFP285" s="18">
        <v>0</v>
      </c>
      <c r="VFQ285" s="18">
        <v>0</v>
      </c>
      <c r="VFR285" s="18">
        <v>0</v>
      </c>
      <c r="VFS285" s="18">
        <v>0</v>
      </c>
      <c r="VFT285" s="18">
        <v>0</v>
      </c>
      <c r="VFU285" s="18">
        <v>0</v>
      </c>
      <c r="VFV285" s="18">
        <v>0</v>
      </c>
      <c r="VFW285" s="18">
        <v>0</v>
      </c>
      <c r="VFX285" s="18">
        <v>0</v>
      </c>
      <c r="VFY285" s="18">
        <v>0</v>
      </c>
      <c r="VFZ285" s="18">
        <v>0</v>
      </c>
      <c r="VGA285" s="18">
        <v>0</v>
      </c>
      <c r="VGB285" s="18">
        <v>0</v>
      </c>
      <c r="VGC285" s="18">
        <v>0</v>
      </c>
      <c r="VGD285" s="18">
        <v>0</v>
      </c>
      <c r="VGE285" s="18">
        <v>0</v>
      </c>
      <c r="VGF285" s="18">
        <v>0</v>
      </c>
      <c r="VGG285" s="18">
        <v>0</v>
      </c>
      <c r="VGH285" s="18">
        <v>0</v>
      </c>
      <c r="VGI285" s="18">
        <v>0</v>
      </c>
      <c r="VGJ285" s="18">
        <v>0</v>
      </c>
      <c r="VGK285" s="18">
        <v>0</v>
      </c>
      <c r="VGL285" s="18">
        <v>0</v>
      </c>
      <c r="VGM285" s="18">
        <v>0</v>
      </c>
      <c r="VGN285" s="18">
        <v>0</v>
      </c>
      <c r="VGO285" s="18">
        <v>0</v>
      </c>
      <c r="VGP285" s="18">
        <v>0</v>
      </c>
      <c r="VGQ285" s="18">
        <v>0</v>
      </c>
      <c r="VGR285" s="18">
        <v>0</v>
      </c>
      <c r="VGS285" s="18">
        <v>0</v>
      </c>
      <c r="VGT285" s="18">
        <v>0</v>
      </c>
      <c r="VGU285" s="18">
        <v>0</v>
      </c>
      <c r="VGV285" s="18">
        <v>0</v>
      </c>
      <c r="VGW285" s="18">
        <v>0</v>
      </c>
      <c r="VGX285" s="18">
        <v>0</v>
      </c>
      <c r="VGY285" s="18">
        <v>0</v>
      </c>
      <c r="VGZ285" s="18">
        <v>0</v>
      </c>
      <c r="VHA285" s="18">
        <v>0</v>
      </c>
      <c r="VHB285" s="18">
        <v>0</v>
      </c>
      <c r="VHC285" s="18">
        <v>0</v>
      </c>
      <c r="VHD285" s="18">
        <v>0</v>
      </c>
      <c r="VHE285" s="18">
        <v>0</v>
      </c>
      <c r="VHF285" s="18">
        <v>0</v>
      </c>
      <c r="VHG285" s="18">
        <v>0</v>
      </c>
      <c r="VHH285" s="18">
        <v>0</v>
      </c>
      <c r="VHI285" s="18">
        <v>0</v>
      </c>
      <c r="VHJ285" s="18">
        <v>0</v>
      </c>
      <c r="VHK285" s="18">
        <v>0</v>
      </c>
      <c r="VHL285" s="18">
        <v>0</v>
      </c>
      <c r="VHM285" s="18">
        <v>0</v>
      </c>
      <c r="VHN285" s="18">
        <v>0</v>
      </c>
      <c r="VHO285" s="18">
        <v>0</v>
      </c>
      <c r="VHP285" s="18">
        <v>0</v>
      </c>
      <c r="VHQ285" s="18">
        <v>0</v>
      </c>
      <c r="VHR285" s="18">
        <v>0</v>
      </c>
      <c r="VHS285" s="18">
        <v>0</v>
      </c>
      <c r="VHT285" s="18">
        <v>0</v>
      </c>
      <c r="VHU285" s="18">
        <v>0</v>
      </c>
      <c r="VHV285" s="18">
        <v>0</v>
      </c>
      <c r="VHW285" s="18">
        <v>0</v>
      </c>
      <c r="VHX285" s="18">
        <v>0</v>
      </c>
      <c r="VHY285" s="18">
        <v>0</v>
      </c>
      <c r="VHZ285" s="18">
        <v>0</v>
      </c>
      <c r="VIA285" s="18">
        <v>0</v>
      </c>
      <c r="VIB285" s="18">
        <v>0</v>
      </c>
      <c r="VIC285" s="18">
        <v>0</v>
      </c>
      <c r="VID285" s="18">
        <v>0</v>
      </c>
      <c r="VIE285" s="18">
        <v>0</v>
      </c>
      <c r="VIF285" s="18">
        <v>0</v>
      </c>
      <c r="VIG285" s="18">
        <v>0</v>
      </c>
      <c r="VIH285" s="18">
        <v>0</v>
      </c>
      <c r="VII285" s="18">
        <v>0</v>
      </c>
      <c r="VIJ285" s="18">
        <v>0</v>
      </c>
      <c r="VIK285" s="18">
        <v>0</v>
      </c>
      <c r="VIL285" s="18">
        <v>0</v>
      </c>
      <c r="VIM285" s="18">
        <v>0</v>
      </c>
      <c r="VIN285" s="18">
        <v>0</v>
      </c>
      <c r="VIO285" s="18">
        <v>0</v>
      </c>
      <c r="VIP285" s="18">
        <v>0</v>
      </c>
      <c r="VIQ285" s="18">
        <v>0</v>
      </c>
      <c r="VIR285" s="18">
        <v>0</v>
      </c>
      <c r="VIS285" s="18">
        <v>0</v>
      </c>
      <c r="VIT285" s="18">
        <v>0</v>
      </c>
      <c r="VIU285" s="18">
        <v>0</v>
      </c>
      <c r="VIV285" s="18">
        <v>0</v>
      </c>
      <c r="VIW285" s="18">
        <v>0</v>
      </c>
      <c r="VIX285" s="18">
        <v>0</v>
      </c>
      <c r="VIY285" s="18">
        <v>0</v>
      </c>
      <c r="VIZ285" s="18">
        <v>0</v>
      </c>
      <c r="VJA285" s="18">
        <v>0</v>
      </c>
      <c r="VJB285" s="18">
        <v>0</v>
      </c>
      <c r="VJC285" s="18">
        <v>0</v>
      </c>
      <c r="VJD285" s="18">
        <v>0</v>
      </c>
      <c r="VJE285" s="18">
        <v>0</v>
      </c>
      <c r="VJF285" s="18">
        <v>0</v>
      </c>
      <c r="VJG285" s="18">
        <v>0</v>
      </c>
      <c r="VJH285" s="18">
        <v>0</v>
      </c>
      <c r="VJI285" s="18">
        <v>0</v>
      </c>
      <c r="VJJ285" s="18">
        <v>0</v>
      </c>
      <c r="VJK285" s="18">
        <v>0</v>
      </c>
      <c r="VJL285" s="18">
        <v>0</v>
      </c>
      <c r="VJM285" s="18">
        <v>0</v>
      </c>
      <c r="VJN285" s="18">
        <v>0</v>
      </c>
      <c r="VJO285" s="18">
        <v>0</v>
      </c>
      <c r="VJP285" s="18">
        <v>0</v>
      </c>
      <c r="VJQ285" s="18">
        <v>0</v>
      </c>
      <c r="VJR285" s="18">
        <v>0</v>
      </c>
      <c r="VJS285" s="18">
        <v>0</v>
      </c>
      <c r="VJT285" s="18">
        <v>0</v>
      </c>
      <c r="VJU285" s="18">
        <v>0</v>
      </c>
      <c r="VJV285" s="18">
        <v>0</v>
      </c>
      <c r="VJW285" s="18">
        <v>0</v>
      </c>
      <c r="VJX285" s="18">
        <v>0</v>
      </c>
      <c r="VJY285" s="18">
        <v>0</v>
      </c>
      <c r="VJZ285" s="18">
        <v>0</v>
      </c>
      <c r="VKA285" s="18">
        <v>0</v>
      </c>
      <c r="VKB285" s="18">
        <v>0</v>
      </c>
      <c r="VKC285" s="18">
        <v>0</v>
      </c>
      <c r="VKD285" s="18">
        <v>0</v>
      </c>
      <c r="VKE285" s="18">
        <v>0</v>
      </c>
      <c r="VKF285" s="18">
        <v>0</v>
      </c>
      <c r="VKG285" s="18">
        <v>0</v>
      </c>
      <c r="VKH285" s="18">
        <v>0</v>
      </c>
      <c r="VKI285" s="18">
        <v>0</v>
      </c>
      <c r="VKJ285" s="18">
        <v>0</v>
      </c>
      <c r="VKK285" s="18">
        <v>0</v>
      </c>
      <c r="VKL285" s="18">
        <v>0</v>
      </c>
      <c r="VKM285" s="18">
        <v>0</v>
      </c>
      <c r="VKN285" s="18">
        <v>0</v>
      </c>
      <c r="VKO285" s="18">
        <v>0</v>
      </c>
      <c r="VKP285" s="18">
        <v>0</v>
      </c>
      <c r="VKQ285" s="18">
        <v>0</v>
      </c>
      <c r="VKR285" s="18">
        <v>0</v>
      </c>
      <c r="VKS285" s="18">
        <v>0</v>
      </c>
      <c r="VKT285" s="18">
        <v>0</v>
      </c>
      <c r="VKU285" s="18">
        <v>0</v>
      </c>
      <c r="VKV285" s="18">
        <v>0</v>
      </c>
      <c r="VKW285" s="18">
        <v>0</v>
      </c>
      <c r="VKX285" s="18">
        <v>0</v>
      </c>
      <c r="VKY285" s="18">
        <v>0</v>
      </c>
      <c r="VKZ285" s="18">
        <v>0</v>
      </c>
      <c r="VLA285" s="18">
        <v>0</v>
      </c>
      <c r="VLB285" s="18">
        <v>0</v>
      </c>
      <c r="VLC285" s="18">
        <v>0</v>
      </c>
      <c r="VLD285" s="18">
        <v>0</v>
      </c>
      <c r="VLE285" s="18">
        <v>0</v>
      </c>
      <c r="VLF285" s="18">
        <v>0</v>
      </c>
      <c r="VLG285" s="18">
        <v>0</v>
      </c>
      <c r="VLH285" s="18">
        <v>0</v>
      </c>
      <c r="VLI285" s="18">
        <v>0</v>
      </c>
      <c r="VLJ285" s="18">
        <v>0</v>
      </c>
      <c r="VLK285" s="18">
        <v>0</v>
      </c>
      <c r="VLL285" s="18">
        <v>0</v>
      </c>
      <c r="VLM285" s="18">
        <v>0</v>
      </c>
      <c r="VLN285" s="18">
        <v>0</v>
      </c>
      <c r="VLO285" s="18">
        <v>0</v>
      </c>
      <c r="VLP285" s="18">
        <v>0</v>
      </c>
      <c r="VLQ285" s="18">
        <v>0</v>
      </c>
      <c r="VLR285" s="18">
        <v>0</v>
      </c>
      <c r="VLS285" s="18">
        <v>0</v>
      </c>
      <c r="VLT285" s="18">
        <v>0</v>
      </c>
      <c r="VLU285" s="18">
        <v>0</v>
      </c>
      <c r="VLV285" s="18">
        <v>0</v>
      </c>
      <c r="VLW285" s="18">
        <v>0</v>
      </c>
      <c r="VLX285" s="18">
        <v>0</v>
      </c>
      <c r="VLY285" s="18">
        <v>0</v>
      </c>
      <c r="VLZ285" s="18">
        <v>0</v>
      </c>
      <c r="VMA285" s="18">
        <v>0</v>
      </c>
      <c r="VMB285" s="18">
        <v>0</v>
      </c>
      <c r="VMC285" s="18">
        <v>0</v>
      </c>
      <c r="VMD285" s="18">
        <v>0</v>
      </c>
      <c r="VME285" s="18">
        <v>0</v>
      </c>
      <c r="VMF285" s="18">
        <v>0</v>
      </c>
      <c r="VMG285" s="18">
        <v>0</v>
      </c>
      <c r="VMH285" s="18">
        <v>0</v>
      </c>
      <c r="VMI285" s="18">
        <v>0</v>
      </c>
      <c r="VMJ285" s="18">
        <v>0</v>
      </c>
      <c r="VMK285" s="18">
        <v>0</v>
      </c>
      <c r="VML285" s="18">
        <v>0</v>
      </c>
      <c r="VMM285" s="18">
        <v>0</v>
      </c>
      <c r="VMN285" s="18">
        <v>0</v>
      </c>
      <c r="VMO285" s="18">
        <v>0</v>
      </c>
      <c r="VMP285" s="18">
        <v>0</v>
      </c>
      <c r="VMQ285" s="18">
        <v>0</v>
      </c>
      <c r="VMR285" s="18">
        <v>0</v>
      </c>
      <c r="VMS285" s="18">
        <v>0</v>
      </c>
      <c r="VMT285" s="18">
        <v>0</v>
      </c>
      <c r="VMU285" s="18">
        <v>0</v>
      </c>
      <c r="VMV285" s="18">
        <v>0</v>
      </c>
      <c r="VMW285" s="18">
        <v>0</v>
      </c>
      <c r="VMX285" s="18">
        <v>0</v>
      </c>
      <c r="VMY285" s="18">
        <v>0</v>
      </c>
      <c r="VMZ285" s="18">
        <v>0</v>
      </c>
      <c r="VNA285" s="18">
        <v>0</v>
      </c>
      <c r="VNB285" s="18">
        <v>0</v>
      </c>
      <c r="VNC285" s="18">
        <v>0</v>
      </c>
      <c r="VND285" s="18">
        <v>0</v>
      </c>
      <c r="VNE285" s="18">
        <v>0</v>
      </c>
      <c r="VNF285" s="18">
        <v>0</v>
      </c>
      <c r="VNG285" s="18">
        <v>0</v>
      </c>
      <c r="VNH285" s="18">
        <v>0</v>
      </c>
      <c r="VNI285" s="18">
        <v>0</v>
      </c>
      <c r="VNJ285" s="18">
        <v>0</v>
      </c>
      <c r="VNK285" s="18">
        <v>0</v>
      </c>
      <c r="VNL285" s="18">
        <v>0</v>
      </c>
      <c r="VNM285" s="18">
        <v>0</v>
      </c>
      <c r="VNN285" s="18">
        <v>0</v>
      </c>
      <c r="VNO285" s="18">
        <v>0</v>
      </c>
      <c r="VNP285" s="18">
        <v>0</v>
      </c>
      <c r="VNQ285" s="18">
        <v>0</v>
      </c>
      <c r="VNR285" s="18">
        <v>0</v>
      </c>
      <c r="VNS285" s="18">
        <v>0</v>
      </c>
      <c r="VNT285" s="18">
        <v>0</v>
      </c>
      <c r="VNU285" s="18">
        <v>0</v>
      </c>
      <c r="VNV285" s="18">
        <v>0</v>
      </c>
      <c r="VNW285" s="18">
        <v>0</v>
      </c>
      <c r="VNX285" s="18">
        <v>0</v>
      </c>
      <c r="VNY285" s="18">
        <v>0</v>
      </c>
      <c r="VNZ285" s="18">
        <v>0</v>
      </c>
      <c r="VOA285" s="18">
        <v>0</v>
      </c>
      <c r="VOB285" s="18">
        <v>0</v>
      </c>
      <c r="VOC285" s="18">
        <v>0</v>
      </c>
      <c r="VOD285" s="18">
        <v>0</v>
      </c>
      <c r="VOE285" s="18">
        <v>0</v>
      </c>
      <c r="VOF285" s="18">
        <v>0</v>
      </c>
      <c r="VOG285" s="18">
        <v>0</v>
      </c>
      <c r="VOH285" s="18">
        <v>0</v>
      </c>
      <c r="VOI285" s="18">
        <v>0</v>
      </c>
      <c r="VOJ285" s="18">
        <v>0</v>
      </c>
      <c r="VOK285" s="18">
        <v>0</v>
      </c>
      <c r="VOL285" s="18">
        <v>0</v>
      </c>
      <c r="VOM285" s="18">
        <v>0</v>
      </c>
      <c r="VON285" s="18">
        <v>0</v>
      </c>
      <c r="VOO285" s="18">
        <v>0</v>
      </c>
      <c r="VOP285" s="18">
        <v>0</v>
      </c>
      <c r="VOQ285" s="18">
        <v>0</v>
      </c>
      <c r="VOR285" s="18">
        <v>0</v>
      </c>
      <c r="VOS285" s="18">
        <v>0</v>
      </c>
      <c r="VOT285" s="18">
        <v>0</v>
      </c>
      <c r="VOU285" s="18">
        <v>0</v>
      </c>
      <c r="VOV285" s="18">
        <v>0</v>
      </c>
      <c r="VOW285" s="18">
        <v>0</v>
      </c>
      <c r="VOX285" s="18">
        <v>0</v>
      </c>
      <c r="VOY285" s="18">
        <v>0</v>
      </c>
      <c r="VOZ285" s="18">
        <v>0</v>
      </c>
      <c r="VPA285" s="18">
        <v>0</v>
      </c>
      <c r="VPB285" s="18">
        <v>0</v>
      </c>
      <c r="VPC285" s="18">
        <v>0</v>
      </c>
      <c r="VPD285" s="18">
        <v>0</v>
      </c>
      <c r="VPE285" s="18">
        <v>0</v>
      </c>
      <c r="VPF285" s="18">
        <v>0</v>
      </c>
      <c r="VPG285" s="18">
        <v>0</v>
      </c>
      <c r="VPH285" s="18">
        <v>0</v>
      </c>
      <c r="VPI285" s="18">
        <v>0</v>
      </c>
      <c r="VPJ285" s="18">
        <v>0</v>
      </c>
      <c r="VPK285" s="18">
        <v>0</v>
      </c>
      <c r="VPL285" s="18">
        <v>0</v>
      </c>
      <c r="VPM285" s="18">
        <v>0</v>
      </c>
      <c r="VPN285" s="18">
        <v>0</v>
      </c>
      <c r="VPO285" s="18">
        <v>0</v>
      </c>
      <c r="VPP285" s="18">
        <v>0</v>
      </c>
      <c r="VPQ285" s="18">
        <v>0</v>
      </c>
      <c r="VPR285" s="18">
        <v>0</v>
      </c>
      <c r="VPS285" s="18">
        <v>0</v>
      </c>
      <c r="VPT285" s="18">
        <v>0</v>
      </c>
      <c r="VPU285" s="18">
        <v>0</v>
      </c>
      <c r="VPV285" s="18">
        <v>0</v>
      </c>
      <c r="VPW285" s="18">
        <v>0</v>
      </c>
      <c r="VPX285" s="18">
        <v>0</v>
      </c>
      <c r="VPY285" s="18">
        <v>0</v>
      </c>
      <c r="VPZ285" s="18">
        <v>0</v>
      </c>
      <c r="VQA285" s="18">
        <v>0</v>
      </c>
      <c r="VQB285" s="18">
        <v>0</v>
      </c>
      <c r="VQC285" s="18">
        <v>0</v>
      </c>
      <c r="VQD285" s="18">
        <v>0</v>
      </c>
      <c r="VQE285" s="18">
        <v>0</v>
      </c>
      <c r="VQF285" s="18">
        <v>0</v>
      </c>
      <c r="VQG285" s="18">
        <v>0</v>
      </c>
      <c r="VQH285" s="18">
        <v>0</v>
      </c>
      <c r="VQI285" s="18">
        <v>0</v>
      </c>
      <c r="VQJ285" s="18">
        <v>0</v>
      </c>
      <c r="VQK285" s="18">
        <v>0</v>
      </c>
      <c r="VQL285" s="18">
        <v>0</v>
      </c>
      <c r="VQM285" s="18">
        <v>0</v>
      </c>
      <c r="VQN285" s="18">
        <v>0</v>
      </c>
      <c r="VQO285" s="18">
        <v>0</v>
      </c>
      <c r="VQP285" s="18">
        <v>0</v>
      </c>
      <c r="VQQ285" s="18">
        <v>0</v>
      </c>
      <c r="VQR285" s="18">
        <v>0</v>
      </c>
      <c r="VQS285" s="18">
        <v>0</v>
      </c>
      <c r="VQT285" s="18">
        <v>0</v>
      </c>
      <c r="VQU285" s="18">
        <v>0</v>
      </c>
      <c r="VQV285" s="18">
        <v>0</v>
      </c>
      <c r="VQW285" s="18">
        <v>0</v>
      </c>
      <c r="VQX285" s="18">
        <v>0</v>
      </c>
      <c r="VQY285" s="18">
        <v>0</v>
      </c>
      <c r="VQZ285" s="18">
        <v>0</v>
      </c>
      <c r="VRA285" s="18">
        <v>0</v>
      </c>
      <c r="VRB285" s="18">
        <v>0</v>
      </c>
      <c r="VRC285" s="18">
        <v>0</v>
      </c>
      <c r="VRD285" s="18">
        <v>0</v>
      </c>
      <c r="VRE285" s="18">
        <v>0</v>
      </c>
      <c r="VRF285" s="18">
        <v>0</v>
      </c>
      <c r="VRG285" s="18">
        <v>0</v>
      </c>
      <c r="VRH285" s="18">
        <v>0</v>
      </c>
      <c r="VRI285" s="18">
        <v>0</v>
      </c>
      <c r="VRJ285" s="18">
        <v>0</v>
      </c>
      <c r="VRK285" s="18">
        <v>0</v>
      </c>
      <c r="VRL285" s="18">
        <v>0</v>
      </c>
      <c r="VRM285" s="18">
        <v>0</v>
      </c>
      <c r="VRN285" s="18">
        <v>0</v>
      </c>
      <c r="VRO285" s="18">
        <v>0</v>
      </c>
      <c r="VRP285" s="18">
        <v>0</v>
      </c>
      <c r="VRQ285" s="18">
        <v>0</v>
      </c>
      <c r="VRR285" s="18">
        <v>0</v>
      </c>
      <c r="VRS285" s="18">
        <v>0</v>
      </c>
      <c r="VRT285" s="18">
        <v>0</v>
      </c>
      <c r="VRU285" s="18">
        <v>0</v>
      </c>
      <c r="VRV285" s="18">
        <v>0</v>
      </c>
      <c r="VRW285" s="18">
        <v>0</v>
      </c>
      <c r="VRX285" s="18">
        <v>0</v>
      </c>
      <c r="VRY285" s="18">
        <v>0</v>
      </c>
      <c r="VRZ285" s="18">
        <v>0</v>
      </c>
      <c r="VSA285" s="18">
        <v>0</v>
      </c>
      <c r="VSB285" s="18">
        <v>0</v>
      </c>
      <c r="VSC285" s="18">
        <v>0</v>
      </c>
      <c r="VSD285" s="18">
        <v>0</v>
      </c>
      <c r="VSE285" s="18">
        <v>0</v>
      </c>
      <c r="VSF285" s="18">
        <v>0</v>
      </c>
      <c r="VSG285" s="18">
        <v>0</v>
      </c>
      <c r="VSH285" s="18">
        <v>0</v>
      </c>
      <c r="VSI285" s="18">
        <v>0</v>
      </c>
      <c r="VSJ285" s="18">
        <v>0</v>
      </c>
      <c r="VSK285" s="18">
        <v>0</v>
      </c>
      <c r="VSL285" s="18">
        <v>0</v>
      </c>
      <c r="VSM285" s="18">
        <v>0</v>
      </c>
      <c r="VSN285" s="18">
        <v>0</v>
      </c>
      <c r="VSO285" s="18">
        <v>0</v>
      </c>
      <c r="VSP285" s="18">
        <v>0</v>
      </c>
      <c r="VSQ285" s="18">
        <v>0</v>
      </c>
      <c r="VSR285" s="18">
        <v>0</v>
      </c>
      <c r="VSS285" s="18">
        <v>0</v>
      </c>
      <c r="VST285" s="18">
        <v>0</v>
      </c>
      <c r="VSU285" s="18">
        <v>0</v>
      </c>
      <c r="VSV285" s="18">
        <v>0</v>
      </c>
      <c r="VSW285" s="18">
        <v>0</v>
      </c>
      <c r="VSX285" s="18">
        <v>0</v>
      </c>
      <c r="VSY285" s="18">
        <v>0</v>
      </c>
      <c r="VSZ285" s="18">
        <v>0</v>
      </c>
      <c r="VTA285" s="18">
        <v>0</v>
      </c>
      <c r="VTB285" s="18">
        <v>0</v>
      </c>
      <c r="VTC285" s="18">
        <v>0</v>
      </c>
      <c r="VTD285" s="18">
        <v>0</v>
      </c>
      <c r="VTE285" s="18">
        <v>0</v>
      </c>
      <c r="VTF285" s="18">
        <v>0</v>
      </c>
      <c r="VTG285" s="18">
        <v>0</v>
      </c>
      <c r="VTH285" s="18">
        <v>0</v>
      </c>
      <c r="VTI285" s="18">
        <v>0</v>
      </c>
      <c r="VTJ285" s="18">
        <v>0</v>
      </c>
      <c r="VTK285" s="18">
        <v>0</v>
      </c>
      <c r="VTL285" s="18">
        <v>0</v>
      </c>
      <c r="VTM285" s="18">
        <v>0</v>
      </c>
      <c r="VTN285" s="18">
        <v>0</v>
      </c>
      <c r="VTO285" s="18">
        <v>0</v>
      </c>
      <c r="VTP285" s="18">
        <v>0</v>
      </c>
      <c r="VTQ285" s="18">
        <v>0</v>
      </c>
      <c r="VTR285" s="18">
        <v>0</v>
      </c>
      <c r="VTS285" s="18">
        <v>0</v>
      </c>
      <c r="VTT285" s="18">
        <v>0</v>
      </c>
      <c r="VTU285" s="18">
        <v>0</v>
      </c>
      <c r="VTV285" s="18">
        <v>0</v>
      </c>
      <c r="VTW285" s="18">
        <v>0</v>
      </c>
      <c r="VTX285" s="18">
        <v>0</v>
      </c>
      <c r="VTY285" s="18">
        <v>0</v>
      </c>
      <c r="VTZ285" s="18">
        <v>0</v>
      </c>
      <c r="VUA285" s="18">
        <v>0</v>
      </c>
      <c r="VUB285" s="18">
        <v>0</v>
      </c>
      <c r="VUC285" s="18">
        <v>0</v>
      </c>
      <c r="VUD285" s="18">
        <v>0</v>
      </c>
      <c r="VUE285" s="18">
        <v>0</v>
      </c>
      <c r="VUF285" s="18">
        <v>0</v>
      </c>
      <c r="VUG285" s="18">
        <v>0</v>
      </c>
      <c r="VUH285" s="18">
        <v>0</v>
      </c>
      <c r="VUI285" s="18">
        <v>0</v>
      </c>
      <c r="VUJ285" s="18">
        <v>0</v>
      </c>
      <c r="VUK285" s="18">
        <v>0</v>
      </c>
      <c r="VUL285" s="18">
        <v>0</v>
      </c>
      <c r="VUM285" s="18">
        <v>0</v>
      </c>
      <c r="VUN285" s="18">
        <v>0</v>
      </c>
      <c r="VUO285" s="18">
        <v>0</v>
      </c>
      <c r="VUP285" s="18">
        <v>0</v>
      </c>
      <c r="VUQ285" s="18">
        <v>0</v>
      </c>
      <c r="VUR285" s="18">
        <v>0</v>
      </c>
      <c r="VUS285" s="18">
        <v>0</v>
      </c>
      <c r="VUT285" s="18">
        <v>0</v>
      </c>
      <c r="VUU285" s="18">
        <v>0</v>
      </c>
      <c r="VUV285" s="18">
        <v>0</v>
      </c>
      <c r="VUW285" s="18">
        <v>0</v>
      </c>
      <c r="VUX285" s="18">
        <v>0</v>
      </c>
      <c r="VUY285" s="18">
        <v>0</v>
      </c>
      <c r="VUZ285" s="18">
        <v>0</v>
      </c>
      <c r="VVA285" s="18">
        <v>0</v>
      </c>
      <c r="VVB285" s="18">
        <v>0</v>
      </c>
      <c r="VVC285" s="18">
        <v>0</v>
      </c>
      <c r="VVD285" s="18">
        <v>0</v>
      </c>
      <c r="VVE285" s="18">
        <v>0</v>
      </c>
      <c r="VVF285" s="18">
        <v>0</v>
      </c>
      <c r="VVG285" s="18">
        <v>0</v>
      </c>
      <c r="VVH285" s="18">
        <v>0</v>
      </c>
      <c r="VVI285" s="18">
        <v>0</v>
      </c>
      <c r="VVJ285" s="18">
        <v>0</v>
      </c>
      <c r="VVK285" s="18">
        <v>0</v>
      </c>
      <c r="VVL285" s="18">
        <v>0</v>
      </c>
      <c r="VVM285" s="18">
        <v>0</v>
      </c>
      <c r="VVN285" s="18">
        <v>0</v>
      </c>
      <c r="VVO285" s="18">
        <v>0</v>
      </c>
      <c r="VVP285" s="18">
        <v>0</v>
      </c>
      <c r="VVQ285" s="18">
        <v>0</v>
      </c>
      <c r="VVR285" s="18">
        <v>0</v>
      </c>
      <c r="VVS285" s="18">
        <v>0</v>
      </c>
      <c r="VVT285" s="18">
        <v>0</v>
      </c>
      <c r="VVU285" s="18">
        <v>0</v>
      </c>
      <c r="VVV285" s="18">
        <v>0</v>
      </c>
      <c r="VVW285" s="18">
        <v>0</v>
      </c>
      <c r="VVX285" s="18">
        <v>0</v>
      </c>
      <c r="VVY285" s="18">
        <v>0</v>
      </c>
      <c r="VVZ285" s="18">
        <v>0</v>
      </c>
      <c r="VWA285" s="18">
        <v>0</v>
      </c>
      <c r="VWB285" s="18">
        <v>0</v>
      </c>
      <c r="VWC285" s="18">
        <v>0</v>
      </c>
      <c r="VWD285" s="18">
        <v>0</v>
      </c>
      <c r="VWE285" s="18">
        <v>0</v>
      </c>
      <c r="VWF285" s="18">
        <v>0</v>
      </c>
      <c r="VWG285" s="18">
        <v>0</v>
      </c>
      <c r="VWH285" s="18">
        <v>0</v>
      </c>
      <c r="VWI285" s="18">
        <v>0</v>
      </c>
      <c r="VWJ285" s="18">
        <v>0</v>
      </c>
      <c r="VWK285" s="18">
        <v>0</v>
      </c>
      <c r="VWL285" s="18">
        <v>0</v>
      </c>
      <c r="VWM285" s="18">
        <v>0</v>
      </c>
      <c r="VWN285" s="18">
        <v>0</v>
      </c>
      <c r="VWO285" s="18">
        <v>0</v>
      </c>
      <c r="VWP285" s="18">
        <v>0</v>
      </c>
      <c r="VWQ285" s="18">
        <v>0</v>
      </c>
      <c r="VWR285" s="18">
        <v>0</v>
      </c>
      <c r="VWS285" s="18">
        <v>0</v>
      </c>
      <c r="VWT285" s="18">
        <v>0</v>
      </c>
      <c r="VWU285" s="18">
        <v>0</v>
      </c>
      <c r="VWV285" s="18">
        <v>0</v>
      </c>
      <c r="VWW285" s="18">
        <v>0</v>
      </c>
      <c r="VWX285" s="18">
        <v>0</v>
      </c>
      <c r="VWY285" s="18">
        <v>0</v>
      </c>
      <c r="VWZ285" s="18">
        <v>0</v>
      </c>
      <c r="VXA285" s="18">
        <v>0</v>
      </c>
      <c r="VXB285" s="18">
        <v>0</v>
      </c>
      <c r="VXC285" s="18">
        <v>0</v>
      </c>
      <c r="VXD285" s="18">
        <v>0</v>
      </c>
      <c r="VXE285" s="18">
        <v>0</v>
      </c>
      <c r="VXF285" s="18">
        <v>0</v>
      </c>
      <c r="VXG285" s="18">
        <v>0</v>
      </c>
      <c r="VXH285" s="18">
        <v>0</v>
      </c>
      <c r="VXI285" s="18">
        <v>0</v>
      </c>
      <c r="VXJ285" s="18">
        <v>0</v>
      </c>
      <c r="VXK285" s="18">
        <v>0</v>
      </c>
      <c r="VXL285" s="18">
        <v>0</v>
      </c>
      <c r="VXM285" s="18">
        <v>0</v>
      </c>
      <c r="VXN285" s="18">
        <v>0</v>
      </c>
      <c r="VXO285" s="18">
        <v>0</v>
      </c>
      <c r="VXP285" s="18">
        <v>0</v>
      </c>
      <c r="VXQ285" s="18">
        <v>0</v>
      </c>
      <c r="VXR285" s="18">
        <v>0</v>
      </c>
      <c r="VXS285" s="18">
        <v>0</v>
      </c>
      <c r="VXT285" s="18">
        <v>0</v>
      </c>
      <c r="VXU285" s="18">
        <v>0</v>
      </c>
      <c r="VXV285" s="18">
        <v>0</v>
      </c>
      <c r="VXW285" s="18">
        <v>0</v>
      </c>
      <c r="VXX285" s="18">
        <v>0</v>
      </c>
      <c r="VXY285" s="18">
        <v>0</v>
      </c>
      <c r="VXZ285" s="18">
        <v>0</v>
      </c>
      <c r="VYA285" s="18">
        <v>0</v>
      </c>
      <c r="VYB285" s="18">
        <v>0</v>
      </c>
      <c r="VYC285" s="18">
        <v>0</v>
      </c>
      <c r="VYD285" s="18">
        <v>0</v>
      </c>
      <c r="VYE285" s="18">
        <v>0</v>
      </c>
      <c r="VYF285" s="18">
        <v>0</v>
      </c>
      <c r="VYG285" s="18">
        <v>0</v>
      </c>
      <c r="VYH285" s="18">
        <v>0</v>
      </c>
      <c r="VYI285" s="18">
        <v>0</v>
      </c>
      <c r="VYJ285" s="18">
        <v>0</v>
      </c>
      <c r="VYK285" s="18">
        <v>0</v>
      </c>
      <c r="VYL285" s="18">
        <v>0</v>
      </c>
      <c r="VYM285" s="18">
        <v>0</v>
      </c>
      <c r="VYN285" s="18">
        <v>0</v>
      </c>
      <c r="VYO285" s="18">
        <v>0</v>
      </c>
      <c r="VYP285" s="18">
        <v>0</v>
      </c>
      <c r="VYQ285" s="18">
        <v>0</v>
      </c>
      <c r="VYR285" s="18">
        <v>0</v>
      </c>
      <c r="VYS285" s="18">
        <v>0</v>
      </c>
      <c r="VYT285" s="18">
        <v>0</v>
      </c>
      <c r="VYU285" s="18">
        <v>0</v>
      </c>
      <c r="VYV285" s="18">
        <v>0</v>
      </c>
      <c r="VYW285" s="18">
        <v>0</v>
      </c>
      <c r="VYX285" s="18">
        <v>0</v>
      </c>
      <c r="VYY285" s="18">
        <v>0</v>
      </c>
      <c r="VYZ285" s="18">
        <v>0</v>
      </c>
      <c r="VZA285" s="18">
        <v>0</v>
      </c>
      <c r="VZB285" s="18">
        <v>0</v>
      </c>
      <c r="VZC285" s="18">
        <v>0</v>
      </c>
      <c r="VZD285" s="18">
        <v>0</v>
      </c>
      <c r="VZE285" s="18">
        <v>0</v>
      </c>
      <c r="VZF285" s="18">
        <v>0</v>
      </c>
      <c r="VZG285" s="18">
        <v>0</v>
      </c>
      <c r="VZH285" s="18">
        <v>0</v>
      </c>
      <c r="VZI285" s="18">
        <v>0</v>
      </c>
      <c r="VZJ285" s="18">
        <v>0</v>
      </c>
      <c r="VZK285" s="18">
        <v>0</v>
      </c>
      <c r="VZL285" s="18">
        <v>0</v>
      </c>
      <c r="VZM285" s="18">
        <v>0</v>
      </c>
      <c r="VZN285" s="18">
        <v>0</v>
      </c>
      <c r="VZO285" s="18">
        <v>0</v>
      </c>
      <c r="VZP285" s="18">
        <v>0</v>
      </c>
      <c r="VZQ285" s="18">
        <v>0</v>
      </c>
      <c r="VZR285" s="18">
        <v>0</v>
      </c>
      <c r="VZS285" s="18">
        <v>0</v>
      </c>
      <c r="VZT285" s="18">
        <v>0</v>
      </c>
      <c r="VZU285" s="18">
        <v>0</v>
      </c>
      <c r="VZV285" s="18">
        <v>0</v>
      </c>
      <c r="VZW285" s="18">
        <v>0</v>
      </c>
      <c r="VZX285" s="18">
        <v>0</v>
      </c>
      <c r="VZY285" s="18">
        <v>0</v>
      </c>
      <c r="VZZ285" s="18">
        <v>0</v>
      </c>
      <c r="WAA285" s="18">
        <v>0</v>
      </c>
      <c r="WAB285" s="18">
        <v>0</v>
      </c>
      <c r="WAC285" s="18">
        <v>0</v>
      </c>
      <c r="WAD285" s="18">
        <v>0</v>
      </c>
      <c r="WAE285" s="18">
        <v>0</v>
      </c>
      <c r="WAF285" s="18">
        <v>0</v>
      </c>
      <c r="WAG285" s="18">
        <v>0</v>
      </c>
      <c r="WAH285" s="18">
        <v>0</v>
      </c>
      <c r="WAI285" s="18">
        <v>0</v>
      </c>
      <c r="WAJ285" s="18">
        <v>0</v>
      </c>
      <c r="WAK285" s="18">
        <v>0</v>
      </c>
      <c r="WAL285" s="18">
        <v>0</v>
      </c>
      <c r="WAM285" s="18">
        <v>0</v>
      </c>
      <c r="WAN285" s="18">
        <v>0</v>
      </c>
      <c r="WAO285" s="18">
        <v>0</v>
      </c>
      <c r="WAP285" s="18">
        <v>0</v>
      </c>
      <c r="WAQ285" s="18">
        <v>0</v>
      </c>
      <c r="WAR285" s="18">
        <v>0</v>
      </c>
      <c r="WAS285" s="18">
        <v>0</v>
      </c>
      <c r="WAT285" s="18">
        <v>0</v>
      </c>
      <c r="WAU285" s="18">
        <v>0</v>
      </c>
      <c r="WAV285" s="18">
        <v>0</v>
      </c>
      <c r="WAW285" s="18">
        <v>0</v>
      </c>
      <c r="WAX285" s="18">
        <v>0</v>
      </c>
      <c r="WAY285" s="18">
        <v>0</v>
      </c>
      <c r="WAZ285" s="18">
        <v>0</v>
      </c>
      <c r="WBA285" s="18">
        <v>0</v>
      </c>
      <c r="WBB285" s="18">
        <v>0</v>
      </c>
      <c r="WBC285" s="18">
        <v>0</v>
      </c>
      <c r="WBD285" s="18">
        <v>0</v>
      </c>
      <c r="WBE285" s="18">
        <v>0</v>
      </c>
      <c r="WBF285" s="18">
        <v>0</v>
      </c>
      <c r="WBG285" s="18">
        <v>0</v>
      </c>
      <c r="WBH285" s="18">
        <v>0</v>
      </c>
      <c r="WBI285" s="18">
        <v>0</v>
      </c>
      <c r="WBJ285" s="18">
        <v>0</v>
      </c>
      <c r="WBK285" s="18">
        <v>0</v>
      </c>
      <c r="WBL285" s="18">
        <v>0</v>
      </c>
      <c r="WBM285" s="18">
        <v>0</v>
      </c>
      <c r="WBN285" s="18">
        <v>0</v>
      </c>
      <c r="WBO285" s="18">
        <v>0</v>
      </c>
      <c r="WBP285" s="18">
        <v>0</v>
      </c>
      <c r="WBQ285" s="18">
        <v>0</v>
      </c>
      <c r="WBR285" s="18">
        <v>0</v>
      </c>
      <c r="WBS285" s="18">
        <v>0</v>
      </c>
      <c r="WBT285" s="18">
        <v>0</v>
      </c>
      <c r="WBU285" s="18">
        <v>0</v>
      </c>
      <c r="WBV285" s="18">
        <v>0</v>
      </c>
      <c r="WBW285" s="18">
        <v>0</v>
      </c>
      <c r="WBX285" s="18">
        <v>0</v>
      </c>
      <c r="WBY285" s="18">
        <v>0</v>
      </c>
      <c r="WBZ285" s="18">
        <v>0</v>
      </c>
      <c r="WCA285" s="18">
        <v>0</v>
      </c>
      <c r="WCB285" s="18">
        <v>0</v>
      </c>
      <c r="WCC285" s="18">
        <v>0</v>
      </c>
      <c r="WCD285" s="18">
        <v>0</v>
      </c>
      <c r="WCE285" s="18">
        <v>0</v>
      </c>
      <c r="WCF285" s="18">
        <v>0</v>
      </c>
      <c r="WCG285" s="18">
        <v>0</v>
      </c>
      <c r="WCH285" s="18">
        <v>0</v>
      </c>
      <c r="WCI285" s="18">
        <v>0</v>
      </c>
      <c r="WCJ285" s="18">
        <v>0</v>
      </c>
      <c r="WCK285" s="18">
        <v>0</v>
      </c>
      <c r="WCL285" s="18">
        <v>0</v>
      </c>
      <c r="WCM285" s="18">
        <v>0</v>
      </c>
      <c r="WCN285" s="18">
        <v>0</v>
      </c>
      <c r="WCO285" s="18">
        <v>0</v>
      </c>
      <c r="WCP285" s="18">
        <v>0</v>
      </c>
      <c r="WCQ285" s="18">
        <v>0</v>
      </c>
      <c r="WCR285" s="18">
        <v>0</v>
      </c>
      <c r="WCS285" s="18">
        <v>0</v>
      </c>
      <c r="WCT285" s="18">
        <v>0</v>
      </c>
      <c r="WCU285" s="18">
        <v>0</v>
      </c>
      <c r="WCV285" s="18">
        <v>0</v>
      </c>
      <c r="WCW285" s="18">
        <v>0</v>
      </c>
      <c r="WCX285" s="18">
        <v>0</v>
      </c>
      <c r="WCY285" s="18">
        <v>0</v>
      </c>
      <c r="WCZ285" s="18">
        <v>0</v>
      </c>
      <c r="WDA285" s="18">
        <v>0</v>
      </c>
      <c r="WDB285" s="18">
        <v>0</v>
      </c>
      <c r="WDC285" s="18">
        <v>0</v>
      </c>
      <c r="WDD285" s="18">
        <v>0</v>
      </c>
      <c r="WDE285" s="18">
        <v>0</v>
      </c>
      <c r="WDF285" s="18">
        <v>0</v>
      </c>
      <c r="WDG285" s="18">
        <v>0</v>
      </c>
      <c r="WDH285" s="18">
        <v>0</v>
      </c>
      <c r="WDI285" s="18">
        <v>0</v>
      </c>
      <c r="WDJ285" s="18">
        <v>0</v>
      </c>
      <c r="WDK285" s="18">
        <v>0</v>
      </c>
      <c r="WDL285" s="18">
        <v>0</v>
      </c>
      <c r="WDM285" s="18">
        <v>0</v>
      </c>
      <c r="WDN285" s="18">
        <v>0</v>
      </c>
      <c r="WDO285" s="18">
        <v>0</v>
      </c>
      <c r="WDP285" s="18">
        <v>0</v>
      </c>
      <c r="WDQ285" s="18">
        <v>0</v>
      </c>
      <c r="WDR285" s="18">
        <v>0</v>
      </c>
      <c r="WDS285" s="18">
        <v>0</v>
      </c>
      <c r="WDT285" s="18">
        <v>0</v>
      </c>
      <c r="WDU285" s="18">
        <v>0</v>
      </c>
      <c r="WDV285" s="18">
        <v>0</v>
      </c>
      <c r="WDW285" s="18">
        <v>0</v>
      </c>
      <c r="WDX285" s="18">
        <v>0</v>
      </c>
      <c r="WDY285" s="18">
        <v>0</v>
      </c>
      <c r="WDZ285" s="18">
        <v>0</v>
      </c>
      <c r="WEA285" s="18">
        <v>0</v>
      </c>
      <c r="WEB285" s="18">
        <v>0</v>
      </c>
      <c r="WEC285" s="18">
        <v>0</v>
      </c>
      <c r="WED285" s="18">
        <v>0</v>
      </c>
      <c r="WEE285" s="18">
        <v>0</v>
      </c>
      <c r="WEF285" s="18">
        <v>0</v>
      </c>
      <c r="WEG285" s="18">
        <v>0</v>
      </c>
      <c r="WEH285" s="18">
        <v>0</v>
      </c>
      <c r="WEI285" s="18">
        <v>0</v>
      </c>
      <c r="WEJ285" s="18">
        <v>0</v>
      </c>
      <c r="WEK285" s="18">
        <v>0</v>
      </c>
      <c r="WEL285" s="18">
        <v>0</v>
      </c>
      <c r="WEM285" s="18">
        <v>0</v>
      </c>
      <c r="WEN285" s="18">
        <v>0</v>
      </c>
      <c r="WEO285" s="18">
        <v>0</v>
      </c>
      <c r="WEP285" s="18">
        <v>0</v>
      </c>
      <c r="WEQ285" s="18">
        <v>0</v>
      </c>
      <c r="WER285" s="18">
        <v>0</v>
      </c>
      <c r="WES285" s="18">
        <v>0</v>
      </c>
      <c r="WET285" s="18">
        <v>0</v>
      </c>
      <c r="WEU285" s="18">
        <v>0</v>
      </c>
      <c r="WEV285" s="18">
        <v>0</v>
      </c>
      <c r="WEW285" s="18">
        <v>0</v>
      </c>
      <c r="WEX285" s="18">
        <v>0</v>
      </c>
      <c r="WEY285" s="18">
        <v>0</v>
      </c>
      <c r="WEZ285" s="18">
        <v>0</v>
      </c>
      <c r="WFA285" s="18">
        <v>0</v>
      </c>
      <c r="WFB285" s="18">
        <v>0</v>
      </c>
      <c r="WFC285" s="18">
        <v>0</v>
      </c>
      <c r="WFD285" s="18">
        <v>0</v>
      </c>
      <c r="WFE285" s="18">
        <v>0</v>
      </c>
      <c r="WFF285" s="18">
        <v>0</v>
      </c>
      <c r="WFG285" s="18">
        <v>0</v>
      </c>
      <c r="WFH285" s="18">
        <v>0</v>
      </c>
      <c r="WFI285" s="18">
        <v>0</v>
      </c>
      <c r="WFJ285" s="18">
        <v>0</v>
      </c>
      <c r="WFK285" s="18">
        <v>0</v>
      </c>
      <c r="WFL285" s="18">
        <v>0</v>
      </c>
      <c r="WFM285" s="18">
        <v>0</v>
      </c>
      <c r="WFN285" s="18">
        <v>0</v>
      </c>
      <c r="WFO285" s="18">
        <v>0</v>
      </c>
      <c r="WFP285" s="18">
        <v>0</v>
      </c>
      <c r="WFQ285" s="18">
        <v>0</v>
      </c>
      <c r="WFR285" s="18">
        <v>0</v>
      </c>
      <c r="WFS285" s="18">
        <v>0</v>
      </c>
      <c r="WFT285" s="18">
        <v>0</v>
      </c>
      <c r="WFU285" s="18">
        <v>0</v>
      </c>
      <c r="WFV285" s="18">
        <v>0</v>
      </c>
      <c r="WFW285" s="18">
        <v>0</v>
      </c>
      <c r="WFX285" s="18">
        <v>0</v>
      </c>
      <c r="WFY285" s="18">
        <v>0</v>
      </c>
      <c r="WFZ285" s="18">
        <v>0</v>
      </c>
      <c r="WGA285" s="18">
        <v>0</v>
      </c>
      <c r="WGB285" s="18">
        <v>0</v>
      </c>
      <c r="WGC285" s="18">
        <v>0</v>
      </c>
      <c r="WGD285" s="18">
        <v>0</v>
      </c>
      <c r="WGE285" s="18">
        <v>0</v>
      </c>
      <c r="WGF285" s="18">
        <v>0</v>
      </c>
      <c r="WGG285" s="18">
        <v>0</v>
      </c>
      <c r="WGH285" s="18">
        <v>0</v>
      </c>
      <c r="WGI285" s="18">
        <v>0</v>
      </c>
      <c r="WGJ285" s="18">
        <v>0</v>
      </c>
      <c r="WGK285" s="18">
        <v>0</v>
      </c>
      <c r="WGL285" s="18">
        <v>0</v>
      </c>
      <c r="WGM285" s="18">
        <v>0</v>
      </c>
      <c r="WGN285" s="18">
        <v>0</v>
      </c>
      <c r="WGO285" s="18">
        <v>0</v>
      </c>
      <c r="WGP285" s="18">
        <v>0</v>
      </c>
      <c r="WGQ285" s="18">
        <v>0</v>
      </c>
      <c r="WGR285" s="18">
        <v>0</v>
      </c>
      <c r="WGS285" s="18">
        <v>0</v>
      </c>
      <c r="WGT285" s="18">
        <v>0</v>
      </c>
      <c r="WGU285" s="18">
        <v>0</v>
      </c>
      <c r="WGV285" s="18">
        <v>0</v>
      </c>
      <c r="WGW285" s="18">
        <v>0</v>
      </c>
      <c r="WGX285" s="18">
        <v>0</v>
      </c>
      <c r="WGY285" s="18">
        <v>0</v>
      </c>
      <c r="WGZ285" s="18">
        <v>0</v>
      </c>
      <c r="WHA285" s="18">
        <v>0</v>
      </c>
      <c r="WHB285" s="18">
        <v>0</v>
      </c>
      <c r="WHC285" s="18">
        <v>0</v>
      </c>
      <c r="WHD285" s="18">
        <v>0</v>
      </c>
      <c r="WHE285" s="18">
        <v>0</v>
      </c>
      <c r="WHF285" s="18">
        <v>0</v>
      </c>
      <c r="WHG285" s="18">
        <v>0</v>
      </c>
      <c r="WHH285" s="18">
        <v>0</v>
      </c>
      <c r="WHI285" s="18">
        <v>0</v>
      </c>
      <c r="WHJ285" s="18">
        <v>0</v>
      </c>
      <c r="WHK285" s="18">
        <v>0</v>
      </c>
      <c r="WHL285" s="18">
        <v>0</v>
      </c>
      <c r="WHM285" s="18">
        <v>0</v>
      </c>
      <c r="WHN285" s="18">
        <v>0</v>
      </c>
      <c r="WHO285" s="18">
        <v>0</v>
      </c>
      <c r="WHP285" s="18">
        <v>0</v>
      </c>
      <c r="WHQ285" s="18">
        <v>0</v>
      </c>
      <c r="WHR285" s="18">
        <v>0</v>
      </c>
      <c r="WHS285" s="18">
        <v>0</v>
      </c>
      <c r="WHT285" s="18">
        <v>0</v>
      </c>
      <c r="WHU285" s="18">
        <v>0</v>
      </c>
      <c r="WHV285" s="18">
        <v>0</v>
      </c>
      <c r="WHW285" s="18">
        <v>0</v>
      </c>
      <c r="WHX285" s="18">
        <v>0</v>
      </c>
      <c r="WHY285" s="18">
        <v>0</v>
      </c>
      <c r="WHZ285" s="18">
        <v>0</v>
      </c>
      <c r="WIA285" s="18">
        <v>0</v>
      </c>
      <c r="WIB285" s="18">
        <v>0</v>
      </c>
      <c r="WIC285" s="18">
        <v>0</v>
      </c>
      <c r="WID285" s="18">
        <v>0</v>
      </c>
      <c r="WIE285" s="18">
        <v>0</v>
      </c>
      <c r="WIF285" s="18">
        <v>0</v>
      </c>
      <c r="WIG285" s="18">
        <v>0</v>
      </c>
      <c r="WIH285" s="18">
        <v>0</v>
      </c>
      <c r="WII285" s="18">
        <v>0</v>
      </c>
      <c r="WIJ285" s="18">
        <v>0</v>
      </c>
      <c r="WIK285" s="18">
        <v>0</v>
      </c>
      <c r="WIL285" s="18">
        <v>0</v>
      </c>
      <c r="WIM285" s="18">
        <v>0</v>
      </c>
      <c r="WIN285" s="18">
        <v>0</v>
      </c>
      <c r="WIO285" s="18">
        <v>0</v>
      </c>
      <c r="WIP285" s="18">
        <v>0</v>
      </c>
      <c r="WIQ285" s="18">
        <v>0</v>
      </c>
      <c r="WIR285" s="18">
        <v>0</v>
      </c>
      <c r="WIS285" s="18">
        <v>0</v>
      </c>
      <c r="WIT285" s="18">
        <v>0</v>
      </c>
      <c r="WIU285" s="18">
        <v>0</v>
      </c>
      <c r="WIV285" s="18">
        <v>0</v>
      </c>
      <c r="WIW285" s="18">
        <v>0</v>
      </c>
      <c r="WIX285" s="18">
        <v>0</v>
      </c>
      <c r="WIY285" s="18">
        <v>0</v>
      </c>
      <c r="WIZ285" s="18">
        <v>0</v>
      </c>
      <c r="WJA285" s="18">
        <v>0</v>
      </c>
      <c r="WJB285" s="18">
        <v>0</v>
      </c>
      <c r="WJC285" s="18">
        <v>0</v>
      </c>
      <c r="WJD285" s="18">
        <v>0</v>
      </c>
      <c r="WJE285" s="18">
        <v>0</v>
      </c>
      <c r="WJF285" s="18">
        <v>0</v>
      </c>
      <c r="WJG285" s="18">
        <v>0</v>
      </c>
      <c r="WJH285" s="18">
        <v>0</v>
      </c>
      <c r="WJI285" s="18">
        <v>0</v>
      </c>
      <c r="WJJ285" s="18">
        <v>0</v>
      </c>
      <c r="WJK285" s="18">
        <v>0</v>
      </c>
      <c r="WJL285" s="18">
        <v>0</v>
      </c>
      <c r="WJM285" s="18">
        <v>0</v>
      </c>
      <c r="WJN285" s="18">
        <v>0</v>
      </c>
      <c r="WJO285" s="18">
        <v>0</v>
      </c>
      <c r="WJP285" s="18">
        <v>0</v>
      </c>
      <c r="WJQ285" s="18">
        <v>0</v>
      </c>
      <c r="WJR285" s="18">
        <v>0</v>
      </c>
      <c r="WJS285" s="18">
        <v>0</v>
      </c>
      <c r="WJT285" s="18">
        <v>0</v>
      </c>
      <c r="WJU285" s="18">
        <v>0</v>
      </c>
      <c r="WJV285" s="18">
        <v>0</v>
      </c>
      <c r="WJW285" s="18">
        <v>0</v>
      </c>
      <c r="WJX285" s="18">
        <v>0</v>
      </c>
      <c r="WJY285" s="18">
        <v>0</v>
      </c>
      <c r="WJZ285" s="18">
        <v>0</v>
      </c>
      <c r="WKA285" s="18">
        <v>0</v>
      </c>
      <c r="WKB285" s="18">
        <v>0</v>
      </c>
      <c r="WKC285" s="18">
        <v>0</v>
      </c>
      <c r="WKD285" s="18">
        <v>0</v>
      </c>
      <c r="WKE285" s="18">
        <v>0</v>
      </c>
      <c r="WKF285" s="18">
        <v>0</v>
      </c>
      <c r="WKG285" s="18">
        <v>0</v>
      </c>
      <c r="WKH285" s="18">
        <v>0</v>
      </c>
      <c r="WKI285" s="18">
        <v>0</v>
      </c>
      <c r="WKJ285" s="18">
        <v>0</v>
      </c>
      <c r="WKK285" s="18">
        <v>0</v>
      </c>
      <c r="WKL285" s="18">
        <v>0</v>
      </c>
      <c r="WKM285" s="18">
        <v>0</v>
      </c>
      <c r="WKN285" s="18">
        <v>0</v>
      </c>
      <c r="WKO285" s="18">
        <v>0</v>
      </c>
      <c r="WKP285" s="18">
        <v>0</v>
      </c>
      <c r="WKQ285" s="18">
        <v>0</v>
      </c>
      <c r="WKR285" s="18">
        <v>0</v>
      </c>
      <c r="WKS285" s="18">
        <v>0</v>
      </c>
      <c r="WKT285" s="18">
        <v>0</v>
      </c>
      <c r="WKU285" s="18">
        <v>0</v>
      </c>
      <c r="WKV285" s="18">
        <v>0</v>
      </c>
      <c r="WKW285" s="18">
        <v>0</v>
      </c>
      <c r="WKX285" s="18">
        <v>0</v>
      </c>
      <c r="WKY285" s="18">
        <v>0</v>
      </c>
      <c r="WKZ285" s="18">
        <v>0</v>
      </c>
      <c r="WLA285" s="18">
        <v>0</v>
      </c>
      <c r="WLB285" s="18">
        <v>0</v>
      </c>
      <c r="WLC285" s="18">
        <v>0</v>
      </c>
      <c r="WLD285" s="18">
        <v>0</v>
      </c>
      <c r="WLE285" s="18">
        <v>0</v>
      </c>
      <c r="WLF285" s="18">
        <v>0</v>
      </c>
      <c r="WLG285" s="18">
        <v>0</v>
      </c>
      <c r="WLH285" s="18">
        <v>0</v>
      </c>
      <c r="WLI285" s="18">
        <v>0</v>
      </c>
      <c r="WLJ285" s="18">
        <v>0</v>
      </c>
      <c r="WLK285" s="18">
        <v>0</v>
      </c>
      <c r="WLL285" s="18">
        <v>0</v>
      </c>
      <c r="WLM285" s="18">
        <v>0</v>
      </c>
      <c r="WLN285" s="18">
        <v>0</v>
      </c>
      <c r="WLO285" s="18">
        <v>0</v>
      </c>
      <c r="WLP285" s="18">
        <v>0</v>
      </c>
      <c r="WLQ285" s="18">
        <v>0</v>
      </c>
      <c r="WLR285" s="18">
        <v>0</v>
      </c>
      <c r="WLS285" s="18">
        <v>0</v>
      </c>
      <c r="WLT285" s="18">
        <v>0</v>
      </c>
      <c r="WLU285" s="18">
        <v>0</v>
      </c>
      <c r="WLV285" s="18">
        <v>0</v>
      </c>
      <c r="WLW285" s="18">
        <v>0</v>
      </c>
      <c r="WLX285" s="18">
        <v>0</v>
      </c>
      <c r="WLY285" s="18">
        <v>0</v>
      </c>
      <c r="WLZ285" s="18">
        <v>0</v>
      </c>
      <c r="WMA285" s="18">
        <v>0</v>
      </c>
      <c r="WMB285" s="18">
        <v>0</v>
      </c>
      <c r="WMC285" s="18">
        <v>0</v>
      </c>
      <c r="WMD285" s="18">
        <v>0</v>
      </c>
      <c r="WME285" s="18">
        <v>0</v>
      </c>
      <c r="WMF285" s="18">
        <v>0</v>
      </c>
      <c r="WMG285" s="18">
        <v>0</v>
      </c>
      <c r="WMH285" s="18">
        <v>0</v>
      </c>
      <c r="WMI285" s="18">
        <v>0</v>
      </c>
      <c r="WMJ285" s="18">
        <v>0</v>
      </c>
      <c r="WMK285" s="18">
        <v>0</v>
      </c>
      <c r="WML285" s="18">
        <v>0</v>
      </c>
      <c r="WMM285" s="18">
        <v>0</v>
      </c>
      <c r="WMN285" s="18">
        <v>0</v>
      </c>
      <c r="WMO285" s="18">
        <v>0</v>
      </c>
      <c r="WMP285" s="18">
        <v>0</v>
      </c>
      <c r="WMQ285" s="18">
        <v>0</v>
      </c>
      <c r="WMR285" s="18">
        <v>0</v>
      </c>
      <c r="WMS285" s="18">
        <v>0</v>
      </c>
      <c r="WMT285" s="18">
        <v>0</v>
      </c>
      <c r="WMU285" s="18">
        <v>0</v>
      </c>
      <c r="WMV285" s="18">
        <v>0</v>
      </c>
      <c r="WMW285" s="18">
        <v>0</v>
      </c>
      <c r="WMX285" s="18">
        <v>0</v>
      </c>
      <c r="WMY285" s="18">
        <v>0</v>
      </c>
      <c r="WMZ285" s="18">
        <v>0</v>
      </c>
      <c r="WNA285" s="18">
        <v>0</v>
      </c>
      <c r="WNB285" s="18">
        <v>0</v>
      </c>
      <c r="WNC285" s="18">
        <v>0</v>
      </c>
      <c r="WND285" s="18">
        <v>0</v>
      </c>
      <c r="WNE285" s="18">
        <v>0</v>
      </c>
      <c r="WNF285" s="18">
        <v>0</v>
      </c>
      <c r="WNG285" s="18">
        <v>0</v>
      </c>
      <c r="WNH285" s="18">
        <v>0</v>
      </c>
      <c r="WNI285" s="18">
        <v>0</v>
      </c>
      <c r="WNJ285" s="18">
        <v>0</v>
      </c>
      <c r="WNK285" s="18">
        <v>0</v>
      </c>
      <c r="WNL285" s="18">
        <v>0</v>
      </c>
      <c r="WNM285" s="18">
        <v>0</v>
      </c>
      <c r="WNN285" s="18">
        <v>0</v>
      </c>
      <c r="WNO285" s="18">
        <v>0</v>
      </c>
      <c r="WNP285" s="18">
        <v>0</v>
      </c>
      <c r="WNQ285" s="18">
        <v>0</v>
      </c>
      <c r="WNR285" s="18">
        <v>0</v>
      </c>
      <c r="WNS285" s="18">
        <v>0</v>
      </c>
      <c r="WNT285" s="18">
        <v>0</v>
      </c>
      <c r="WNU285" s="18">
        <v>0</v>
      </c>
      <c r="WNV285" s="18">
        <v>0</v>
      </c>
      <c r="WNW285" s="18">
        <v>0</v>
      </c>
      <c r="WNX285" s="18">
        <v>0</v>
      </c>
      <c r="WNY285" s="18">
        <v>0</v>
      </c>
      <c r="WNZ285" s="18">
        <v>0</v>
      </c>
      <c r="WOA285" s="18">
        <v>0</v>
      </c>
      <c r="WOB285" s="18">
        <v>0</v>
      </c>
      <c r="WOC285" s="18">
        <v>0</v>
      </c>
      <c r="WOD285" s="18">
        <v>0</v>
      </c>
      <c r="WOE285" s="18">
        <v>0</v>
      </c>
      <c r="WOF285" s="18">
        <v>0</v>
      </c>
      <c r="WOG285" s="18">
        <v>0</v>
      </c>
      <c r="WOH285" s="18">
        <v>0</v>
      </c>
      <c r="WOI285" s="18">
        <v>0</v>
      </c>
      <c r="WOJ285" s="18">
        <v>0</v>
      </c>
      <c r="WOK285" s="18">
        <v>0</v>
      </c>
      <c r="WOL285" s="18">
        <v>0</v>
      </c>
      <c r="WOM285" s="18">
        <v>0</v>
      </c>
      <c r="WON285" s="18">
        <v>0</v>
      </c>
      <c r="WOO285" s="18">
        <v>0</v>
      </c>
      <c r="WOP285" s="18">
        <v>0</v>
      </c>
      <c r="WOQ285" s="18">
        <v>0</v>
      </c>
      <c r="WOR285" s="18">
        <v>0</v>
      </c>
      <c r="WOS285" s="18">
        <v>0</v>
      </c>
      <c r="WOT285" s="18">
        <v>0</v>
      </c>
      <c r="WOU285" s="18">
        <v>0</v>
      </c>
      <c r="WOV285" s="18">
        <v>0</v>
      </c>
      <c r="WOW285" s="18">
        <v>0</v>
      </c>
      <c r="WOX285" s="18">
        <v>0</v>
      </c>
      <c r="WOY285" s="18">
        <v>0</v>
      </c>
      <c r="WOZ285" s="18">
        <v>0</v>
      </c>
      <c r="WPA285" s="18">
        <v>0</v>
      </c>
      <c r="WPB285" s="18">
        <v>0</v>
      </c>
      <c r="WPC285" s="18">
        <v>0</v>
      </c>
      <c r="WPD285" s="18">
        <v>0</v>
      </c>
      <c r="WPE285" s="18">
        <v>0</v>
      </c>
      <c r="WPF285" s="18">
        <v>0</v>
      </c>
      <c r="WPG285" s="18">
        <v>0</v>
      </c>
      <c r="WPH285" s="18">
        <v>0</v>
      </c>
      <c r="WPI285" s="18">
        <v>0</v>
      </c>
      <c r="WPJ285" s="18">
        <v>0</v>
      </c>
      <c r="WPK285" s="18">
        <v>0</v>
      </c>
      <c r="WPL285" s="18">
        <v>0</v>
      </c>
      <c r="WPM285" s="18">
        <v>0</v>
      </c>
      <c r="WPN285" s="18">
        <v>0</v>
      </c>
      <c r="WPO285" s="18">
        <v>0</v>
      </c>
      <c r="WPP285" s="18">
        <v>0</v>
      </c>
      <c r="WPQ285" s="18">
        <v>0</v>
      </c>
      <c r="WPR285" s="18">
        <v>0</v>
      </c>
      <c r="WPS285" s="18">
        <v>0</v>
      </c>
      <c r="WPT285" s="18">
        <v>0</v>
      </c>
      <c r="WPU285" s="18">
        <v>0</v>
      </c>
      <c r="WPV285" s="18">
        <v>0</v>
      </c>
      <c r="WPW285" s="18">
        <v>0</v>
      </c>
      <c r="WPX285" s="18">
        <v>0</v>
      </c>
      <c r="WPY285" s="18">
        <v>0</v>
      </c>
      <c r="WPZ285" s="18">
        <v>0</v>
      </c>
      <c r="WQA285" s="18">
        <v>0</v>
      </c>
      <c r="WQB285" s="18">
        <v>0</v>
      </c>
      <c r="WQC285" s="18">
        <v>0</v>
      </c>
      <c r="WQD285" s="18">
        <v>0</v>
      </c>
      <c r="WQE285" s="18">
        <v>0</v>
      </c>
      <c r="WQF285" s="18">
        <v>0</v>
      </c>
      <c r="WQG285" s="18">
        <v>0</v>
      </c>
      <c r="WQH285" s="18">
        <v>0</v>
      </c>
      <c r="WQI285" s="18">
        <v>0</v>
      </c>
      <c r="WQJ285" s="18">
        <v>0</v>
      </c>
      <c r="WQK285" s="18">
        <v>0</v>
      </c>
      <c r="WQL285" s="18">
        <v>0</v>
      </c>
      <c r="WQM285" s="18">
        <v>0</v>
      </c>
      <c r="WQN285" s="18">
        <v>0</v>
      </c>
      <c r="WQO285" s="18">
        <v>0</v>
      </c>
      <c r="WQP285" s="18">
        <v>0</v>
      </c>
      <c r="WQQ285" s="18">
        <v>0</v>
      </c>
      <c r="WQR285" s="18">
        <v>0</v>
      </c>
      <c r="WQS285" s="18">
        <v>0</v>
      </c>
      <c r="WQT285" s="18">
        <v>0</v>
      </c>
      <c r="WQU285" s="18">
        <v>0</v>
      </c>
      <c r="WQV285" s="18">
        <v>0</v>
      </c>
      <c r="WQW285" s="18">
        <v>0</v>
      </c>
      <c r="WQX285" s="18">
        <v>0</v>
      </c>
      <c r="WQY285" s="18">
        <v>0</v>
      </c>
      <c r="WQZ285" s="18">
        <v>0</v>
      </c>
      <c r="WRA285" s="18">
        <v>0</v>
      </c>
      <c r="WRB285" s="18">
        <v>0</v>
      </c>
      <c r="WRC285" s="18">
        <v>0</v>
      </c>
      <c r="WRD285" s="18">
        <v>0</v>
      </c>
      <c r="WRE285" s="18">
        <v>0</v>
      </c>
      <c r="WRF285" s="18">
        <v>0</v>
      </c>
      <c r="WRG285" s="18">
        <v>0</v>
      </c>
      <c r="WRH285" s="18">
        <v>0</v>
      </c>
      <c r="WRI285" s="18">
        <v>0</v>
      </c>
      <c r="WRJ285" s="18">
        <v>0</v>
      </c>
      <c r="WRK285" s="18">
        <v>0</v>
      </c>
      <c r="WRL285" s="18">
        <v>0</v>
      </c>
      <c r="WRM285" s="18">
        <v>0</v>
      </c>
      <c r="WRN285" s="18">
        <v>0</v>
      </c>
      <c r="WRO285" s="18">
        <v>0</v>
      </c>
      <c r="WRP285" s="18">
        <v>0</v>
      </c>
      <c r="WRQ285" s="18">
        <v>0</v>
      </c>
      <c r="WRR285" s="18">
        <v>0</v>
      </c>
      <c r="WRS285" s="18">
        <v>0</v>
      </c>
      <c r="WRT285" s="18">
        <v>0</v>
      </c>
      <c r="WRU285" s="18">
        <v>0</v>
      </c>
      <c r="WRV285" s="18">
        <v>0</v>
      </c>
      <c r="WRW285" s="18">
        <v>0</v>
      </c>
      <c r="WRX285" s="18">
        <v>0</v>
      </c>
      <c r="WRY285" s="18">
        <v>0</v>
      </c>
      <c r="WRZ285" s="18">
        <v>0</v>
      </c>
      <c r="WSA285" s="18">
        <v>0</v>
      </c>
      <c r="WSB285" s="18">
        <v>0</v>
      </c>
      <c r="WSC285" s="18">
        <v>0</v>
      </c>
      <c r="WSD285" s="18">
        <v>0</v>
      </c>
      <c r="WSE285" s="18">
        <v>0</v>
      </c>
      <c r="WSF285" s="18">
        <v>0</v>
      </c>
      <c r="WSG285" s="18">
        <v>0</v>
      </c>
      <c r="WSH285" s="18">
        <v>0</v>
      </c>
      <c r="WSI285" s="18">
        <v>0</v>
      </c>
      <c r="WSJ285" s="18">
        <v>0</v>
      </c>
      <c r="WSK285" s="18">
        <v>0</v>
      </c>
      <c r="WSL285" s="18">
        <v>0</v>
      </c>
      <c r="WSM285" s="18">
        <v>0</v>
      </c>
      <c r="WSN285" s="18">
        <v>0</v>
      </c>
      <c r="WSO285" s="18">
        <v>0</v>
      </c>
      <c r="WSP285" s="18">
        <v>0</v>
      </c>
      <c r="WSQ285" s="18">
        <v>0</v>
      </c>
      <c r="WSR285" s="18">
        <v>0</v>
      </c>
      <c r="WSS285" s="18">
        <v>0</v>
      </c>
      <c r="WST285" s="18">
        <v>0</v>
      </c>
      <c r="WSU285" s="18">
        <v>0</v>
      </c>
      <c r="WSV285" s="18">
        <v>0</v>
      </c>
      <c r="WSW285" s="18">
        <v>0</v>
      </c>
      <c r="WSX285" s="18">
        <v>0</v>
      </c>
      <c r="WSY285" s="18">
        <v>0</v>
      </c>
      <c r="WSZ285" s="18">
        <v>0</v>
      </c>
      <c r="WTA285" s="18">
        <v>0</v>
      </c>
      <c r="WTB285" s="18">
        <v>0</v>
      </c>
      <c r="WTC285" s="18">
        <v>0</v>
      </c>
      <c r="WTD285" s="18">
        <v>0</v>
      </c>
      <c r="WTE285" s="18">
        <v>0</v>
      </c>
      <c r="WTF285" s="18">
        <v>0</v>
      </c>
      <c r="WTG285" s="18">
        <v>0</v>
      </c>
      <c r="WTH285" s="18">
        <v>0</v>
      </c>
      <c r="WTI285" s="18">
        <v>0</v>
      </c>
      <c r="WTJ285" s="18">
        <v>0</v>
      </c>
      <c r="WTK285" s="18">
        <v>0</v>
      </c>
      <c r="WTL285" s="18">
        <v>0</v>
      </c>
      <c r="WTM285" s="18">
        <v>0</v>
      </c>
      <c r="WTN285" s="18">
        <v>0</v>
      </c>
      <c r="WTO285" s="18">
        <v>0</v>
      </c>
      <c r="WTP285" s="18">
        <v>0</v>
      </c>
      <c r="WTQ285" s="18">
        <v>0</v>
      </c>
      <c r="WTR285" s="18">
        <v>0</v>
      </c>
      <c r="WTS285" s="18">
        <v>0</v>
      </c>
      <c r="WTT285" s="18">
        <v>0</v>
      </c>
      <c r="WTU285" s="18">
        <v>0</v>
      </c>
      <c r="WTV285" s="18">
        <v>0</v>
      </c>
      <c r="WTW285" s="18">
        <v>0</v>
      </c>
      <c r="WTX285" s="18">
        <v>0</v>
      </c>
      <c r="WTY285" s="18">
        <v>0</v>
      </c>
      <c r="WTZ285" s="18">
        <v>0</v>
      </c>
      <c r="WUA285" s="18">
        <v>0</v>
      </c>
      <c r="WUB285" s="18">
        <v>0</v>
      </c>
      <c r="WUC285" s="18">
        <v>0</v>
      </c>
      <c r="WUD285" s="18">
        <v>0</v>
      </c>
      <c r="WUE285" s="18">
        <v>0</v>
      </c>
      <c r="WUF285" s="18">
        <v>0</v>
      </c>
      <c r="WUG285" s="18">
        <v>0</v>
      </c>
      <c r="WUH285" s="18">
        <v>0</v>
      </c>
      <c r="WUI285" s="18">
        <v>0</v>
      </c>
      <c r="WUJ285" s="18">
        <v>0</v>
      </c>
      <c r="WUK285" s="18">
        <v>0</v>
      </c>
      <c r="WUL285" s="18">
        <v>0</v>
      </c>
      <c r="WUM285" s="18">
        <v>0</v>
      </c>
      <c r="WUN285" s="18">
        <v>0</v>
      </c>
      <c r="WUO285" s="18">
        <v>0</v>
      </c>
      <c r="WUP285" s="18">
        <v>0</v>
      </c>
      <c r="WUQ285" s="18">
        <v>0</v>
      </c>
      <c r="WUR285" s="18">
        <v>0</v>
      </c>
      <c r="WUS285" s="18">
        <v>0</v>
      </c>
      <c r="WUT285" s="18">
        <v>0</v>
      </c>
      <c r="WUU285" s="18">
        <v>0</v>
      </c>
      <c r="WUV285" s="18">
        <v>0</v>
      </c>
      <c r="WUW285" s="18">
        <v>0</v>
      </c>
      <c r="WUX285" s="18">
        <v>0</v>
      </c>
      <c r="WUY285" s="18">
        <v>0</v>
      </c>
      <c r="WUZ285" s="18">
        <v>0</v>
      </c>
      <c r="WVA285" s="18">
        <v>0</v>
      </c>
      <c r="WVB285" s="18">
        <v>0</v>
      </c>
      <c r="WVC285" s="18">
        <v>0</v>
      </c>
      <c r="WVD285" s="18">
        <v>0</v>
      </c>
      <c r="WVE285" s="18">
        <v>0</v>
      </c>
      <c r="WVF285" s="18">
        <v>0</v>
      </c>
      <c r="WVG285" s="18">
        <v>0</v>
      </c>
      <c r="WVH285" s="18">
        <v>0</v>
      </c>
      <c r="WVI285" s="18">
        <v>0</v>
      </c>
      <c r="WVJ285" s="18">
        <v>0</v>
      </c>
      <c r="WVK285" s="18">
        <v>0</v>
      </c>
      <c r="WVL285" s="18">
        <v>0</v>
      </c>
      <c r="WVM285" s="18">
        <v>0</v>
      </c>
      <c r="WVN285" s="18">
        <v>0</v>
      </c>
      <c r="WVO285" s="18">
        <v>0</v>
      </c>
      <c r="WVP285" s="18">
        <v>0</v>
      </c>
      <c r="WVQ285" s="18">
        <v>0</v>
      </c>
      <c r="WVR285" s="18">
        <v>0</v>
      </c>
      <c r="WVS285" s="18">
        <v>0</v>
      </c>
      <c r="WVT285" s="18">
        <v>0</v>
      </c>
      <c r="WVU285" s="18">
        <v>0</v>
      </c>
      <c r="WVV285" s="18">
        <v>0</v>
      </c>
      <c r="WVW285" s="18">
        <v>0</v>
      </c>
      <c r="WVX285" s="18">
        <v>0</v>
      </c>
      <c r="WVY285" s="18">
        <v>0</v>
      </c>
      <c r="WVZ285" s="18">
        <v>0</v>
      </c>
      <c r="WWA285" s="18">
        <v>0</v>
      </c>
      <c r="WWB285" s="18">
        <v>0</v>
      </c>
      <c r="WWC285" s="18">
        <v>0</v>
      </c>
      <c r="WWD285" s="18">
        <v>0</v>
      </c>
      <c r="WWE285" s="18">
        <v>0</v>
      </c>
      <c r="WWF285" s="18">
        <v>0</v>
      </c>
      <c r="WWG285" s="18">
        <v>0</v>
      </c>
      <c r="WWH285" s="18">
        <v>0</v>
      </c>
      <c r="WWI285" s="18">
        <v>0</v>
      </c>
      <c r="WWJ285" s="18">
        <v>0</v>
      </c>
      <c r="WWK285" s="18">
        <v>0</v>
      </c>
      <c r="WWL285" s="18">
        <v>0</v>
      </c>
      <c r="WWM285" s="18">
        <v>0</v>
      </c>
      <c r="WWN285" s="18">
        <v>0</v>
      </c>
      <c r="WWO285" s="18">
        <v>0</v>
      </c>
      <c r="WWP285" s="18">
        <v>0</v>
      </c>
      <c r="WWQ285" s="18">
        <v>0</v>
      </c>
      <c r="WWR285" s="18">
        <v>0</v>
      </c>
      <c r="WWS285" s="18">
        <v>0</v>
      </c>
      <c r="WWT285" s="18">
        <v>0</v>
      </c>
      <c r="WWU285" s="18">
        <v>0</v>
      </c>
      <c r="WWV285" s="18">
        <v>0</v>
      </c>
      <c r="WWW285" s="18">
        <v>0</v>
      </c>
      <c r="WWX285" s="18">
        <v>0</v>
      </c>
      <c r="WWY285" s="18">
        <v>0</v>
      </c>
      <c r="WWZ285" s="18">
        <v>0</v>
      </c>
      <c r="WXA285" s="18">
        <v>0</v>
      </c>
      <c r="WXB285" s="18">
        <v>0</v>
      </c>
      <c r="WXC285" s="18">
        <v>0</v>
      </c>
      <c r="WXD285" s="18">
        <v>0</v>
      </c>
      <c r="WXE285" s="18">
        <v>0</v>
      </c>
      <c r="WXF285" s="18">
        <v>0</v>
      </c>
      <c r="WXG285" s="18">
        <v>0</v>
      </c>
      <c r="WXH285" s="18">
        <v>0</v>
      </c>
      <c r="WXI285" s="18">
        <v>0</v>
      </c>
      <c r="WXJ285" s="18">
        <v>0</v>
      </c>
      <c r="WXK285" s="18">
        <v>0</v>
      </c>
      <c r="WXL285" s="18">
        <v>0</v>
      </c>
      <c r="WXM285" s="18">
        <v>0</v>
      </c>
      <c r="WXN285" s="18">
        <v>0</v>
      </c>
      <c r="WXO285" s="18">
        <v>0</v>
      </c>
      <c r="WXP285" s="18">
        <v>0</v>
      </c>
      <c r="WXQ285" s="18">
        <v>0</v>
      </c>
      <c r="WXR285" s="18">
        <v>0</v>
      </c>
      <c r="WXS285" s="18">
        <v>0</v>
      </c>
      <c r="WXT285" s="18">
        <v>0</v>
      </c>
      <c r="WXU285" s="18">
        <v>0</v>
      </c>
      <c r="WXV285" s="18">
        <v>0</v>
      </c>
      <c r="WXW285" s="18">
        <v>0</v>
      </c>
      <c r="WXX285" s="18">
        <v>0</v>
      </c>
      <c r="WXY285" s="18">
        <v>0</v>
      </c>
      <c r="WXZ285" s="18">
        <v>0</v>
      </c>
      <c r="WYA285" s="18">
        <v>0</v>
      </c>
      <c r="WYB285" s="18">
        <v>0</v>
      </c>
      <c r="WYC285" s="18">
        <v>0</v>
      </c>
      <c r="WYD285" s="18">
        <v>0</v>
      </c>
      <c r="WYE285" s="18">
        <v>0</v>
      </c>
      <c r="WYF285" s="18">
        <v>0</v>
      </c>
      <c r="WYG285" s="18">
        <v>0</v>
      </c>
      <c r="WYH285" s="18">
        <v>0</v>
      </c>
      <c r="WYI285" s="18">
        <v>0</v>
      </c>
      <c r="WYJ285" s="18">
        <v>0</v>
      </c>
      <c r="WYK285" s="18">
        <v>0</v>
      </c>
      <c r="WYL285" s="18">
        <v>0</v>
      </c>
      <c r="WYM285" s="18">
        <v>0</v>
      </c>
      <c r="WYN285" s="18">
        <v>0</v>
      </c>
      <c r="WYO285" s="18">
        <v>0</v>
      </c>
      <c r="WYP285" s="18">
        <v>0</v>
      </c>
      <c r="WYQ285" s="18">
        <v>0</v>
      </c>
      <c r="WYR285" s="18">
        <v>0</v>
      </c>
      <c r="WYS285" s="18">
        <v>0</v>
      </c>
      <c r="WYT285" s="18">
        <v>0</v>
      </c>
      <c r="WYU285" s="18">
        <v>0</v>
      </c>
      <c r="WYV285" s="18">
        <v>0</v>
      </c>
      <c r="WYW285" s="18">
        <v>0</v>
      </c>
      <c r="WYX285" s="18">
        <v>0</v>
      </c>
      <c r="WYY285" s="18">
        <v>0</v>
      </c>
      <c r="WYZ285" s="18">
        <v>0</v>
      </c>
      <c r="WZA285" s="18">
        <v>0</v>
      </c>
      <c r="WZB285" s="18">
        <v>0</v>
      </c>
      <c r="WZC285" s="18">
        <v>0</v>
      </c>
      <c r="WZD285" s="18">
        <v>0</v>
      </c>
      <c r="WZE285" s="18">
        <v>0</v>
      </c>
      <c r="WZF285" s="18">
        <v>0</v>
      </c>
      <c r="WZG285" s="18">
        <v>0</v>
      </c>
      <c r="WZH285" s="18">
        <v>0</v>
      </c>
      <c r="WZI285" s="18">
        <v>0</v>
      </c>
      <c r="WZJ285" s="18">
        <v>0</v>
      </c>
      <c r="WZK285" s="18">
        <v>0</v>
      </c>
      <c r="WZL285" s="18">
        <v>0</v>
      </c>
      <c r="WZM285" s="18">
        <v>0</v>
      </c>
      <c r="WZN285" s="18">
        <v>0</v>
      </c>
      <c r="WZO285" s="18">
        <v>0</v>
      </c>
      <c r="WZP285" s="18">
        <v>0</v>
      </c>
      <c r="WZQ285" s="18">
        <v>0</v>
      </c>
      <c r="WZR285" s="18">
        <v>0</v>
      </c>
      <c r="WZS285" s="18">
        <v>0</v>
      </c>
      <c r="WZT285" s="18">
        <v>0</v>
      </c>
      <c r="WZU285" s="18">
        <v>0</v>
      </c>
      <c r="WZV285" s="18">
        <v>0</v>
      </c>
      <c r="WZW285" s="18">
        <v>0</v>
      </c>
      <c r="WZX285" s="18">
        <v>0</v>
      </c>
      <c r="WZY285" s="18">
        <v>0</v>
      </c>
      <c r="WZZ285" s="18">
        <v>0</v>
      </c>
      <c r="XAA285" s="18">
        <v>0</v>
      </c>
      <c r="XAB285" s="18">
        <v>0</v>
      </c>
      <c r="XAC285" s="18">
        <v>0</v>
      </c>
      <c r="XAD285" s="18">
        <v>0</v>
      </c>
      <c r="XAE285" s="18">
        <v>0</v>
      </c>
      <c r="XAF285" s="18">
        <v>0</v>
      </c>
      <c r="XAG285" s="18">
        <v>0</v>
      </c>
      <c r="XAH285" s="18">
        <v>0</v>
      </c>
      <c r="XAI285" s="18">
        <v>0</v>
      </c>
      <c r="XAJ285" s="18">
        <v>0</v>
      </c>
      <c r="XAK285" s="18">
        <v>0</v>
      </c>
      <c r="XAL285" s="18">
        <v>0</v>
      </c>
      <c r="XAM285" s="18">
        <v>0</v>
      </c>
      <c r="XAN285" s="18">
        <v>0</v>
      </c>
      <c r="XAO285" s="18">
        <v>0</v>
      </c>
      <c r="XAP285" s="18">
        <v>0</v>
      </c>
      <c r="XAQ285" s="18">
        <v>0</v>
      </c>
      <c r="XAR285" s="18">
        <v>0</v>
      </c>
      <c r="XAS285" s="18">
        <v>0</v>
      </c>
      <c r="XAT285" s="18">
        <v>0</v>
      </c>
      <c r="XAU285" s="18">
        <v>0</v>
      </c>
      <c r="XAV285" s="18">
        <v>0</v>
      </c>
      <c r="XAW285" s="18">
        <v>0</v>
      </c>
      <c r="XAX285" s="18">
        <v>0</v>
      </c>
      <c r="XAY285" s="18">
        <v>0</v>
      </c>
      <c r="XAZ285" s="18">
        <v>0</v>
      </c>
      <c r="XBA285" s="18">
        <v>0</v>
      </c>
      <c r="XBB285" s="18">
        <v>0</v>
      </c>
      <c r="XBC285" s="18">
        <v>0</v>
      </c>
      <c r="XBD285" s="18">
        <v>0</v>
      </c>
      <c r="XBE285" s="18">
        <v>0</v>
      </c>
      <c r="XBF285" s="18">
        <v>0</v>
      </c>
      <c r="XBG285" s="18">
        <v>0</v>
      </c>
      <c r="XBH285" s="18">
        <v>0</v>
      </c>
      <c r="XBI285" s="18">
        <v>0</v>
      </c>
      <c r="XBJ285" s="18">
        <v>0</v>
      </c>
      <c r="XBK285" s="18">
        <v>0</v>
      </c>
      <c r="XBL285" s="18">
        <v>0</v>
      </c>
      <c r="XBM285" s="18">
        <v>0</v>
      </c>
      <c r="XBN285" s="18">
        <v>0</v>
      </c>
      <c r="XBO285" s="18">
        <v>0</v>
      </c>
      <c r="XBP285" s="18">
        <v>0</v>
      </c>
      <c r="XBQ285" s="18">
        <v>0</v>
      </c>
      <c r="XBR285" s="18">
        <v>0</v>
      </c>
      <c r="XBS285" s="18">
        <v>0</v>
      </c>
      <c r="XBT285" s="18">
        <v>0</v>
      </c>
      <c r="XBU285" s="18">
        <v>0</v>
      </c>
      <c r="XBV285" s="18">
        <v>0</v>
      </c>
      <c r="XBW285" s="18">
        <v>0</v>
      </c>
      <c r="XBX285" s="18">
        <v>0</v>
      </c>
      <c r="XBY285" s="18">
        <v>0</v>
      </c>
      <c r="XBZ285" s="18">
        <v>0</v>
      </c>
      <c r="XCA285" s="18">
        <v>0</v>
      </c>
      <c r="XCB285" s="18">
        <v>0</v>
      </c>
      <c r="XCC285" s="18">
        <v>0</v>
      </c>
      <c r="XCD285" s="18">
        <v>0</v>
      </c>
      <c r="XCE285" s="18">
        <v>0</v>
      </c>
      <c r="XCF285" s="18">
        <v>0</v>
      </c>
      <c r="XCG285" s="18">
        <v>0</v>
      </c>
      <c r="XCH285" s="18">
        <v>0</v>
      </c>
      <c r="XCI285" s="18">
        <v>0</v>
      </c>
      <c r="XCJ285" s="18">
        <v>0</v>
      </c>
      <c r="XCK285" s="18">
        <v>0</v>
      </c>
      <c r="XCL285" s="18">
        <v>0</v>
      </c>
      <c r="XCM285" s="18">
        <v>0</v>
      </c>
      <c r="XCN285" s="18">
        <v>0</v>
      </c>
      <c r="XCO285" s="18">
        <v>0</v>
      </c>
      <c r="XCP285" s="18">
        <v>0</v>
      </c>
      <c r="XCQ285" s="18">
        <v>0</v>
      </c>
      <c r="XCR285" s="18">
        <v>0</v>
      </c>
      <c r="XCS285" s="18">
        <v>0</v>
      </c>
      <c r="XCT285" s="18">
        <v>0</v>
      </c>
      <c r="XCU285" s="18">
        <v>0</v>
      </c>
      <c r="XCV285" s="18">
        <v>0</v>
      </c>
      <c r="XCW285" s="18">
        <v>0</v>
      </c>
      <c r="XCX285" s="18">
        <v>0</v>
      </c>
      <c r="XCY285" s="18">
        <v>0</v>
      </c>
      <c r="XCZ285" s="18">
        <v>0</v>
      </c>
      <c r="XDA285" s="18">
        <v>0</v>
      </c>
      <c r="XDB285" s="18">
        <v>0</v>
      </c>
      <c r="XDC285" s="18">
        <v>0</v>
      </c>
      <c r="XDD285" s="18">
        <v>0</v>
      </c>
      <c r="XDE285" s="18">
        <v>0</v>
      </c>
      <c r="XDF285" s="18">
        <v>0</v>
      </c>
      <c r="XDG285" s="18">
        <v>0</v>
      </c>
      <c r="XDH285" s="18">
        <v>0</v>
      </c>
      <c r="XDI285" s="18">
        <v>0</v>
      </c>
      <c r="XDJ285" s="18">
        <v>0</v>
      </c>
      <c r="XDK285" s="18">
        <v>0</v>
      </c>
      <c r="XDL285" s="18">
        <v>0</v>
      </c>
      <c r="XDM285" s="18">
        <v>0</v>
      </c>
      <c r="XDN285" s="18">
        <v>0</v>
      </c>
      <c r="XDO285" s="18">
        <v>0</v>
      </c>
      <c r="XDP285" s="18">
        <v>0</v>
      </c>
      <c r="XDQ285" s="18">
        <v>0</v>
      </c>
      <c r="XDR285" s="18">
        <v>0</v>
      </c>
      <c r="XDS285" s="18">
        <v>0</v>
      </c>
      <c r="XDT285" s="18">
        <v>0</v>
      </c>
      <c r="XDU285" s="18">
        <v>0</v>
      </c>
      <c r="XDV285" s="18">
        <v>0</v>
      </c>
      <c r="XDW285" s="18">
        <v>0</v>
      </c>
      <c r="XDX285" s="18">
        <v>0</v>
      </c>
      <c r="XDY285" s="18">
        <v>0</v>
      </c>
      <c r="XDZ285" s="18">
        <v>0</v>
      </c>
      <c r="XEA285" s="18">
        <v>0</v>
      </c>
      <c r="XEB285" s="18">
        <v>0</v>
      </c>
      <c r="XEC285" s="18">
        <v>0</v>
      </c>
      <c r="XED285" s="18">
        <v>0</v>
      </c>
      <c r="XEE285" s="18">
        <v>0</v>
      </c>
      <c r="XEF285" s="18">
        <v>0</v>
      </c>
      <c r="XEG285" s="18">
        <v>0</v>
      </c>
      <c r="XEH285" s="18">
        <v>0</v>
      </c>
      <c r="XEI285" s="18">
        <v>0</v>
      </c>
      <c r="XEJ285" s="18">
        <v>0</v>
      </c>
      <c r="XEK285" s="18">
        <v>0</v>
      </c>
      <c r="XEL285" s="18">
        <v>0</v>
      </c>
      <c r="XEM285" s="18">
        <v>0</v>
      </c>
      <c r="XEN285" s="18">
        <v>0</v>
      </c>
      <c r="XEO285" s="18">
        <v>0</v>
      </c>
      <c r="XEP285" s="18">
        <v>0</v>
      </c>
      <c r="XEQ285" s="18">
        <v>0</v>
      </c>
      <c r="XER285" s="18">
        <v>0</v>
      </c>
      <c r="XES285" s="18">
        <v>0</v>
      </c>
      <c r="XET285" s="18">
        <v>0</v>
      </c>
      <c r="XEU285" s="18">
        <v>0</v>
      </c>
      <c r="XEV285" s="18">
        <v>0</v>
      </c>
      <c r="XEW285" s="18">
        <v>0</v>
      </c>
      <c r="XEX285" s="18">
        <v>0</v>
      </c>
    </row>
  </sheetData>
  <mergeCells count="10">
    <mergeCell ref="R3:R4"/>
    <mergeCell ref="A1:J1"/>
    <mergeCell ref="A3:B3"/>
    <mergeCell ref="C3:D3"/>
    <mergeCell ref="L3:L4"/>
    <mergeCell ref="M3:M4"/>
    <mergeCell ref="N3:N4"/>
    <mergeCell ref="O3:O4"/>
    <mergeCell ref="P3:P4"/>
    <mergeCell ref="Q3:Q4"/>
  </mergeCells>
  <conditionalFormatting sqref="H3">
    <cfRule type="expression" dxfId="1" priority="9">
      <formula>$H$3&lt;0</formula>
    </cfRule>
    <cfRule type="expression" dxfId="0" priority="10">
      <formula>$H$3&gt;0</formula>
    </cfRule>
  </conditionalFormatting>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4</vt:i4>
      </vt:variant>
    </vt:vector>
  </HeadingPairs>
  <TitlesOfParts>
    <vt:vector size="10" baseType="lpstr">
      <vt:lpstr>Menu</vt:lpstr>
      <vt:lpstr>Grafico</vt:lpstr>
      <vt:lpstr>BTC</vt:lpstr>
      <vt:lpstr>ETH</vt:lpstr>
      <vt:lpstr>Config</vt:lpstr>
      <vt:lpstr>Outras info</vt:lpstr>
      <vt:lpstr>Config!cambio</vt:lpstr>
      <vt:lpstr>Config!pt_br</vt:lpstr>
      <vt:lpstr>Config!search?q_dollar_real_client_opera_gx_hs_FHW_sxsrf_ALiCzsZ0JanHrsRFeYJQgHEAbMDHCFhynA_3A1654820205776_ei_bY2iYsb_LrTK1sQP_r2WqAs_oq_dollar_gs_lcp_Cgdnd3Mtd2l6EAEYATIGCCMQJxATMgYIIxAnEBMyBAgjECcyBwgAELEDEAoyBwgAEIAEEAoyBwgAELEDEEMyBAg</vt:lpstr>
      <vt:lpstr>Config!usd_brl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Renaud</dc:creator>
  <cp:lastModifiedBy>Victor Renaud</cp:lastModifiedBy>
  <dcterms:created xsi:type="dcterms:W3CDTF">2022-06-03T01:41:45Z</dcterms:created>
  <dcterms:modified xsi:type="dcterms:W3CDTF">2023-02-10T21:50:57Z</dcterms:modified>
</cp:coreProperties>
</file>