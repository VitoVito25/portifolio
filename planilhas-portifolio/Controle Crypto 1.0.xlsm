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EstaPastaDeTrabalho" defaultThemeVersion="166925"/>
  <mc:AlternateContent xmlns:mc="http://schemas.openxmlformats.org/markup-compatibility/2006">
    <mc:Choice Requires="x15">
      <x15ac:absPath xmlns:x15ac="http://schemas.microsoft.com/office/spreadsheetml/2010/11/ac" url="C:\Users\Usuário\Desktop\"/>
    </mc:Choice>
  </mc:AlternateContent>
  <xr:revisionPtr revIDLastSave="0" documentId="13_ncr:1_{9AA9853E-06C2-47D0-A93E-135896E894E5}" xr6:coauthVersionLast="47" xr6:coauthVersionMax="47" xr10:uidLastSave="{00000000-0000-0000-0000-000000000000}"/>
  <bookViews>
    <workbookView xWindow="-120" yWindow="-120" windowWidth="21840" windowHeight="13140" tabRatio="342" xr2:uid="{96B9A377-2E7A-4457-A543-03326B3E486F}"/>
  </bookViews>
  <sheets>
    <sheet name="Principal" sheetId="1" r:id="rId1"/>
    <sheet name="Movimentos" sheetId="3" r:id="rId2"/>
    <sheet name="Graficos" sheetId="4" r:id="rId3"/>
    <sheet name="Links" sheetId="2" r:id="rId4"/>
  </sheets>
  <definedNames>
    <definedName name="_xlnm._FilterDatabase" localSheetId="1" hidden="1">Movimentos!$B$6:$N$7</definedName>
    <definedName name="arbitrum" localSheetId="3">Links!$DT$2:$EE$653</definedName>
    <definedName name="ARBLink">Links!$DT$87</definedName>
    <definedName name="bitcoin" localSheetId="3">Links!#REF!</definedName>
    <definedName name="bitcoin_1" localSheetId="3">Links!$F$2:$Q$660</definedName>
    <definedName name="BTC">Principal!$C$9</definedName>
    <definedName name="BTCLink">Links!$F$87</definedName>
    <definedName name="chainlink" localSheetId="3">Links!$AT$2:$BE$727</definedName>
    <definedName name="_xlnm.Criteria" localSheetId="1">Movimentos!$B$3:$N$4</definedName>
    <definedName name="dogecoin" localSheetId="3">Links!$FG$2:$FR$659</definedName>
    <definedName name="DOGELink">Links!$FG$87</definedName>
    <definedName name="dogwifhat" localSheetId="3">Links!$FT$2:$GE$631</definedName>
    <definedName name="Dollar">Principal!$B$4</definedName>
    <definedName name="DollarLink">Links!$A$6</definedName>
    <definedName name="ETH">Principal!$C$10</definedName>
    <definedName name="ethereum" localSheetId="3">Links!#REF!</definedName>
    <definedName name="ethereum_1" localSheetId="3">Links!$S$2:$AD$659</definedName>
    <definedName name="ETHLink">Links!$S$87</definedName>
    <definedName name="gala" localSheetId="3">Links!$CG$2:$CR$658</definedName>
    <definedName name="GALALink">Links!$CG$87</definedName>
    <definedName name="GanhoPerdaPercent">Principal!$E$6</definedName>
    <definedName name="GanhoPerdaReal">Principal!$E$4</definedName>
    <definedName name="immutable_x" localSheetId="3">Links!$BT$2:$CE$648</definedName>
    <definedName name="IMXLink">Links!$BT$87</definedName>
    <definedName name="InvRetDollar">Principal!$C$6</definedName>
    <definedName name="InvRetReal">Principal!$D$6</definedName>
    <definedName name="LDOLink">Links!$HC$88</definedName>
    <definedName name="lido_dao" localSheetId="3">Links!$HC$2:$HN$720</definedName>
    <definedName name="LINKLink">Links!$AT$87</definedName>
    <definedName name="MATICLink">Links!$CT$87</definedName>
    <definedName name="OPLink">Links!$DG$87</definedName>
    <definedName name="optimism" localSheetId="3">Links!$DG$2:$DR$649</definedName>
    <definedName name="pepe" localSheetId="3">Links!#REF!</definedName>
    <definedName name="pepe_1" localSheetId="3">Links!#REF!</definedName>
    <definedName name="pepe_2" localSheetId="3">Links!$GT$2:$GX$459</definedName>
    <definedName name="PEPELINK">Links!$GT$60</definedName>
    <definedName name="polygon" localSheetId="3">Links!$CT$2:$DE$706</definedName>
    <definedName name="render" localSheetId="3">Links!$EG$2:$ER$658</definedName>
    <definedName name="RNDRLink">Links!$EG$87</definedName>
    <definedName name="ronin" localSheetId="3">Links!$BG$2:$BR$633</definedName>
    <definedName name="RONLink">Links!$BG$87</definedName>
    <definedName name="search?client_firefox_b_d_q_dollar" localSheetId="3">Links!$A$2:$D$41</definedName>
    <definedName name="shiba_inu" localSheetId="3">Links!$GG$2:$GR$683</definedName>
    <definedName name="SHIBALink">Links!$GG$87</definedName>
    <definedName name="solana" localSheetId="3">Links!$AF$34:$AQ$692</definedName>
    <definedName name="SolLink">Links!$AF$119</definedName>
    <definedName name="stacks" localSheetId="3">Links!$ET$2:$FE$657</definedName>
    <definedName name="STXLink">Links!$ET$87</definedName>
    <definedName name="TotalInvestDollar">Principal!$F$6</definedName>
    <definedName name="TotalInvestReal">Principal!$F$4</definedName>
    <definedName name="TotalMomentoDollar">Principal!$C$4</definedName>
    <definedName name="TotalMomentoReal">Principal!$D$4</definedName>
    <definedName name="TotalRetiradoDollar">Principal!$G$6</definedName>
    <definedName name="TotalRetiradoReal">Principal!$G$4</definedName>
    <definedName name="UltimaAtt">Principal!$B$6</definedName>
    <definedName name="WIFLink">Links!$FT$87</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5" i="1" l="1"/>
  <c r="D25" i="1"/>
  <c r="N25" i="1"/>
  <c r="J25" i="1"/>
  <c r="I25" i="1"/>
  <c r="E25" i="1"/>
  <c r="C24" i="1"/>
  <c r="N24" i="1"/>
  <c r="J24" i="1"/>
  <c r="I24" i="1"/>
  <c r="L24" i="1" s="1"/>
  <c r="E24" i="1"/>
  <c r="L25" i="1" l="1"/>
  <c r="K25" i="1"/>
  <c r="F25" i="1"/>
  <c r="G25" i="1" s="1"/>
  <c r="H25" i="1" s="1"/>
  <c r="K24" i="1"/>
  <c r="C18" i="1" l="1"/>
  <c r="C11" i="1" l="1"/>
  <c r="E11" i="1"/>
  <c r="I11" i="1"/>
  <c r="J11" i="1"/>
  <c r="N11" i="1"/>
  <c r="C16" i="1"/>
  <c r="C22" i="1"/>
  <c r="C21" i="1"/>
  <c r="C20" i="1"/>
  <c r="C19" i="1"/>
  <c r="C17" i="1"/>
  <c r="C15" i="1"/>
  <c r="C14" i="1"/>
  <c r="C13" i="1"/>
  <c r="C12" i="1"/>
  <c r="C23" i="1"/>
  <c r="N23" i="1"/>
  <c r="J23" i="1"/>
  <c r="I23" i="1"/>
  <c r="E23" i="1"/>
  <c r="N22" i="1"/>
  <c r="J22" i="1"/>
  <c r="I22" i="1"/>
  <c r="E22" i="1"/>
  <c r="N21" i="1"/>
  <c r="J21" i="1"/>
  <c r="I21" i="1"/>
  <c r="E21" i="1"/>
  <c r="N20" i="1"/>
  <c r="J20" i="1"/>
  <c r="I20" i="1"/>
  <c r="E20" i="1"/>
  <c r="N19" i="1"/>
  <c r="J19" i="1"/>
  <c r="I19" i="1"/>
  <c r="E19" i="1"/>
  <c r="N18" i="1"/>
  <c r="J18" i="1"/>
  <c r="I18" i="1"/>
  <c r="E18" i="1"/>
  <c r="N17" i="1"/>
  <c r="J17" i="1"/>
  <c r="I17" i="1"/>
  <c r="E17" i="1"/>
  <c r="N16" i="1"/>
  <c r="J16" i="1"/>
  <c r="I16" i="1"/>
  <c r="E16" i="1"/>
  <c r="N15" i="1"/>
  <c r="J15" i="1"/>
  <c r="I15" i="1"/>
  <c r="E15" i="1"/>
  <c r="N14" i="1"/>
  <c r="J14" i="1"/>
  <c r="I14" i="1"/>
  <c r="E14" i="1"/>
  <c r="N13" i="1"/>
  <c r="J13" i="1"/>
  <c r="I13" i="1"/>
  <c r="E13" i="1"/>
  <c r="N12" i="1"/>
  <c r="J12" i="1"/>
  <c r="I12" i="1"/>
  <c r="E12" i="1"/>
  <c r="K11" i="1" l="1"/>
  <c r="K12" i="1"/>
  <c r="K14" i="1"/>
  <c r="K17" i="1"/>
  <c r="K18" i="1"/>
  <c r="K21" i="1"/>
  <c r="K13" i="1"/>
  <c r="K15" i="1"/>
  <c r="K16" i="1"/>
  <c r="K19" i="1"/>
  <c r="K20" i="1"/>
  <c r="K22" i="1"/>
  <c r="K23" i="1"/>
  <c r="L11" i="1"/>
  <c r="L23" i="1"/>
  <c r="L22" i="1"/>
  <c r="L21" i="1"/>
  <c r="L20" i="1"/>
  <c r="L19" i="1"/>
  <c r="L18" i="1"/>
  <c r="L17" i="1"/>
  <c r="L16" i="1"/>
  <c r="L15" i="1"/>
  <c r="L14" i="1"/>
  <c r="L13" i="1"/>
  <c r="L12" i="1"/>
  <c r="N9" i="1"/>
  <c r="N10" i="1"/>
  <c r="J9" i="1"/>
  <c r="J10" i="1"/>
  <c r="I9" i="1"/>
  <c r="I10" i="1"/>
  <c r="L10" i="1" s="1"/>
  <c r="E9" i="1"/>
  <c r="E10" i="1"/>
  <c r="G4" i="1" l="1"/>
  <c r="K9" i="1"/>
  <c r="F4" i="1"/>
  <c r="K10" i="1"/>
  <c r="L9" i="1"/>
  <c r="D6" i="1" l="1"/>
  <c r="C9" i="1"/>
  <c r="C10" i="1"/>
  <c r="B4" i="1"/>
  <c r="D24" i="1" s="1"/>
  <c r="F24" i="1" s="1"/>
  <c r="G24" i="1" s="1"/>
  <c r="H24" i="1" s="1"/>
  <c r="D23" i="1" l="1"/>
  <c r="F23" i="1" s="1"/>
  <c r="G23" i="1" s="1"/>
  <c r="H23" i="1" s="1"/>
  <c r="D11" i="1"/>
  <c r="F11" i="1" s="1"/>
  <c r="G11" i="1" s="1"/>
  <c r="H11" i="1" s="1"/>
  <c r="D21" i="1"/>
  <c r="F21" i="1" s="1"/>
  <c r="G21" i="1" s="1"/>
  <c r="H21" i="1" s="1"/>
  <c r="D22" i="1"/>
  <c r="F22" i="1" s="1"/>
  <c r="G22" i="1" s="1"/>
  <c r="H22" i="1" s="1"/>
  <c r="D19" i="1"/>
  <c r="F19" i="1" s="1"/>
  <c r="G19" i="1" s="1"/>
  <c r="H19" i="1" s="1"/>
  <c r="D20" i="1"/>
  <c r="F20" i="1" s="1"/>
  <c r="G20" i="1" s="1"/>
  <c r="H20" i="1" s="1"/>
  <c r="D17" i="1"/>
  <c r="F17" i="1" s="1"/>
  <c r="G17" i="1" s="1"/>
  <c r="H17" i="1" s="1"/>
  <c r="D18" i="1"/>
  <c r="F18" i="1" s="1"/>
  <c r="G18" i="1" s="1"/>
  <c r="H18" i="1" s="1"/>
  <c r="D15" i="1"/>
  <c r="F15" i="1" s="1"/>
  <c r="G15" i="1" s="1"/>
  <c r="H15" i="1" s="1"/>
  <c r="D16" i="1"/>
  <c r="F16" i="1" s="1"/>
  <c r="G16" i="1" s="1"/>
  <c r="H16" i="1" s="1"/>
  <c r="D13" i="1"/>
  <c r="F13" i="1" s="1"/>
  <c r="G13" i="1" s="1"/>
  <c r="H13" i="1" s="1"/>
  <c r="D14" i="1"/>
  <c r="F14" i="1" s="1"/>
  <c r="G14" i="1" s="1"/>
  <c r="H14" i="1" s="1"/>
  <c r="D12" i="1"/>
  <c r="F12" i="1" s="1"/>
  <c r="G12" i="1" s="1"/>
  <c r="H12" i="1" s="1"/>
  <c r="D9" i="1"/>
  <c r="F9" i="1" s="1"/>
  <c r="D10" i="1"/>
  <c r="F10" i="1" s="1"/>
  <c r="G10" i="1" s="1"/>
  <c r="H10" i="1" s="1"/>
  <c r="G6" i="1"/>
  <c r="F6" i="1"/>
  <c r="C6" i="1" l="1"/>
  <c r="D4" i="1"/>
  <c r="M25" i="1" s="1"/>
  <c r="G9" i="1"/>
  <c r="H9" i="1" s="1"/>
  <c r="M24" i="1" l="1"/>
  <c r="M23" i="1"/>
  <c r="M11" i="1"/>
  <c r="M22" i="1"/>
  <c r="M21" i="1"/>
  <c r="M20" i="1"/>
  <c r="M19" i="1"/>
  <c r="M18" i="1"/>
  <c r="M17" i="1"/>
  <c r="M16" i="1"/>
  <c r="M15" i="1"/>
  <c r="M14" i="1"/>
  <c r="M13" i="1"/>
  <c r="M12" i="1"/>
  <c r="M9" i="1"/>
  <c r="M10" i="1"/>
  <c r="C4" i="1"/>
  <c r="E4" i="1"/>
  <c r="E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Usuário</author>
  </authors>
  <commentList>
    <comment ref="B8" authorId="0" shapeId="0" xr:uid="{66D1FF0E-0474-4E1C-9BE9-209CC5E99A22}">
      <text>
        <r>
          <rPr>
            <b/>
            <sz val="9"/>
            <color indexed="81"/>
            <rFont val="Segoe UI"/>
            <family val="2"/>
          </rPr>
          <t xml:space="preserve">Victor Renaud:
</t>
        </r>
        <r>
          <rPr>
            <sz val="9"/>
            <color indexed="81"/>
            <rFont val="Segoe UI"/>
            <family val="2"/>
          </rPr>
          <t>Clique em cima de uma coin
Ctrl + m
Para pesquisar os movimentos da mesma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Usuário</author>
  </authors>
  <commentList>
    <comment ref="C3" authorId="0" shapeId="0" xr:uid="{76827E8C-26AA-4B75-8A21-CC445717C546}">
      <text>
        <r>
          <rPr>
            <b/>
            <sz val="9"/>
            <color indexed="81"/>
            <rFont val="Segoe UI"/>
            <family val="2"/>
          </rPr>
          <t xml:space="preserve">Victor Renaud:
</t>
        </r>
        <r>
          <rPr>
            <sz val="9"/>
            <color indexed="81"/>
            <rFont val="Segoe UI"/>
            <family val="2"/>
          </rPr>
          <t xml:space="preserve">Preenchido automaticamente
</t>
        </r>
      </text>
    </comment>
    <comment ref="H3" authorId="0" shapeId="0" xr:uid="{70068CCD-65D3-4F34-B1FB-AA839242A1A8}">
      <text>
        <r>
          <rPr>
            <b/>
            <sz val="9"/>
            <color indexed="81"/>
            <rFont val="Segoe UI"/>
            <family val="2"/>
          </rPr>
          <t xml:space="preserve">Victor Renaud:
</t>
        </r>
        <r>
          <rPr>
            <sz val="9"/>
            <color indexed="81"/>
            <rFont val="Segoe UI"/>
            <family val="2"/>
          </rPr>
          <t xml:space="preserve">Não preenchido automaticamente
Coloque o valor da corretora
</t>
        </r>
      </text>
    </comment>
    <comment ref="I3" authorId="0" shapeId="0" xr:uid="{C4B6CB2C-419D-4C94-A06B-9135B4BC24B6}">
      <text>
        <r>
          <rPr>
            <b/>
            <sz val="9"/>
            <color indexed="81"/>
            <rFont val="Segoe UI"/>
            <family val="2"/>
          </rPr>
          <t xml:space="preserve">Victor Renaud:
</t>
        </r>
        <r>
          <rPr>
            <sz val="9"/>
            <color indexed="81"/>
            <rFont val="Segoe UI"/>
            <family val="2"/>
          </rPr>
          <t xml:space="preserve">Preenchido automaticamente
</t>
        </r>
      </text>
    </comment>
    <comment ref="J3" authorId="0" shapeId="0" xr:uid="{CB31E993-ACC8-4257-B2BE-1457C7A7B5C5}">
      <text>
        <r>
          <rPr>
            <b/>
            <sz val="9"/>
            <color indexed="81"/>
            <rFont val="Segoe UI"/>
            <family val="2"/>
          </rPr>
          <t xml:space="preserve">Victor Renaud:
</t>
        </r>
        <r>
          <rPr>
            <sz val="9"/>
            <color indexed="81"/>
            <rFont val="Segoe UI"/>
            <family val="2"/>
          </rPr>
          <t>Preenchido automaticamente</t>
        </r>
      </text>
    </comment>
    <comment ref="K3" authorId="0" shapeId="0" xr:uid="{0C444102-8B53-4E44-ABAE-7024102E5F84}">
      <text>
        <r>
          <rPr>
            <b/>
            <sz val="9"/>
            <color indexed="81"/>
            <rFont val="Segoe UI"/>
            <family val="2"/>
          </rPr>
          <t xml:space="preserve">Victor Renaud:
</t>
        </r>
        <r>
          <rPr>
            <sz val="9"/>
            <color indexed="81"/>
            <rFont val="Segoe UI"/>
            <family val="2"/>
          </rPr>
          <t>Preenchido automaticamente</t>
        </r>
      </text>
    </comment>
    <comment ref="L3" authorId="0" shapeId="0" xr:uid="{F2E60236-E3E6-4D64-8E66-EAFF6DD9A83B}">
      <text>
        <r>
          <rPr>
            <b/>
            <sz val="9"/>
            <color indexed="81"/>
            <rFont val="Segoe UI"/>
            <family val="2"/>
          </rPr>
          <t xml:space="preserve">Victor Renaud:
</t>
        </r>
        <r>
          <rPr>
            <sz val="9"/>
            <color indexed="81"/>
            <rFont val="Segoe UI"/>
            <family val="2"/>
          </rPr>
          <t>Preenchido automaticamente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4FDED8F-BC3E-4CCA-8BA9-304C981E1BC4}" name="Conexão" type="4" refreshedVersion="8" background="1" saveData="1">
    <webPr sourceData="1" parsePre="1" consecutive="1" xl2000="1" url="https://www.google.com/search?client=firefox-b-d&amp;q=dollar" htmlFormat="all"/>
  </connection>
  <connection id="2" xr16:uid="{E7FBBFFA-E63E-432E-B454-C03B7A883826}" name="Conexão1" type="4" refreshedVersion="8" background="1" saveData="1">
    <webPr sourceData="1" parsePre="1" consecutive="1" xl2000="1" url="https://www.coingecko.com/pt/moedas/solana" htmlFormat="all"/>
  </connection>
  <connection id="3" xr16:uid="{40E89A5D-F03A-458C-8D9D-AB2CAA9BAB42}" name="Conexão10" type="4" refreshedVersion="8" background="1" saveData="1">
    <webPr sourceData="1" parsePre="1" consecutive="1" xl2000="1" url="https://www.coingecko.com/pt/moedas/arbitrum" htmlFormat="all"/>
  </connection>
  <connection id="4" xr16:uid="{D4BA8782-3545-4D01-86AD-907EFDE3B1D3}" name="Conexão11" type="4" refreshedVersion="8" background="1" saveData="1">
    <webPr sourceData="1" parsePre="1" consecutive="1" xl2000="1" url="https://www.coingecko.com/pt/moedas/render" htmlFormat="all"/>
  </connection>
  <connection id="5" xr16:uid="{135BCB79-FD27-49B5-96A0-E5A8E1997790}" name="Conexão12" type="4" refreshedVersion="8" background="1" saveData="1">
    <webPr sourceData="1" parsePre="1" consecutive="1" xl2000="1" url="https://www.coingecko.com/pt/moedas/stacks" htmlFormat="all"/>
  </connection>
  <connection id="6" xr16:uid="{B58E85F0-25DF-438E-8B11-468EA10A1EAC}" name="Conexão13" type="4" refreshedVersion="8" background="1" saveData="1">
    <webPr sourceData="1" parsePre="1" consecutive="1" xl2000="1" url="https://www.coingecko.com/pt/moedas/dogecoin" htmlFormat="all"/>
  </connection>
  <connection id="7" xr16:uid="{BD9FFFB2-652E-4657-9816-861284D9285E}" name="Conexão14" type="4" refreshedVersion="8" background="1" saveData="1">
    <webPr sourceData="1" parsePre="1" consecutive="1" xl2000="1" url="https://www.coingecko.com/pt/moedas/dogwifhat" htmlFormat="all"/>
  </connection>
  <connection id="8" xr16:uid="{D755838E-CFE9-4A5D-9FD3-1FC0E324950A}" name="Conexão15" type="4" refreshedVersion="8" background="1" saveData="1">
    <webPr sourceData="1" parsePre="1" consecutive="1" xl2000="1" url="https://www.coingecko.com/pt/moedas/shiba-inu" htmlFormat="all"/>
  </connection>
  <connection id="9" xr16:uid="{4AF35723-84C9-4A66-AF24-12675428D38A}" name="Conexão18" type="4" refreshedVersion="8" background="1" saveData="1">
    <webPr sourceData="1" parsePre="1" consecutive="1" url="https://coinmarketcap.com/pt-br/currencies/pepe" htmlFormat="all"/>
  </connection>
  <connection id="10" xr16:uid="{E5FCB1BD-A30A-47E9-9A4E-1A144582CBAE}" name="Conexão19" type="4" refreshedVersion="8" background="1" saveData="1">
    <webPr sourceData="1" parsePre="1" consecutive="1" url="https://www.coingecko.com/en/coins/lido-dao" htmlFormat="all"/>
  </connection>
  <connection id="11" xr16:uid="{B46AACED-7B40-4E53-AB71-DAD04E6B36C7}" name="Conexão2" type="4" refreshedVersion="8" background="1" saveData="1">
    <webPr sourceData="1" parsePre="1" consecutive="1" xl2000="1" url="https://www.coingecko.com/pt/moedas/chainlink" htmlFormat="all"/>
  </connection>
  <connection id="12" xr16:uid="{39AA2F51-89DD-40A1-90F9-CCB444E118F5}" name="Conexão3" type="4" refreshedVersion="8" background="1" saveData="1">
    <webPr sourceData="1" parsePre="1" consecutive="1" xl2000="1" url="https://www.coingecko.com/pt/moedas/bitcoin" htmlFormat="all"/>
  </connection>
  <connection id="13" xr16:uid="{BE2B8722-3110-412C-9A9B-6089544E8A88}" name="Conexão4" type="4" refreshedVersion="8" background="1" saveData="1">
    <webPr sourceData="1" parsePre="1" consecutive="1" xl2000="1" url="https://www.coingecko.com/pt/moedas/ethereum" htmlFormat="all"/>
  </connection>
  <connection id="14" xr16:uid="{21353B90-A350-46FA-8C37-235E80EF715F}" name="Conexão5" type="4" refreshedVersion="8" background="1" saveData="1">
    <webPr sourceData="1" parsePre="1" consecutive="1" xl2000="1" url="https://www.coingecko.com/pt/moedas/ronin" htmlFormat="all"/>
  </connection>
  <connection id="15" xr16:uid="{B9DE746E-79B2-4F0B-BA89-BA3603AE470D}" name="Conexão6" type="4" refreshedVersion="8" background="1" saveData="1">
    <webPr sourceData="1" parsePre="1" consecutive="1" xl2000="1" url="https://www.coingecko.com/pt/moedas/immutable-x" htmlFormat="all"/>
  </connection>
  <connection id="16" xr16:uid="{B875C9D6-B158-4FFE-98EF-9211527D9F91}" name="Conexão7" type="4" refreshedVersion="8" background="1" saveData="1">
    <webPr sourceData="1" parsePre="1" consecutive="1" xl2000="1" url="https://www.coingecko.com/pt/moedas/gala" htmlFormat="all"/>
  </connection>
  <connection id="17" xr16:uid="{9E97D77E-8032-43AF-B5E9-3829BB7D31BC}" name="Conexão8" type="4" refreshedVersion="8" background="1" saveData="1">
    <webPr sourceData="1" parsePre="1" consecutive="1" xl2000="1" url="https://www.coingecko.com/pt/moedas/polygon" htmlFormat="all"/>
  </connection>
  <connection id="18" xr16:uid="{5B868CF8-AA20-473E-B6AD-F29AC767A564}" name="Conexão9" type="4" refreshedVersion="8" background="1" saveData="1">
    <webPr sourceData="1" parsePre="1" consecutive="1" xl2000="1" url="https://www.coingecko.com/pt/moedas/optimism" htmlFormat="all"/>
  </connection>
</connections>
</file>

<file path=xl/sharedStrings.xml><?xml version="1.0" encoding="utf-8"?>
<sst xmlns="http://schemas.openxmlformats.org/spreadsheetml/2006/main" count="11966" uniqueCount="3436">
  <si>
    <t>Coin</t>
  </si>
  <si>
    <t>Dollar hoje</t>
  </si>
  <si>
    <t>R$ em carteira</t>
  </si>
  <si>
    <t>Coin em carteira</t>
  </si>
  <si>
    <t>Coin/R$</t>
  </si>
  <si>
    <t>Coin/$</t>
  </si>
  <si>
    <t>% ganhos</t>
  </si>
  <si>
    <t>R$ ganhos</t>
  </si>
  <si>
    <t>% carteira</t>
  </si>
  <si>
    <t>BTC</t>
  </si>
  <si>
    <t>ETH</t>
  </si>
  <si>
    <t>Google</t>
  </si>
  <si>
    <t>TODAS</t>
  </si>
  <si>
    <t>NOT̓IAS</t>
  </si>
  <si>
    <t>IMAGENS</t>
  </si>
  <si>
    <t>V̈́EOS</t>
  </si>
  <si>
    <t xml:space="preserve">1 D󬡲 americano = </t>
  </si>
  <si>
    <t xml:space="preserve">Exonera磯 de responsabilidade </t>
  </si>
  <si>
    <t xml:space="preserve">D󬡲 Comercial: Cota磯 de Hoje, Grᦩcos e tabelas economia.uol.com.br › cotacoes › cambio </t>
  </si>
  <si>
    <t xml:space="preserve">D󬡲 Comercial: Acompanhe no UOL Economia a cota磯 de hoje, veja grᦩcos, tabelas e hist󲩣o de cota絥s. Conhe硠tamb魠o conversor de moedas. </t>
  </si>
  <si>
    <t xml:space="preserve">D󬡲 Hoje: Cota磯 comercial e turismo. Valor e Pre篡 www.melhorcambio.com › dolar-hoje </t>
  </si>
  <si>
    <t xml:space="preserve">US$1 (um D󬡲) s㯠100 cents (ou pennies). Hoje, existem seis moedas e sete notas em circula磯. Essa 頡 divis㯠entre as moedas: US$ 1,00 = 1 dollar... </t>
  </si>
  <si>
    <t xml:space="preserve">D󬡲 americano Hoje (USD) | Cota絥s - Remessa Online www.remessaonline.com.br › cotacao › cotacao-dolar </t>
  </si>
  <si>
    <t xml:space="preserve">D󬡲 americano turismo - utilizado nas negocia絥s entre bancos e pessoas f_xDCE9_cas, 頡 moeda que compramos antes de viajar para o exterior. D󬡲 americano... </t>
  </si>
  <si>
    <t xml:space="preserve">D󬡲 dos Estados Unidos – Wikip餩a, a enciclop餩a livre pt.wikipedia.org › wiki › D󬡲_dos_Estados_Unidos </t>
  </si>
  <si>
    <t xml:space="preserve">O d󬡲 dos Estados Unidos (em ingl곺 United States dollar), tamb魠conhecido como d󬡲 estadunidense ou d󬡲 americano 頡 moeda oficial dos Estados... </t>
  </si>
  <si>
    <t xml:space="preserve">USD/BRL - Cota磯 D󬡲 para Real - BR Investing br.investing.com › currencies › usd-brl </t>
  </si>
  <si>
    <t xml:space="preserve">Veja o pre篠do d󬡲 hoje em tempo real, baixe os valores hist󲩣os da cota磯 do d󬡲 para real (USD BRL), use o grᦩco e leia as not_xD8E9_as e anᬩses. </t>
  </si>
  <si>
    <t xml:space="preserve">D󬡲: o que 鬠s_xDB62_olo, pa_xDCE5_s que usam, hist󲩡 - Brasil Escola brasilescola.uol.com.br › Economia e Finan硳 </t>
  </si>
  <si>
    <t xml:space="preserve">A palavra d󬡲, do ingl곬 dollar, teve origem no termo thaler, que era utilizado para denominar moedas que foram cunhadas na primeira metade do s飵lo XVI em... </t>
  </si>
  <si>
    <t xml:space="preserve">ͮdice D󬡲 Futuros (DX) Cota磯 Hoje - Investing.com m.br.investing.com › currencies › us-dollar-index </t>
  </si>
  <si>
    <t xml:space="preserve">Pesquisas relacionadas </t>
  </si>
  <si>
    <t xml:space="preserve">dollar hoje </t>
  </si>
  <si>
    <t>&gt;</t>
  </si>
  <si>
    <t xml:space="preserve">d󬡲 real </t>
  </si>
  <si>
    <t xml:space="preserve">cota磯 d󬡲 </t>
  </si>
  <si>
    <t xml:space="preserve">d󬡲 hoje turismo </t>
  </si>
  <si>
    <t xml:space="preserve">cota磯 d󬡲 turismo hoje banco central </t>
  </si>
  <si>
    <t xml:space="preserve">euro hoje </t>
  </si>
  <si>
    <t xml:space="preserve">d󬡲 turismo hoje venda </t>
  </si>
  <si>
    <t>Mais &gt;</t>
  </si>
  <si>
    <t>Fazer login</t>
  </si>
  <si>
    <t>Configura絥s</t>
  </si>
  <si>
    <t>Privacidade</t>
  </si>
  <si>
    <t>Termos</t>
  </si>
  <si>
    <t>Criptomoedas</t>
  </si>
  <si>
    <t>Comunidade</t>
  </si>
  <si>
    <t>Produtos</t>
  </si>
  <si>
    <t>Pesquisar</t>
  </si>
  <si>
    <t>NFT</t>
  </si>
  <si>
    <t>#1</t>
  </si>
  <si>
    <t>#2</t>
  </si>
  <si>
    <t>Whitepaper</t>
  </si>
  <si>
    <t>Reddit</t>
  </si>
  <si>
    <t>BRL</t>
  </si>
  <si>
    <t>Binance</t>
  </si>
  <si>
    <t>Kraken</t>
  </si>
  <si>
    <t>Bitcoin</t>
  </si>
  <si>
    <t>Ethereum</t>
  </si>
  <si>
    <t>Solana</t>
  </si>
  <si>
    <t>BTC/USD</t>
  </si>
  <si>
    <t>Sobre nós</t>
  </si>
  <si>
    <t>Metodologia</t>
  </si>
  <si>
    <t>Suporte</t>
  </si>
  <si>
    <t>Instagram</t>
  </si>
  <si>
    <t>Facebook</t>
  </si>
  <si>
    <t>∞</t>
  </si>
  <si>
    <t>LINK</t>
  </si>
  <si>
    <t>Render</t>
  </si>
  <si>
    <t>ETH/USD</t>
  </si>
  <si>
    <t xml:space="preserve">1. Criptomoedas </t>
  </si>
  <si>
    <t xml:space="preserve">2. Preço de Bitcoin </t>
  </si>
  <si>
    <t xml:space="preserve">Preço de BTC </t>
  </si>
  <si>
    <t>Domínio:</t>
  </si>
  <si>
    <t>Dados por Etherscan</t>
  </si>
  <si>
    <t>Idioma</t>
  </si>
  <si>
    <t>Português</t>
  </si>
  <si>
    <t>Moeda</t>
  </si>
  <si>
    <t>USD</t>
  </si>
  <si>
    <t>Modo escuro</t>
  </si>
  <si>
    <t>A minha conta</t>
  </si>
  <si>
    <t xml:space="preserve">Iniciar sessão e segurança Subscrição </t>
  </si>
  <si>
    <t>Para Desenvolvedores</t>
  </si>
  <si>
    <t xml:space="preserve">Painel do programador </t>
  </si>
  <si>
    <t>For Authors</t>
  </si>
  <si>
    <t xml:space="preserve">Create New Post Buzz Dashboard </t>
  </si>
  <si>
    <t xml:space="preserve">Terminar sessão </t>
  </si>
  <si>
    <t>Sem anúncios</t>
  </si>
  <si>
    <t>Iniciar sessão</t>
  </si>
  <si>
    <t>CoinGeckoCoinGecko</t>
  </si>
  <si>
    <t>Usar App</t>
  </si>
  <si>
    <t>Baixar o Aplicativo</t>
  </si>
  <si>
    <t xml:space="preserve">Por Capitalização de Mercado Categorias Cadeias </t>
  </si>
  <si>
    <t>Popular</t>
  </si>
  <si>
    <t xml:space="preserve">Destaques Novas Criptomoedas Ganhadores e Perdedores </t>
  </si>
  <si>
    <t>Ferramentas</t>
  </si>
  <si>
    <t xml:space="preserve">Todas as Moedas Comparar moedas Conversor Gráfico Global </t>
  </si>
  <si>
    <t>Câmbios</t>
  </si>
  <si>
    <t xml:space="preserve">Corretoras de Cripto Corretoras Descentralizadas Derivados </t>
  </si>
  <si>
    <t xml:space="preserve">Preço de Entrada de NFT Moedas relacionadas com NFT Watchlist NFT </t>
  </si>
  <si>
    <t>Informação</t>
  </si>
  <si>
    <t xml:space="preserve">Aprenda Cripto Insights da Pesquisa Notícias Relatórios Vídeos Podcast Newsletter </t>
  </si>
  <si>
    <t xml:space="preserve">Portfolio de Cripto Aplicativo CoinGecko CoinGecko Premium </t>
  </si>
  <si>
    <t xml:space="preserve">API de criptomoedas Widget de Cripto </t>
  </si>
  <si>
    <t>On-Cadeia</t>
  </si>
  <si>
    <t xml:space="preserve">GeckoTerminal </t>
  </si>
  <si>
    <t>Candy Jar</t>
  </si>
  <si>
    <t>Candy</t>
  </si>
  <si>
    <t>Os meus Candies</t>
  </si>
  <si>
    <t>Carteira</t>
  </si>
  <si>
    <t>A minha carteira</t>
  </si>
  <si>
    <t xml:space="preserve">Minhas Moedas Meus NFTs </t>
  </si>
  <si>
    <t xml:space="preserve">Iniciar sessão e segurança Painel do programador Subscrição Terminar sessão </t>
  </si>
  <si>
    <t>Criar uma conta</t>
  </si>
  <si>
    <t>PT</t>
  </si>
  <si>
    <t xml:space="preserve">/ </t>
  </si>
  <si>
    <t>Desmarcar</t>
  </si>
  <si>
    <t xml:space="preserve">Tendências NFTs Categorias </t>
  </si>
  <si>
    <t xml:space="preserve">Criptomoedas NFTs Câmbios Categorias Cadeias Artigos GeckoTerminal </t>
  </si>
  <si>
    <t>Mudança</t>
  </si>
  <si>
    <t>Selecionar</t>
  </si>
  <si>
    <t>ESC</t>
  </si>
  <si>
    <t>Fechar</t>
  </si>
  <si>
    <t>Compartilhe seu Feedback sobre nossa Nova Busca</t>
  </si>
  <si>
    <t>Carteiras</t>
  </si>
  <si>
    <t>Adicionar à nova carteira</t>
  </si>
  <si>
    <t>BTC logo</t>
  </si>
  <si>
    <t xml:space="preserve">Visão geral Informações Mercados Notícias Moedas Similares Dados históricos Contagem decrescente de Bitcoin Halving </t>
  </si>
  <si>
    <t>Adicionar</t>
  </si>
  <si>
    <t>Como é calculado o preço de Bitcoin (BTC)?</t>
  </si>
  <si>
    <t>1,0000 BTC 0.0%</t>
  </si>
  <si>
    <t>Preço Bitcoin Hoje (BTC)</t>
  </si>
  <si>
    <t xml:space="preserve">24h 7d 1m 3m 1a Máx | LOG </t>
  </si>
  <si>
    <t xml:space="preserve">Preço Capitalização de mercado TradingView </t>
  </si>
  <si>
    <t xml:space="preserve">Baixar em formato PNG Baixar em formato SVG Baixar em formato JPEG Baixar em formato PDF </t>
  </si>
  <si>
    <t>Comparar com:</t>
  </si>
  <si>
    <t>Precisa de mais dados? Explore nossa API</t>
  </si>
  <si>
    <t>Gráfico de TradingView</t>
  </si>
  <si>
    <t>1h</t>
  </si>
  <si>
    <t>24h</t>
  </si>
  <si>
    <t>7d</t>
  </si>
  <si>
    <t>14d</t>
  </si>
  <si>
    <t>30d</t>
  </si>
  <si>
    <t>1a</t>
  </si>
  <si>
    <t>Conversor BTC</t>
  </si>
  <si>
    <t xml:space="preserve">Comprar </t>
  </si>
  <si>
    <t xml:space="preserve">USD </t>
  </si>
  <si>
    <t>Estatísticas do Bitcoin</t>
  </si>
  <si>
    <t xml:space="preserve">Capitalização de mercado </t>
  </si>
  <si>
    <t>Cap. de mercado = Preço atual x Fornecimento circulante</t>
  </si>
  <si>
    <t>Refere-se ao valor de mercado total de um fornecimento circulante de uma criptomoeda. É semelhante à medida do mercado de valores do preço multiplicado por ação por ações prontamente disponíveis no mercado (não detidas e bloqueadas por especialistas, governos)</t>
  </si>
  <si>
    <t>Ler mais</t>
  </si>
  <si>
    <t xml:space="preserve">Capitalização de Mercado / FDV </t>
  </si>
  <si>
    <t>A proporção atual de capitalização de mercado compara-se à capitalização de mercado quando atingido o suprimento máximo.</t>
  </si>
  <si>
    <t>Quanto mais próxima a Cap.M/FDV de 1, mais próxima estará a atual capitalzação de mercado de sua apreciação totalmente diluída e vice-versa.</t>
  </si>
  <si>
    <t>Saiba mais sobre Cap.M/FDV aqui.</t>
  </si>
  <si>
    <t>0.94</t>
  </si>
  <si>
    <t xml:space="preserve">Avaliação totalmente diluída </t>
  </si>
  <si>
    <t>Valorização Totalmente Diludida (FDV) = Preço Atual x Fornecimento Total</t>
  </si>
  <si>
    <t>Valorização Totalmente Diludida (FDV) é a teórica capitalização de mercado de uma moeda, se toda a sua oferta estiver em circulação, baseado no preço atual de mercado. O valor da FDV é teórico, já que aumentar o fornecimento em circulação de uma moeda pode impactar seu preço de mercado. Também dependendo do tokenomic, calendário de emissão ou período de bloqueio de uma oferta de da moeda, pode levar um tempo significativo até que a sua oferta seja libertada em circulação.</t>
  </si>
  <si>
    <t>Saiba mais sobre a FDV aqui.</t>
  </si>
  <si>
    <t xml:space="preserve">Volume de negociação de 24 h </t>
  </si>
  <si>
    <t>Uma medida de um volume de negócios de criptomoeda em todas as plataformas nas últimas 24 horas. Isto é monitorizado numa base corrente de 24 horas sem horário de abertura/fecho.</t>
  </si>
  <si>
    <t xml:space="preserve">Fornecimento circulante </t>
  </si>
  <si>
    <t>A quantia de moedas que circulam no mercado e são negociáveis pelo público. É comparável a verificar ações prontamente disponíveis no mercado (não detidas e bloqueadas por especialistas, governos).</t>
  </si>
  <si>
    <t>https://blockchain.info/q/totalbc</t>
  </si>
  <si>
    <t>Suprimento Circulante Estimado</t>
  </si>
  <si>
    <t xml:space="preserve">Fornecimento total </t>
  </si>
  <si>
    <t>A quantidade de moedas que já foram criadas, menos as moedas que foram queimadas (removidas de circulação). É comparável às ações pendentes no mercado de valores.</t>
  </si>
  <si>
    <t>Fornecimento total = fornecimento em cadeia - tokens queimados</t>
  </si>
  <si>
    <t xml:space="preserve">Fornecimento máx </t>
  </si>
  <si>
    <t>O número máximo de moedas codificadas para existir na duração da criptomoeda. É comparável ao número máximo de ações emissíveis no mercado de valores.</t>
  </si>
  <si>
    <t>Fornecimento máx. = Máximo teórico como codificado</t>
  </si>
  <si>
    <t>Compra / Venda</t>
  </si>
  <si>
    <t xml:space="preserve">Patrocinado </t>
  </si>
  <si>
    <t>Ganhe</t>
  </si>
  <si>
    <t>Informações</t>
  </si>
  <si>
    <t>Feedback sobre a reestruturação da página</t>
  </si>
  <si>
    <t>Website</t>
  </si>
  <si>
    <t>bitcoin.org</t>
  </si>
  <si>
    <t>Exploradores</t>
  </si>
  <si>
    <t>Mempool</t>
  </si>
  <si>
    <t xml:space="preserve">Blockchair Btc Tokenview Oklink 3xpl </t>
  </si>
  <si>
    <t>Ledger</t>
  </si>
  <si>
    <t xml:space="preserve">Trezor Electrum Xdefi SafePal </t>
  </si>
  <si>
    <t xml:space="preserve">Twitter </t>
  </si>
  <si>
    <t xml:space="preserve">Facebook </t>
  </si>
  <si>
    <t xml:space="preserve">bitcointalk.org </t>
  </si>
  <si>
    <t>Busque</t>
  </si>
  <si>
    <t>Código fonte</t>
  </si>
  <si>
    <t xml:space="preserve">Github </t>
  </si>
  <si>
    <t>ID da API</t>
  </si>
  <si>
    <t xml:space="preserve">bitcoin </t>
  </si>
  <si>
    <t>Categorias</t>
  </si>
  <si>
    <t>Criptomoeda</t>
  </si>
  <si>
    <t>3 mais</t>
  </si>
  <si>
    <t xml:space="preserve">Camada 1 (L1) FTX Holdings Proof of Work (PoW) </t>
  </si>
  <si>
    <t>Histórico de Preço do BTC</t>
  </si>
  <si>
    <t>Intervalo de 24h</t>
  </si>
  <si>
    <t>Intervalo de 7d</t>
  </si>
  <si>
    <t>Valor máximo</t>
  </si>
  <si>
    <t>mar 14, 2024 (aproximadamente 2 meses)</t>
  </si>
  <si>
    <t>Valor mínimo</t>
  </si>
  <si>
    <t>jul 06, 2013 (quase 11 anos)</t>
  </si>
  <si>
    <t xml:space="preserve">Exibir Histórico de Preços Ocultar Histórico de Preços </t>
  </si>
  <si>
    <t>O que é que acha de BTC hoje?</t>
  </si>
  <si>
    <t>A comunidade está otimista com relação ao Bitcoin (BTC) hoje.</t>
  </si>
  <si>
    <t xml:space="preserve">Sobre </t>
  </si>
  <si>
    <t>O que é Bitcoin? (BTC)</t>
  </si>
  <si>
    <t>Bitcoin é o primeiro dinheiro de internet bem sucedido com base na tecnologia par-a-par em que nenhum banco ou autoridade central está envolvido na transação e produção da moeda Bitcoin. Foi criado por um indivíduo ou grupo anônimo sob o pseudônimo de Satoshi Nakamoto.</t>
  </si>
  <si>
    <t>O código fonte está publicamente disponível como um projeto de código aberto. Qualquer um pode consultá-lo e fazer parte do processo de desenvolvimento. Neste momento, a Bitcoin está mudando o modo como vemos o dinheiro. A ideia foi a de produzir um meio de trocas independente de qualquer autoridade central e que pudesse realizar transferências eletrônicas de uma forma segura, verificável e imutável.</t>
  </si>
  <si>
    <t>É uma moeda de internet par-a-par e descentralizada que facilita os pagamentos móveis, tem tarifas de transação muito baixas, protege sua identidade e funciona em qualquer lugar e a qualquer momento sem a participação de bancos ou autoridades centrais.</t>
  </si>
  <si>
    <t>A Bitcoin foi desenhada para ter apenas 21 milhões de moedas criadas a fim de ser uma moeda deflacionária. A Bitcoin utiliza o algoritmo de hash SHA-256 com um tempo médio de 10 minutos para confirmação de transação. Hoje, os mineradores estão minerando Bitcoins com um chip ASIC dedicado apenas à mineração de Bitcoin e a taxa de hash foi elevada a hashes peta.</t>
  </si>
  <si>
    <t>Sendo a primeira moeda criptografada online bem sucedida, a Bitcoin inspirou outras moedas alternativas tais como Litecoin, Ethereum e muitas outras mais.</t>
  </si>
  <si>
    <t>Onde você pode comprar Bitcoin?</t>
  </si>
  <si>
    <t>Qual o volume de negócios diário de Bitcoin (BTC)?</t>
  </si>
  <si>
    <t>Qual o pico histórico de Bitcoin (BTC)?</t>
  </si>
  <si>
    <t>Qual a baixa histórica de Bitcoin (BTC)?</t>
  </si>
  <si>
    <t>Qual a capitalização de mercado de Bitcoin (BTC)?</t>
  </si>
  <si>
    <t>Qual a apreciação diluída de Bitcoin (BTC)?</t>
  </si>
  <si>
    <t>A apreciação diluída total de (FDV) Bitcoin (BTC) é BTC21.000.000,0000. Esta é uma representação estatística da capitalização de mercado máxima, contando que o número máximo de tokens 21 milhões BTC estejam em circulação hoje. Dependendo do calendário de emissões de tokens BTC, pode levar vários anos antes que a FDV seja conhecida.</t>
  </si>
  <si>
    <t>Como é o desempenho de preço de Bitcoin comparado aos seus pares?</t>
  </si>
  <si>
    <t xml:space="preserve">Leia mais </t>
  </si>
  <si>
    <t>Mercados Bitcoin</t>
  </si>
  <si>
    <t>Divulgações de afiliados</t>
  </si>
  <si>
    <t xml:space="preserve">Spot Perpétuos Futuros </t>
  </si>
  <si>
    <t>#</t>
  </si>
  <si>
    <t>Câmbio</t>
  </si>
  <si>
    <t>Par</t>
  </si>
  <si>
    <t>Preço</t>
  </si>
  <si>
    <t>Spread</t>
  </si>
  <si>
    <t>+2% de profundidade</t>
  </si>
  <si>
    <t>-2% de profundidade</t>
  </si>
  <si>
    <t>Volume em 24 h</t>
  </si>
  <si>
    <t>Volume %</t>
  </si>
  <si>
    <t>Última Atualização</t>
  </si>
  <si>
    <t>Índice de confiança</t>
  </si>
  <si>
    <t>CEX</t>
  </si>
  <si>
    <t>0.01%</t>
  </si>
  <si>
    <t>Recentemente</t>
  </si>
  <si>
    <t>BTC/USDT</t>
  </si>
  <si>
    <t>Coinbase Exchange</t>
  </si>
  <si>
    <t>Gate.io</t>
  </si>
  <si>
    <t>Bitget</t>
  </si>
  <si>
    <t>MEXC</t>
  </si>
  <si>
    <t>OKX</t>
  </si>
  <si>
    <t>Bybit</t>
  </si>
  <si>
    <t>Linhas</t>
  </si>
  <si>
    <t>Últimas Notícias do Bitcoin</t>
  </si>
  <si>
    <t>Portal do Bitcoin</t>
  </si>
  <si>
    <t>Leia mais</t>
  </si>
  <si>
    <t>Preços globais de Bitcoin</t>
  </si>
  <si>
    <t xml:space="preserve">BTC / USD US Dollar </t>
  </si>
  <si>
    <t xml:space="preserve">BTC / EUR Euro </t>
  </si>
  <si>
    <t xml:space="preserve">BTC / BRL Brazil Real </t>
  </si>
  <si>
    <t>Moedas Relacionadas</t>
  </si>
  <si>
    <t>BNB</t>
  </si>
  <si>
    <t>Toncoin</t>
  </si>
  <si>
    <t>Cardano</t>
  </si>
  <si>
    <t>Moedas em tendência</t>
  </si>
  <si>
    <t>Pixels</t>
  </si>
  <si>
    <t>dogwifhat</t>
  </si>
  <si>
    <t>|</t>
  </si>
  <si>
    <t>Comprar</t>
  </si>
  <si>
    <t>Adicionar à carteira</t>
  </si>
  <si>
    <t>A CoinGecko fornece análise de fundamentos para o mercado de criptos. Além de rastreamento de preços, volume e capitalização de mercado, a CoinGecko rastreia o crescimento da comunidade, desenvolvimento de código fonte, principais eventos e métricas em cadeia.</t>
  </si>
  <si>
    <t>Recursos</t>
  </si>
  <si>
    <t>Notícias de Cripto</t>
  </si>
  <si>
    <t>Tesouraria de Bitcoin</t>
  </si>
  <si>
    <t>Mapa de Calor de Cripto</t>
  </si>
  <si>
    <t>API de criptomoedas</t>
  </si>
  <si>
    <t>Donativos</t>
  </si>
  <si>
    <t>Doe Bitcoin</t>
  </si>
  <si>
    <t>Doe Ethereum</t>
  </si>
  <si>
    <t>Formulário de pedido</t>
  </si>
  <si>
    <t>Anúncios</t>
  </si>
  <si>
    <t>Lista de Brindes e Recompensas</t>
  </si>
  <si>
    <t>Centro de ajuda</t>
  </si>
  <si>
    <t>Recompensa por erros</t>
  </si>
  <si>
    <t>FAQ</t>
  </si>
  <si>
    <t>Sobre a CoinGecko</t>
  </si>
  <si>
    <t>Carreiras</t>
  </si>
  <si>
    <t>Junte-se a Nós</t>
  </si>
  <si>
    <t>Blog da Empresa</t>
  </si>
  <si>
    <t>Manual de marcas</t>
  </si>
  <si>
    <t>Isenção de Responsabilidade</t>
  </si>
  <si>
    <t>Termos de serviço</t>
  </si>
  <si>
    <t>Política de privacidade</t>
  </si>
  <si>
    <t>Política de anúncios</t>
  </si>
  <si>
    <t>Preferências de cookies</t>
  </si>
  <si>
    <t>X/Twitter</t>
  </si>
  <si>
    <t>Chat no Telegram</t>
  </si>
  <si>
    <t>Notícias no Telegram</t>
  </si>
  <si>
    <t>Discord</t>
  </si>
  <si>
    <t>Youtube</t>
  </si>
  <si>
    <t>TikTok</t>
  </si>
  <si>
    <t>Quer manter-se a par das criptomoedas?</t>
  </si>
  <si>
    <t>Subscreva a nossa newsletter gratuita e obtenha as notícias, as atualizações e os relatórios mais recentes sobre criptomoedas.</t>
  </si>
  <si>
    <t>Subscrever</t>
  </si>
  <si>
    <t>© 2024 CoinGecko. All Rights Reserved.</t>
  </si>
  <si>
    <t>Google Play Store ButtonApple App Store Button</t>
  </si>
  <si>
    <t>ISENÇÃO DE RESPONSABILIDADE IMPORTANTE:</t>
  </si>
  <si>
    <t>Todos os conteúdos fornecidos no nosso website, sites hiperligados, aplicações associadas, fóruns, blogs, contas nas redes sociais e noutras plataformas ("website") são apenas para sua informação geral obtida por fontes de terceiros. Não fazemos garantias de qualquer tipo em relação ao nosso conteúdo, por exemplo, a precisão e atualização. Nenhuma parte do conteúdo que fornecemos constitui aconselhamento financeiro, jurídico nem qualquer outra forma de aconselhamento para a sua confiança específica por qualquer motivo. Qualquer utilização ou confiança no nosso conteúdo é unicamente da sua responsabilidade. Deve realizar a sua própria pesquisa, avaliação, análise e verificar o nosso conteúdo antes de confiar nele. Os câmbios são uma atividade de alto risco que pode levar a grandes perdas, portanto, consulte o seu consultor financeiro antes de tomar qualquer decisão. Nenhum conteúdo no nosso website é uma solicitação ou oferta.</t>
  </si>
  <si>
    <t>Nova carteira</t>
  </si>
  <si>
    <t>Ícone e nome</t>
  </si>
  <si>
    <t>⭐</t>
  </si>
  <si>
    <t>💎</t>
  </si>
  <si>
    <t>🔥</t>
  </si>
  <si>
    <t>👀</t>
  </si>
  <si>
    <t>🚀</t>
  </si>
  <si>
    <t>💰</t>
  </si>
  <si>
    <t>🦍</t>
  </si>
  <si>
    <t>🌱</t>
  </si>
  <si>
    <t>💩</t>
  </si>
  <si>
    <t>🌙</t>
  </si>
  <si>
    <t>🪂</t>
  </si>
  <si>
    <t>💚</t>
  </si>
  <si>
    <t>Criar</t>
  </si>
  <si>
    <t>Selecionar moeda</t>
  </si>
  <si>
    <t>Moedas sugeridas</t>
  </si>
  <si>
    <t xml:space="preserve">US Dollar </t>
  </si>
  <si>
    <t>IDR</t>
  </si>
  <si>
    <t xml:space="preserve">Indonesian Rupiah </t>
  </si>
  <si>
    <t>TWD</t>
  </si>
  <si>
    <t xml:space="preserve">New Taiwan Dollar </t>
  </si>
  <si>
    <t>EUR</t>
  </si>
  <si>
    <t xml:space="preserve">Euro </t>
  </si>
  <si>
    <t>KRW</t>
  </si>
  <si>
    <t xml:space="preserve">South Korean Won </t>
  </si>
  <si>
    <t>JPY</t>
  </si>
  <si>
    <t xml:space="preserve">Japanese Yen </t>
  </si>
  <si>
    <t>RUB</t>
  </si>
  <si>
    <t xml:space="preserve">Russian Ruble </t>
  </si>
  <si>
    <t>CNY</t>
  </si>
  <si>
    <t xml:space="preserve">Chinese Yuan </t>
  </si>
  <si>
    <t>Moedas fiduciárias</t>
  </si>
  <si>
    <t>AED</t>
  </si>
  <si>
    <t xml:space="preserve">United Arab Emirates Dirham </t>
  </si>
  <si>
    <t>ARS</t>
  </si>
  <si>
    <t xml:space="preserve">Argentine Peso </t>
  </si>
  <si>
    <t>AUD</t>
  </si>
  <si>
    <t xml:space="preserve">Australian Dollar </t>
  </si>
  <si>
    <t>BDT</t>
  </si>
  <si>
    <t xml:space="preserve">Bangladeshi Taka </t>
  </si>
  <si>
    <t>BHD</t>
  </si>
  <si>
    <t xml:space="preserve">Bahraini Dinar </t>
  </si>
  <si>
    <t>BMD</t>
  </si>
  <si>
    <t xml:space="preserve">Bermudian Dollar </t>
  </si>
  <si>
    <t xml:space="preserve">Brazil Real </t>
  </si>
  <si>
    <t>CAD</t>
  </si>
  <si>
    <t xml:space="preserve">Canadian Dollar </t>
  </si>
  <si>
    <t>CHF</t>
  </si>
  <si>
    <t xml:space="preserve">Swiss Franc </t>
  </si>
  <si>
    <t>CLP</t>
  </si>
  <si>
    <t xml:space="preserve">Chilean Peso </t>
  </si>
  <si>
    <t>CZK</t>
  </si>
  <si>
    <t xml:space="preserve">Czech Koruna </t>
  </si>
  <si>
    <t>DKK</t>
  </si>
  <si>
    <t xml:space="preserve">Danish Krone </t>
  </si>
  <si>
    <t>GBP</t>
  </si>
  <si>
    <t xml:space="preserve">British Pound Sterling </t>
  </si>
  <si>
    <t>GEL</t>
  </si>
  <si>
    <t xml:space="preserve">Georgian Lari </t>
  </si>
  <si>
    <t>HKD</t>
  </si>
  <si>
    <t xml:space="preserve">Hong Kong Dollar </t>
  </si>
  <si>
    <t>HUF</t>
  </si>
  <si>
    <t xml:space="preserve">Hungarian Forint </t>
  </si>
  <si>
    <t>ILS</t>
  </si>
  <si>
    <t xml:space="preserve">Israeli New Shekel </t>
  </si>
  <si>
    <t>INR</t>
  </si>
  <si>
    <t xml:space="preserve">Indian Rupee </t>
  </si>
  <si>
    <t>KWD</t>
  </si>
  <si>
    <t xml:space="preserve">Kuwaiti Dinar </t>
  </si>
  <si>
    <t>LKR</t>
  </si>
  <si>
    <t xml:space="preserve">Sri Lankan Rupee </t>
  </si>
  <si>
    <t>MMK</t>
  </si>
  <si>
    <t xml:space="preserve">Burmese Kyat </t>
  </si>
  <si>
    <t>MXN</t>
  </si>
  <si>
    <t xml:space="preserve">Mexican Peso </t>
  </si>
  <si>
    <t>MYR</t>
  </si>
  <si>
    <t xml:space="preserve">Malaysian Ringgit </t>
  </si>
  <si>
    <t>NGN</t>
  </si>
  <si>
    <t xml:space="preserve">Nigerian Naira </t>
  </si>
  <si>
    <t>NOK</t>
  </si>
  <si>
    <t xml:space="preserve">Norwegian Krone </t>
  </si>
  <si>
    <t>NZD</t>
  </si>
  <si>
    <t xml:space="preserve">New Zealand Dollar </t>
  </si>
  <si>
    <t>PHP</t>
  </si>
  <si>
    <t xml:space="preserve">Philippine Peso </t>
  </si>
  <si>
    <t>PKR</t>
  </si>
  <si>
    <t xml:space="preserve">Pakistani Rupee </t>
  </si>
  <si>
    <t>PLN</t>
  </si>
  <si>
    <t xml:space="preserve">Polish Zloty </t>
  </si>
  <si>
    <t>SAR</t>
  </si>
  <si>
    <t xml:space="preserve">Saudi Riyal </t>
  </si>
  <si>
    <t>SEK</t>
  </si>
  <si>
    <t xml:space="preserve">Swedish Krona </t>
  </si>
  <si>
    <t>SGD</t>
  </si>
  <si>
    <t xml:space="preserve">Singapore Dollar </t>
  </si>
  <si>
    <t>THB</t>
  </si>
  <si>
    <t xml:space="preserve">Thai Baht </t>
  </si>
  <si>
    <t>TRY</t>
  </si>
  <si>
    <t xml:space="preserve">Turkish Lira </t>
  </si>
  <si>
    <t>UAH</t>
  </si>
  <si>
    <t xml:space="preserve">Ukrainian hryvnia </t>
  </si>
  <si>
    <t>VEF</t>
  </si>
  <si>
    <t xml:space="preserve">Venezuelan bolívar fuerte </t>
  </si>
  <si>
    <t>VND</t>
  </si>
  <si>
    <t xml:space="preserve">Vietnamese đồng </t>
  </si>
  <si>
    <t>ZAR</t>
  </si>
  <si>
    <t xml:space="preserve">South African Rand </t>
  </si>
  <si>
    <t>XDR</t>
  </si>
  <si>
    <t xml:space="preserve">IMF Special Drawing Rights </t>
  </si>
  <si>
    <t xml:space="preserve">Bitcoin </t>
  </si>
  <si>
    <t xml:space="preserve">Ether </t>
  </si>
  <si>
    <t>LTC</t>
  </si>
  <si>
    <t xml:space="preserve">Litecoin </t>
  </si>
  <si>
    <t>BCH</t>
  </si>
  <si>
    <t xml:space="preserve">Bitcoin Cash </t>
  </si>
  <si>
    <t xml:space="preserve">Binance Coin </t>
  </si>
  <si>
    <t>EOS</t>
  </si>
  <si>
    <t xml:space="preserve">EOS </t>
  </si>
  <si>
    <t>XRP</t>
  </si>
  <si>
    <t xml:space="preserve">XRP </t>
  </si>
  <si>
    <t>XLM</t>
  </si>
  <si>
    <t xml:space="preserve">Lumens </t>
  </si>
  <si>
    <t xml:space="preserve">Chainlink </t>
  </si>
  <si>
    <t>DOT</t>
  </si>
  <si>
    <t xml:space="preserve">Polkadot </t>
  </si>
  <si>
    <t>YFI</t>
  </si>
  <si>
    <t xml:space="preserve">Yearn.finance </t>
  </si>
  <si>
    <t>Unidades de Bitcoin</t>
  </si>
  <si>
    <t>BITS</t>
  </si>
  <si>
    <t xml:space="preserve">Bits </t>
  </si>
  <si>
    <t>SATS</t>
  </si>
  <si>
    <t xml:space="preserve">Satoshi </t>
  </si>
  <si>
    <t>XAG</t>
  </si>
  <si>
    <t xml:space="preserve">Silver - Troy Ounce </t>
  </si>
  <si>
    <t>XAU</t>
  </si>
  <si>
    <t xml:space="preserve">Gold - Troy Ounce </t>
  </si>
  <si>
    <t>Selecionar Idioma</t>
  </si>
  <si>
    <t>Idiomas Populares</t>
  </si>
  <si>
    <t>EN</t>
  </si>
  <si>
    <t>English</t>
  </si>
  <si>
    <t>RU</t>
  </si>
  <si>
    <t>Русский</t>
  </si>
  <si>
    <t>DE</t>
  </si>
  <si>
    <t>Deutsch</t>
  </si>
  <si>
    <t>PL</t>
  </si>
  <si>
    <t>język polski</t>
  </si>
  <si>
    <t>ES</t>
  </si>
  <si>
    <t>Español</t>
  </si>
  <si>
    <t>VI</t>
  </si>
  <si>
    <t>Tiếng việt</t>
  </si>
  <si>
    <t>FR</t>
  </si>
  <si>
    <t>Français</t>
  </si>
  <si>
    <t xml:space="preserve">Português </t>
  </si>
  <si>
    <t>Todos os Idiomas</t>
  </si>
  <si>
    <t>AR</t>
  </si>
  <si>
    <t>العربية</t>
  </si>
  <si>
    <t>BG</t>
  </si>
  <si>
    <t>български</t>
  </si>
  <si>
    <t>CS</t>
  </si>
  <si>
    <t>čeština</t>
  </si>
  <si>
    <t>DA</t>
  </si>
  <si>
    <t>dansk</t>
  </si>
  <si>
    <t>EL</t>
  </si>
  <si>
    <t>Ελληνικά</t>
  </si>
  <si>
    <t>FI</t>
  </si>
  <si>
    <t>suomen kieli</t>
  </si>
  <si>
    <t>HE</t>
  </si>
  <si>
    <t>עִבְרִית</t>
  </si>
  <si>
    <t>HI</t>
  </si>
  <si>
    <t>हिंदी</t>
  </si>
  <si>
    <t>HR</t>
  </si>
  <si>
    <t>hrvatski</t>
  </si>
  <si>
    <t>HU</t>
  </si>
  <si>
    <t>Magyar nyelv</t>
  </si>
  <si>
    <t>ID</t>
  </si>
  <si>
    <t>Bahasa Indonesia</t>
  </si>
  <si>
    <t>IT</t>
  </si>
  <si>
    <t>Italiano</t>
  </si>
  <si>
    <t>JA</t>
  </si>
  <si>
    <t>日本語</t>
  </si>
  <si>
    <t>KO</t>
  </si>
  <si>
    <t>한국어</t>
  </si>
  <si>
    <t>LT</t>
  </si>
  <si>
    <t>lietuvių kalba</t>
  </si>
  <si>
    <t>NL</t>
  </si>
  <si>
    <t>Nederlands</t>
  </si>
  <si>
    <t>NO</t>
  </si>
  <si>
    <t>norsk</t>
  </si>
  <si>
    <t>RO</t>
  </si>
  <si>
    <t>Limba română</t>
  </si>
  <si>
    <t>SK</t>
  </si>
  <si>
    <t>slovenský jazyk</t>
  </si>
  <si>
    <t>SL</t>
  </si>
  <si>
    <t>slovenski jezik</t>
  </si>
  <si>
    <t>SV</t>
  </si>
  <si>
    <t>Svenska</t>
  </si>
  <si>
    <t>TH</t>
  </si>
  <si>
    <t>ภาษาไทย</t>
  </si>
  <si>
    <t>TR</t>
  </si>
  <si>
    <t>Türkçe</t>
  </si>
  <si>
    <t>UK</t>
  </si>
  <si>
    <t>украї́нська мо́ва</t>
  </si>
  <si>
    <t>ZH</t>
  </si>
  <si>
    <t>简体中文</t>
  </si>
  <si>
    <t>ZH-TW</t>
  </si>
  <si>
    <t>繁體中文</t>
  </si>
  <si>
    <t xml:space="preserve">Iniciar sessão Iniciar sessão </t>
  </si>
  <si>
    <t>Faça o login para rastrear facilmente sua moeda favorita 🚀</t>
  </si>
  <si>
    <t>Ao continuar, você concorda com os Termos de Serviço da CoinGecko e reconhece que leu nossa Política de Privacidade</t>
  </si>
  <si>
    <t>Continuar com Google</t>
  </si>
  <si>
    <t>Continuar com Apple</t>
  </si>
  <si>
    <t>ou</t>
  </si>
  <si>
    <t>Remember me Esqueceu a sua palavra-passe?</t>
  </si>
  <si>
    <t>Não recebeu instruções de confirmação?</t>
  </si>
  <si>
    <t>Reenviar instruções de confirmação</t>
  </si>
  <si>
    <t>GRÁTIS! Rastreie sua moeda favorita facilmente com a CoinGecko 🚀</t>
  </si>
  <si>
    <t>A senha deve conter ao menos 8 caracteres incluindo 1 letra maiúscula, 1 letra minúscula, 1 número e 1 caractere especial</t>
  </si>
  <si>
    <t>Gostaria de subscrever a newsletter diária da CoinGecko.</t>
  </si>
  <si>
    <t>Criar conta</t>
  </si>
  <si>
    <t>Esqueceu a sua palavra-passe?</t>
  </si>
  <si>
    <t>Dentro de alguns minutos irá receber um email com instruções de reinicialização da palavra-passe.</t>
  </si>
  <si>
    <t>Enviar-me instruções para repor a palavra-passe</t>
  </si>
  <si>
    <t>Dentro de alguns minutos irá receber um email com instruções para confirmar a sua conta.</t>
  </si>
  <si>
    <t>Baixar o Aplicativo CoinGecko.</t>
  </si>
  <si>
    <t>Escaneie este código QR para baixar o aplicativo agora App QR CodeOu acesse nas lojas de aplicativos</t>
  </si>
  <si>
    <t>coingecko</t>
  </si>
  <si>
    <t>Continuar no aplicativo</t>
  </si>
  <si>
    <t>Rastreie preços em tempo real</t>
  </si>
  <si>
    <t>Abrir Aplicativo</t>
  </si>
  <si>
    <t xml:space="preserve">2. Preço de Ethereum </t>
  </si>
  <si>
    <t xml:space="preserve">Preço de ETH </t>
  </si>
  <si>
    <t>ETH logo</t>
  </si>
  <si>
    <t xml:space="preserve">Visão geral Informações Mercados Notícias Moedas Similares Dados históricos </t>
  </si>
  <si>
    <t>Como é calculado o preço de Ethereum (ETH)?</t>
  </si>
  <si>
    <t>Preço Ethereum Hoje (ETH)</t>
  </si>
  <si>
    <t>0.0%</t>
  </si>
  <si>
    <t>Conversor ETH</t>
  </si>
  <si>
    <t>Estatísticas do Ethereum</t>
  </si>
  <si>
    <t>1.0</t>
  </si>
  <si>
    <t>https://api.coingecko.com/api/v3/supply/eth</t>
  </si>
  <si>
    <t>ethereum.org</t>
  </si>
  <si>
    <t>Etherscan</t>
  </si>
  <si>
    <t xml:space="preserve">Ethplorer Blockchair Tokenview Oklink 3xpl </t>
  </si>
  <si>
    <t xml:space="preserve">SafePal Metamask Xdefi Coin98 </t>
  </si>
  <si>
    <t xml:space="preserve">ethereum </t>
  </si>
  <si>
    <t>Cadeias</t>
  </si>
  <si>
    <t>Ecossistema Ethereum</t>
  </si>
  <si>
    <t>Plataforma de Contratos Inteligentes</t>
  </si>
  <si>
    <t>5 mais</t>
  </si>
  <si>
    <t xml:space="preserve">Camada 1 (L1) FTX Holdings Multicoin Capital Portfolio Proof of Stake (PoS) Alameda Research Portfolio </t>
  </si>
  <si>
    <t>Histórico de Preço do ETH</t>
  </si>
  <si>
    <t>nov 10, 2021 (mais de 2 anos)</t>
  </si>
  <si>
    <t>out 20, 2015 (mais de 8 anos)</t>
  </si>
  <si>
    <t>O que é que acha de ETH hoje?</t>
  </si>
  <si>
    <t>A comunidade está otimista com relação ao Ethereum (ETH) hoje.</t>
  </si>
  <si>
    <t>O que é Ethereum? (ETH)</t>
  </si>
  <si>
    <t>Ethereum é uma plataforma de contratos inteligentes que capacita desenvolvedores a construir tokens e aplicações descentralizadas (DApps). A ETH é a moeda nativa da plataforma Ethereum e também funciona como tarifa de transação aos mineradores da rede Ethereum.</t>
  </si>
  <si>
    <t>A Ethereum é pioneira entre as blockchains baseadas em contratos inteligentes. Os contratos inteligentes são basicamente um código de computação que roda exatamente conforme programado sem qualquer possibilidade de queda, censura, fraude ou interferência de terceiros.</t>
  </si>
  <si>
    <t>Pode facilitar a troca de dinheiro, conteúdo, propriedades, ações ou qualquer outro item de valor. Quando rodado em uma blockchain, o contrato inteligente torna-se como um programa de computador auto-operado que se executa automaticamente quando determinadas condições são satisfeitas.</t>
  </si>
  <si>
    <t>A Ethereum permite que programadores rodem contratos inteligentes completos capazes de todo tipo de personalizações. Em vez de fornecer um conjunto limitado de operações, a Ethereum permite que os desenvolvedores tenham total controle sobre a personalização de qualquer contrato inteligente, dando aos desenvolvedores o poder de construir aplicações inovadoras e exclusivas.</t>
  </si>
  <si>
    <t>As carteiras Ethereum são bastante simples de configurar e têm várias opções populares como MyEtherWallet, MetaMask e Trezor.</t>
  </si>
  <si>
    <t>Onde você pode comprar Ethereum?</t>
  </si>
  <si>
    <t>Qual o volume de negócios diário de Ethereum (ETH)?</t>
  </si>
  <si>
    <t>Qual o pico histórico de Ethereum (ETH)?</t>
  </si>
  <si>
    <t>Qual a baixa histórica de Ethereum (ETH)?</t>
  </si>
  <si>
    <t>Qual a capitalização de mercado de Ethereum (ETH)?</t>
  </si>
  <si>
    <t>Qual a apreciação diluída de Ethereum (ETH)?</t>
  </si>
  <si>
    <t>Como é o desempenho de preço de Ethereum comparado aos seus pares?</t>
  </si>
  <si>
    <t>Mercados Ethereum</t>
  </si>
  <si>
    <t>ETH/USDT</t>
  </si>
  <si>
    <t>Toobit</t>
  </si>
  <si>
    <t>Crypto.com Exchange</t>
  </si>
  <si>
    <t>Últimas Notícias do Ethereum</t>
  </si>
  <si>
    <t>BeInCrypto (Portuguese)</t>
  </si>
  <si>
    <t>Preços globais de Ethereum</t>
  </si>
  <si>
    <t xml:space="preserve">ETH / USD US Dollar </t>
  </si>
  <si>
    <t xml:space="preserve">ETH / EUR Euro </t>
  </si>
  <si>
    <t xml:space="preserve">ETH / BRL Brazil Real </t>
  </si>
  <si>
    <t>NEAR Protocol</t>
  </si>
  <si>
    <t>Polygon</t>
  </si>
  <si>
    <t>Arbitrum</t>
  </si>
  <si>
    <t>2.6%</t>
  </si>
  <si>
    <t>Movimento</t>
  </si>
  <si>
    <t>Data</t>
  </si>
  <si>
    <t>Taxa</t>
  </si>
  <si>
    <t>Coin dia</t>
  </si>
  <si>
    <t>Dollar dia</t>
  </si>
  <si>
    <t>Wallet</t>
  </si>
  <si>
    <t>Valorização</t>
  </si>
  <si>
    <t>Qtt Coin</t>
  </si>
  <si>
    <t>CoinMov</t>
  </si>
  <si>
    <t>Valor R$</t>
  </si>
  <si>
    <t>Coin hoje $</t>
  </si>
  <si>
    <t>BTC dia $</t>
  </si>
  <si>
    <t>Total momento $</t>
  </si>
  <si>
    <t>Total momento R$</t>
  </si>
  <si>
    <t>Ganho / Perda</t>
  </si>
  <si>
    <t>% Ganho / Perda</t>
  </si>
  <si>
    <t>Total Investido $</t>
  </si>
  <si>
    <t>Total Retirado $</t>
  </si>
  <si>
    <t>Total Investido R$</t>
  </si>
  <si>
    <t>Total Retirado R$</t>
  </si>
  <si>
    <t>Ultima att</t>
  </si>
  <si>
    <t>Invs - Ret $</t>
  </si>
  <si>
    <t>Invs - Ret R$</t>
  </si>
  <si>
    <t>Total inv R$</t>
  </si>
  <si>
    <t>Total ret R$</t>
  </si>
  <si>
    <t>Preço medio $</t>
  </si>
  <si>
    <t>CondigPreço Medio</t>
  </si>
  <si>
    <t>Movimentação de carteira</t>
  </si>
  <si>
    <t>Controle de Carteira</t>
  </si>
  <si>
    <t>Link</t>
  </si>
  <si>
    <t>Câmbios: 1.066</t>
  </si>
  <si>
    <t>0.6%</t>
  </si>
  <si>
    <t>0.02%</t>
  </si>
  <si>
    <t>0.9%</t>
  </si>
  <si>
    <t>BeInCrypto Brasil</t>
  </si>
  <si>
    <t>0.8%</t>
  </si>
  <si>
    <t>0.5%</t>
  </si>
  <si>
    <t>Pendle</t>
  </si>
  <si>
    <t>13.3%</t>
  </si>
  <si>
    <t>Immutable</t>
  </si>
  <si>
    <t>$2,10</t>
  </si>
  <si>
    <t>1.5%</t>
  </si>
  <si>
    <t>0.1%</t>
  </si>
  <si>
    <t>1.9%</t>
  </si>
  <si>
    <t>Beam</t>
  </si>
  <si>
    <t>1.1%</t>
  </si>
  <si>
    <t>1.8%</t>
  </si>
  <si>
    <t>Degen (Base)</t>
  </si>
  <si>
    <t>8.9%</t>
  </si>
  <si>
    <t>The Sandbox</t>
  </si>
  <si>
    <t>1.0%</t>
  </si>
  <si>
    <t>BETH/ETH</t>
  </si>
  <si>
    <t>2.0%</t>
  </si>
  <si>
    <t>0.2%</t>
  </si>
  <si>
    <t>De preferencia a valores da CoinGecko</t>
  </si>
  <si>
    <t>10.0%</t>
  </si>
  <si>
    <t>0.3%</t>
  </si>
  <si>
    <t>Confira os principais eventos e assuntos cripto para ficar de olho esta semana</t>
  </si>
  <si>
    <t>6.0%</t>
  </si>
  <si>
    <t>2.7%</t>
  </si>
  <si>
    <t>HTX</t>
  </si>
  <si>
    <t>0.35%</t>
  </si>
  <si>
    <t xml:space="preserve">1 2 ... 279 </t>
  </si>
  <si>
    <t>Criptofacil</t>
  </si>
  <si>
    <t xml:space="preserve">Cota絥s: C⭢io, conversor de moedas, bolsas e ... - UOL Economia economia.uol.com.br › cotacoes </t>
  </si>
  <si>
    <t>SOL</t>
  </si>
  <si>
    <t>RON</t>
  </si>
  <si>
    <t>IMX</t>
  </si>
  <si>
    <t>GALA</t>
  </si>
  <si>
    <t>MATIC</t>
  </si>
  <si>
    <t>OP</t>
  </si>
  <si>
    <t>ARB</t>
  </si>
  <si>
    <t>RNDR</t>
  </si>
  <si>
    <t>STX</t>
  </si>
  <si>
    <t>DOGE</t>
  </si>
  <si>
    <t>WIF</t>
  </si>
  <si>
    <t>SHIBA</t>
  </si>
  <si>
    <t>#5</t>
  </si>
  <si>
    <t>7.7%</t>
  </si>
  <si>
    <t xml:space="preserve">2. Preço de Solana </t>
  </si>
  <si>
    <t>SOL logo</t>
  </si>
  <si>
    <t xml:space="preserve">Preço de SOL </t>
  </si>
  <si>
    <t>Como é calculado o preço de Solana (SOL)?</t>
  </si>
  <si>
    <t>Preço Solana Hoje (SOL)</t>
  </si>
  <si>
    <t>22.1%</t>
  </si>
  <si>
    <t>6.1%</t>
  </si>
  <si>
    <t>Conversor SOL</t>
  </si>
  <si>
    <t>Estatísticas do Solana</t>
  </si>
  <si>
    <t>0.78</t>
  </si>
  <si>
    <t>http://api.mainnet-beta.solana.com/v0/circulating-supply</t>
  </si>
  <si>
    <t>solana.com</t>
  </si>
  <si>
    <t>Solscan</t>
  </si>
  <si>
    <t xml:space="preserve">Helius Solana Solanabeach Oklink Solana </t>
  </si>
  <si>
    <t xml:space="preserve">Phantom Backpack Trust Wallet SafePal </t>
  </si>
  <si>
    <t xml:space="preserve">Telegram </t>
  </si>
  <si>
    <t xml:space="preserve">solana </t>
  </si>
  <si>
    <t>Ecossistema Solana</t>
  </si>
  <si>
    <t>6 mais</t>
  </si>
  <si>
    <t xml:space="preserve">Camada 1 (L1) Alleged SEC Securities FTX Holdings Multicoin Capital Portfolio Proof of Stake (PoS) Alameda Research Portfolio </t>
  </si>
  <si>
    <t>Histórico de Preço do SOL</t>
  </si>
  <si>
    <t>nov 06, 2021 (mais de 2 anos)</t>
  </si>
  <si>
    <t>mai 11, 2020 (quase 4 anos)</t>
  </si>
  <si>
    <t>O que é que acha de SOL hoje?</t>
  </si>
  <si>
    <t>A comunidade está otimista com relação ao Solana (SOL) hoje.</t>
  </si>
  <si>
    <t xml:space="preserve">Sobre Garantia </t>
  </si>
  <si>
    <t>O que é Solana? (SOL)</t>
  </si>
  <si>
    <t>A cripto Solana é uma blockchain de alto processamento baseada em consensos Prova de História (PoH) e Prova de Participação (PoS). Construída por uma equipe de engenheiros de rede, a Solana busca tornar-se uma infraestrutura de blockchain para modernas aplicações de internet.</t>
  </si>
  <si>
    <t>Solana é uma blockchain de propósitos gerais semelhante à Ethereum. Possui um alicerce técnico diferente, possibilitando aos desenvolvedores escrever aplicações utilizando Rust em vez de Solidity ou Vyper. Até o momento, as aplicações ao usuário final incluem finanças descentralizadas (DeFi), tokens não fungíveis (NFTs), mercados, jogos e muito mais.</t>
  </si>
  <si>
    <t>Uma das maiores características é a escalabilidade em que a Solana é capaz de processar mais de 700.000 transações por segundo. Sua capacidade para alto processamento tem apelo junto a traders de alta frequência e é apoiada por FTX e Alameda Research. O primeiro caso de uso para aplicações DeFi na Solana é o Serum, construído pela equipe por trás da FTX.</t>
  </si>
  <si>
    <t>A moeda nativa da Solana é a SOL. A Solana (SOL) é utilizada para pagar tarifas de transação e participação a fim de suportar a rede.</t>
  </si>
  <si>
    <t>Com o advento das multicadeias e adoção ampliada de DeFi e NFT, a Solana conseguiu capturar uma grande fatia de mercado. Os desenvolvedores foram atraídos pela técnica subjacente e começaram a construir aplicações descentralizadas.</t>
  </si>
  <si>
    <t>Onde você pode comprar Solana?</t>
  </si>
  <si>
    <t>Qual o volume de negócios diário de Solana (SOL)?</t>
  </si>
  <si>
    <t>Qual o pico histórico de Solana (SOL)?</t>
  </si>
  <si>
    <t>Qual a baixa histórica de Solana (SOL)?</t>
  </si>
  <si>
    <t>Qual a capitalização de mercado de Solana (SOL)?</t>
  </si>
  <si>
    <t>Qual a apreciação diluída de Solana (SOL)?</t>
  </si>
  <si>
    <t>Como é o desempenho de preço de Solana comparado aos seus pares?</t>
  </si>
  <si>
    <t>Mercados Solana</t>
  </si>
  <si>
    <t>DigiFinex</t>
  </si>
  <si>
    <t>SOL/USDT</t>
  </si>
  <si>
    <t>BitVenus</t>
  </si>
  <si>
    <t>3.1%</t>
  </si>
  <si>
    <t>WEEX</t>
  </si>
  <si>
    <t>WOO X</t>
  </si>
  <si>
    <t>0.03%</t>
  </si>
  <si>
    <t>TokoCrypto</t>
  </si>
  <si>
    <t>BingX</t>
  </si>
  <si>
    <t xml:space="preserve">1 2 ... 33 </t>
  </si>
  <si>
    <t>Últimas Notícias do Solana</t>
  </si>
  <si>
    <t>Solana, Dogwifhat, Helium e mais: 5 criptomoedas para ficar de olho hoje</t>
  </si>
  <si>
    <t>Cryptopolitan (Português)</t>
  </si>
  <si>
    <t>Preços globais de Solana</t>
  </si>
  <si>
    <t xml:space="preserve">SOL / USD US Dollar </t>
  </si>
  <si>
    <t xml:space="preserve">SOL / EUR Euro </t>
  </si>
  <si>
    <t xml:space="preserve">SOL / BRL Brazil Real </t>
  </si>
  <si>
    <t>Tether</t>
  </si>
  <si>
    <t>USDC</t>
  </si>
  <si>
    <t>Chainlink</t>
  </si>
  <si>
    <t>1.4%</t>
  </si>
  <si>
    <t>1.3%</t>
  </si>
  <si>
    <t>0.4%</t>
  </si>
  <si>
    <t>#18</t>
  </si>
  <si>
    <t xml:space="preserve">2. Preço de Chainlink </t>
  </si>
  <si>
    <t>LINK logo</t>
  </si>
  <si>
    <t xml:space="preserve">Preço de LINK </t>
  </si>
  <si>
    <t>Como é calculado o preço de Chainlink (LINK)?</t>
  </si>
  <si>
    <t>Preço Chainlink Hoje (LINK)</t>
  </si>
  <si>
    <t xml:space="preserve">Preço Capitalização de mercado Gráfico Ao Vivo </t>
  </si>
  <si>
    <t>Conversor LINK</t>
  </si>
  <si>
    <t>Estatísticas do Chainlink</t>
  </si>
  <si>
    <t>0.59</t>
  </si>
  <si>
    <t>Total</t>
  </si>
  <si>
    <t>Locked Wallet (0x98c6)</t>
  </si>
  <si>
    <t>Locked Wallet (0xe036)</t>
  </si>
  <si>
    <t>Locked Wallet (0x5A8e)</t>
  </si>
  <si>
    <t>Locked Wallet (0xe0b6)</t>
  </si>
  <si>
    <t>Locked Wallet (0xa42D)</t>
  </si>
  <si>
    <t>Locked Wallet (0x5Eab)</t>
  </si>
  <si>
    <t>Locked Wallet (0x8d34)</t>
  </si>
  <si>
    <t>Locked Wallet (0x3739)</t>
  </si>
  <si>
    <t>Locked Wallet (0xfB68)</t>
  </si>
  <si>
    <t>Locked Wallet (0x9c17)</t>
  </si>
  <si>
    <t>Locked Wallet (0xD481)</t>
  </si>
  <si>
    <t>Locked Wallet (0x35a5)</t>
  </si>
  <si>
    <t>Locked Wallet (0x0DFf)</t>
  </si>
  <si>
    <t>Locked Wallet (0x7628)</t>
  </si>
  <si>
    <t>Locked Wallet (0x9BBb)</t>
  </si>
  <si>
    <t>Locked Wallet (0x7594)</t>
  </si>
  <si>
    <t>Locked Wallet (0x8652)</t>
  </si>
  <si>
    <t>Locked Wallet (0x1572)</t>
  </si>
  <si>
    <t>Locked Wallet (0x55b0)</t>
  </si>
  <si>
    <t>Locked Wallet (0x4a87)</t>
  </si>
  <si>
    <t>Contrato</t>
  </si>
  <si>
    <t>0x514...f986ca</t>
  </si>
  <si>
    <t>Adicionar à Metamask</t>
  </si>
  <si>
    <r>
      <t>Fantom</t>
    </r>
    <r>
      <rPr>
        <sz val="10"/>
        <color theme="1"/>
        <rFont val="Segoe UI"/>
        <family val="2"/>
      </rPr>
      <t xml:space="preserve"> 0xb36...4fbdc8</t>
    </r>
  </si>
  <si>
    <r>
      <t>Avalanche</t>
    </r>
    <r>
      <rPr>
        <sz val="10"/>
        <color theme="1"/>
        <rFont val="Segoe UI"/>
        <family val="2"/>
      </rPr>
      <t xml:space="preserve"> 0x594...3227a3</t>
    </r>
  </si>
  <si>
    <r>
      <t>Energi</t>
    </r>
    <r>
      <rPr>
        <sz val="10"/>
        <color theme="1"/>
        <rFont val="Segoe UI"/>
        <family val="2"/>
      </rPr>
      <t xml:space="preserve"> 0x68c...034008</t>
    </r>
  </si>
  <si>
    <r>
      <t>Optimism</t>
    </r>
    <r>
      <rPr>
        <sz val="10"/>
        <color theme="1"/>
        <rFont val="Segoe UI"/>
        <family val="2"/>
      </rPr>
      <t xml:space="preserve"> 0x350...ffa7f6</t>
    </r>
  </si>
  <si>
    <r>
      <t>Near Protocol</t>
    </r>
    <r>
      <rPr>
        <sz val="10"/>
        <color theme="1"/>
        <rFont val="Segoe UI"/>
        <family val="2"/>
      </rPr>
      <t xml:space="preserve"> 51491...e.near</t>
    </r>
  </si>
  <si>
    <r>
      <t>Arbitrum One</t>
    </r>
    <r>
      <rPr>
        <sz val="10"/>
        <color theme="1"/>
        <rFont val="Segoe UI"/>
        <family val="2"/>
      </rPr>
      <t xml:space="preserve"> 0xf97...539fb4</t>
    </r>
  </si>
  <si>
    <r>
      <t>Huobi ECO Chain Mainnet</t>
    </r>
    <r>
      <rPr>
        <sz val="10"/>
        <color theme="1"/>
        <rFont val="Segoe UI"/>
        <family val="2"/>
      </rPr>
      <t xml:space="preserve"> 0x9e0...717b42</t>
    </r>
  </si>
  <si>
    <r>
      <t>Gnosis Chain</t>
    </r>
    <r>
      <rPr>
        <sz val="10"/>
        <color theme="1"/>
        <rFont val="Segoe UI"/>
        <family val="2"/>
      </rPr>
      <t xml:space="preserve"> 0xe2e...ca09b2</t>
    </r>
  </si>
  <si>
    <r>
      <t>Polygon POS</t>
    </r>
    <r>
      <rPr>
        <sz val="10"/>
        <color theme="1"/>
        <rFont val="Segoe UI"/>
        <family val="2"/>
      </rPr>
      <t xml:space="preserve"> 0x53e...abad39</t>
    </r>
  </si>
  <si>
    <r>
      <t>Harmony Shard 0</t>
    </r>
    <r>
      <rPr>
        <sz val="10"/>
        <color theme="1"/>
        <rFont val="Segoe UI"/>
        <family val="2"/>
      </rPr>
      <t xml:space="preserve"> 0x218...9198aa</t>
    </r>
  </si>
  <si>
    <r>
      <t>Sora</t>
    </r>
    <r>
      <rPr>
        <sz val="10"/>
        <color theme="1"/>
        <rFont val="Segoe UI"/>
        <family val="2"/>
      </rPr>
      <t xml:space="preserve"> 0x008...b1205a</t>
    </r>
  </si>
  <si>
    <r>
      <t>BNB Smart Chain</t>
    </r>
    <r>
      <rPr>
        <sz val="10"/>
        <color theme="1"/>
        <rFont val="Segoe UI"/>
        <family val="2"/>
      </rPr>
      <t xml:space="preserve"> 0xf8a...1a51bd</t>
    </r>
  </si>
  <si>
    <r>
      <t>Milkomeda (Cardano)</t>
    </r>
    <r>
      <rPr>
        <sz val="10"/>
        <color theme="1"/>
        <rFont val="Segoe UI"/>
        <family val="2"/>
      </rPr>
      <t xml:space="preserve"> 0xf39...5dcbc2</t>
    </r>
  </si>
  <si>
    <r>
      <t>Osmosis</t>
    </r>
    <r>
      <rPr>
        <sz val="10"/>
        <color theme="1"/>
        <rFont val="Segoe UI"/>
        <family val="2"/>
      </rPr>
      <t xml:space="preserve"> ibc/D...960049</t>
    </r>
  </si>
  <si>
    <t>chain.link</t>
  </si>
  <si>
    <t>blog.chain.link</t>
  </si>
  <si>
    <t xml:space="preserve">Ethplorer Arbiscan Bscscan Polygonscan Snowtrace Nearblocks Meter Ftmscan Avascan Milkomeda Milkomeda Energi Polygonscan Etherscan Ethplorer Ftmscan Binplorer Cardanoscan Dex Dex Dex Dex Dex </t>
  </si>
  <si>
    <t xml:space="preserve">Gem Wallet </t>
  </si>
  <si>
    <t xml:space="preserve">chainlink </t>
  </si>
  <si>
    <t>15 mais</t>
  </si>
  <si>
    <t xml:space="preserve">Ecossistema BNB Chain Ecossistema Polygon Ecossistema Solana Ecossistema Avalanche Ecossistema Arbitrum Ecossistema Fantom Ecossistema Gnosis Chain Ecossistema Optimism Ecossistema Cosmos Ecossistema Harmony Ecossistema Polkadot Ecossistema Cardano Ecossistema Near Protocolo Osmosis Ecosystem Ecossistema Edgeware </t>
  </si>
  <si>
    <t>Serviços de Negócios</t>
  </si>
  <si>
    <t>4 mais</t>
  </si>
  <si>
    <t xml:space="preserve">Infraestrutura Plataforma de Contratos Inteligentes Finanças Descentralizadas (DeFi) Oráculo </t>
  </si>
  <si>
    <t>Histórico de Preço do LINK</t>
  </si>
  <si>
    <t>mai 10, 2021 (quase 3 anos)</t>
  </si>
  <si>
    <t>nov 29, 2017 (mais de 6 anos)</t>
  </si>
  <si>
    <t>O que é que acha de LINK hoje?</t>
  </si>
  <si>
    <t>A comunidade está otimista com relação ao Chainlink (LINK) hoje.</t>
  </si>
  <si>
    <t>O que é Chainlink (LINK)</t>
  </si>
  <si>
    <t>Chainlink é uma estrutura para a construção de Redes de Oráculo Descentralizadas (DONs) que traz dados de mundo real às redes de blockchain, capacitando a criação de contratos inteligentes híbridos. Estas DONs fornecem serviços descentralizados tais como Informe de Preços, Prova de Reserva, Aleatoriedade Verificável, Mantenedores, além da capacidade de conexão com qualquer API em Web.</t>
  </si>
  <si>
    <t>Ela visa garantir que as informações externas (preços, dados do clima, notas de eventos, etc.) e as computações fora de cadeia (aleatoriedade, automação de transação, pedidos justos, etc.) enviadas aos contratos inteligentes em cadeia sejam confiáveis e à prova de violações.</t>
  </si>
  <si>
    <t>Onde você pode comprar Chainlink?</t>
  </si>
  <si>
    <t>Qual o volume de negócios diário de Chainlink (LINK)?</t>
  </si>
  <si>
    <t>Qual o pico histórico de Chainlink (LINK)?</t>
  </si>
  <si>
    <t>Qual a baixa histórica de Chainlink (LINK)?</t>
  </si>
  <si>
    <t>Qual a capitalização de mercado de Chainlink (LINK)?</t>
  </si>
  <si>
    <t>Qual a apreciação diluída de Chainlink (LINK)?</t>
  </si>
  <si>
    <t>Como é o desempenho de preço de Chainlink comparado aos seus pares?</t>
  </si>
  <si>
    <t>Como adicionar Chainlink (LINK) a MetaMask?</t>
  </si>
  <si>
    <t>Adicionar Chainlink (LINK) a MetaMask permite-lhe visualizar os seus ativos de tokens, negociações em intercâmbios descentralizados, e muito mais. Para os adicionar, terá de importar LINK como um token. Pode copiar o endereço de contrato de LINK (0x514910771af9ca656af840dff83e8264ecf986ca) e importar manualmente, ou se instalou a extensão chrome de MetaMask, adicionar LINK a MetaMask com um clique em CoinGecko.</t>
  </si>
  <si>
    <t>Adicionar LINK a MetaMask.</t>
  </si>
  <si>
    <t>Mercados Chainlink</t>
  </si>
  <si>
    <t>WhiteBIT</t>
  </si>
  <si>
    <t>LINK/USDT</t>
  </si>
  <si>
    <t>Hotcoin Global</t>
  </si>
  <si>
    <t>0.37%</t>
  </si>
  <si>
    <t>LINK/USD</t>
  </si>
  <si>
    <t>0.34%</t>
  </si>
  <si>
    <t>Últimas Notícias do Chainlink</t>
  </si>
  <si>
    <t>Altcoins formaram fundo e estão prontas para Bull Run, dizem analistas</t>
  </si>
  <si>
    <t>Chainlink VRF v2.5 foi lançado trazendo várias melhorias importantes</t>
  </si>
  <si>
    <t>Há 1 dia</t>
  </si>
  <si>
    <t>Solana, Litecoin e Chainlink recebem investimentos enquanto Bitcoin vê saídas</t>
  </si>
  <si>
    <t>Há 6 dias</t>
  </si>
  <si>
    <t>Preços globais de Chainlink</t>
  </si>
  <si>
    <t xml:space="preserve">LINK / USD US Dollar </t>
  </si>
  <si>
    <t xml:space="preserve">LINK / EUR Euro </t>
  </si>
  <si>
    <t xml:space="preserve">LINK / BRL Brazil Real </t>
  </si>
  <si>
    <t>$1,00</t>
  </si>
  <si>
    <t>Cosmos Hub</t>
  </si>
  <si>
    <t>Fetch.ai</t>
  </si>
  <si>
    <t>Akash Network</t>
  </si>
  <si>
    <t>$4,24</t>
  </si>
  <si>
    <t>3.0%</t>
  </si>
  <si>
    <t>Axelar</t>
  </si>
  <si>
    <t>$1,10</t>
  </si>
  <si>
    <t>13.5%</t>
  </si>
  <si>
    <t>$2,09</t>
  </si>
  <si>
    <t>$136,72</t>
  </si>
  <si>
    <t>Aerodrome Finance</t>
  </si>
  <si>
    <t>10.3%</t>
  </si>
  <si>
    <t>Pepe</t>
  </si>
  <si>
    <t>4.9%</t>
  </si>
  <si>
    <t>9.7%</t>
  </si>
  <si>
    <t>Ronin</t>
  </si>
  <si>
    <t>#107</t>
  </si>
  <si>
    <t xml:space="preserve">2. Preço de Ronin </t>
  </si>
  <si>
    <t>RON logo</t>
  </si>
  <si>
    <t xml:space="preserve">Preço de RON </t>
  </si>
  <si>
    <t>Como é calculado o preço de Ronin (RON)?</t>
  </si>
  <si>
    <t>O preço de Ronin (RON) é calculado em tempo real agregando-se os últimos dados de todas as 30 corretoras e 43 mercados, utilizando uma fórmula de peso de volume global. Saiba mais sobre como os preços de cripto são calculados na CoinGecko.</t>
  </si>
  <si>
    <t>Preço Ronin Hoje (RON)</t>
  </si>
  <si>
    <t>Conversor RON</t>
  </si>
  <si>
    <t>Estatísticas do Ronin</t>
  </si>
  <si>
    <t>0.32</t>
  </si>
  <si>
    <t>https://skynet-api.roninchain.com/ronin/supplies/query?q=circulatingSupply</t>
  </si>
  <si>
    <t>0xe51...a6bcd4</t>
  </si>
  <si>
    <t>roninchain.com</t>
  </si>
  <si>
    <t>Roninchain</t>
  </si>
  <si>
    <t>Ronin Wallet</t>
  </si>
  <si>
    <t xml:space="preserve">Discord </t>
  </si>
  <si>
    <t xml:space="preserve">ronin </t>
  </si>
  <si>
    <t>Ronin Ecosystem</t>
  </si>
  <si>
    <t>7 mais</t>
  </si>
  <si>
    <t xml:space="preserve">Jogos (GameFi) NFT Camada 1 (L1) Jogue para Ganhar FTX Holdings Gaming Blockchains SideChain </t>
  </si>
  <si>
    <t>Histórico de Preço do RON</t>
  </si>
  <si>
    <t>mar 26, 2024 (aproximadamente 1 mês)</t>
  </si>
  <si>
    <t>nov 21, 2022 (mais de 1 ano)</t>
  </si>
  <si>
    <t>O que é que acha de RON hoje?</t>
  </si>
  <si>
    <t>A comunidade está otimista com relação ao Ronin (RON) hoje.</t>
  </si>
  <si>
    <t>Onde você pode comprar Ronin?</t>
  </si>
  <si>
    <t>Qual o volume de negócios diário de Ronin (RON)?</t>
  </si>
  <si>
    <t>Qual o pico histórico de Ronin (RON)?</t>
  </si>
  <si>
    <t>Qual a baixa histórica de Ronin (RON)?</t>
  </si>
  <si>
    <t>Qual a capitalização de mercado de Ronin (RON)?</t>
  </si>
  <si>
    <t>Qual a apreciação diluída de Ronin (RON)?</t>
  </si>
  <si>
    <t>Como é o desempenho de preço de Ronin comparado aos seus pares?</t>
  </si>
  <si>
    <t>Mercados Ronin</t>
  </si>
  <si>
    <t>RON/USDT</t>
  </si>
  <si>
    <t>0.04%</t>
  </si>
  <si>
    <t>0.06%</t>
  </si>
  <si>
    <t>0.78%</t>
  </si>
  <si>
    <t>Katana</t>
  </si>
  <si>
    <t>DEX</t>
  </si>
  <si>
    <t>RON/WETH</t>
  </si>
  <si>
    <t>0.08%</t>
  </si>
  <si>
    <t>AXS/RON</t>
  </si>
  <si>
    <t>0.11%</t>
  </si>
  <si>
    <t>Mostrando 1 para 10 dos resultados 43</t>
  </si>
  <si>
    <t xml:space="preserve">1 2 ... 5 </t>
  </si>
  <si>
    <t>Estes artigos sobre cripto podem interessar</t>
  </si>
  <si>
    <t>BRISE Bitgert Criptomoeda: Projeto, Onde Comprar, vai subir em 2024?</t>
  </si>
  <si>
    <t>HPG</t>
  </si>
  <si>
    <t>Há 4 meses</t>
  </si>
  <si>
    <t>Threshold Criptomoeda: Projeto, Onde Comprar, vai subir em 2024?</t>
  </si>
  <si>
    <t>BIT BitDAO Criptomoeda: Projeto, Onde Comprar, vai subir em 2024?</t>
  </si>
  <si>
    <t>HBTC Huobi BTC Criptomoeda: Projeto, Onde Comprar, vai subir em 2024?</t>
  </si>
  <si>
    <t>Preços globais de Ronin</t>
  </si>
  <si>
    <t xml:space="preserve">RON / USD US Dollar </t>
  </si>
  <si>
    <t xml:space="preserve">RON / EUR Euro </t>
  </si>
  <si>
    <t xml:space="preserve">RON / BRL Brazil Real </t>
  </si>
  <si>
    <t>Gnosis</t>
  </si>
  <si>
    <t>Meter Governance</t>
  </si>
  <si>
    <t>XANA</t>
  </si>
  <si>
    <t>11.4%</t>
  </si>
  <si>
    <t>13.1%</t>
  </si>
  <si>
    <t>2.4%</t>
  </si>
  <si>
    <t>1.6%</t>
  </si>
  <si>
    <t xml:space="preserve">2. Preço de Immutable </t>
  </si>
  <si>
    <t>IMX logo</t>
  </si>
  <si>
    <t xml:space="preserve">Preço de IMX </t>
  </si>
  <si>
    <t>Como é calculado o preço de Immutable (IMX)?</t>
  </si>
  <si>
    <t>O preço de Immutable (IMX) é calculado em tempo real agregando-se os últimos dados de todas as 77 corretoras e 104 mercados, utilizando uma fórmula de peso de volume global. Saiba mais sobre como os preços de cripto são calculados na CoinGecko.</t>
  </si>
  <si>
    <t>Preço Immutable Hoje (IMX)</t>
  </si>
  <si>
    <t>Conversor IMX</t>
  </si>
  <si>
    <t>Estatísticas do Immutable</t>
  </si>
  <si>
    <t>0.73</t>
  </si>
  <si>
    <t>Vesting and locked private sales (0x2373)</t>
  </si>
  <si>
    <t>Locked (0x9cCC)</t>
  </si>
  <si>
    <t>0xf57...6e79ff</t>
  </si>
  <si>
    <t>imx.community</t>
  </si>
  <si>
    <t xml:space="preserve">Ethplorer </t>
  </si>
  <si>
    <t xml:space="preserve">immutable-x </t>
  </si>
  <si>
    <t>1 mais</t>
  </si>
  <si>
    <t xml:space="preserve">Immutable Ecosystem </t>
  </si>
  <si>
    <t>8 mais</t>
  </si>
  <si>
    <t xml:space="preserve">Jogos (GameFi) NFT Jogue para Ganhar Camada 2 (L2) Conhecimento Zero (ZK) Coinbase Ventures Portfolio Rollup Gaming Blockchains </t>
  </si>
  <si>
    <t>Histórico de Preço do IMX</t>
  </si>
  <si>
    <t>nov 26, 2021 (mais de 2 anos)</t>
  </si>
  <si>
    <t>dez 31, 2022 (mais de 1 ano)</t>
  </si>
  <si>
    <t>O que é que acha de IMX hoje?</t>
  </si>
  <si>
    <t>A comunidade está otimista com relação ao Immutable (IMX) hoje.</t>
  </si>
  <si>
    <t>Onde você pode comprar Immutable?</t>
  </si>
  <si>
    <t>Qual o volume de negócios diário de Immutable (IMX)?</t>
  </si>
  <si>
    <t>Qual o pico histórico de Immutable (IMX)?</t>
  </si>
  <si>
    <t>Qual a baixa histórica de Immutable (IMX)?</t>
  </si>
  <si>
    <t>Qual a capitalização de mercado de Immutable (IMX)?</t>
  </si>
  <si>
    <t>Qual a apreciação diluída de Immutable (IMX)?</t>
  </si>
  <si>
    <t>Como é o desempenho de preço de Immutable comparado aos seus pares?</t>
  </si>
  <si>
    <t>Como adicionar Immutable (IMX) a MetaMask?</t>
  </si>
  <si>
    <t>Adicionar Immutable (IMX) a MetaMask permite-lhe visualizar os seus ativos de tokens, negociações em intercâmbios descentralizados, e muito mais. Para os adicionar, terá de importar IMX como um token. Pode copiar o endereço de contrato de IMX (0xf57e7e7c23978c3caec3c3548e3d615c346e79ff) e importar manualmente, ou se instalou a extensão chrome de MetaMask, adicionar IMX a MetaMask com um clique em CoinGecko.</t>
  </si>
  <si>
    <t>Adicionar IMX a MetaMask.</t>
  </si>
  <si>
    <t>Mercados Immutable</t>
  </si>
  <si>
    <t>IMX/USDT</t>
  </si>
  <si>
    <t>OrangeX</t>
  </si>
  <si>
    <t>3.31%</t>
  </si>
  <si>
    <t>Slex</t>
  </si>
  <si>
    <t>0.05%</t>
  </si>
  <si>
    <t>Biconomy</t>
  </si>
  <si>
    <t>0.54%</t>
  </si>
  <si>
    <t>XT.COM</t>
  </si>
  <si>
    <t>Mostrando 1 para 10 dos resultados 104</t>
  </si>
  <si>
    <t xml:space="preserve">1 2 ... 11 </t>
  </si>
  <si>
    <t>Últimas Notícias do Immutable</t>
  </si>
  <si>
    <t>Immutable: Programa de recompensas oferece US$ 50 mil para jogadores</t>
  </si>
  <si>
    <t>Há 2 dias</t>
  </si>
  <si>
    <t>Preços globais de Immutable</t>
  </si>
  <si>
    <t xml:space="preserve">IMX / USD US Dollar </t>
  </si>
  <si>
    <t xml:space="preserve">IMX / EUR Euro </t>
  </si>
  <si>
    <t xml:space="preserve">IMX / BRL Brazil Real </t>
  </si>
  <si>
    <t>SKALE</t>
  </si>
  <si>
    <t>Enjin Coin</t>
  </si>
  <si>
    <t>WAX</t>
  </si>
  <si>
    <t xml:space="preserve">2. Preço de GALA </t>
  </si>
  <si>
    <t>GALA logo</t>
  </si>
  <si>
    <t xml:space="preserve">Preço de GALA </t>
  </si>
  <si>
    <t>Como é calculado o preço de GALA (GALA)?</t>
  </si>
  <si>
    <t>Preço GALA Hoje (GALA)</t>
  </si>
  <si>
    <t>2.3%</t>
  </si>
  <si>
    <t>Conversor GALA</t>
  </si>
  <si>
    <t>Estatísticas do GALA</t>
  </si>
  <si>
    <t>https://creators.gala.com/metadata/api/v1/tokens/gala/circulating-supply</t>
  </si>
  <si>
    <t>0xd1d...c87cae</t>
  </si>
  <si>
    <t>gala.com</t>
  </si>
  <si>
    <t>news.gala.com</t>
  </si>
  <si>
    <t xml:space="preserve">galagames.chat </t>
  </si>
  <si>
    <t xml:space="preserve">galagames.tel </t>
  </si>
  <si>
    <t xml:space="preserve">gala </t>
  </si>
  <si>
    <t>Jogos (GameFi)</t>
  </si>
  <si>
    <t xml:space="preserve">NFT Camada 1 (L1) Jogue para Ganhar DWF Labs Portfolio Gaming Platform </t>
  </si>
  <si>
    <t>Histórico de Preço do GALA</t>
  </si>
  <si>
    <t>dez 28, 2020 (mais de 3 anos)</t>
  </si>
  <si>
    <t>O que é que acha de GALA hoje?</t>
  </si>
  <si>
    <t>A comunidade está otimista com relação ao GALA (GALA) hoje.</t>
  </si>
  <si>
    <t>Onde você pode comprar GALA?</t>
  </si>
  <si>
    <t>Qual o volume de negócios diário de GALA (GALA)?</t>
  </si>
  <si>
    <t>Qual o pico histórico de GALA (GALA)?</t>
  </si>
  <si>
    <t>Qual a baixa histórica de GALA (GALA)?</t>
  </si>
  <si>
    <t>Qual a capitalização de mercado de GALA (GALA)?</t>
  </si>
  <si>
    <t>Qual a apreciação diluída de GALA (GALA)?</t>
  </si>
  <si>
    <t>Como é o desempenho de preço de GALA comparado aos seus pares?</t>
  </si>
  <si>
    <t>Como adicionar GALA (GALA) a MetaMask?</t>
  </si>
  <si>
    <t>Adicionar GALA (GALA) a MetaMask permite-lhe visualizar os seus ativos de tokens, negociações em intercâmbios descentralizados, e muito mais. Para os adicionar, terá de importar GALA como um token. Pode copiar o endereço de contrato de GALA (0xd1d2eb1b1e90b638588728b4130137d262c87cae) e importar manualmente, ou se instalou a extensão chrome de MetaMask, adicionar GALA a MetaMask com um clique em CoinGecko.</t>
  </si>
  <si>
    <t>Adicionar GALA a MetaMask.</t>
  </si>
  <si>
    <t>Mercados GALA</t>
  </si>
  <si>
    <t>GALA/USDT</t>
  </si>
  <si>
    <t>PointPay</t>
  </si>
  <si>
    <t>GALA/USD</t>
  </si>
  <si>
    <t xml:space="preserve">1 2 ... 13 </t>
  </si>
  <si>
    <t>Preços globais de GALA</t>
  </si>
  <si>
    <t xml:space="preserve">GALA / USD US Dollar </t>
  </si>
  <si>
    <t xml:space="preserve">GALA / EUR Euro </t>
  </si>
  <si>
    <t xml:space="preserve">GALA / BRL Brazil Real </t>
  </si>
  <si>
    <t>Portal</t>
  </si>
  <si>
    <t>Hooked Protocol</t>
  </si>
  <si>
    <t>Myria</t>
  </si>
  <si>
    <t>4.4%</t>
  </si>
  <si>
    <t>Nakamoto Games</t>
  </si>
  <si>
    <t>Vulcan Forged</t>
  </si>
  <si>
    <t>10.2%</t>
  </si>
  <si>
    <t xml:space="preserve">2. Preço de Polygon </t>
  </si>
  <si>
    <t>MATIC logo</t>
  </si>
  <si>
    <t xml:space="preserve">Preço de MATIC </t>
  </si>
  <si>
    <t>Como é calculado o preço de Polygon (MATIC)?</t>
  </si>
  <si>
    <t>The upgrade from MATIC to POL has been initiated on Ethereum's mainnet. For more information, please refer to this article and post. For the new migrated token, visit POL on CoinGecko.</t>
  </si>
  <si>
    <t>Preço Polygon Hoje (MATIC)</t>
  </si>
  <si>
    <t>4.8%</t>
  </si>
  <si>
    <t>Conversor MATIC</t>
  </si>
  <si>
    <t>Estatísticas do Polygon</t>
  </si>
  <si>
    <t>0.93</t>
  </si>
  <si>
    <t xml:space="preserve">Capitalização de mercado/Relação TVL </t>
  </si>
  <si>
    <t>Relação de capitalização de mercado sobre o valor total bloqueado deste ativo. Uma relação superior a 1.0 refere-se ao facto de a sua cap. de mercado ser superior ao seu valor total bloqueado.</t>
  </si>
  <si>
    <t>MC/TVL é utilizado para aproximar um valor de mercado de protocolo vs. o montante de ativos que tem acumulados/bloqueados.</t>
  </si>
  <si>
    <t xml:space="preserve">Avaliação totalmente diluída/Relação TVL </t>
  </si>
  <si>
    <t>Relação de avaliação totalmente diluída (FDV) sobre o valor total bloqueado (TVL) deste ativo. Uma relação superior a 1.0 refere-se ao facto de a FDV ser superior ao seu TVL.</t>
  </si>
  <si>
    <t>FDV/TVL é utilizado para aproximar um valor de mercado de protocolo totalmente diluído vs. o montante de ativos que tem acumulados/bloqueados.</t>
  </si>
  <si>
    <t xml:space="preserve">Valor Total Bloqueado (TVL) </t>
  </si>
  <si>
    <t>Capital depositado na plataforma sob a forma de garantia de empréstimo ou de negociação de liquidez.</t>
  </si>
  <si>
    <t>Dados fornecidos por Defi Llama</t>
  </si>
  <si>
    <t>$5.241.208.614</t>
  </si>
  <si>
    <t>Vesting Contract (0xcbfe)</t>
  </si>
  <si>
    <t>Foundation Contract (0xb316)</t>
  </si>
  <si>
    <t>Network Mining and Seeding (0x50d6)</t>
  </si>
  <si>
    <t>POL Migration Contract (0x29e7)</t>
  </si>
  <si>
    <t>0x7d1...cfebb0</t>
  </si>
  <si>
    <r>
      <t>Sora</t>
    </r>
    <r>
      <rPr>
        <sz val="10"/>
        <color theme="1"/>
        <rFont val="Segoe UI"/>
        <family val="2"/>
      </rPr>
      <t xml:space="preserve"> 0x009...1d0877</t>
    </r>
  </si>
  <si>
    <r>
      <t>Energi</t>
    </r>
    <r>
      <rPr>
        <sz val="10"/>
        <color theme="1"/>
        <rFont val="Segoe UI"/>
        <family val="2"/>
      </rPr>
      <t xml:space="preserve"> 0x989...cb6036</t>
    </r>
  </si>
  <si>
    <r>
      <t>Polygon POS</t>
    </r>
    <r>
      <rPr>
        <sz val="10"/>
        <color theme="1"/>
        <rFont val="Segoe UI"/>
        <family val="2"/>
      </rPr>
      <t xml:space="preserve"> 0x000...001010</t>
    </r>
  </si>
  <si>
    <r>
      <t>Harmony Shard 0</t>
    </r>
    <r>
      <rPr>
        <sz val="10"/>
        <color theme="1"/>
        <rFont val="Segoe UI"/>
        <family val="2"/>
      </rPr>
      <t xml:space="preserve"> 0x301...0a84c5</t>
    </r>
  </si>
  <si>
    <r>
      <t>Moonriver</t>
    </r>
    <r>
      <rPr>
        <sz val="10"/>
        <color theme="1"/>
        <rFont val="Segoe UI"/>
        <family val="2"/>
      </rPr>
      <t xml:space="preserve"> 0x682...4561d8</t>
    </r>
  </si>
  <si>
    <r>
      <t>Moonbeam</t>
    </r>
    <r>
      <rPr>
        <sz val="10"/>
        <color theme="1"/>
        <rFont val="Segoe UI"/>
        <family val="2"/>
      </rPr>
      <t xml:space="preserve"> 0x340...026e45</t>
    </r>
  </si>
  <si>
    <r>
      <t>BNB Smart Chain</t>
    </r>
    <r>
      <rPr>
        <sz val="10"/>
        <color theme="1"/>
        <rFont val="Segoe UI"/>
        <family val="2"/>
      </rPr>
      <t xml:space="preserve"> 0xcc4...d682bd</t>
    </r>
  </si>
  <si>
    <t>polygon.technology</t>
  </si>
  <si>
    <t>blog.polygon.technology</t>
  </si>
  <si>
    <t xml:space="preserve">Ethplorer Polygonscan Bscscan Moonscan Moonscan Energi Oklink 3xpl Binplorer Moonscan Dex </t>
  </si>
  <si>
    <t xml:space="preserve">Trezor Xdefi Coin98 Trust Wallet </t>
  </si>
  <si>
    <t xml:space="preserve">t.me </t>
  </si>
  <si>
    <t xml:space="preserve">matic-network </t>
  </si>
  <si>
    <t xml:space="preserve">Ecossistema BNB Chain Ecossistema Polygon Ecossistema Harmony Ecossistema Moonriver Ecossistema Moonbeam </t>
  </si>
  <si>
    <t>9 mais</t>
  </si>
  <si>
    <t xml:space="preserve">Camada 2 (L2) Conhecimento Zero (ZK) Alleged SEC Securities Binance Launchpad FTX Holdings Coinbase Ventures Portfolio Rollup Proof of Stake (PoS) Alameda Research Portfolio </t>
  </si>
  <si>
    <t>Histórico de Preço do MATIC</t>
  </si>
  <si>
    <t>dez 27, 2021 (mais de 2 anos)</t>
  </si>
  <si>
    <t>mai 10, 2019 (quase 5 anos)</t>
  </si>
  <si>
    <t>O que é que acha de MATIC hoje?</t>
  </si>
  <si>
    <t>A comunidade está otimista com relação ao Polygon (MATIC) hoje.</t>
  </si>
  <si>
    <t>O que é Polygon? (MATIC)</t>
  </si>
  <si>
    <t>Polygon (anteriormente conhecida como Matik Network) é a primeira plataforma bem estruturada e fácil de usar para a escala e desenvolvimento de infraestrutura da Ethereum. Seu componente principal é o SDK Polygon, uma estrutura modular e flexível que suporta a construção de vários tipos de aplicações.</t>
  </si>
  <si>
    <t>Com a Polygon é possível criar cadeias Optimistic Rollup, ZK Rollup e standalones, além de qualquer outro tipo de infraestrutura necessária ao desenvolvedor.</t>
  </si>
  <si>
    <t>A Polygon efetivamente transforma a Ethereum em um completo sistema multicadeias (isto é, uma internet de blockchains). Este sistema de multicadeias é similal a outros como a Polkadot, Cosmos, Avalanche, etc, com as vantagens de segurança, abertura e o vibrante ecossistema da Ethereum.</t>
  </si>
  <si>
    <t>Nada mudará para o atual ecossistema construído na cadeia Plasma-PoS. Com a Polygon, novas características estão sendo construídas em torno da tecnologia comprovada existente a fim de expandir a capacidade de atender às diversas necessidades do ecossistema de desenvolvedores. A Polygon vai continuar desenvolvendo a tecnologia central para que possa escalar a um ecossistema ainda maior.</t>
  </si>
  <si>
    <t>O token $MATIC vai continuar existindo para desempenhar um papel cada vez mais importante ao garantir o sistema e capacitar a governança.</t>
  </si>
  <si>
    <t>Onde você pode comprar Polygon?</t>
  </si>
  <si>
    <t>Qual o volume de negócios diário de Polygon (MATIC)?</t>
  </si>
  <si>
    <t>Qual o pico histórico de Polygon (MATIC)?</t>
  </si>
  <si>
    <t>Qual a baixa histórica de Polygon (MATIC)?</t>
  </si>
  <si>
    <t>Qual a capitalização de mercado de Polygon (MATIC)?</t>
  </si>
  <si>
    <t>Qual a apreciação diluída de Polygon (MATIC)?</t>
  </si>
  <si>
    <t>Como é o desempenho de preço de Polygon comparado aos seus pares?</t>
  </si>
  <si>
    <t>Como adicionar Polygon (MATIC) a MetaMask?</t>
  </si>
  <si>
    <t>Adicionar Polygon (MATIC) a MetaMask permite-lhe visualizar os seus ativos de tokens, negociações em intercâmbios descentralizados, e muito mais. Para os adicionar, terá de importar MATIC como um token. Pode copiar o endereço de contrato de MATIC (0x7d1afa7b718fb893db30a3abc0cfc608aacfebb0) e importar manualmente, ou se instalou a extensão chrome de MetaMask, adicionar MATIC a MetaMask com um clique em CoinGecko.</t>
  </si>
  <si>
    <t>Adicionar MATIC a MetaMask.</t>
  </si>
  <si>
    <t>Mercados Polygon</t>
  </si>
  <si>
    <t>MATIC/USDT</t>
  </si>
  <si>
    <t>Azbit</t>
  </si>
  <si>
    <t>0.33%</t>
  </si>
  <si>
    <t>LBank</t>
  </si>
  <si>
    <t xml:space="preserve">1 2 ... 38 </t>
  </si>
  <si>
    <t>Últimas Notícias do Polygon</t>
  </si>
  <si>
    <t>Investidores Polygon ( MATIC ) e Ripple ( XRP ) recorrem ao ETFSwap (ETFS) para obter um enorme retorno sobre o investimento de 100X</t>
  </si>
  <si>
    <t>Polygon (MATIC) em meio a sinais mistos: o que vem a seguir?</t>
  </si>
  <si>
    <t>Há 4 dias</t>
  </si>
  <si>
    <t>Preços globais de Polygon</t>
  </si>
  <si>
    <t xml:space="preserve">MATIC / USD US Dollar </t>
  </si>
  <si>
    <t xml:space="preserve">MATIC / EUR Euro </t>
  </si>
  <si>
    <t xml:space="preserve">MATIC / BRL Brazil Real </t>
  </si>
  <si>
    <t>Injective</t>
  </si>
  <si>
    <t>BitTorrent</t>
  </si>
  <si>
    <t>MultiversX</t>
  </si>
  <si>
    <t>Axie Infinity</t>
  </si>
  <si>
    <t>$2,68</t>
  </si>
  <si>
    <t>Ethena</t>
  </si>
  <si>
    <t>Optimism</t>
  </si>
  <si>
    <t xml:space="preserve">2. Preço de Optimism </t>
  </si>
  <si>
    <t>OP logo</t>
  </si>
  <si>
    <t xml:space="preserve">Preço de OP </t>
  </si>
  <si>
    <t>Como é calculado o preço de Optimism (OP)?</t>
  </si>
  <si>
    <t>Preço Optimism Hoje (OP)</t>
  </si>
  <si>
    <t>Conversor OP</t>
  </si>
  <si>
    <t>Estatísticas do Optimism</t>
  </si>
  <si>
    <t>0.24</t>
  </si>
  <si>
    <t>https://static.optimism.io/tokenomics/circulatingSupply.txt</t>
  </si>
  <si>
    <t>0x420...000042</t>
  </si>
  <si>
    <t>app.optimism.io</t>
  </si>
  <si>
    <t>optimism.mirror.xyz</t>
  </si>
  <si>
    <t xml:space="preserve">Oklink Dex </t>
  </si>
  <si>
    <t>SafePal</t>
  </si>
  <si>
    <t xml:space="preserve">Snapshot </t>
  </si>
  <si>
    <t xml:space="preserve">optimism </t>
  </si>
  <si>
    <t>Ecossistema Optimism</t>
  </si>
  <si>
    <t>Camada 2 (L2)</t>
  </si>
  <si>
    <t xml:space="preserve">Paradigm Portfolio </t>
  </si>
  <si>
    <t>Histórico de Preço do OP</t>
  </si>
  <si>
    <t>mar 06, 2024 (aproximadamente 2 meses)</t>
  </si>
  <si>
    <t>jun 18, 2022 (quase 2 anos)</t>
  </si>
  <si>
    <t>O que é que acha de OP hoje?</t>
  </si>
  <si>
    <t>A comunidade está otimista com relação ao Optimism (OP) hoje.</t>
  </si>
  <si>
    <t>Onde você pode comprar Optimism?</t>
  </si>
  <si>
    <t>Qual o volume de negócios diário de Optimism (OP)?</t>
  </si>
  <si>
    <t>Qual o pico histórico de Optimism (OP)?</t>
  </si>
  <si>
    <t>Qual a baixa histórica de Optimism (OP)?</t>
  </si>
  <si>
    <t>Qual a capitalização de mercado de Optimism (OP)?</t>
  </si>
  <si>
    <t>Qual a apreciação diluída de Optimism (OP)?</t>
  </si>
  <si>
    <t>Como é o desempenho de preço de Optimism comparado aos seus pares?</t>
  </si>
  <si>
    <t>Mercados Optimism</t>
  </si>
  <si>
    <t>OP/USDT</t>
  </si>
  <si>
    <t>2.86%</t>
  </si>
  <si>
    <t>1.28%</t>
  </si>
  <si>
    <t>0.09%</t>
  </si>
  <si>
    <t xml:space="preserve">1 2 ... 19 </t>
  </si>
  <si>
    <t>Últimas Notícias do Optimism</t>
  </si>
  <si>
    <t>Há 3 dias</t>
  </si>
  <si>
    <t>Preços globais de Optimism</t>
  </si>
  <si>
    <t xml:space="preserve">OP / USD US Dollar </t>
  </si>
  <si>
    <t xml:space="preserve">OP / EUR Euro </t>
  </si>
  <si>
    <t xml:space="preserve">OP / BRL Brazil Real </t>
  </si>
  <si>
    <t>Uniswap</t>
  </si>
  <si>
    <t>Maker</t>
  </si>
  <si>
    <t>Lido DAO</t>
  </si>
  <si>
    <t>2.1%</t>
  </si>
  <si>
    <t>Ribbon Finance</t>
  </si>
  <si>
    <t>13.6%</t>
  </si>
  <si>
    <t>#42</t>
  </si>
  <si>
    <t xml:space="preserve">2. Preço de Arbitrum </t>
  </si>
  <si>
    <t>ARB logo</t>
  </si>
  <si>
    <t xml:space="preserve">Preço de ARB </t>
  </si>
  <si>
    <t>Como é calculado o preço de Arbitrum (ARB)?</t>
  </si>
  <si>
    <t>Preço Arbitrum Hoje (ARB)</t>
  </si>
  <si>
    <t>Conversor ARB</t>
  </si>
  <si>
    <t>Estatísticas do Arbitrum</t>
  </si>
  <si>
    <t>0.27</t>
  </si>
  <si>
    <t>0x912...9e6548</t>
  </si>
  <si>
    <r>
      <t>Arbitrum Nova</t>
    </r>
    <r>
      <rPr>
        <sz val="10"/>
        <color theme="1"/>
        <rFont val="Segoe UI"/>
        <family val="2"/>
      </rPr>
      <t xml:space="preserve"> 0xf82...bf46ad</t>
    </r>
  </si>
  <si>
    <r>
      <t>Ethereum</t>
    </r>
    <r>
      <rPr>
        <sz val="10"/>
        <color theme="1"/>
        <rFont val="Segoe UI"/>
        <family val="2"/>
      </rPr>
      <t xml:space="preserve"> 0xb50...234ad1</t>
    </r>
  </si>
  <si>
    <t>arbitrum.io</t>
  </si>
  <si>
    <t>arbitrum.foundation</t>
  </si>
  <si>
    <t>Arbiscan</t>
  </si>
  <si>
    <t xml:space="preserve">Etherscan Ethplorer Arbiscan Oklink 3xpl Dex Dex </t>
  </si>
  <si>
    <t>Gem Wallet</t>
  </si>
  <si>
    <t xml:space="preserve">arbitrum </t>
  </si>
  <si>
    <t>2 mais</t>
  </si>
  <si>
    <t xml:space="preserve">Ecossistema Arbitrum Ecossistema Nova Arbitrum </t>
  </si>
  <si>
    <t xml:space="preserve">eGirl Capital Portfolio Rollup Alameda Research Portfolio </t>
  </si>
  <si>
    <t>Histórico de Preço do ARB</t>
  </si>
  <si>
    <t>jan 12, 2024 (4 meses)</t>
  </si>
  <si>
    <t>set 11, 2023 (8 meses)</t>
  </si>
  <si>
    <t>O que é que acha de ARB hoje?</t>
  </si>
  <si>
    <t>A comunidade está otimista com relação ao Arbitrum (ARB) hoje.</t>
  </si>
  <si>
    <t>Onde você pode comprar Arbitrum?</t>
  </si>
  <si>
    <t>Qual o volume de negócios diário de Arbitrum (ARB)?</t>
  </si>
  <si>
    <t>Qual o pico histórico de Arbitrum (ARB)?</t>
  </si>
  <si>
    <t>Qual a baixa histórica de Arbitrum (ARB)?</t>
  </si>
  <si>
    <t>Qual a capitalização de mercado de Arbitrum (ARB)?</t>
  </si>
  <si>
    <t>Qual a apreciação diluída de Arbitrum (ARB)?</t>
  </si>
  <si>
    <t>Como é o desempenho de preço de Arbitrum comparado aos seus pares?</t>
  </si>
  <si>
    <t>Mercados Arbitrum</t>
  </si>
  <si>
    <t>ARB/USDT</t>
  </si>
  <si>
    <t>Bitunix</t>
  </si>
  <si>
    <t>0.12%</t>
  </si>
  <si>
    <t>Últimas Notícias do Arbitrum</t>
  </si>
  <si>
    <t>Estas 4 Altcoins são as favoritas das baleias criptográficas – obtenha ganhos garantidos</t>
  </si>
  <si>
    <t>Hacker explora empréstimo instantâneo, vazando US$ 181.000 do Yield Protocol abandonado</t>
  </si>
  <si>
    <t>Preços globais de Arbitrum</t>
  </si>
  <si>
    <t xml:space="preserve">ARB / USD US Dollar </t>
  </si>
  <si>
    <t xml:space="preserve">ARB / EUR Euro </t>
  </si>
  <si>
    <t xml:space="preserve">ARB / BRL Brazil Real </t>
  </si>
  <si>
    <t>$1,03</t>
  </si>
  <si>
    <t>2.2%</t>
  </si>
  <si>
    <t>Starknet</t>
  </si>
  <si>
    <t>Manta Network</t>
  </si>
  <si>
    <t>3.2%</t>
  </si>
  <si>
    <t>1.2%</t>
  </si>
  <si>
    <t>9.4%</t>
  </si>
  <si>
    <t xml:space="preserve">2. Preço de Render </t>
  </si>
  <si>
    <t>RNDR logo</t>
  </si>
  <si>
    <t xml:space="preserve">Preço de RNDR </t>
  </si>
  <si>
    <t>Como é calculado o preço de Render (RNDR)?</t>
  </si>
  <si>
    <t>Preço Render Hoje (RNDR)</t>
  </si>
  <si>
    <t>Conversor RNDR</t>
  </si>
  <si>
    <t>Estatísticas do Render</t>
  </si>
  <si>
    <t>Treasury Funds (0xB6E3)</t>
  </si>
  <si>
    <t>0x6de...4aeb24</t>
  </si>
  <si>
    <r>
      <t>Polygon POS</t>
    </r>
    <r>
      <rPr>
        <sz val="10"/>
        <color theme="1"/>
        <rFont val="Segoe UI"/>
        <family val="2"/>
      </rPr>
      <t xml:space="preserve"> 0x612...309991</t>
    </r>
  </si>
  <si>
    <r>
      <t>Solana</t>
    </r>
    <r>
      <rPr>
        <sz val="10"/>
        <color theme="1"/>
        <rFont val="Segoe UI"/>
        <family val="2"/>
      </rPr>
      <t xml:space="preserve"> rndri...EkHBof</t>
    </r>
  </si>
  <si>
    <t>renderfoundation.com</t>
  </si>
  <si>
    <t>rendernetwork.com</t>
  </si>
  <si>
    <t>medium.com</t>
  </si>
  <si>
    <t xml:space="preserve">Ethplorer Polygonscan Solscan </t>
  </si>
  <si>
    <t xml:space="preserve">Medium </t>
  </si>
  <si>
    <t xml:space="preserve">rendernetwork.medium.com </t>
  </si>
  <si>
    <t xml:space="preserve">render-token </t>
  </si>
  <si>
    <t xml:space="preserve">Ecossistema Polygon Ecossistema Solana </t>
  </si>
  <si>
    <t>Inteligência Artificial (IA)</t>
  </si>
  <si>
    <t xml:space="preserve">NFT Metaverso DePIN Multicoin Capital Portfolio Alameda Research Portfolio </t>
  </si>
  <si>
    <t>Histórico de Preço do RNDR</t>
  </si>
  <si>
    <t>jun 16, 2020 (quase 4 anos)</t>
  </si>
  <si>
    <t>O que é que acha de RNDR hoje?</t>
  </si>
  <si>
    <t>A comunidade está otimista com relação ao Render (RNDR) hoje.</t>
  </si>
  <si>
    <t>Onde você pode comprar Render?</t>
  </si>
  <si>
    <t>Qual o volume de negócios diário de Render (RNDR)?</t>
  </si>
  <si>
    <t>Qual o pico histórico de Render (RNDR)?</t>
  </si>
  <si>
    <t>Qual a baixa histórica de Render (RNDR)?</t>
  </si>
  <si>
    <t>Qual a capitalização de mercado de Render (RNDR)?</t>
  </si>
  <si>
    <t>Qual a apreciação diluída de Render (RNDR)?</t>
  </si>
  <si>
    <t>Como é o desempenho de preço de Render comparado aos seus pares?</t>
  </si>
  <si>
    <t>Como adicionar Render (RNDR) a MetaMask?</t>
  </si>
  <si>
    <t>Adicionar Render (RNDR) a MetaMask permite-lhe visualizar os seus ativos de tokens, negociações em intercâmbios descentralizados, e muito mais. Para os adicionar, terá de importar RNDR como um token. Pode copiar o endereço de contrato de RNDR (0x6de037ef9ad2725eb40118bb1702ebb27e4aeb24) e importar manualmente, ou se instalou a extensão chrome de MetaMask, adicionar RNDR a MetaMask com um clique em CoinGecko.</t>
  </si>
  <si>
    <t>Adicionar RNDR a MetaMask.</t>
  </si>
  <si>
    <t>Mercados Render</t>
  </si>
  <si>
    <t>RNDR/USDT</t>
  </si>
  <si>
    <t>0.28%</t>
  </si>
  <si>
    <t>Deepcoin</t>
  </si>
  <si>
    <t xml:space="preserve">1 2 ... 15 </t>
  </si>
  <si>
    <t>Últimas Notícias do Render</t>
  </si>
  <si>
    <t>5 altcoins para ficar de olho em maio</t>
  </si>
  <si>
    <t>Há aproximadamente 3 horas</t>
  </si>
  <si>
    <t>Preços globais de Render</t>
  </si>
  <si>
    <t xml:space="preserve">RNDR / USD US Dollar </t>
  </si>
  <si>
    <t xml:space="preserve">RNDR / EUR Euro </t>
  </si>
  <si>
    <t xml:space="preserve">RNDR / BRL Brazil Real </t>
  </si>
  <si>
    <t>FLOKI</t>
  </si>
  <si>
    <t>Decentraland</t>
  </si>
  <si>
    <t>Illuvium</t>
  </si>
  <si>
    <t>Stacks</t>
  </si>
  <si>
    <t xml:space="preserve">2. Preço de Stacks </t>
  </si>
  <si>
    <t>STX logo</t>
  </si>
  <si>
    <t>5.1%</t>
  </si>
  <si>
    <t xml:space="preserve">Preço de STX </t>
  </si>
  <si>
    <t>Como é calculado o preço de Stacks (STX)?</t>
  </si>
  <si>
    <t>O preço de Stacks (STX) é calculado em tempo real agregando-se os últimos dados de todas as 36 corretoras e 78 mercados, utilizando uma fórmula de peso de volume global. Saiba mais sobre como os preços de cripto são calculados na CoinGecko.</t>
  </si>
  <si>
    <t>Preço Stacks Hoje (STX)</t>
  </si>
  <si>
    <t>Conversor STX</t>
  </si>
  <si>
    <t>Estatísticas do Stacks</t>
  </si>
  <si>
    <t>0.8</t>
  </si>
  <si>
    <t>$208.361.162</t>
  </si>
  <si>
    <t>https://stacks-node-api.mainnet.stacks.co/extended/v1/stx_supply</t>
  </si>
  <si>
    <t>stacks.co</t>
  </si>
  <si>
    <t xml:space="preserve">Stxtools </t>
  </si>
  <si>
    <t xml:space="preserve">Leather Xverse </t>
  </si>
  <si>
    <t xml:space="preserve">stacks.co </t>
  </si>
  <si>
    <t xml:space="preserve">forum.stacks.org </t>
  </si>
  <si>
    <t xml:space="preserve">blockstack </t>
  </si>
  <si>
    <t>Stacks Ecosystem</t>
  </si>
  <si>
    <t>Infraestrutura</t>
  </si>
  <si>
    <t xml:space="preserve">Plataforma de Contratos Inteligentes Camada 2 (L2) Bitcoin Layer 2 </t>
  </si>
  <si>
    <t>Histórico de Preço do STX</t>
  </si>
  <si>
    <t>mar 13, 2020 (aproximadamente 4 anos)</t>
  </si>
  <si>
    <t>O que é que acha de STX hoje?</t>
  </si>
  <si>
    <t>A comunidade está otimista com relação ao Stacks (STX) hoje.</t>
  </si>
  <si>
    <t>Onde você pode comprar Stacks?</t>
  </si>
  <si>
    <t>Qual o volume de negócios diário de Stacks (STX)?</t>
  </si>
  <si>
    <t>Qual o pico histórico de Stacks (STX)?</t>
  </si>
  <si>
    <t>Qual a baixa histórica de Stacks (STX)?</t>
  </si>
  <si>
    <t>Qual a capitalização de mercado de Stacks (STX)?</t>
  </si>
  <si>
    <t>Qual a apreciação diluída de Stacks (STX)?</t>
  </si>
  <si>
    <t>Como é o desempenho de preço de Stacks comparado aos seus pares?</t>
  </si>
  <si>
    <t>Mercados Stacks</t>
  </si>
  <si>
    <t>STX/USDT</t>
  </si>
  <si>
    <t>0.97%</t>
  </si>
  <si>
    <t>STX/USD</t>
  </si>
  <si>
    <t>Mostrando 1 para 10 dos resultados 78</t>
  </si>
  <si>
    <t xml:space="preserve">1 2 ... 8 </t>
  </si>
  <si>
    <t>Últimas Notícias do Stacks</t>
  </si>
  <si>
    <t>Bitcoin Cash , Stacks e Rebel Satoshi ($RBLZ) são três moedas que você deveria comprar após Bitcoin ser reduzido pela metade</t>
  </si>
  <si>
    <t>Protocolos de camada 2 têm alto desempenho após o halving do Bitcoin</t>
  </si>
  <si>
    <t>Preços globais de Stacks</t>
  </si>
  <si>
    <t xml:space="preserve">STX / USD US Dollar </t>
  </si>
  <si>
    <t xml:space="preserve">STX / EUR Euro </t>
  </si>
  <si>
    <t xml:space="preserve">STX / BRL Brazil Real </t>
  </si>
  <si>
    <t>Elastos</t>
  </si>
  <si>
    <t>SatoshiVM</t>
  </si>
  <si>
    <t>Dogecoin</t>
  </si>
  <si>
    <t>5.6%</t>
  </si>
  <si>
    <t>#9</t>
  </si>
  <si>
    <t xml:space="preserve">2. Preço de Dogecoin </t>
  </si>
  <si>
    <t>DOGE logo</t>
  </si>
  <si>
    <t xml:space="preserve">Preço de DOGE </t>
  </si>
  <si>
    <t>Como é calculado o preço de Dogecoin (DOGE)?</t>
  </si>
  <si>
    <t>Preço Dogecoin Hoje (DOGE)</t>
  </si>
  <si>
    <t>Conversor DOGE</t>
  </si>
  <si>
    <t>Estatísticas do Dogecoin</t>
  </si>
  <si>
    <t>https://api.blockchair.com/dogecoin/stats</t>
  </si>
  <si>
    <t>dogecoin.com</t>
  </si>
  <si>
    <t>Blockchair</t>
  </si>
  <si>
    <t xml:space="preserve">Tokenview Dogechain 3xpl </t>
  </si>
  <si>
    <t xml:space="preserve">Trezor Trust Wallet SafePal Ellipal </t>
  </si>
  <si>
    <t xml:space="preserve">dogecoin </t>
  </si>
  <si>
    <t>Ecossistema BNB Chain</t>
  </si>
  <si>
    <t xml:space="preserve">Meme Dog-Themed Coins Elon Musk-Inspired Coins Proof of Work (PoW) </t>
  </si>
  <si>
    <t>Histórico de Preço do DOGE</t>
  </si>
  <si>
    <t>mai 08, 2021 (quase 3 anos)</t>
  </si>
  <si>
    <t>mai 06, 2015 (quase 9 anos)</t>
  </si>
  <si>
    <t>O que é que acha de DOGE hoje?</t>
  </si>
  <si>
    <t>A comunidade está otimista com relação ao Dogecoin (DOGE) hoje.</t>
  </si>
  <si>
    <t>O que é Dogecoin? (DOGE)</t>
  </si>
  <si>
    <t>Dogecoin é uma criptomoeda baseada no popular meme de internet "Doge" e apresenta um Shiba Inu em seu logo. A Dogecoin é uma bifurcação Litecoin. Apresentada como uma "moeda piada" em 06 de dezembro de 2013, a Dogecoin rapidamente desenvolveu sua própria comunidade online e atingiu uma capitalização de USD 60 milhões em janeiro de 2014.</t>
  </si>
  <si>
    <t>Comparada a outras criptomoedas, a Dogecoin possui um rápido calendário de produção inicial de moedas: 100 bilhões de moedas em circulação em meados de 2015, com outros 5.256 billhões de moedas a cada ano subsequente. Em 30 de junho de 2015, foi cunhada a centésima bilionésima Dogecoin.</t>
  </si>
  <si>
    <t>A Dogecoin foi criada por Billy Markus, de Portland, Oregon, e Jackson Palmer, de Sydney, Austrália. Os dois queriam criar uma criptomoeda divertida com apelo para além do público da Bitcoin. A Dogecoin é utilizada principalmente como um sistema de gorjetas no Reddit e Twitter quando os usuários dão gorjetas a quem cria ou compartilha bom conteúdo. A comunidade é muito ativa na organização de levantamento de fundos para causas merecedoras.</t>
  </si>
  <si>
    <t>Desde 2015, os desenvolvedores da Dogecoin não fazem maiores mudanças na moeda. Isso significa que a Dogecoin pode ficar para trás e é por isso que as Shibas estão deixando a Dogecoin para juntar-se a plataformas mais avançadas como a Ethereum. Um dos pontos fortes da Dogecoin é sua comunidade relaxada e divertida. Entretanto, isso é também uma fraqueza, pois outras moedas são muito mais profissionais.</t>
  </si>
  <si>
    <t>Onde você pode comprar Dogecoin?</t>
  </si>
  <si>
    <t>Qual o volume de negócios diário de Dogecoin (DOGE)?</t>
  </si>
  <si>
    <t>Qual o pico histórico de Dogecoin (DOGE)?</t>
  </si>
  <si>
    <t>Qual a baixa histórica de Dogecoin (DOGE)?</t>
  </si>
  <si>
    <t>Qual a capitalização de mercado de Dogecoin (DOGE)?</t>
  </si>
  <si>
    <t>Qual a apreciação diluída de Dogecoin (DOGE)?</t>
  </si>
  <si>
    <t>Como é o desempenho de preço de Dogecoin comparado aos seus pares?</t>
  </si>
  <si>
    <t>Mercados Dogecoin</t>
  </si>
  <si>
    <t>DOGE/USDT</t>
  </si>
  <si>
    <t>2.5%</t>
  </si>
  <si>
    <t>DOGE/USD</t>
  </si>
  <si>
    <t>Pionex</t>
  </si>
  <si>
    <t xml:space="preserve">1 2 ... 41 </t>
  </si>
  <si>
    <t>Últimas Notícias do Dogecoin</t>
  </si>
  <si>
    <t>Principais altcoins de baixo risco com potencial 3x maior que Dogecoin (DOGE)</t>
  </si>
  <si>
    <t>Preços globais de Dogecoin</t>
  </si>
  <si>
    <t xml:space="preserve">DOGE / USD US Dollar </t>
  </si>
  <si>
    <t xml:space="preserve">DOGE / EUR Euro </t>
  </si>
  <si>
    <t xml:space="preserve">DOGE / BRL Brazil Real </t>
  </si>
  <si>
    <t>Dogelon Mars</t>
  </si>
  <si>
    <t>Grok</t>
  </si>
  <si>
    <t>5.9%</t>
  </si>
  <si>
    <t>Optimus AI</t>
  </si>
  <si>
    <t>Byte</t>
  </si>
  <si>
    <t>Baby Grok</t>
  </si>
  <si>
    <t xml:space="preserve">2. Preço de dogwifhat </t>
  </si>
  <si>
    <t>WIF logo</t>
  </si>
  <si>
    <t xml:space="preserve">Preço de WIF </t>
  </si>
  <si>
    <t>Como é calculado o preço de dogwifhat (WIF)?</t>
  </si>
  <si>
    <t>Preço dogwifhat Hoje (WIF)</t>
  </si>
  <si>
    <t>-</t>
  </si>
  <si>
    <t>Conversor WIF</t>
  </si>
  <si>
    <t>Estatísticas do dogwifhat</t>
  </si>
  <si>
    <t>EKpQG...65zcjm</t>
  </si>
  <si>
    <t>dogwifcoin.org</t>
  </si>
  <si>
    <t xml:space="preserve">dogwifcoin </t>
  </si>
  <si>
    <t>Meme</t>
  </si>
  <si>
    <t xml:space="preserve">Dog-Themed Coins Solana Meme Coins </t>
  </si>
  <si>
    <t>Histórico de Preço do WIF</t>
  </si>
  <si>
    <t>mar 31, 2024 (aproximadamente 1 mês)</t>
  </si>
  <si>
    <t>dez 13, 2023 (5 meses)</t>
  </si>
  <si>
    <t>O que é que acha de WIF hoje?</t>
  </si>
  <si>
    <t>A comunidade está otimista com relação ao dogwifhat (WIF) hoje.</t>
  </si>
  <si>
    <t>Onde você pode comprar dogwifhat?</t>
  </si>
  <si>
    <t>Qual o volume de negócios diário de dogwifhat (WIF)?</t>
  </si>
  <si>
    <t>Qual o pico histórico de dogwifhat (WIF)?</t>
  </si>
  <si>
    <t>Qual a baixa histórica de dogwifhat (WIF)?</t>
  </si>
  <si>
    <t>Qual a capitalização de mercado de dogwifhat (WIF)?</t>
  </si>
  <si>
    <t>Qual a apreciação diluída de dogwifhat (WIF)?</t>
  </si>
  <si>
    <t>Como é o desempenho de preço de dogwifhat comparado aos seus pares?</t>
  </si>
  <si>
    <t>Mercados dogwifhat</t>
  </si>
  <si>
    <t>WIF/USDT</t>
  </si>
  <si>
    <t>Últimas Notícias do dogwifhat</t>
  </si>
  <si>
    <t>Preços globais de dogwifhat</t>
  </si>
  <si>
    <t xml:space="preserve">WIF / USD US Dollar </t>
  </si>
  <si>
    <t xml:space="preserve">WIF / EUR Euro </t>
  </si>
  <si>
    <t xml:space="preserve">WIF / BRL Brazil Real </t>
  </si>
  <si>
    <t>Bonk</t>
  </si>
  <si>
    <t>4.1%</t>
  </si>
  <si>
    <t>BOOK OF MEME</t>
  </si>
  <si>
    <t>3.3%</t>
  </si>
  <si>
    <t>Popcat</t>
  </si>
  <si>
    <t>cat in a dogs world</t>
  </si>
  <si>
    <t>7.1%</t>
  </si>
  <si>
    <t>Jeo Boden</t>
  </si>
  <si>
    <t>$2,08</t>
  </si>
  <si>
    <t>1.7%</t>
  </si>
  <si>
    <t>Shiba Inu</t>
  </si>
  <si>
    <t>#12</t>
  </si>
  <si>
    <t xml:space="preserve">2. Preço de Shiba Inu </t>
  </si>
  <si>
    <t>SHIB logo</t>
  </si>
  <si>
    <t xml:space="preserve">Preço de SHIB </t>
  </si>
  <si>
    <t>Como é calculado o preço de Shiba Inu (SHIB)?</t>
  </si>
  <si>
    <t>Preço Shiba Inu Hoje (SHIB)</t>
  </si>
  <si>
    <t>Conversor SHIB</t>
  </si>
  <si>
    <t>SHIB</t>
  </si>
  <si>
    <t>Estatísticas do Shiba Inu</t>
  </si>
  <si>
    <t>Shiboshi Rename Burn (0x0000)</t>
  </si>
  <si>
    <t>SHIB burn self voluntarily into Apollo Inu Contract (0xadf8)</t>
  </si>
  <si>
    <t>Listing Burned + Self Burn (0x0000)</t>
  </si>
  <si>
    <t>Shiboshi Burned (0x1145)</t>
  </si>
  <si>
    <t>Shib Pixel Pup Burn (0x5562)</t>
  </si>
  <si>
    <t>SHIB burn self voluntarily into BONE Contract (0x9813)</t>
  </si>
  <si>
    <t>SHIB burn self voluntarily into SHIB Contract (0x95aD)</t>
  </si>
  <si>
    <t>Burned Wallet by VB (0xdead)</t>
  </si>
  <si>
    <t>Burn into tBone Contract (0xf7A0)</t>
  </si>
  <si>
    <t>SHIB burn self voluntarily into LEASH Contract (0x27C7)</t>
  </si>
  <si>
    <t>SHIB burn self voluntarily into Saitama Contract (0x8B31)</t>
  </si>
  <si>
    <t>0x95a...64c4ce</t>
  </si>
  <si>
    <t>shibatoken.com</t>
  </si>
  <si>
    <t>blog.shibaswap.com</t>
  </si>
  <si>
    <t xml:space="preserve">Ethplorer Bscscan Energi </t>
  </si>
  <si>
    <t xml:space="preserve">shiba-inu </t>
  </si>
  <si>
    <t xml:space="preserve">Ecossistema BNB Chain Shibarium Ecosystem </t>
  </si>
  <si>
    <t xml:space="preserve">Dog-Themed Coins </t>
  </si>
  <si>
    <t>Histórico de Preço do SHIB</t>
  </si>
  <si>
    <t>out 28, 2021 (mais de 2 anos)</t>
  </si>
  <si>
    <t>nov 28, 2020 (mais de 3 anos)</t>
  </si>
  <si>
    <t>O que é que acha de SHIB hoje?</t>
  </si>
  <si>
    <t>A comunidade está otimista com relação ao Shiba Inu (SHIB) hoje.</t>
  </si>
  <si>
    <t>O que é Shiba Inu? (SHIB)</t>
  </si>
  <si>
    <t>Shiba Inu (SHIB) é um token meme que começou como uma moeda divertida e agora transformou-se em um ecossistema descentralizado. Durante o lançamento inicial, 50% do suprimento foi alocado à carteira Ethereum de Vitalik Buterin.</t>
  </si>
  <si>
    <t>Como resultado, Vitalik conseguiu doar 10% de suas SHIB a um fundo de combate à COVID-19 na Índia, e os outros 40% foram queimados para sempre. Naquele momento, esta doação equivaleu a USD 1 bilhão, o que acabou sendo uma das maiores doações do mundo em todos os tempos.</t>
  </si>
  <si>
    <t>No que a comunidade Shiba Inu está trabalhando neste momento? A equipe Shiba Inu lançou uma corretora descentralizada chamada Shibaswap, com 2 novos tokens, o LEASH e o BONE. O LEASH é um token de suprimento escasso utilizado para oferecer incentivos na Shibaswap. O BONE é o token de governança para portadores votarem em propostas na Doggy DAO.</t>
  </si>
  <si>
    <t>Onde você pode comprar Shiba Inu?</t>
  </si>
  <si>
    <t>Qual o volume de negócios diário de Shiba Inu (SHIB)?</t>
  </si>
  <si>
    <t>Qual o pico histórico de Shiba Inu (SHIB)?</t>
  </si>
  <si>
    <t>Qual a baixa histórica de Shiba Inu (SHIB)?</t>
  </si>
  <si>
    <t>Qual a capitalização de mercado de Shiba Inu (SHIB)?</t>
  </si>
  <si>
    <t>Qual a apreciação diluída de Shiba Inu (SHIB)?</t>
  </si>
  <si>
    <t>Como é o desempenho de preço de Shiba Inu comparado aos seus pares?</t>
  </si>
  <si>
    <t>Como adicionar Shiba Inu (SHIB) a MetaMask?</t>
  </si>
  <si>
    <t>Adicionar Shiba Inu (SHIB) a MetaMask permite-lhe visualizar os seus ativos de tokens, negociações em intercâmbios descentralizados, e muito mais. Para os adicionar, terá de importar SHIB como um token. Pode copiar o endereço de contrato de SHIB (0x95ad61b0a150d79219dcf64e1e6cc01f0b64c4ce) e importar manualmente, ou se instalou a extensão chrome de MetaMask, adicionar SHIB a MetaMask com um clique em CoinGecko.</t>
  </si>
  <si>
    <t>Adicionar SHIB a MetaMask.</t>
  </si>
  <si>
    <t>Mercados Shiba Inu</t>
  </si>
  <si>
    <t>SHIB/USDT</t>
  </si>
  <si>
    <t>KuCoin</t>
  </si>
  <si>
    <t>Últimas Notícias do Shiba Inu</t>
  </si>
  <si>
    <t>Preços globais de Shiba Inu</t>
  </si>
  <si>
    <t xml:space="preserve">SHIB / USD US Dollar </t>
  </si>
  <si>
    <t xml:space="preserve">SHIB / EUR Euro </t>
  </si>
  <si>
    <t xml:space="preserve">SHIB / BRL Brazil Real </t>
  </si>
  <si>
    <t>Bone ShibaSwap</t>
  </si>
  <si>
    <t>2.8%</t>
  </si>
  <si>
    <t>Doge Killer</t>
  </si>
  <si>
    <t>PAWSWAP</t>
  </si>
  <si>
    <t>xFUND</t>
  </si>
  <si>
    <t>WoofWork.io</t>
  </si>
  <si>
    <t>3.6%</t>
  </si>
  <si>
    <t>9.5%</t>
  </si>
  <si>
    <t>4.0%</t>
  </si>
  <si>
    <t>1.64%</t>
  </si>
  <si>
    <t>0.63%</t>
  </si>
  <si>
    <t>3.5%</t>
  </si>
  <si>
    <t>7.0%</t>
  </si>
  <si>
    <t>1.12%</t>
  </si>
  <si>
    <t>SOL/USD</t>
  </si>
  <si>
    <t>1.56%</t>
  </si>
  <si>
    <t>6.13%</t>
  </si>
  <si>
    <t>USDC/RON</t>
  </si>
  <si>
    <t>7.6%</t>
  </si>
  <si>
    <t>15.46%</t>
  </si>
  <si>
    <t>0.55%</t>
  </si>
  <si>
    <t>0.56%</t>
  </si>
  <si>
    <t>0.71%</t>
  </si>
  <si>
    <t>1.26</t>
  </si>
  <si>
    <t>2.54%</t>
  </si>
  <si>
    <t>MATIC/USD</t>
  </si>
  <si>
    <t>0.96%</t>
  </si>
  <si>
    <t>2.85%</t>
  </si>
  <si>
    <t>2.46%</t>
  </si>
  <si>
    <t>5.4%</t>
  </si>
  <si>
    <t>12.2%</t>
  </si>
  <si>
    <t>0.85%</t>
  </si>
  <si>
    <t>6.2%</t>
  </si>
  <si>
    <t>8.0%</t>
  </si>
  <si>
    <t>2.53%</t>
  </si>
  <si>
    <t>0.07%</t>
  </si>
  <si>
    <t>SHIB/USD</t>
  </si>
  <si>
    <t xml:space="preserve">5,19 Real brasileiro </t>
  </si>
  <si>
    <t xml:space="preserve">Fechamento diᲩo do d󬡲 - Banco Central www.bcb.gov.br › estabilidadefinanceira › fechamentodolar </t>
  </si>
  <si>
    <t xml:space="preserve">Conhe硠a taxa para compra e a taxa para venda do d󬡲 dos Estados Unidos da Am鲩ca no fechamento diᲩo. </t>
  </si>
  <si>
    <t>Moedas: 14.043</t>
  </si>
  <si>
    <t>Capitalização de mercado: $ 2,299T 2.1%</t>
  </si>
  <si>
    <t xml:space="preserve">Vol. 24 h: $ 103,937B </t>
  </si>
  <si>
    <t xml:space="preserve">BTC 49,8% ETH 15,6% </t>
  </si>
  <si>
    <t xml:space="preserve">Gás: 8 GWEI </t>
  </si>
  <si>
    <r>
      <t xml:space="preserve">Fast: </t>
    </r>
    <r>
      <rPr>
        <sz val="10"/>
        <color theme="1"/>
        <rFont val="Segoe UI"/>
        <family val="2"/>
      </rPr>
      <t>10 GWEI</t>
    </r>
  </si>
  <si>
    <r>
      <t xml:space="preserve">Standard: </t>
    </r>
    <r>
      <rPr>
        <sz val="10"/>
        <color theme="1"/>
        <rFont val="Segoe UI"/>
        <family val="2"/>
      </rPr>
      <t>8 GWEI</t>
    </r>
  </si>
  <si>
    <r>
      <t xml:space="preserve">Safe: </t>
    </r>
    <r>
      <rPr>
        <sz val="10"/>
        <color theme="1"/>
        <rFont val="Segoe UI"/>
        <family val="2"/>
      </rPr>
      <t>7 GWEI</t>
    </r>
  </si>
  <si>
    <t>Bitcoin $58.383,79</t>
  </si>
  <si>
    <t>$58.383,79</t>
  </si>
  <si>
    <t>O preço de Bitcoin (BTC) é calculado em tempo real agregando-se os últimos dados de todas as 227 corretoras e 4750 mercados, utilizando uma fórmula de peso de volume global. Saiba mais sobre como os preços de cripto são calculados na CoinGecko.</t>
  </si>
  <si>
    <t>$56.637,46 Intervalo de 24h $59.377,44</t>
  </si>
  <si>
    <t xml:space="preserve">Adicionar à carteira • 1.567.898 adicionado </t>
  </si>
  <si>
    <t>108.3%</t>
  </si>
  <si>
    <t xml:space="preserve">$1.146.118.799.461 </t>
  </si>
  <si>
    <t>$1.222.183.731.991</t>
  </si>
  <si>
    <t>$36.687.289.094</t>
  </si>
  <si>
    <t>$56.637,46 – $59.377,44</t>
  </si>
  <si>
    <t>$56.803,96 – $64.925,19</t>
  </si>
  <si>
    <t>$73.737,94 21.1%</t>
  </si>
  <si>
    <t>$67,81 85733.8%</t>
  </si>
  <si>
    <t>Tokens BTC podem ser negociados emcorretoras centralizadas de cripto. A corretora mais popular para comprar e negociar Bitcoin é Binance, onde o par mais ativo BTC/USDT tem um volume de negócios de $3.579.442.086,84 nas últimas 24 horas. Outras opções populares são Gate.io e Coinbase Exchange.</t>
  </si>
  <si>
    <t>O volume de negócios de Bitcoin (BTC) é $36.687.289.094,03 nas últimas 24 horas, representando uma- 25,40% queda de um dia atrás e sinalizando uma recente queda em atividade de mercado.</t>
  </si>
  <si>
    <t>O preço mais alto pago por Bitcoin (BTC) é BTC1,0033, registrado em mar 14, 2024 (aproximadamente 2 meses). Comparativamente, o preço atual é - 21,10% mais baixo que o pico histórico.</t>
  </si>
  <si>
    <t>O preço mais baixo pago por Bitcoin (BTC) é BTC0,9990, registrado em jul 06, 2013 (quase 11 anos). Comparativamente, o preço atual é 85.733,80% mais alto que a baixa histórica.</t>
  </si>
  <si>
    <t>A capitalização de mercado de Bitcoin (BTC) é BTC19.693.025,0000 classificada em 1 na CoinGecko hoje. A capitalização de mercado é medida multiplicando-se o preço do token pelo suprimento circulante de tokensBTC, (20 milhões tokens estão disponíveis para negócio no mercado hoje).</t>
  </si>
  <si>
    <t>Com um preço declínio de - 8,00% nos últimos 7 dias, Bitcoin (BTC) é desempenho acima do normal a mercado de criptomoedas global que é para baixo - 8,20%.</t>
  </si>
  <si>
    <t>$58.342,53</t>
  </si>
  <si>
    <t>$ 19.890.910</t>
  </si>
  <si>
    <t>$ 13.254.684</t>
  </si>
  <si>
    <t>$3.567.685.296</t>
  </si>
  <si>
    <t>8.76%</t>
  </si>
  <si>
    <t>$58.355,66</t>
  </si>
  <si>
    <t>$ 15.426.237</t>
  </si>
  <si>
    <t>$ 11.226.012</t>
  </si>
  <si>
    <t>$1.222.546.203</t>
  </si>
  <si>
    <t>$58.302,82</t>
  </si>
  <si>
    <t>$ 18.683.730</t>
  </si>
  <si>
    <t>$ 13.767.250</t>
  </si>
  <si>
    <t>$239.246.656</t>
  </si>
  <si>
    <t>0.59%</t>
  </si>
  <si>
    <t>$58.328,49</t>
  </si>
  <si>
    <t>$ 12.731.253</t>
  </si>
  <si>
    <t>$ 11.714.539</t>
  </si>
  <si>
    <t>$614.009.872</t>
  </si>
  <si>
    <t>1.51%</t>
  </si>
  <si>
    <t>$58.310,21</t>
  </si>
  <si>
    <t>$ 11.386.651</t>
  </si>
  <si>
    <t>$ 11.871.144</t>
  </si>
  <si>
    <t>$766.358.710</t>
  </si>
  <si>
    <t>1.88%</t>
  </si>
  <si>
    <t>$58.317,10</t>
  </si>
  <si>
    <t>$ 5.550.160</t>
  </si>
  <si>
    <t>$ 4.953.534</t>
  </si>
  <si>
    <t>$1.086.843.376</t>
  </si>
  <si>
    <t>2.67%</t>
  </si>
  <si>
    <t>WBTC/BTC</t>
  </si>
  <si>
    <t>$58.195,55</t>
  </si>
  <si>
    <t>$ 21.955.401</t>
  </si>
  <si>
    <t>$ 14.452.364</t>
  </si>
  <si>
    <t>$17.385.890</t>
  </si>
  <si>
    <t>$58.200,36</t>
  </si>
  <si>
    <t>$ 6.691.631</t>
  </si>
  <si>
    <t>$ 3.217.405</t>
  </si>
  <si>
    <t>$626.449.541</t>
  </si>
  <si>
    <t>1.54%</t>
  </si>
  <si>
    <t>$58.380,19</t>
  </si>
  <si>
    <t>$ 2.328.878</t>
  </si>
  <si>
    <t>$ 2.323.422</t>
  </si>
  <si>
    <t>$1.082.218.822</t>
  </si>
  <si>
    <t>2.66%</t>
  </si>
  <si>
    <t>Bitfinex</t>
  </si>
  <si>
    <t>$58.458,13</t>
  </si>
  <si>
    <t>$ 10.060.602</t>
  </si>
  <si>
    <t>$ 11.941.323</t>
  </si>
  <si>
    <t>$129.712.654</t>
  </si>
  <si>
    <t>0.32%</t>
  </si>
  <si>
    <t>Mostrando 1 para 10 dos resultados 4749</t>
  </si>
  <si>
    <t xml:space="preserve">1 2 ... 475 </t>
  </si>
  <si>
    <t>MicroStrategy cria ‘ID Descentralizada’ na blockchain do Bitcoin</t>
  </si>
  <si>
    <t>Há 10 minutos</t>
  </si>
  <si>
    <t>Bitcoin ETF: a última correção colocará freios sob demanda?</t>
  </si>
  <si>
    <t>BlackRock Bitcoin ETF marca primeira saída em ampla retirada de ETF</t>
  </si>
  <si>
    <t>Governo dos EUA está investigando Jack Dorsey por negócios com Bitcoin</t>
  </si>
  <si>
    <t>Há aproximadamente 14 horas</t>
  </si>
  <si>
    <t xml:space="preserve">$58.094,46 </t>
  </si>
  <si>
    <t>$2.920,11</t>
  </si>
  <si>
    <t>$547,50</t>
  </si>
  <si>
    <t>$129,99</t>
  </si>
  <si>
    <t>3.9%</t>
  </si>
  <si>
    <t>$4,76</t>
  </si>
  <si>
    <t>$0,4450</t>
  </si>
  <si>
    <t>Dione</t>
  </si>
  <si>
    <t>$0,01198</t>
  </si>
  <si>
    <t>$0,3889</t>
  </si>
  <si>
    <t>$57.405,44</t>
  </si>
  <si>
    <t>4.3%</t>
  </si>
  <si>
    <t>Wormhole</t>
  </si>
  <si>
    <t>$0,6447</t>
  </si>
  <si>
    <t>$0,01622</t>
  </si>
  <si>
    <t>11.0%</t>
  </si>
  <si>
    <t>$0.056787</t>
  </si>
  <si>
    <t>Dymension</t>
  </si>
  <si>
    <t>$3,15</t>
  </si>
  <si>
    <t>Bittensor</t>
  </si>
  <si>
    <t>$373,81</t>
  </si>
  <si>
    <t>O preço de Bitcoin (BTC) subiu hoje.</t>
  </si>
  <si>
    <t>O preço de Bitcoin (BTC) é BTC1,0000 hoje, com um volume de negócios 24h de $36.687.289.094,03. Isto representa um preço de 1,60% nas últimas 24 horas e um preço de subida nas últimas 24 horas e um preço de - 8,00% declínio nos últimos 7 dias. Com um suprimento circulante de 20 milhões BTC, Bitcoin está avaliada a uma capitalização de mercado de BTC19.693.025,0000.</t>
  </si>
  <si>
    <t>Ethereum $2.996,00</t>
  </si>
  <si>
    <t>$2.996,00</t>
  </si>
  <si>
    <t>O preço de Ethereum (ETH) é calculado em tempo real agregando-se os últimos dados de todas as 236 corretoras e 2790 mercados, utilizando uma fórmula de peso de volume global. Saiba mais sobre como os preços de cripto são calculados na CoinGecko.</t>
  </si>
  <si>
    <t>0,05135 BTC 2.4%</t>
  </si>
  <si>
    <t>$2.864,38 Intervalo de 24h $3.016,58</t>
  </si>
  <si>
    <t xml:space="preserve">Adicionar à carteira • 1.374.962 adicionado </t>
  </si>
  <si>
    <t>9.9%</t>
  </si>
  <si>
    <t>63.7%</t>
  </si>
  <si>
    <t xml:space="preserve">$359.031.740.093 </t>
  </si>
  <si>
    <t>$359.031.740.093</t>
  </si>
  <si>
    <t>$18.421.092.688</t>
  </si>
  <si>
    <t>$2.864,38 – $3.016,58</t>
  </si>
  <si>
    <t>$2.859,03 – $3.342,22</t>
  </si>
  <si>
    <t>$4.878,26 38.7%</t>
  </si>
  <si>
    <t>$0,4330 690384.0%</t>
  </si>
  <si>
    <t>Tokens ETH podem ser negociados emcorretoras centralizadas de cripto. A corretora mais popular para comprar e negociar Ethereum é Binance, onde o par mais ativo ETH/USDT tem um volume de negócios de $1.435.507.963,78 nas últimas 24 horas. Outras opções populares são Gate.io e OKX.</t>
  </si>
  <si>
    <t>O volume de negócios de Ethereum (ETH) é $18.421.092.687,89 nas últimas 24 horas, representando uma- 16,00% queda de um dia atrás e sinalizando uma recente queda em atividade de mercado.</t>
  </si>
  <si>
    <t>O preço mais alto pago por Ethereum (ETH) é BTC0,1475, registrado em nov 10, 2021 (mais de 2 anos). Comparativamente, o preço atual é - 38,70% mais baixo que o pico histórico.</t>
  </si>
  <si>
    <t>O preço mais baixo pago por Ethereum (ETH) é BTC0,001602, registrado em out 20, 2015 (mais de 8 anos). Comparativamente, o preço atual é 690.384,00% mais alto que a baixa histórica.</t>
  </si>
  <si>
    <t>A capitalização de mercado de Ethereum (ETH) é BTC6.168.060,9460 classificada em 2 na CoinGecko hoje. A capitalização de mercado é medida multiplicando-se o preço do token pelo suprimento circulante de tokensETH, (120 milhões tokens estão disponíveis para negócio no mercado hoje).</t>
  </si>
  <si>
    <t>A apreciação diluída total (FDV) de Ethereum (ETH) é BTC6.168.060,9460. Esta é uma representação estatística da capitalização máxima de mercado, contando que o número total de tokens 120 milhões ETH esteja em circulação hoje.</t>
  </si>
  <si>
    <t>Com um preço declínio de - 2,80% nos últimos 7 dias, Ethereum (ETH) é desempenho acima do normal a mercado de criptomoedas global que é para baixo - 8,20%.</t>
  </si>
  <si>
    <t>$2.988,43</t>
  </si>
  <si>
    <t>$ 11.847.882</t>
  </si>
  <si>
    <t>$ 9.247.138</t>
  </si>
  <si>
    <t>$1.435.507.963</t>
  </si>
  <si>
    <t>7.81%</t>
  </si>
  <si>
    <t>$2.996,25</t>
  </si>
  <si>
    <t>$ 9.747.244</t>
  </si>
  <si>
    <t>$ 10.947.032</t>
  </si>
  <si>
    <t>$499.994.695</t>
  </si>
  <si>
    <t>2.71%</t>
  </si>
  <si>
    <t>$2.996,42</t>
  </si>
  <si>
    <t>$ 13.668.861</t>
  </si>
  <si>
    <t>$ 3.925.598</t>
  </si>
  <si>
    <t>$478.345.596</t>
  </si>
  <si>
    <t>$2.993,05</t>
  </si>
  <si>
    <t>$ 10.176.794</t>
  </si>
  <si>
    <t>$ 9.514.570</t>
  </si>
  <si>
    <t>$1.283.257</t>
  </si>
  <si>
    <t>$2.991,26</t>
  </si>
  <si>
    <t>$ 9.762.263</t>
  </si>
  <si>
    <t>$ 7.704.073</t>
  </si>
  <si>
    <t>$317.180.906</t>
  </si>
  <si>
    <t>1.72%</t>
  </si>
  <si>
    <t>$2.996,80</t>
  </si>
  <si>
    <t>$ 9.809.718</t>
  </si>
  <si>
    <t>$ 7.425.279</t>
  </si>
  <si>
    <t>$62.636.374</t>
  </si>
  <si>
    <t>$2.994,85</t>
  </si>
  <si>
    <t>$ 3.209.999</t>
  </si>
  <si>
    <t>$ 7.610.588</t>
  </si>
  <si>
    <t>$52.061.971</t>
  </si>
  <si>
    <t>$2.989,52</t>
  </si>
  <si>
    <t>$ 4.681.633</t>
  </si>
  <si>
    <t>$ 4.524.795</t>
  </si>
  <si>
    <t>$151.579.734</t>
  </si>
  <si>
    <t>0.82%</t>
  </si>
  <si>
    <t>$2.995,09</t>
  </si>
  <si>
    <t>$ 5.186.191</t>
  </si>
  <si>
    <t>$ 7.603.999</t>
  </si>
  <si>
    <t>$362.012.344</t>
  </si>
  <si>
    <t>1.97%</t>
  </si>
  <si>
    <t>$2.996,13</t>
  </si>
  <si>
    <t>$ 3.651.137</t>
  </si>
  <si>
    <t>$ 668.933</t>
  </si>
  <si>
    <t>$524.433.646</t>
  </si>
  <si>
    <t>Mostrando 1 para 10 dos resultados 2790</t>
  </si>
  <si>
    <t>O que é DYDX? Tudo o que você precisa saber sobre o token utilitário da dYdX Chain</t>
  </si>
  <si>
    <t>Há aproximadamente 11 horas</t>
  </si>
  <si>
    <t>Uniswap domina entre as Layers 2, com 37% do volume de negociações</t>
  </si>
  <si>
    <t>Previsão de preço das memecoins Dogecoin, Shiba Inu e Bonk</t>
  </si>
  <si>
    <t>Presidente da SEC é acusado de enganar o Congresso dos EUA sobre o Ethereum</t>
  </si>
  <si>
    <t xml:space="preserve">$2.995,83 </t>
  </si>
  <si>
    <t>$130,01</t>
  </si>
  <si>
    <t>$5,96</t>
  </si>
  <si>
    <t>2.9%</t>
  </si>
  <si>
    <t>$0,6840</t>
  </si>
  <si>
    <t>$7,46</t>
  </si>
  <si>
    <t>$1,01</t>
  </si>
  <si>
    <t>$0,01196</t>
  </si>
  <si>
    <t>$0,3894</t>
  </si>
  <si>
    <t>$57.387,09</t>
  </si>
  <si>
    <t>$2.919,72</t>
  </si>
  <si>
    <t>$0,6436</t>
  </si>
  <si>
    <t>$0,01623</t>
  </si>
  <si>
    <t>$0.056783</t>
  </si>
  <si>
    <t>$374,05</t>
  </si>
  <si>
    <t>O preço de Ethereum (ETH) subiu hoje.</t>
  </si>
  <si>
    <t>O preço de Ethereum (ETH) é BTC0,05135 hoje, com um volume de negócios 24h de $18.421.092.687,89. Isto representa um preço de 3,60% nas últimas 24 horas e um preço de subida nas últimas 24 horas e um preço de - 2,80% declínio nos últimos 7 dias. Com um suprimento circulante de 120 milhões ETH, Ethereum está avaliada a uma capitalização de mercado de BTC6.168.060,9460.</t>
  </si>
  <si>
    <t>Solana $136,46</t>
  </si>
  <si>
    <t>$136,46</t>
  </si>
  <si>
    <t>O preço de Solana (SOL) é calculado em tempo real agregando-se os últimos dados de todas as 131 corretoras e 321 mercados, utilizando uma fórmula de peso de volume global. Saiba mais sobre como os preços de cripto são calculados na CoinGecko.</t>
  </si>
  <si>
    <t>0,002339 BTC 10.8%</t>
  </si>
  <si>
    <t>$121,40 Intervalo de 24h $135,97</t>
  </si>
  <si>
    <t xml:space="preserve">Adicionar à carteira • 730.016 adicionado </t>
  </si>
  <si>
    <t>24.5%</t>
  </si>
  <si>
    <t>523.4%</t>
  </si>
  <si>
    <t xml:space="preserve">$60.749.314.177 </t>
  </si>
  <si>
    <t>$78.116.111.585</t>
  </si>
  <si>
    <t>$4.544.366.226</t>
  </si>
  <si>
    <t>$121,40 – $135,97</t>
  </si>
  <si>
    <t>$120,29 – $148,36</t>
  </si>
  <si>
    <t>$259,96 47.6%</t>
  </si>
  <si>
    <t>$0,5008 27125.7%</t>
  </si>
  <si>
    <t>Tokens SOL podem ser negociados emcorretoras centralizadas de cripto. A corretora mais popular para comprar e negociar Solana é Binance, onde o par mais ativo SOL/USDT tem um volume de negócios de $933.346.767,71 nas últimas 24 horas. Outras opções populares são BitVenus e Gate.io.</t>
  </si>
  <si>
    <t>O volume de negócios de Solana (SOL) é $4.544.366.226,02 nas últimas 24 horas, representando uma 16,90% subida de um dia atrás e sinalizando uma recente subida em atividade de mercado.</t>
  </si>
  <si>
    <t>O preço mais alto pago por Solana (SOL) é BTC0,004608, registrado em nov 06, 2021 (mais de 2 anos). Comparativamente, o preço atual é - 47,60% mais baixo que o pico histórico.</t>
  </si>
  <si>
    <t>O preço mais baixo pago por Solana (SOL) é BTC0,00004553, registrado em mai 11, 2020 (quase 4 anos). Comparativamente, o preço atual é 27.125,70% mais alto que a baixa histórica.</t>
  </si>
  <si>
    <t>A capitalização de mercado de Solana (SOL) é BTC1.043.729,3661 classificada em 5 na CoinGecko hoje. A capitalização de mercado é medida multiplicando-se o preço do token pelo suprimento circulante de tokensSOL, (450 milhões tokens estão disponíveis para negócio no mercado hoje).</t>
  </si>
  <si>
    <t>A apreciação diluída total (FDV) de Solana (SOL) é BTC1.342.106,9972. Esta é uma representação estatística da capitalização máxima de mercado, contando que o número total de tokens 580 milhões ETH esteja em circulação hoje.</t>
  </si>
  <si>
    <t>Com um preço declínio de - 5,10% nos últimos 7 dias, Solana (SOL) é desempenho acima do normal o mercado global de criptomoedas que é para baixo - 8,20%, enquanto que desempenho abaixo do normal comparado a semelhantes FTX Holdings criptomoedas que são para cima 11,40%.</t>
  </si>
  <si>
    <t>$135,58</t>
  </si>
  <si>
    <t>$ 4.324.691</t>
  </si>
  <si>
    <t>$ 4.259.110</t>
  </si>
  <si>
    <t>$933.346.767</t>
  </si>
  <si>
    <t>20.6%</t>
  </si>
  <si>
    <t>$135,90</t>
  </si>
  <si>
    <t>$ 6.056.183</t>
  </si>
  <si>
    <t>$ 5.942.916</t>
  </si>
  <si>
    <t>$91.210.396</t>
  </si>
  <si>
    <t>2.01%</t>
  </si>
  <si>
    <t>$137,14</t>
  </si>
  <si>
    <t>$ 4.442.245</t>
  </si>
  <si>
    <t>$ 4.733.130</t>
  </si>
  <si>
    <t>$49.198.375</t>
  </si>
  <si>
    <t>1.08%</t>
  </si>
  <si>
    <t>$136,71</t>
  </si>
  <si>
    <t>$ 4.770.653</t>
  </si>
  <si>
    <t>$ 2.978.004</t>
  </si>
  <si>
    <t>$26.569.932</t>
  </si>
  <si>
    <t>0.58%</t>
  </si>
  <si>
    <t>$137,12</t>
  </si>
  <si>
    <t>$ 23.804.148</t>
  </si>
  <si>
    <t>$ 23.114.864</t>
  </si>
  <si>
    <t>$4.703.525</t>
  </si>
  <si>
    <t>$136,70</t>
  </si>
  <si>
    <t>$ 4.034.091</t>
  </si>
  <si>
    <t>$ 3.932.273</t>
  </si>
  <si>
    <t>$81.704.869</t>
  </si>
  <si>
    <t>$ 3.740.273</t>
  </si>
  <si>
    <t>$ 3.368.486</t>
  </si>
  <si>
    <t>$77.538.217</t>
  </si>
  <si>
    <t>1.71%</t>
  </si>
  <si>
    <t>$136,66</t>
  </si>
  <si>
    <t>$ 2.381.303</t>
  </si>
  <si>
    <t>$ 3.068.954</t>
  </si>
  <si>
    <t>$204.221.112</t>
  </si>
  <si>
    <t>4.49%</t>
  </si>
  <si>
    <t>$ 1.459.142</t>
  </si>
  <si>
    <t>$ 1.675.656</t>
  </si>
  <si>
    <t>$277.184.286</t>
  </si>
  <si>
    <t>$137,08</t>
  </si>
  <si>
    <t>$ 2.798.517</t>
  </si>
  <si>
    <t>$ 1.617.667</t>
  </si>
  <si>
    <t>$251.049.176</t>
  </si>
  <si>
    <t>5.52%</t>
  </si>
  <si>
    <t>Mostrando 1 para 10 dos resultados 321</t>
  </si>
  <si>
    <t>Fantom pode revolucionar o mercado de memecoins – Entenda</t>
  </si>
  <si>
    <t>Há aproximadamente 16 horas</t>
  </si>
  <si>
    <t>Receita Federal impõe até 22,5% de imposto sobre empréstimo de criptomoedas</t>
  </si>
  <si>
    <t>Há aproximadamente 19 horas</t>
  </si>
  <si>
    <t>Criptomoedas desabam em Open Interest: há motivos para se preocupar?</t>
  </si>
  <si>
    <t>Há aproximadamente 21 horas</t>
  </si>
  <si>
    <t>Investidores cripto devem vender em maio?</t>
  </si>
  <si>
    <t>Há aproximadamente 24 horas</t>
  </si>
  <si>
    <t xml:space="preserve">$135,87 </t>
  </si>
  <si>
    <t>$0,9993</t>
  </si>
  <si>
    <t>$13,19</t>
  </si>
  <si>
    <t>$7,48</t>
  </si>
  <si>
    <t>$2,55</t>
  </si>
  <si>
    <t>$130,46</t>
  </si>
  <si>
    <t>$0,01200</t>
  </si>
  <si>
    <t>$0,3907</t>
  </si>
  <si>
    <t>$2.928,71</t>
  </si>
  <si>
    <t>$0,01627</t>
  </si>
  <si>
    <t>$57.513,31</t>
  </si>
  <si>
    <t>4.2%</t>
  </si>
  <si>
    <t>$0.056802</t>
  </si>
  <si>
    <t>$0,6500</t>
  </si>
  <si>
    <t>$375,70</t>
  </si>
  <si>
    <t>$0,6859</t>
  </si>
  <si>
    <t>O preço de Solana (SOL) subiu hoje.</t>
  </si>
  <si>
    <t>O preço de Solana (SOL) é BTC0,002339 hoje, com um volume de negócios 24h de $4.544.366.226,02. Isto representa um preço de 12,20% nas últimas 24 horas e um preço de subida nas últimas 24 horas e um preço de - 5,10% declínio nos últimos 7 dias. Com um suprimento circulante de 450 milhões SOL, Solana está avaliada a uma capitalização de mercado de BTC1.043.729,3661.</t>
  </si>
  <si>
    <t>Chainlink $13,64</t>
  </si>
  <si>
    <t>6.8%</t>
  </si>
  <si>
    <t>$13,64</t>
  </si>
  <si>
    <t>O preço de Chainlink (LINK) é calculado em tempo real agregando-se os últimos dados de todas as 218 corretoras e 467 mercados, utilizando uma fórmula de peso de volume global. Saiba mais sobre como os preços de cripto são calculados na CoinGecko.</t>
  </si>
  <si>
    <t>0,0002338 BTC 5.2%</t>
  </si>
  <si>
    <t>0,004554 ETH 2.8%</t>
  </si>
  <si>
    <t>$12,69 Intervalo de 24h $13,62</t>
  </si>
  <si>
    <t xml:space="preserve">Adicionar à carteira • 465.985 adicionado </t>
  </si>
  <si>
    <t>24.1%</t>
  </si>
  <si>
    <t>98.5%</t>
  </si>
  <si>
    <t xml:space="preserve">$8.000.638.517 </t>
  </si>
  <si>
    <t>$13.627.387.000</t>
  </si>
  <si>
    <t>$410.864.846</t>
  </si>
  <si>
    <t>$12,69 – $13,62</t>
  </si>
  <si>
    <t>$12,57 – $14,84</t>
  </si>
  <si>
    <t>$52,70 74.1%</t>
  </si>
  <si>
    <t>$0,1482 9096.3%</t>
  </si>
  <si>
    <t>Tokens LINK podem ser negociados emcorretoras centralizadas de cripto. A corretora mais popular para comprar e negociar Chainlink é Gate.io, onde o par mais ativo LINK/USDT tem um volume de negócios de $5.583.395,87 nas últimas 24 horas. Outras opções populares são C-Patex e Hotcoin Global.</t>
  </si>
  <si>
    <t>O volume de negócios de Chainlink (LINK) é $410.864.845,83 nas últimas 24 horas, representando uma- 19,70% queda de um dia atrás e sinalizando uma recente queda em atividade de mercado.</t>
  </si>
  <si>
    <t>O preço mais alto pago por Chainlink (LINK) é BTC0,001672, registrado em mai 10, 2021 (quase 3 anos). Comparativamente, o preço atual é - 74,10% mais baixo que o pico histórico.</t>
  </si>
  <si>
    <t>O preço mais baixo pago por Chainlink (LINK) é BTC0,00001335, registrado em nov 29, 2017 (mais de 6 anos). Comparativamente, o preço atual é 9.096,30% mais alto que a baixa histórica.</t>
  </si>
  <si>
    <t>A capitalização de mercado de Chainlink (LINK) é BTC137.458,3644 classificada em 18 na CoinGecko hoje. A capitalização de mercado é medida multiplicando-se o preço do token pelo suprimento circulante de tokensLINK, (590 milhões tokens estão disponíveis para negócio no mercado hoje).</t>
  </si>
  <si>
    <t>A apreciação diluída total de (FDV) Chainlink (LINK) é BTC234.131,1040. Esta é uma representação estatística da capitalização de mercado máxima, contando que o número máximo de tokens 1 mil milhões LINK estejam em circulação hoje. Dependendo do calendário de emissões de tokens LINK, pode levar vários anos antes que a FDV seja conhecida.</t>
  </si>
  <si>
    <t>Com um preço declínio de - 5,90% nos últimos 7 dias, Chainlink (LINK) é desempenho acima do normal o mercado global de criptomoedas que é para baixo - 8,20%, enquanto que desempenho abaixo do normal comparado a semelhantes Ecossistema Polygon criptomoedas que são para cima 0,00%.</t>
  </si>
  <si>
    <t>$13,65</t>
  </si>
  <si>
    <t>$ 1.676.237</t>
  </si>
  <si>
    <t>$ 2.040.510</t>
  </si>
  <si>
    <t>$5.583.395</t>
  </si>
  <si>
    <t>1.36%</t>
  </si>
  <si>
    <t>C-Patex</t>
  </si>
  <si>
    <t>$ 1.377.903</t>
  </si>
  <si>
    <t>$ 1.381.365</t>
  </si>
  <si>
    <t>$3.813.739</t>
  </si>
  <si>
    <t>0.93%</t>
  </si>
  <si>
    <t>$ 1.575.875</t>
  </si>
  <si>
    <t>$ 1.432.723</t>
  </si>
  <si>
    <t>$1.511.519</t>
  </si>
  <si>
    <t>$13,63</t>
  </si>
  <si>
    <t>$ 1.048.113</t>
  </si>
  <si>
    <t>$ 867.143</t>
  </si>
  <si>
    <t>$10.345.989</t>
  </si>
  <si>
    <t>2.52%</t>
  </si>
  <si>
    <t>$13,60</t>
  </si>
  <si>
    <t>$ 977.841</t>
  </si>
  <si>
    <t>$ 1.012.233</t>
  </si>
  <si>
    <t>$1.444.803</t>
  </si>
  <si>
    <t>$ 3.324.091</t>
  </si>
  <si>
    <t>$ 2.289.331</t>
  </si>
  <si>
    <t>$27.485.558</t>
  </si>
  <si>
    <t>6.69%</t>
  </si>
  <si>
    <t>$ 874.206</t>
  </si>
  <si>
    <t>$ 932.359</t>
  </si>
  <si>
    <t>$2.586.393</t>
  </si>
  <si>
    <t>$ 667.431</t>
  </si>
  <si>
    <t>$ 700.215</t>
  </si>
  <si>
    <t>$42.733.511</t>
  </si>
  <si>
    <t>10.4%</t>
  </si>
  <si>
    <t>$ 703.893</t>
  </si>
  <si>
    <t>$ 609.413</t>
  </si>
  <si>
    <t>$19.078.203</t>
  </si>
  <si>
    <t>4.64%</t>
  </si>
  <si>
    <t>$ 1.152.359</t>
  </si>
  <si>
    <t>$ 1.088.682</t>
  </si>
  <si>
    <t>$1.359.375</t>
  </si>
  <si>
    <t>Mostrando 1 para 10 dos resultados 467</t>
  </si>
  <si>
    <t xml:space="preserve">1 2 ... 47 </t>
  </si>
  <si>
    <t>Chainlink anuncia adaptador de blockchain para impulsionar tokenização</t>
  </si>
  <si>
    <t xml:space="preserve">$13,62 </t>
  </si>
  <si>
    <t>$0,9997</t>
  </si>
  <si>
    <t>$8,68</t>
  </si>
  <si>
    <t>$1,97</t>
  </si>
  <si>
    <t>$3,90</t>
  </si>
  <si>
    <t>$1,18</t>
  </si>
  <si>
    <t>10.6%</t>
  </si>
  <si>
    <t>$130,35</t>
  </si>
  <si>
    <t>$0,3895</t>
  </si>
  <si>
    <t>$0.056807</t>
  </si>
  <si>
    <t>$0,01618</t>
  </si>
  <si>
    <t>$57.516,95</t>
  </si>
  <si>
    <t>$2.924,53</t>
  </si>
  <si>
    <t>$0,6556</t>
  </si>
  <si>
    <t>$4,23</t>
  </si>
  <si>
    <t>Kaspa</t>
  </si>
  <si>
    <t>$0,1074</t>
  </si>
  <si>
    <t>O preço de Chainlink (LINK) subiu hoje.</t>
  </si>
  <si>
    <t>O preço de Chainlink (LINK) é BTC0,0002338 hoje, com um volume de negócios 24h de $410.864.845,83. Isto representa um preço de 6,80% nas últimas 24 horas e um preço de subida nas últimas 24 horas e um preço de - 5,90% declínio nos últimos 7 dias. Com um suprimento circulante de 590 milhões LINK, Chainlink está avaliada a uma capitalização de mercado de BTC137.458,3644.</t>
  </si>
  <si>
    <t>Ronin $2,62</t>
  </si>
  <si>
    <t>$2,62</t>
  </si>
  <si>
    <t>0,00004498 BTC 4.7%</t>
  </si>
  <si>
    <t>$2,46 Intervalo de 24h $2,64</t>
  </si>
  <si>
    <t xml:space="preserve">Adicionar à carteira • 64.365 adicionado </t>
  </si>
  <si>
    <t>14.6%</t>
  </si>
  <si>
    <t>26.3%</t>
  </si>
  <si>
    <t>171.9%</t>
  </si>
  <si>
    <t xml:space="preserve">$838.766.811 </t>
  </si>
  <si>
    <t>$2.617.847.325</t>
  </si>
  <si>
    <t>$26.315.811</t>
  </si>
  <si>
    <t>$2,46 – $2,64</t>
  </si>
  <si>
    <t>$2,47 – $3,12</t>
  </si>
  <si>
    <t>$4,45 41.0%</t>
  </si>
  <si>
    <t>$0,1966 1235.1%</t>
  </si>
  <si>
    <t>Tokens RON podem ser negociados emcorretoras centralizadas de cripto. A corretora mais popular para comprar e negociar Ronin é Bitget, onde o par mais ativo RON/USDT tem um volume de negócios de $391.425,40 nas últimas 24 horas. Outras opções populares são Binance e HTX.</t>
  </si>
  <si>
    <t>O volume de negócios de Ronin (RON) é $26.502.718,07 nas últimas 24 horas, representando uma- 24,90% queda de um dia atrás e sinalizando uma recente queda em atividade de mercado.</t>
  </si>
  <si>
    <t>O preço mais alto pago por Ronin (RON) é BTC0,0001168, registrado em mar 26, 2024 (aproximadamente 1 mês). Comparativamente, o preço atual é - 41,50% mais baixo que o pico histórico.</t>
  </si>
  <si>
    <t>O preço mais baixo pago por Ronin (RON) é BTC0,00001120, registrado em nov 21, 2022 (mais de 1 ano). Comparativamente, o preço atual é 1.224,50% mais alto que a baixa histórica.</t>
  </si>
  <si>
    <t>A capitalização de mercado de Ronin (RON) é BTC14.403,8035 classificada em 107 na CoinGecko hoje. A capitalização de mercado é medida multiplicando-se o preço do token pelo suprimento circulante de tokensRON, (320 milhões tokens estão disponíveis para negócio no mercado hoje).</t>
  </si>
  <si>
    <t>A apreciação diluída total de (FDV) Ronin (RON) é BTC44.955,4165. Esta é uma representação estatística da capitalização de mercado máxima, contando que o número máximo de tokens 1 mil milhões RON estejam em circulação hoje. Dependendo do calendário de emissões de tokens RON, pode levar vários anos antes que a FDV seja conhecida.</t>
  </si>
  <si>
    <t>Com um preço declínio de - 13,80% nos últimos 7 dias, Ronin (RON) é desempenho abaixo do normal o mercado global de criptomoedas que é para baixo - 8,20%, enquanto que desempenho abaixo do normal comparado a semelhantes FTX Holdings criptomoedas que são para cima 11,40%.</t>
  </si>
  <si>
    <t>$2,63</t>
  </si>
  <si>
    <t>$ 320.937</t>
  </si>
  <si>
    <t>$ 403.339</t>
  </si>
  <si>
    <t>$391.425</t>
  </si>
  <si>
    <t>1.48%</t>
  </si>
  <si>
    <t>$2,60</t>
  </si>
  <si>
    <t>$ 116.209</t>
  </si>
  <si>
    <t>$ 214.993</t>
  </si>
  <si>
    <t>$8.186.693</t>
  </si>
  <si>
    <t>31.1%</t>
  </si>
  <si>
    <t>$2,61</t>
  </si>
  <si>
    <t>$ 40.475</t>
  </si>
  <si>
    <t>$ 3.005</t>
  </si>
  <si>
    <t>$6.160.846</t>
  </si>
  <si>
    <t>23.25%</t>
  </si>
  <si>
    <t>$ 1.666.517</t>
  </si>
  <si>
    <t>$ 1.661.509</t>
  </si>
  <si>
    <t>$1.625.431</t>
  </si>
  <si>
    <t>$ 182.121</t>
  </si>
  <si>
    <t>$ 237.630</t>
  </si>
  <si>
    <t>$119.226</t>
  </si>
  <si>
    <t>0.45%</t>
  </si>
  <si>
    <t>$ 126.532</t>
  </si>
  <si>
    <t>$ 161.554</t>
  </si>
  <si>
    <t>$833.147</t>
  </si>
  <si>
    <t>3.14%</t>
  </si>
  <si>
    <t>$ 103.698</t>
  </si>
  <si>
    <t>$ 130.190</t>
  </si>
  <si>
    <t>$64.133,00</t>
  </si>
  <si>
    <t>0.24%</t>
  </si>
  <si>
    <t>$7,05</t>
  </si>
  <si>
    <t>$ 649.228</t>
  </si>
  <si>
    <t>$ 647.277</t>
  </si>
  <si>
    <t>$673.023</t>
  </si>
  <si>
    <t>$ 545.177</t>
  </si>
  <si>
    <t>$ 543.539</t>
  </si>
  <si>
    <t>$2.978.307</t>
  </si>
  <si>
    <t>11.24%</t>
  </si>
  <si>
    <t>$ 18.633</t>
  </si>
  <si>
    <t>$ 36.158</t>
  </si>
  <si>
    <t>$20.678,00</t>
  </si>
  <si>
    <t>Últimas Notícias do Ronin</t>
  </si>
  <si>
    <t>Ronin e Sky Mavis recebem mais um jogo na rede própria</t>
  </si>
  <si>
    <t xml:space="preserve">$2,62 </t>
  </si>
  <si>
    <t>$306,91</t>
  </si>
  <si>
    <t>$1,37</t>
  </si>
  <si>
    <t>$0,008883</t>
  </si>
  <si>
    <t>$57.402,53</t>
  </si>
  <si>
    <t>$2.921,49</t>
  </si>
  <si>
    <t>$130,00</t>
  </si>
  <si>
    <t>$0,01199</t>
  </si>
  <si>
    <t>$0,3891</t>
  </si>
  <si>
    <t>$0,6445</t>
  </si>
  <si>
    <t>$0,01621</t>
  </si>
  <si>
    <t>$0.056776</t>
  </si>
  <si>
    <t>$374,48</t>
  </si>
  <si>
    <t>O preço de Ronin (RON) subiu hoje.</t>
  </si>
  <si>
    <t>O preço de Ronin (RON) é BTC0,00004498 hoje, com um volume de negócios 24h de $26.315.810,98. Isto representa um preço de 6,20% nas últimas 24 horas e um preço de subida nas últimas 24 horas e um preço de - 13,50% declínio nos últimos 7 dias. Com um suprimento circulante de 320 milhões RON, Ronin está avaliada a uma capitalização de mercado de BTC14.409,7700.</t>
  </si>
  <si>
    <t xml:space="preserve">Gás: 6 GWEI </t>
  </si>
  <si>
    <r>
      <t xml:space="preserve">Fast: </t>
    </r>
    <r>
      <rPr>
        <sz val="10"/>
        <color theme="1"/>
        <rFont val="Segoe UI"/>
        <family val="2"/>
      </rPr>
      <t>6 GWEI</t>
    </r>
  </si>
  <si>
    <r>
      <t xml:space="preserve">Standard: </t>
    </r>
    <r>
      <rPr>
        <sz val="10"/>
        <color theme="1"/>
        <rFont val="Segoe UI"/>
        <family val="2"/>
      </rPr>
      <t>6 GWEI</t>
    </r>
  </si>
  <si>
    <r>
      <t xml:space="preserve">Safe: </t>
    </r>
    <r>
      <rPr>
        <sz val="10"/>
        <color theme="1"/>
        <rFont val="Segoe UI"/>
        <family val="2"/>
      </rPr>
      <t>6 GWEI</t>
    </r>
  </si>
  <si>
    <t>Immutable $2,08</t>
  </si>
  <si>
    <t>#37</t>
  </si>
  <si>
    <t>0,00003570 BTC 8.2%</t>
  </si>
  <si>
    <t>0,0006952 ETH 5.7%</t>
  </si>
  <si>
    <t>$1,89 Intervalo de 24h $2,08</t>
  </si>
  <si>
    <t xml:space="preserve">Adicionar à carteira • 132.783 adicionado </t>
  </si>
  <si>
    <t>8.1%</t>
  </si>
  <si>
    <t>20.7%</t>
  </si>
  <si>
    <t>121.9%</t>
  </si>
  <si>
    <t xml:space="preserve">$3.023.861.303 </t>
  </si>
  <si>
    <t>$4.151.331.206</t>
  </si>
  <si>
    <t>$61.975.162</t>
  </si>
  <si>
    <t>$1,89 – $2,08</t>
  </si>
  <si>
    <t>$1,86 – $2,18</t>
  </si>
  <si>
    <t>$9,52 78.1%</t>
  </si>
  <si>
    <t>$0,3781 450.7%</t>
  </si>
  <si>
    <t>Tokens IMX podem ser negociados emcorretoras centralizadas de cripto. A corretora mais popular para comprar e negociar Immutable é OrangeX, onde o par mais ativo IMX/USDT tem um volume de negócios de $1.505.062,78 nas últimas 24 horas. Outras opções populares são Binance e DigiFinex.</t>
  </si>
  <si>
    <t>O volume de negócios de Immutable (IMX) é $61.975.161,58 nas últimas 24 horas, representando uma- 29,80% queda de um dia atrás e sinalizando uma recente queda em atividade de mercado.</t>
  </si>
  <si>
    <t>O preço mais alto pago por Immutable (IMX) é BTC0,0001612, registrado em nov 26, 2021 (mais de 2 anos). Comparativamente, o preço atual é - 78,10% mais baixo que o pico histórico.</t>
  </si>
  <si>
    <t>O preço mais baixo pago por Immutable (IMX) é BTC0,00001785, registrado em dez 31, 2022 (mais de 1 ano). Comparativamente, o preço atual é 450,70% mais alto que a baixa histórica.</t>
  </si>
  <si>
    <t>A capitalização de mercado de Immutable (IMX) é BTC51.949,0583 classificada em 37 na CoinGecko hoje. A capitalização de mercado é medida multiplicando-se o preço do token pelo suprimento circulante de tokensIMX, (1,5 mil milhões tokens estão disponíveis para negócio no mercado hoje).</t>
  </si>
  <si>
    <t>A apreciação diluída total de (FDV) Immutable (IMX) é BTC71.318,6636. Esta é uma representação estatística da capitalização de mercado máxima, contando que o número máximo de tokens 2 mil milhões IMX estejam em circulação hoje. Dependendo do calendário de emissões de tokens IMX, pode levar vários anos antes que a FDV seja conhecida.</t>
  </si>
  <si>
    <t>Com um preço declínio de - 1,60% nos últimos 7 dias, Immutable (IMX) é desempenho acima do normal o mercado global de criptomoedas que é para baixo - 8,20%, enquanto que desempenho acima do normal comparado a semelhantes Plataforma de Contratos Inteligentes criptomoedas que são para baixo - 6,50%.</t>
  </si>
  <si>
    <t>$ 259.783</t>
  </si>
  <si>
    <t>$ 270.213</t>
  </si>
  <si>
    <t>$1.505.062</t>
  </si>
  <si>
    <t>2.43%</t>
  </si>
  <si>
    <t>$ 142.884</t>
  </si>
  <si>
    <t>$ 102.974</t>
  </si>
  <si>
    <t>$5.870.774</t>
  </si>
  <si>
    <t>9.47%</t>
  </si>
  <si>
    <t>$ 154.217</t>
  </si>
  <si>
    <t>$ 187.072</t>
  </si>
  <si>
    <t>$1.884.498</t>
  </si>
  <si>
    <t>3.04%</t>
  </si>
  <si>
    <t>$ 119.639</t>
  </si>
  <si>
    <t>$ 124.591</t>
  </si>
  <si>
    <t>$151.209</t>
  </si>
  <si>
    <t>$ 197.009</t>
  </si>
  <si>
    <t>$ 108.347</t>
  </si>
  <si>
    <t>$249.576</t>
  </si>
  <si>
    <t>$ 83.028</t>
  </si>
  <si>
    <t>$ 65.889</t>
  </si>
  <si>
    <t>$7.124.170</t>
  </si>
  <si>
    <t>11.5%</t>
  </si>
  <si>
    <t>$2,07</t>
  </si>
  <si>
    <t>$ 358.080</t>
  </si>
  <si>
    <t>$ 347.044</t>
  </si>
  <si>
    <t>$114.281</t>
  </si>
  <si>
    <t>0.18%</t>
  </si>
  <si>
    <t>$ 52.634</t>
  </si>
  <si>
    <t>$ 52.342</t>
  </si>
  <si>
    <t>$766.471</t>
  </si>
  <si>
    <t>1.24%</t>
  </si>
  <si>
    <t>$ 33.468</t>
  </si>
  <si>
    <t>$ 34.981</t>
  </si>
  <si>
    <t>$381.429</t>
  </si>
  <si>
    <t>0.62%</t>
  </si>
  <si>
    <t>$ 353.611</t>
  </si>
  <si>
    <t>$ 130.853</t>
  </si>
  <si>
    <t>$693.265</t>
  </si>
  <si>
    <t xml:space="preserve">$2,08 </t>
  </si>
  <si>
    <t>$0,02247</t>
  </si>
  <si>
    <t>$2,57</t>
  </si>
  <si>
    <t>$0,2916</t>
  </si>
  <si>
    <t>$0,07423</t>
  </si>
  <si>
    <t>$0,06154</t>
  </si>
  <si>
    <t>$130,13</t>
  </si>
  <si>
    <t>$0,01194</t>
  </si>
  <si>
    <t>$0.056846</t>
  </si>
  <si>
    <t>$2.932,19</t>
  </si>
  <si>
    <t>$57.427,09</t>
  </si>
  <si>
    <t>4.6%</t>
  </si>
  <si>
    <t>$0,3901</t>
  </si>
  <si>
    <t>$0,01608</t>
  </si>
  <si>
    <t>$0,6475</t>
  </si>
  <si>
    <t>Jupiter</t>
  </si>
  <si>
    <t>$0,9308</t>
  </si>
  <si>
    <t>O preço de Immutable (IMX) subiu hoje.</t>
  </si>
  <si>
    <t>O preço de Immutable (IMX) é BTC0,00003570 hoje, com um volume de negócios 24h de $61.975.161,58. Isto representa um preço de 9,50% nas últimas 24 horas e um preço de subida nas últimas 24 horas e um preço de - 1,60% declínio nos últimos 7 dias. Com um suprimento circulante de 1,5 mil milhões IMX, Immutable está avaliada a uma capitalização de mercado de BTC51.949,0583.</t>
  </si>
  <si>
    <t>GALA $0,04229</t>
  </si>
  <si>
    <t>#69</t>
  </si>
  <si>
    <t>$0,04229</t>
  </si>
  <si>
    <t>O preço de GALA (GALA) é calculado em tempo real agregando-se os últimos dados de todas as 85 corretoras e 129 mercados, utilizando uma fórmula de peso de volume global. Saiba mais sobre como os preços de cripto são calculados na CoinGecko.</t>
  </si>
  <si>
    <r>
      <t>0.0</t>
    </r>
    <r>
      <rPr>
        <sz val="8.25"/>
        <color theme="1"/>
        <rFont val="Segoe UI"/>
        <family val="2"/>
      </rPr>
      <t>6</t>
    </r>
    <r>
      <rPr>
        <sz val="10"/>
        <color theme="1"/>
        <rFont val="Segoe UI"/>
        <family val="2"/>
      </rPr>
      <t>7249 BTC 4.5%</t>
    </r>
  </si>
  <si>
    <t>0,00001412 ETH 2.1%</t>
  </si>
  <si>
    <t>$0,03926 Intervalo de 24h $0,04266</t>
  </si>
  <si>
    <t xml:space="preserve">Adicionar à carteira • 259.963 adicionado </t>
  </si>
  <si>
    <t>7.3%</t>
  </si>
  <si>
    <t>26.2%</t>
  </si>
  <si>
    <t xml:space="preserve">$1.476.475.793 </t>
  </si>
  <si>
    <t>$1.476.476.039</t>
  </si>
  <si>
    <t>$161.430.983</t>
  </si>
  <si>
    <t>$0,03926 – $0,04266</t>
  </si>
  <si>
    <t>$0,03935 – $0,04845</t>
  </si>
  <si>
    <t>$0,8248 94.9%</t>
  </si>
  <si>
    <t>$0,0001347 31272.1%</t>
  </si>
  <si>
    <t>Tokens GALA podem ser negociados emcorretoras centralizadas de cripto. A corretora mais popular para comprar e negociar GALA é Gate.io, onde o par mais ativo GALA/USDT tem um volume de negócios de $6.022.738,31 nas últimas 24 horas. Outras opções populares são MEXC e PointPay.</t>
  </si>
  <si>
    <t>O volume de negócios de GALA (GALA) é $161.412.425,63 nas últimas 24 horas, representando uma- 5,80% queda de um dia atrás e sinalizando uma recente queda em atividade de mercado.</t>
  </si>
  <si>
    <t>O preço mais alto pago por GALA (GALA) é BTC0,00001446, registrado em nov 26, 2021 (mais de 2 anos). Comparativamente, o preço atual é - 94,90% mais baixo que o pico histórico.</t>
  </si>
  <si>
    <r>
      <t>O preço mais baixo pago por GALA (GALA) é BTC0.0</t>
    </r>
    <r>
      <rPr>
        <sz val="8.25"/>
        <color theme="1"/>
        <rFont val="Segoe UI"/>
        <family val="2"/>
      </rPr>
      <t>8</t>
    </r>
    <r>
      <rPr>
        <sz val="10"/>
        <color theme="1"/>
        <rFont val="Segoe UI"/>
        <family val="2"/>
      </rPr>
      <t>5000, registrado em dez 28, 2020 (mais de 3 anos). Comparativamente, o preço atual é 31.272,10% mais alto que a baixa histórica.</t>
    </r>
  </si>
  <si>
    <t>A capitalização de mercado de GALA (GALA) é BTC25.365,4250 classificada em 69 na CoinGecko hoje. A capitalização de mercado é medida multiplicando-se o preço do token pelo suprimento circulante de tokensGALA, (35 mil milhões tokens estão disponíveis para negócio no mercado hoje).</t>
  </si>
  <si>
    <t>A apreciação diluída total de (FDV) GALA (GALA) é BTC25.365,4292. Esta é uma representação estatística da capitalização de mercado máxima, contando que o número máximo de tokens 50 mil milhões GALA estejam em circulação hoje. Dependendo do calendário de emissões de tokens GALA, pode levar vários anos antes que a FDV seja conhecida.</t>
  </si>
  <si>
    <t>Com um preço declínio de - 7,30% nos últimos 7 dias, GALA (GALA) é desempenho acima do normal o mercado global de criptomoedas que é para baixo - 8,20%, enquanto que desempenho acima do normal comparado a semelhantes Camada 1 (L1) criptomoedas que são para baixo - 8,40%.</t>
  </si>
  <si>
    <t>$0,042320615925463900000000000000000000000000</t>
  </si>
  <si>
    <t>$ 1.261.935</t>
  </si>
  <si>
    <t>$ 1.706.518</t>
  </si>
  <si>
    <t>$6.022.738</t>
  </si>
  <si>
    <t>3.73%</t>
  </si>
  <si>
    <t>$0,04226471018841128400000000000000000000000</t>
  </si>
  <si>
    <t>$ 550.731</t>
  </si>
  <si>
    <t>$ 664.049</t>
  </si>
  <si>
    <t>$364.999</t>
  </si>
  <si>
    <t>0.23%</t>
  </si>
  <si>
    <t>$0,042281490777669260000000000000000000000000000</t>
  </si>
  <si>
    <t>$ 923.796</t>
  </si>
  <si>
    <t>$ 768.888</t>
  </si>
  <si>
    <t>$180.279</t>
  </si>
  <si>
    <t>$0,0423403702001915400000000000000000000000</t>
  </si>
  <si>
    <t>$ 361.898</t>
  </si>
  <si>
    <t>$ 435.605</t>
  </si>
  <si>
    <t>$32.240.669</t>
  </si>
  <si>
    <t>19.98%</t>
  </si>
  <si>
    <t>$0,0423203700253213500000000000000000000000</t>
  </si>
  <si>
    <t>$169.640</t>
  </si>
  <si>
    <t>$0,0422946018942385940000000000000000000000000</t>
  </si>
  <si>
    <t>$ 860.748</t>
  </si>
  <si>
    <t>$ 987.386</t>
  </si>
  <si>
    <t>$5.683.585</t>
  </si>
  <si>
    <t>3.52%</t>
  </si>
  <si>
    <t>$0,0423186154236475240000000000000000000000000</t>
  </si>
  <si>
    <t>$ 541.588</t>
  </si>
  <si>
    <t>$ 531.944</t>
  </si>
  <si>
    <t>$1.011.670</t>
  </si>
  <si>
    <t>$0,0422920000000000000000000000000000000000000000000000</t>
  </si>
  <si>
    <t>$ 572.165</t>
  </si>
  <si>
    <t>$ 555.963</t>
  </si>
  <si>
    <t>$1.498.633</t>
  </si>
  <si>
    <t>$0,04231036993788625500000000000000000000000</t>
  </si>
  <si>
    <t>$ 139.517</t>
  </si>
  <si>
    <t>$ 131.641</t>
  </si>
  <si>
    <t>$16.718.622</t>
  </si>
  <si>
    <t>10.36%</t>
  </si>
  <si>
    <t>$0,0422936091509428000000000000000000000000000</t>
  </si>
  <si>
    <t>$ 36.559</t>
  </si>
  <si>
    <t>$ 58.645</t>
  </si>
  <si>
    <t>$16.708.784</t>
  </si>
  <si>
    <t>10.35%</t>
  </si>
  <si>
    <t>Mostrando 1 para 10 dos resultados 129</t>
  </si>
  <si>
    <t xml:space="preserve">$0,04230 </t>
  </si>
  <si>
    <t>$0,7793</t>
  </si>
  <si>
    <t>$0,8203</t>
  </si>
  <si>
    <t>$0,006266</t>
  </si>
  <si>
    <t>$1,58</t>
  </si>
  <si>
    <t>$130,18</t>
  </si>
  <si>
    <t>$0,01193</t>
  </si>
  <si>
    <t>$0,3898</t>
  </si>
  <si>
    <t>$57.487,00</t>
  </si>
  <si>
    <t>4.5%</t>
  </si>
  <si>
    <t>$0.056817</t>
  </si>
  <si>
    <t>$2.928,50</t>
  </si>
  <si>
    <t>$0,01620</t>
  </si>
  <si>
    <t>11.3%</t>
  </si>
  <si>
    <t>$0,9292</t>
  </si>
  <si>
    <t>$0,6506</t>
  </si>
  <si>
    <t>$379,02</t>
  </si>
  <si>
    <t>O preço de GALA (GALA) subiu hoje.</t>
  </si>
  <si>
    <r>
      <t>O preço de GALA (GALA) é BTC0.0</t>
    </r>
    <r>
      <rPr>
        <sz val="8.25"/>
        <color theme="1"/>
        <rFont val="Segoe UI"/>
        <family val="2"/>
      </rPr>
      <t>6</t>
    </r>
    <r>
      <rPr>
        <sz val="10"/>
        <color theme="1"/>
        <rFont val="Segoe UI"/>
        <family val="2"/>
      </rPr>
      <t>7249 hoje, com um volume de negócios 24h de $161.430.982,82. Isto representa um preço de 6,00% nas últimas 24 horas e um preço de subida nas últimas 24 horas e um preço de - 7,30% declínio nos últimos 7 dias. Com um suprimento circulante de 35 mil milhões GALA, GALA está avaliada a uma capitalização de mercado de BTC25.365,4250.</t>
    </r>
  </si>
  <si>
    <t>Polygon $0,7135</t>
  </si>
  <si>
    <t>#19</t>
  </si>
  <si>
    <t>$0,7135</t>
  </si>
  <si>
    <t>O preço de Polygon (MATIC) é calculado em tempo real agregando-se os últimos dados de todas as 170 corretoras e 375 mercados, utilizando uma fórmula de peso de volume global. Saiba mais sobre como os preços de cripto são calculados na CoinGecko.</t>
  </si>
  <si>
    <t>0,00001223 BTC 7.9%</t>
  </si>
  <si>
    <t>0,0002382 ETH 5.4%</t>
  </si>
  <si>
    <t>$0,6514 Intervalo de 24h $0,7132</t>
  </si>
  <si>
    <t xml:space="preserve">Adicionar à carteira • 617.400 adicionado </t>
  </si>
  <si>
    <t>6.6%</t>
  </si>
  <si>
    <t>25.6%</t>
  </si>
  <si>
    <t xml:space="preserve">$6.622.076.451 </t>
  </si>
  <si>
    <t xml:space="preserve">$7.133.595.507 </t>
  </si>
  <si>
    <t>1.36</t>
  </si>
  <si>
    <t>$377.283.412</t>
  </si>
  <si>
    <t>$0,6514 – $0,7132</t>
  </si>
  <si>
    <t>$0,6414 – $0,7472</t>
  </si>
  <si>
    <t>$2,92 75.5%</t>
  </si>
  <si>
    <t>$0,003144 22585.7%</t>
  </si>
  <si>
    <t>Tokens MATIC podem ser negociados emcorretoras centralizadas de cripto. A corretora mais popular para comprar e negociar Polygon é Crypto.com Exchange, onde o par mais ativo MATIC/USD tem um volume de negócios de $2.050.464,55 nas últimas 24 horas. Outras opções populares são Gate.io e OrangeX.</t>
  </si>
  <si>
    <t>O volume de negócios de Polygon (MATIC) é $377.083.486,99 nas últimas 24 horas, representando uma- 4,10% queda de um dia atrás e sinalizando uma recente queda em atividade de mercado.</t>
  </si>
  <si>
    <t>O preço mais alto pago por Polygon (MATIC) é BTC0,00006557, registrado em dez 27, 2021 (mais de 2 anos). Comparativamente, o preço atual é - 75,50% mais baixo que o pico histórico.</t>
  </si>
  <si>
    <r>
      <t>O preço mais baixo pago por Polygon (MATIC) é BTC0.0</t>
    </r>
    <r>
      <rPr>
        <sz val="8.25"/>
        <color theme="1"/>
        <rFont val="Segoe UI"/>
        <family val="2"/>
      </rPr>
      <t>6</t>
    </r>
    <r>
      <rPr>
        <sz val="10"/>
        <color theme="1"/>
        <rFont val="Segoe UI"/>
        <family val="2"/>
      </rPr>
      <t>5092, registrado em mai 10, 2019 (quase 5 anos). Comparativamente, o preço atual é 22.585,70% mais alto que a baixa histórica.</t>
    </r>
  </si>
  <si>
    <t>A capitalização de mercado de Polygon (MATIC) é BTC113.765,3488 classificada em 19 na CoinGecko hoje. A capitalização de mercado é medida multiplicando-se o preço do token pelo suprimento circulante de tokensMATIC, (9,3 mil milhões tokens estão disponíveis para negócio no mercado hoje).</t>
  </si>
  <si>
    <t>A apreciação diluída total de (FDV) Polygon (MATIC) é BTC122.553,0975. Esta é uma representação estatística da capitalização de mercado máxima, contando que o número máximo de tokens 10 mil milhões MATIC estejam em circulação hoje. Dependendo do calendário de emissões de tokens MATIC, pode levar vários anos antes que a FDV seja conhecida.</t>
  </si>
  <si>
    <t>Com um preço subida de 2,50% nos últimos 7 dias, Polygon (MATIC) é desempenho acima do normal o mercado global de criptomoedas que é para baixo - 8,20%, enquanto que desempenho abaixo do normal comparado a semelhantes FTX Holdings criptomoedas que são para cima 11,40%.</t>
  </si>
  <si>
    <t>$0,713097314527454500000000000000000000000000000000000</t>
  </si>
  <si>
    <t>$ 951.946</t>
  </si>
  <si>
    <t>$ 880.032</t>
  </si>
  <si>
    <t>$2.050.464</t>
  </si>
  <si>
    <t>$0,714406246363175200000000000000000000000</t>
  </si>
  <si>
    <t>$ 1.994.687</t>
  </si>
  <si>
    <t>$ 2.243.321</t>
  </si>
  <si>
    <t>$9.088.203</t>
  </si>
  <si>
    <t>2.41%</t>
  </si>
  <si>
    <t>$0,71326074273417430000000000000000000000000</t>
  </si>
  <si>
    <t>$ 924.006</t>
  </si>
  <si>
    <t>$ 739.293</t>
  </si>
  <si>
    <t>$9.509.479</t>
  </si>
  <si>
    <t>$0,71214861364445950000000000000000000000000</t>
  </si>
  <si>
    <t>$ 656.976</t>
  </si>
  <si>
    <t>$ 534.376</t>
  </si>
  <si>
    <t>$45.338.104</t>
  </si>
  <si>
    <t>12.07%</t>
  </si>
  <si>
    <t>$0,71346075976803120000000000000000000000000</t>
  </si>
  <si>
    <t>$ 720.620</t>
  </si>
  <si>
    <t>$ 692.728</t>
  </si>
  <si>
    <t>$2.113.728</t>
  </si>
  <si>
    <t>$0,7129478512803327000000000000000000000000</t>
  </si>
  <si>
    <t>$ 681.849</t>
  </si>
  <si>
    <t>$ 625.442</t>
  </si>
  <si>
    <t>$11.455.620</t>
  </si>
  <si>
    <t>3.05%</t>
  </si>
  <si>
    <t>$0,71322814793863510000000000000000000000000</t>
  </si>
  <si>
    <t>$ 1.023.139</t>
  </si>
  <si>
    <t>$ 959.170</t>
  </si>
  <si>
    <t>$5.853.220</t>
  </si>
  <si>
    <t>1.55%</t>
  </si>
  <si>
    <t>$0,713206235870963800000000000000000000000</t>
  </si>
  <si>
    <t>$ 284.244</t>
  </si>
  <si>
    <t>$ 332.171</t>
  </si>
  <si>
    <t>$36.478.724</t>
  </si>
  <si>
    <t>9.67%</t>
  </si>
  <si>
    <t>$0,7135462388437570000000000000000000000000</t>
  </si>
  <si>
    <t>$ 847.285</t>
  </si>
  <si>
    <t>$ 882.108</t>
  </si>
  <si>
    <t>$1.309.158</t>
  </si>
  <si>
    <t>$0,71403624312807670000000000000000000000000</t>
  </si>
  <si>
    <t>$ 1.046.941</t>
  </si>
  <si>
    <t>$ 1.008.873</t>
  </si>
  <si>
    <t>$14.920.493</t>
  </si>
  <si>
    <t>3.96%</t>
  </si>
  <si>
    <t>Mostrando 1 para 10 dos resultados 375</t>
  </si>
  <si>
    <t xml:space="preserve">$0,7132 </t>
  </si>
  <si>
    <t>$23,08</t>
  </si>
  <si>
    <t>$1,96</t>
  </si>
  <si>
    <t>$0.051153</t>
  </si>
  <si>
    <t>$38,25</t>
  </si>
  <si>
    <t>$6,89</t>
  </si>
  <si>
    <t>$0,01197</t>
  </si>
  <si>
    <t>$0,3890</t>
  </si>
  <si>
    <t>$57.466,92</t>
  </si>
  <si>
    <t>$2.921,01</t>
  </si>
  <si>
    <t>$0,6453</t>
  </si>
  <si>
    <t>$0,01626</t>
  </si>
  <si>
    <t>10.8%</t>
  </si>
  <si>
    <t>$0.056780</t>
  </si>
  <si>
    <t>$4,21</t>
  </si>
  <si>
    <t>O preço de Polygon (MATIC) subiu hoje.</t>
  </si>
  <si>
    <t>O preço de Polygon (MATIC) é BTC0,00001223 hoje, com um volume de negócios 24h de $377.283.411,97. Isto representa um preço de 9,50% nas últimas 24 horas e um preço de subida nas últimas 24 horas e um preço de 2,40% subida nos últimos 7 dias. Com um suprimento circulante de 9,3 mil milhões MATIC, Polygon está avaliada a uma capitalização de mercado de BTC113.765,3488.</t>
  </si>
  <si>
    <t>Optimism $2,76</t>
  </si>
  <si>
    <t>9.3%</t>
  </si>
  <si>
    <t>$2,76</t>
  </si>
  <si>
    <t>O preço de Optimism (OP) é calculado em tempo real agregando-se os últimos dados de todas as 77 corretoras e 183 mercados, utilizando uma fórmula de peso de volume global. Saiba mais sobre como os preços de cripto são calculados na CoinGecko.</t>
  </si>
  <si>
    <t>0,00004727 BTC 7.9%</t>
  </si>
  <si>
    <t>$2,47 Intervalo de 24h $2,83</t>
  </si>
  <si>
    <t xml:space="preserve">Adicionar à carteira • 117.127 adicionado </t>
  </si>
  <si>
    <t>17.0%</t>
  </si>
  <si>
    <t>24.7%</t>
  </si>
  <si>
    <t>13.4%</t>
  </si>
  <si>
    <t>31.0%</t>
  </si>
  <si>
    <t xml:space="preserve">$2.888.408.910 </t>
  </si>
  <si>
    <t>$11.867.094.630</t>
  </si>
  <si>
    <t>$565.170.050</t>
  </si>
  <si>
    <t>$2,47 – $2,83</t>
  </si>
  <si>
    <t>$2,28 – $2,81</t>
  </si>
  <si>
    <t>$4,84 43.1%</t>
  </si>
  <si>
    <t>$0,4022 585.8%</t>
  </si>
  <si>
    <t>Tokens OP podem ser negociados emcorretoras centralizadas de cripto. A corretora mais popular para comprar e negociar Optimism é Gate.io, onde o par mais ativo OP/USDT tem um volume de negócios de $18.441.581,00 nas últimas 24 horas. Outras opções populares são DigiFinex e MEXC.</t>
  </si>
  <si>
    <t>O volume de negócios de Optimism (OP) é $565.170.050,19 nas últimas 24 horas, representando uma 12,30% subida de um dia atrás e sinalizando uma recente subida em atividade de mercado.</t>
  </si>
  <si>
    <t>O preço mais alto pago por Optimism (OP) é BTC0,0001389, registrado em mar 06, 2024 (aproximadamente 2 meses). Comparativamente, o preço atual é - 43,10% mais baixo que o pico histórico.</t>
  </si>
  <si>
    <t>O preço mais baixo pago por Optimism (OP) é BTC0,00002060, registrado em jun 18, 2022 (quase 2 anos). Comparativamente, o preço atual é 585,80% mais alto que a baixa histórica.</t>
  </si>
  <si>
    <t>A capitalização de mercado de Optimism (OP) é BTC49.522,2427 classificada em 42 na CoinGecko hoje. A capitalização de mercado é medida multiplicando-se o preço do token pelo suprimento circulante de tokensOP, (1 mil milhões tokens estão disponíveis para negócio no mercado hoje).</t>
  </si>
  <si>
    <t>A apreciação diluída total de (FDV) Optimism (OP) é BTC203.463,2763. Esta é uma representação estatística da capitalização de mercado máxima, contando que o número máximo de tokens 4,3 mil milhões OP estejam em circulação hoje. Dependendo do calendário de emissões de tokens OP, pode levar vários anos antes que a FDV seja conhecida.</t>
  </si>
  <si>
    <t>Com um preço subida de 17,00% nos últimos 7 dias, Optimism (OP) é desempenho acima do normal o mercado global de criptomoedas que é para baixo - 8,20%, enquanto que desempenho acima do normal comparado a semelhantes Ecossistema Optimism criptomoedas que são para cima 0,40%.</t>
  </si>
  <si>
    <t>$2,74</t>
  </si>
  <si>
    <t>$ 2.639.715</t>
  </si>
  <si>
    <t>$ 2.363.096</t>
  </si>
  <si>
    <t>$18.441.580</t>
  </si>
  <si>
    <t>3.26%</t>
  </si>
  <si>
    <t>$2,75</t>
  </si>
  <si>
    <t>$ 948.260</t>
  </si>
  <si>
    <t>$ 888.787</t>
  </si>
  <si>
    <t>$53.528.864</t>
  </si>
  <si>
    <t>$ 1.592.916</t>
  </si>
  <si>
    <t>$ 2.050.097</t>
  </si>
  <si>
    <t>$1.531.997</t>
  </si>
  <si>
    <t>0.27%</t>
  </si>
  <si>
    <t>$2,77</t>
  </si>
  <si>
    <t>$ 864.073</t>
  </si>
  <si>
    <t>$ 810.495</t>
  </si>
  <si>
    <t>$126.293.643</t>
  </si>
  <si>
    <t>22.4%</t>
  </si>
  <si>
    <t>$ 1.087.212</t>
  </si>
  <si>
    <t>$ 859.054</t>
  </si>
  <si>
    <t>$8.735.571</t>
  </si>
  <si>
    <t>$ 937.551</t>
  </si>
  <si>
    <t>$ 926.895</t>
  </si>
  <si>
    <t>$9.295.617</t>
  </si>
  <si>
    <t>$ 229.801</t>
  </si>
  <si>
    <t>$ 303.361</t>
  </si>
  <si>
    <t>$36.877.376</t>
  </si>
  <si>
    <t>6.53%</t>
  </si>
  <si>
    <t>$ 870.569</t>
  </si>
  <si>
    <t>$ 688.967</t>
  </si>
  <si>
    <t>$27.574.194</t>
  </si>
  <si>
    <t>4.88%</t>
  </si>
  <si>
    <t>$ 624.489</t>
  </si>
  <si>
    <t>$ 741.754</t>
  </si>
  <si>
    <t>$2.902.366</t>
  </si>
  <si>
    <t>0.51%</t>
  </si>
  <si>
    <t>Bitrue</t>
  </si>
  <si>
    <t>$ 855.232</t>
  </si>
  <si>
    <t>$ 468.201</t>
  </si>
  <si>
    <t>$4.425.628</t>
  </si>
  <si>
    <t>Mostrando 1 para 10 dos resultados 183</t>
  </si>
  <si>
    <t>Token da Optimism dispara após revelação; entenda</t>
  </si>
  <si>
    <t>Há aproximadamente 15 horas</t>
  </si>
  <si>
    <t>Dogecoin, PEPE, Optimism e mais: 5 criptomoedas para ficar de olho hoje</t>
  </si>
  <si>
    <t>Há aproximadamente 23 horas</t>
  </si>
  <si>
    <t xml:space="preserve">$2,76 </t>
  </si>
  <si>
    <t>$6,99</t>
  </si>
  <si>
    <t>$8,67</t>
  </si>
  <si>
    <t>$2.699,95</t>
  </si>
  <si>
    <t>$1,92</t>
  </si>
  <si>
    <t>$130,33</t>
  </si>
  <si>
    <t>$57.477,26</t>
  </si>
  <si>
    <t>$0.056848</t>
  </si>
  <si>
    <t>$2.933,61</t>
  </si>
  <si>
    <t>$1,04</t>
  </si>
  <si>
    <t>O preço de Optimism (OP) subiu hoje.</t>
  </si>
  <si>
    <t>O preço de Optimism (OP) é BTC0,00004727 hoje, com um volume de negócios 24h de $565.170.050,19. Isto representa um preço de 9,30% nas últimas 24 horas e um preço de subida nas últimas 24 horas e um preço de 17,00% subida nos últimos 7 dias. Com um suprimento circulante de 1 mil milhões OP, Optimism está avaliada a uma capitalização de mercado de BTC49.522,2427.</t>
  </si>
  <si>
    <t>Arbitrum $1,04</t>
  </si>
  <si>
    <t>#43</t>
  </si>
  <si>
    <t>O preço de Arbitrum (ARB) é calculado em tempo real agregando-se os últimos dados de todas as 104 corretoras e 200 mercados, utilizando uma fórmula de peso de volume global. Saiba mais sobre como os preços de cripto são calculados na CoinGecko.</t>
  </si>
  <si>
    <t>0,00001776 BTC 1.7%</t>
  </si>
  <si>
    <t>$0,9993 Intervalo de 24h $1,06</t>
  </si>
  <si>
    <t xml:space="preserve">Adicionar à carteira • 160.514 adicionado </t>
  </si>
  <si>
    <t>8.2%</t>
  </si>
  <si>
    <t>28.5%</t>
  </si>
  <si>
    <t>21.3%</t>
  </si>
  <si>
    <t xml:space="preserve">$2.751.978.371 </t>
  </si>
  <si>
    <t>$10.369.409.291</t>
  </si>
  <si>
    <t>$399.432.576</t>
  </si>
  <si>
    <t>$0,9993 – $1,06</t>
  </si>
  <si>
    <t>$0,9761 – $1,16</t>
  </si>
  <si>
    <t>$2,39 56.6%</t>
  </si>
  <si>
    <t>$0,7449 39.3%</t>
  </si>
  <si>
    <t>Tokens ARB podem ser negociados emcorretoras centralizadas de cripto. A corretora mais popular para comprar e negociar Arbitrum é Gate.io, onde o par mais ativo ARB/USDT tem um volume de negócios de $8.322.322,45 nas últimas 24 horas. Outras opções populares são Toobit e Binance.</t>
  </si>
  <si>
    <t>O volume de negócios de Arbitrum (ARB) é $399.432.576,11 nas últimas 24 horas, representando uma- 18,40% queda de um dia atrás e sinalizando uma recente queda em atividade de mercado.</t>
  </si>
  <si>
    <t>O preço mais alto pago por Arbitrum (ARB) é BTC0,00005591, registrado em jan 12, 2024 (4 meses). Comparativamente, o preço atual é - 56,60% mais baixo que o pico histórico.</t>
  </si>
  <si>
    <t>O preço mais baixo pago por Arbitrum (ARB) é BTC0,00001479, registrado em set 11, 2023 (8 meses). Comparativamente, o preço atual é 39,30% mais alto que a baixa histórica.</t>
  </si>
  <si>
    <t>A capitalização de mercado de Arbitrum (ARB) é BTC47.183,1188 classificada em 43 na CoinGecko hoje. A capitalização de mercado é medida multiplicando-se o preço do token pelo suprimento circulante de tokensARB, (2,7 mil milhões tokens estão disponíveis para negócio no mercado hoje).</t>
  </si>
  <si>
    <t>A apreciação diluída total de (FDV) Arbitrum (ARB) é BTC177.785,2164. Esta é uma representação estatística da capitalização de mercado máxima, contando que o número máximo de tokens 10 mil milhões ARB estejam em circulação hoje. Dependendo do calendário de emissões de tokens ARB, pode levar vários anos antes que a FDV seja conhecida.</t>
  </si>
  <si>
    <t>Com um preço declínio de - 3,60% nos últimos 7 dias, Arbitrum (ARB) é desempenho acima do normal o mercado global de criptomoedas que é para baixo - 8,20%, enquanto que desempenho abaixo do normal comparado a semelhantes Ecossistema Ethereum criptomoedas que são para cima 12,70%.</t>
  </si>
  <si>
    <t>$ 2.190.086</t>
  </si>
  <si>
    <t>$ 2.507.488</t>
  </si>
  <si>
    <t>$8.322.322</t>
  </si>
  <si>
    <t>2.08%</t>
  </si>
  <si>
    <t>$ 1.991.736</t>
  </si>
  <si>
    <t>$ 1.976.925</t>
  </si>
  <si>
    <t>$10.406.671</t>
  </si>
  <si>
    <t>2.61%</t>
  </si>
  <si>
    <t>$ 578.105</t>
  </si>
  <si>
    <t>$ 759.200</t>
  </si>
  <si>
    <t>$90.833.687</t>
  </si>
  <si>
    <t>22.8%</t>
  </si>
  <si>
    <t>$ 991.598</t>
  </si>
  <si>
    <t>$ 963.540</t>
  </si>
  <si>
    <t>$13.641.371</t>
  </si>
  <si>
    <t>3.42%</t>
  </si>
  <si>
    <t>$ 841.263</t>
  </si>
  <si>
    <t>$ 840.130</t>
  </si>
  <si>
    <t>$1.741.302</t>
  </si>
  <si>
    <t>0.44%</t>
  </si>
  <si>
    <t>$ 572.737</t>
  </si>
  <si>
    <t>$ 684.430</t>
  </si>
  <si>
    <t>$37.223.631</t>
  </si>
  <si>
    <t>9.32%</t>
  </si>
  <si>
    <t>$ 960.636</t>
  </si>
  <si>
    <t>$ 1.099.796</t>
  </si>
  <si>
    <t>$33.567.192</t>
  </si>
  <si>
    <t>8.4%</t>
  </si>
  <si>
    <t>$ 716.401</t>
  </si>
  <si>
    <t>$ 803.609</t>
  </si>
  <si>
    <t>$6.217.285</t>
  </si>
  <si>
    <t>$ 429.419</t>
  </si>
  <si>
    <t>$ 435.419</t>
  </si>
  <si>
    <t>$6.417.799</t>
  </si>
  <si>
    <t>1.61%</t>
  </si>
  <si>
    <t>$ 452.475</t>
  </si>
  <si>
    <t>$ 436.665</t>
  </si>
  <si>
    <t>$498.538</t>
  </si>
  <si>
    <t>Mostrando 1 para 10 dos resultados 200</t>
  </si>
  <si>
    <t xml:space="preserve">1 2 ... 20 </t>
  </si>
  <si>
    <t>Pike Finance atingiu US$ 1,6 milhão no segundo hack em 3 dias</t>
  </si>
  <si>
    <t>Há aproximadamente 18 horas</t>
  </si>
  <si>
    <t>3 criptomoedas que as baleias estão comprando para ter lucro em maio</t>
  </si>
  <si>
    <t xml:space="preserve">$1,04 </t>
  </si>
  <si>
    <t>$1,98</t>
  </si>
  <si>
    <t>4.7%</t>
  </si>
  <si>
    <t>$1,25</t>
  </si>
  <si>
    <t>$1,61</t>
  </si>
  <si>
    <t>$0,07429</t>
  </si>
  <si>
    <t>$130,32</t>
  </si>
  <si>
    <t>$0,01195</t>
  </si>
  <si>
    <t>$57.482,36</t>
  </si>
  <si>
    <t>$0,3902</t>
  </si>
  <si>
    <t>$2.933,91</t>
  </si>
  <si>
    <t>$0,01609</t>
  </si>
  <si>
    <t>9.6%</t>
  </si>
  <si>
    <t>$0,6483</t>
  </si>
  <si>
    <t>O preço de Arbitrum (ARB) subiu hoje.</t>
  </si>
  <si>
    <t>O preço de Arbitrum (ARB) é BTC0,00001776 hoje, com um volume de negócios 24h de $399.432.576,11. Isto representa um preço de 3,20% nas últimas 24 horas e um preço de subida nas últimas 24 horas e um preço de - 3,60% declínio nos últimos 7 dias. Com um suprimento circulante de 2,7 mil milhões ARB, Arbitrum está avaliada a uma capitalização de mercado de BTC47.183,1188.</t>
  </si>
  <si>
    <t>Render $7,64</t>
  </si>
  <si>
    <t>#38</t>
  </si>
  <si>
    <t>$7,64</t>
  </si>
  <si>
    <t>O preço de Render (RNDR) é calculado em tempo real agregando-se os últimos dados de todas as 78 corretoras e 144 mercados, utilizando uma fórmula de peso de volume global. Saiba mais sobre como os preços de cripto são calculados na CoinGecko.</t>
  </si>
  <si>
    <t>0,0001309 BTC 5.3%</t>
  </si>
  <si>
    <t>0,002550 ETH 2.9%</t>
  </si>
  <si>
    <t>$7,08 Intervalo de 24h $7,84</t>
  </si>
  <si>
    <t xml:space="preserve">Adicionar à carteira • 174.612 adicionado </t>
  </si>
  <si>
    <t>263.7%</t>
  </si>
  <si>
    <t xml:space="preserve">$2.950.906.331 </t>
  </si>
  <si>
    <t>$4.057.324.102</t>
  </si>
  <si>
    <t>$178.817.048</t>
  </si>
  <si>
    <t>$7,08 – $7,84</t>
  </si>
  <si>
    <t>$6,97 – $8,73</t>
  </si>
  <si>
    <t>$13,53 43.5%</t>
  </si>
  <si>
    <t>mar 17, 2024 (aproximadamente 2 meses)</t>
  </si>
  <si>
    <t>$0,03666 20756.0%</t>
  </si>
  <si>
    <t>Tokens RNDR podem ser negociados emcorretoras centralizadas de cripto. A corretora mais popular para comprar e negociar Render é Gate.io, onde o par mais ativo RNDR/USDT tem um volume de negócios de $10.226.375,72 nas últimas 24 horas. Outras opções populares são Binance e WEEX.</t>
  </si>
  <si>
    <t>O volume de negócios de Render (RNDR) é $178.817.048,32 nas últimas 24 horas, representando uma- 9,40% queda de um dia atrás e sinalizando uma recente queda em atividade de mercado.</t>
  </si>
  <si>
    <t>O preço mais alto pago por Render (RNDR) é BTC0,0001989, registrado em mar 17, 2024 (aproximadamente 2 meses). Comparativamente, o preço atual é - 43,50% mais baixo que o pico histórico.</t>
  </si>
  <si>
    <r>
      <t>O preço mais baixo pago por Render (RNDR) é BTC0.0</t>
    </r>
    <r>
      <rPr>
        <sz val="8.25"/>
        <color theme="1"/>
        <rFont val="Segoe UI"/>
        <family val="2"/>
      </rPr>
      <t>5</t>
    </r>
    <r>
      <rPr>
        <sz val="10"/>
        <color theme="1"/>
        <rFont val="Segoe UI"/>
        <family val="2"/>
      </rPr>
      <t>2264, registrado em jun 16, 2020 (quase 4 anos). Comparativamente, o preço atual é 20.756,00% mais alto que a baixa histórica.</t>
    </r>
  </si>
  <si>
    <t>A capitalização de mercado de Render (RNDR) é BTC50.695,7131 classificada em 38 na CoinGecko hoje. A capitalização de mercado é medida multiplicando-se o preço do token pelo suprimento circulante de tokensRNDR, (390 milhões tokens estão disponíveis para negócio no mercado hoje).</t>
  </si>
  <si>
    <t>A apreciação diluída total de (FDV) Render (RNDR) é BTC69.703,6489. Esta é uma representação estatística da capitalização de mercado máxima, contando que o número máximo de tokens 530 milhões RNDR estejam em circulação hoje. Dependendo do calendário de emissões de tokens RNDR, pode levar vários anos antes que a FDV seja conhecida.</t>
  </si>
  <si>
    <t>Com um preço declínio de - 7,70% nos últimos 7 dias, Render (RNDR) é desempenho acima do normal o mercado global de criptomoedas que é para baixo - 8,20%, enquanto que desempenho abaixo do normal comparado a semelhantes Ecossistema Polygon criptomoedas que são para cima 0,00%.</t>
  </si>
  <si>
    <t>$7,63</t>
  </si>
  <si>
    <t>$ 1.753.515</t>
  </si>
  <si>
    <t>$ 1.553.387</t>
  </si>
  <si>
    <t>$10.226.375</t>
  </si>
  <si>
    <t>5.72%</t>
  </si>
  <si>
    <t>$7,62</t>
  </si>
  <si>
    <t>$ 709.392</t>
  </si>
  <si>
    <t>$ 650.033</t>
  </si>
  <si>
    <t>$50.771.961</t>
  </si>
  <si>
    <t>28.46%</t>
  </si>
  <si>
    <t>$ 1.212.684</t>
  </si>
  <si>
    <t>$ 1.172.013</t>
  </si>
  <si>
    <t>$483.653</t>
  </si>
  <si>
    <t>$7,59</t>
  </si>
  <si>
    <t>$ 435.994</t>
  </si>
  <si>
    <t>$ 684.928</t>
  </si>
  <si>
    <t>$749.026</t>
  </si>
  <si>
    <t>0.42%</t>
  </si>
  <si>
    <t>$7,65</t>
  </si>
  <si>
    <t>$ 876.381</t>
  </si>
  <si>
    <t>$ 711.200</t>
  </si>
  <si>
    <t>$5.917.998</t>
  </si>
  <si>
    <t>$ 395.791</t>
  </si>
  <si>
    <t>$ 402.035</t>
  </si>
  <si>
    <t>$980.793</t>
  </si>
  <si>
    <t>RNDR/USD</t>
  </si>
  <si>
    <t>$ 294.801</t>
  </si>
  <si>
    <t>$ 641.013</t>
  </si>
  <si>
    <t>$25.471.872</t>
  </si>
  <si>
    <t>14.24%</t>
  </si>
  <si>
    <t>$ 366.215</t>
  </si>
  <si>
    <t>$ 515.320</t>
  </si>
  <si>
    <t>$1.328.715</t>
  </si>
  <si>
    <t>0.74%</t>
  </si>
  <si>
    <t>$ 153.469</t>
  </si>
  <si>
    <t>$ 208.007</t>
  </si>
  <si>
    <t>$3.363.710</t>
  </si>
  <si>
    <t>$7,66</t>
  </si>
  <si>
    <t>$ 578.188</t>
  </si>
  <si>
    <t>$ 720.798</t>
  </si>
  <si>
    <t>$2.676.281</t>
  </si>
  <si>
    <t>Mostrando 1 para 10 dos resultados 144</t>
  </si>
  <si>
    <t xml:space="preserve">$7,62 </t>
  </si>
  <si>
    <t>$0,0001534</t>
  </si>
  <si>
    <t>$6,92</t>
  </si>
  <si>
    <t>$0,4208</t>
  </si>
  <si>
    <t>$0,4212</t>
  </si>
  <si>
    <t>$89,50</t>
  </si>
  <si>
    <t>$130,26</t>
  </si>
  <si>
    <t>3.8%</t>
  </si>
  <si>
    <t>$0,3896</t>
  </si>
  <si>
    <t>$57.477,15</t>
  </si>
  <si>
    <t>$0.056796</t>
  </si>
  <si>
    <t>$0,01616</t>
  </si>
  <si>
    <t>$0,6540</t>
  </si>
  <si>
    <t>$2.924,54</t>
  </si>
  <si>
    <t>$376,76</t>
  </si>
  <si>
    <t>$0,6837</t>
  </si>
  <si>
    <t>O preço de Render (RNDR) subiu hoje.</t>
  </si>
  <si>
    <t>O preço de Render (RNDR) é BTC0,0001309 hoje, com um volume de negócios 24h de $178.817.048,32. Isto representa um preço de 6,80% nas últimas 24 horas e um preço de subida nas últimas 24 horas e um preço de - 7,70% declínio nos últimos 7 dias. Com um suprimento circulante de 390 milhões RNDR, Render está avaliada a uma capitalização de mercado de BTC50.695,7131.</t>
  </si>
  <si>
    <t>Stacks $2,10</t>
  </si>
  <si>
    <t>#35</t>
  </si>
  <si>
    <t>0,00003604 BTC 2.5%</t>
  </si>
  <si>
    <t>$1,97 Intervalo de 24h $2,23</t>
  </si>
  <si>
    <t xml:space="preserve">Adicionar à carteira • 87.236 adicionado </t>
  </si>
  <si>
    <t>38.8%</t>
  </si>
  <si>
    <t>202.8%</t>
  </si>
  <si>
    <t xml:space="preserve">$3.054.097.438 </t>
  </si>
  <si>
    <t>14.66</t>
  </si>
  <si>
    <t xml:space="preserve">$3.815.754.211 </t>
  </si>
  <si>
    <t>18.31</t>
  </si>
  <si>
    <t>$105.598.794</t>
  </si>
  <si>
    <t>$1,97 – $2,23</t>
  </si>
  <si>
    <t>$1,96 – $2,74</t>
  </si>
  <si>
    <t>$3,86 45.7%</t>
  </si>
  <si>
    <t>abr 01, 2024 (aproximadamente 1 mês)</t>
  </si>
  <si>
    <t>$0,04560 4503.2%</t>
  </si>
  <si>
    <t>Tokens STX podem ser negociados emcorretoras centralizadas de cripto. A corretora mais popular para comprar e negociar Stacks é Binance, onde o par mais ativo STX/USDT tem um volume de negócios de $30.705.440,22 nas últimas 24 horas. Outras opções populares são DigiFinex e BingX.</t>
  </si>
  <si>
    <t>O volume de negócios de Stacks (STX) é $105.532.222,65 nas últimas 24 horas, representando uma- 38,70% queda de um dia atrás e sinalizando uma recente queda em atividade de mercado.</t>
  </si>
  <si>
    <t>O preço mais alto pago por Stacks (STX) é BTC0,00006061, registrado em abr 01, 2024 (aproximadamente 1 mês). Comparativamente, o preço atual é - 45,70% mais baixo que o pico histórico.</t>
  </si>
  <si>
    <r>
      <t>O preço mais baixo pago por Stacks (STX) é BTC0.0</t>
    </r>
    <r>
      <rPr>
        <sz val="8.25"/>
        <color theme="1"/>
        <rFont val="Segoe UI"/>
        <family val="2"/>
      </rPr>
      <t>5</t>
    </r>
    <r>
      <rPr>
        <sz val="10"/>
        <color theme="1"/>
        <rFont val="Segoe UI"/>
        <family val="2"/>
      </rPr>
      <t>9554, registrado em mar 13, 2020 (aproximadamente 4 anos). Comparativamente, o preço atual é 4.503,20% mais alto que a baixa histórica.</t>
    </r>
  </si>
  <si>
    <t>A capitalização de mercado de Stacks (STX) é BTC52.472,2168 classificada em 35 na CoinGecko hoje. A capitalização de mercado é medida multiplicando-se o preço do token pelo suprimento circulante de tokensSTX, (1,5 mil milhões tokens estão disponíveis para negócio no mercado hoje).</t>
  </si>
  <si>
    <t>A apreciação diluída total de (FDV) Stacks (STX) é BTC65.558,1841. Esta é uma representação estatística da capitalização de mercado máxima, contando que o número máximo de tokens 1,8 mil milhões STX estejam em circulação hoje. Dependendo do calendário de emissões de tokens STX, pode levar vários anos antes que a FDV seja conhecida.</t>
  </si>
  <si>
    <t>Com um preço declínio de - 21,90% nos últimos 7 dias, Stacks (STX) é desempenho abaixo do normal o mercado global de criptomoedas que é para baixo - 8,20%, enquanto que desempenho abaixo do normal comparado a semelhantes Plataforma de Contratos Inteligentes criptomoedas que são para baixo - 6,50%.</t>
  </si>
  <si>
    <t>$2,11</t>
  </si>
  <si>
    <t>$ 706.390</t>
  </si>
  <si>
    <t>$ 917.382</t>
  </si>
  <si>
    <t>$12.270.314</t>
  </si>
  <si>
    <t>11.62%</t>
  </si>
  <si>
    <t>$ 307.265</t>
  </si>
  <si>
    <t>$ 390.166</t>
  </si>
  <si>
    <t>$30.636.426</t>
  </si>
  <si>
    <t>29.01%</t>
  </si>
  <si>
    <t>$ 655.663</t>
  </si>
  <si>
    <t>$ 259.854</t>
  </si>
  <si>
    <t>$1.009.863</t>
  </si>
  <si>
    <t>$ 320.685</t>
  </si>
  <si>
    <t>$ 557.330</t>
  </si>
  <si>
    <t>$1.024.355</t>
  </si>
  <si>
    <t>$ 255.384</t>
  </si>
  <si>
    <t>$ 286.411</t>
  </si>
  <si>
    <t>$5.032.758</t>
  </si>
  <si>
    <t>4.77%</t>
  </si>
  <si>
    <t>STX/BTC</t>
  </si>
  <si>
    <t>$ 113.597</t>
  </si>
  <si>
    <t>$ 171.177</t>
  </si>
  <si>
    <t>$1.988.922</t>
  </si>
  <si>
    <t>$ 69.506</t>
  </si>
  <si>
    <t>$ 84.790</t>
  </si>
  <si>
    <t>$743.871</t>
  </si>
  <si>
    <t>$ 279.786</t>
  </si>
  <si>
    <t>$ 304.081</t>
  </si>
  <si>
    <t>$11.789.826</t>
  </si>
  <si>
    <t>11.17%</t>
  </si>
  <si>
    <t>$ 360.858</t>
  </si>
  <si>
    <t>$ 349.219</t>
  </si>
  <si>
    <t>$255.843</t>
  </si>
  <si>
    <t>$ 121.241</t>
  </si>
  <si>
    <t>$ 164.320</t>
  </si>
  <si>
    <t>$10.841.032</t>
  </si>
  <si>
    <t>10.27%</t>
  </si>
  <si>
    <t>Há 9 dias</t>
  </si>
  <si>
    <t xml:space="preserve">$2,11 </t>
  </si>
  <si>
    <t>$3,01</t>
  </si>
  <si>
    <t>$3,30</t>
  </si>
  <si>
    <t>5.5%</t>
  </si>
  <si>
    <t>$57.476,40</t>
  </si>
  <si>
    <t>Bitcoin Cash</t>
  </si>
  <si>
    <t>$416,28</t>
  </si>
  <si>
    <t>$130,21</t>
  </si>
  <si>
    <t>$0,3892</t>
  </si>
  <si>
    <t>$0.056800</t>
  </si>
  <si>
    <t>$0,01615</t>
  </si>
  <si>
    <t>$0,6555</t>
  </si>
  <si>
    <t>O preço de Stacks (STX) subiu hoje.</t>
  </si>
  <si>
    <t>O preço de Stacks (STX) é BTC0,00003604 hoje, com um volume de negócios 24h de $105.598.793,78. Isto representa um preço de 4,00% nas últimas 24 horas e um preço de subida nas últimas 24 horas e um preço de - 22,10% declínio nos últimos 7 dias. Com um suprimento circulante de 1,5 mil milhões STX, Stacks está avaliada a uma capitalização de mercado de BTC52.472,2168.</t>
  </si>
  <si>
    <t>Dogecoin $0,1316</t>
  </si>
  <si>
    <t>$0,1316</t>
  </si>
  <si>
    <t>O preço de Dogecoin (DOGE) é calculado em tempo real agregando-se os últimos dados de todas as 168 corretoras e 407 mercados, utilizando uma fórmula de peso de volume global. Saiba mais sobre como os preços de cripto são calculados na CoinGecko.</t>
  </si>
  <si>
    <r>
      <t>0.0</t>
    </r>
    <r>
      <rPr>
        <sz val="8.25"/>
        <color theme="1"/>
        <rFont val="Segoe UI"/>
        <family val="2"/>
      </rPr>
      <t>5</t>
    </r>
    <r>
      <rPr>
        <sz val="10"/>
        <color theme="1"/>
        <rFont val="Segoe UI"/>
        <family val="2"/>
      </rPr>
      <t>2256 BTC 4.4%</t>
    </r>
  </si>
  <si>
    <t>$0,1207 Intervalo de 24h $0,1328</t>
  </si>
  <si>
    <t xml:space="preserve">Adicionar à carteira • 585.484 adicionado </t>
  </si>
  <si>
    <t>11.1%</t>
  </si>
  <si>
    <t>28.4%</t>
  </si>
  <si>
    <t>68.1%</t>
  </si>
  <si>
    <t xml:space="preserve">$18.855.082.087 </t>
  </si>
  <si>
    <t>$18.855.725.769</t>
  </si>
  <si>
    <t>$1.892.061.102</t>
  </si>
  <si>
    <t>$0,1207 – $0,1328</t>
  </si>
  <si>
    <t>$0,1207 – $0,1532</t>
  </si>
  <si>
    <t>$0,7316 82.1%</t>
  </si>
  <si>
    <t>$0,00008690 150379.9%</t>
  </si>
  <si>
    <t>Tokens DOGE podem ser negociados emcorretoras centralizadas de cripto. A corretora mais popular para comprar e negociar Dogecoin é PointPay, onde o par mais ativo DOGE/USDC tem um volume de negócios de $2.341.890,22 nas últimas 24 horas. Outras opções populares são Binance e DigiFinex.</t>
  </si>
  <si>
    <t>O volume de negócios de Dogecoin (DOGE) é $1.892.061.101,79 nas últimas 24 horas, representando uma 5,60% subida de um dia atrás e sinalizando uma recente subida em atividade de mercado.</t>
  </si>
  <si>
    <t>O preço mais alto pago por Dogecoin (DOGE) é BTC0,00001264, registrado em mai 08, 2021 (quase 3 anos). Comparativamente, o preço atual é - 82,10% mais baixo que o pico histórico.</t>
  </si>
  <si>
    <r>
      <t>O preço mais baixo pago por Dogecoin (DOGE) é BTC0.0</t>
    </r>
    <r>
      <rPr>
        <sz val="8.25"/>
        <color theme="1"/>
        <rFont val="Segoe UI"/>
        <family val="2"/>
      </rPr>
      <t>6</t>
    </r>
    <r>
      <rPr>
        <sz val="10"/>
        <color theme="1"/>
        <rFont val="Segoe UI"/>
        <family val="2"/>
      </rPr>
      <t>1509, registrado em mai 06, 2015 (quase 9 anos). Comparativamente, o preço atual é 150.379,90% mais alto que a baixa histórica.</t>
    </r>
  </si>
  <si>
    <t>A capitalização de mercado de Dogecoin (DOGE) é BTC323.924,8302 classificada em 9 na CoinGecko hoje. A capitalização de mercado é medida multiplicando-se o preço do token pelo suprimento circulante de tokensDOGE, (140 mil milhões tokens estão disponíveis para negócio no mercado hoje).</t>
  </si>
  <si>
    <t>A apreciação diluída total (FDV) de Dogecoin (DOGE) é BTC323.935,8885. Esta é uma representação estatística da capitalização máxima de mercado, contando que o número total de tokens 140 mil milhões ETH esteja em circulação hoje.</t>
  </si>
  <si>
    <t>Com um preço declínio de - 11,10% nos últimos 7 dias, Dogecoin (DOGE) é desempenho abaixo do normal o mercado global de criptomoedas que é para baixo - 8,20%, enquanto que desempenho abaixo do normal comparado a semelhantes Proof of Work (PoW) criptomoedas que são para cima 0,00%.</t>
  </si>
  <si>
    <t>DOGE/USDC</t>
  </si>
  <si>
    <t>$0,131535953956734340000000000000000</t>
  </si>
  <si>
    <t>$ 2.946.631</t>
  </si>
  <si>
    <t>$ 2.505.054</t>
  </si>
  <si>
    <t>$2.341.890</t>
  </si>
  <si>
    <t>$0,1318769125484222600000000000000000000000</t>
  </si>
  <si>
    <t>$ 1.746.279</t>
  </si>
  <si>
    <t>$ 1.863.385</t>
  </si>
  <si>
    <t>$326.162.920</t>
  </si>
  <si>
    <t>17.24%</t>
  </si>
  <si>
    <t>$0,13180692480105010000000000000000000000000</t>
  </si>
  <si>
    <t>$ 2.077.313</t>
  </si>
  <si>
    <t>$ 2.312.733</t>
  </si>
  <si>
    <t>$49.819.628</t>
  </si>
  <si>
    <t>2.63%</t>
  </si>
  <si>
    <t>$0,1318272600222819600000000000000000000000000000000000</t>
  </si>
  <si>
    <t>$ 1.181.859</t>
  </si>
  <si>
    <t>$ 1.952.627</t>
  </si>
  <si>
    <t>$24.188.555</t>
  </si>
  <si>
    <t>$0,131909906772183420000000000000000000000000</t>
  </si>
  <si>
    <t>$ 3.622.436</t>
  </si>
  <si>
    <t>$ 4.308.302</t>
  </si>
  <si>
    <t>$47.819.099</t>
  </si>
  <si>
    <t>$0,13144912412143006000000000000000000000000000</t>
  </si>
  <si>
    <t>$ 7.891.232</t>
  </si>
  <si>
    <t>$ 4.398.880</t>
  </si>
  <si>
    <t>$151.984.180</t>
  </si>
  <si>
    <t>8.04%</t>
  </si>
  <si>
    <t>$0,1319169055469206500000000000000000000000</t>
  </si>
  <si>
    <t>$ 2.175.210</t>
  </si>
  <si>
    <t>$ 1.162.403</t>
  </si>
  <si>
    <t>$8.584.356</t>
  </si>
  <si>
    <t>$0,1319600000000000000000000000000000000000000000000</t>
  </si>
  <si>
    <t>$ 1.653.946</t>
  </si>
  <si>
    <t>$ 1.840.128</t>
  </si>
  <si>
    <t>$4.761.406</t>
  </si>
  <si>
    <t>0.25%</t>
  </si>
  <si>
    <t>$0,1320998371964151600000000000000000000000</t>
  </si>
  <si>
    <t>$ 1.298.281</t>
  </si>
  <si>
    <t>$ 1.070.240</t>
  </si>
  <si>
    <t>$103.213.028</t>
  </si>
  <si>
    <t>5.46%</t>
  </si>
  <si>
    <t>$0,13197289574481838000000000000000000000000</t>
  </si>
  <si>
    <t>$ 1.566.753</t>
  </si>
  <si>
    <t>$ 1.452.629</t>
  </si>
  <si>
    <t>$125.525.056</t>
  </si>
  <si>
    <t>6.63%</t>
  </si>
  <si>
    <t>Mostrando 1 para 10 dos resultados 407</t>
  </si>
  <si>
    <t xml:space="preserve">$0,1316 </t>
  </si>
  <si>
    <t>$0.061791</t>
  </si>
  <si>
    <t>$0,01115</t>
  </si>
  <si>
    <t>$0,2575</t>
  </si>
  <si>
    <t>$0,00001529</t>
  </si>
  <si>
    <t>$0.0101192</t>
  </si>
  <si>
    <t>$130,78</t>
  </si>
  <si>
    <t>$2.935,29</t>
  </si>
  <si>
    <t>$0,3893</t>
  </si>
  <si>
    <t>$0.056914</t>
  </si>
  <si>
    <t>$57.563,55</t>
  </si>
  <si>
    <t>$0,01614</t>
  </si>
  <si>
    <t>$0,9326</t>
  </si>
  <si>
    <t>Ondo</t>
  </si>
  <si>
    <t>$0,7436</t>
  </si>
  <si>
    <t>O preço de Dogecoin (DOGE) subiu hoje.</t>
  </si>
  <si>
    <r>
      <t>O preço de Dogecoin (DOGE) é BTC0.0</t>
    </r>
    <r>
      <rPr>
        <sz val="8.25"/>
        <color theme="1"/>
        <rFont val="Segoe UI"/>
        <family val="2"/>
      </rPr>
      <t>5</t>
    </r>
    <r>
      <rPr>
        <sz val="10"/>
        <color theme="1"/>
        <rFont val="Segoe UI"/>
        <family val="2"/>
      </rPr>
      <t>2256 hoje, com um volume de negócios 24h de $1.892.061.101,79. Isto representa um preço de 5,90% nas últimas 24 horas e um preço de subida nas últimas 24 horas e um preço de - 11,10% declínio nos últimos 7 dias. Com um suprimento circulante de 140 mil milhões DOGE, Dogecoin está avaliada a uma capitalização de mercado de BTC323.924,8302.</t>
    </r>
  </si>
  <si>
    <t>dogwifhat $2,75</t>
  </si>
  <si>
    <t>17.2%</t>
  </si>
  <si>
    <t>#44</t>
  </si>
  <si>
    <t>O preço de dogwifhat (WIF) é calculado em tempo real agregando-se os últimos dados de todas as 63 corretoras e 166 mercados, utilizando uma fórmula de peso de volume global. Saiba mais sobre como os preços de cripto são calculados na CoinGecko.</t>
  </si>
  <si>
    <t>0,00004716 BTC 15.6%</t>
  </si>
  <si>
    <t>$2,35 Intervalo de 24h $2,74</t>
  </si>
  <si>
    <t xml:space="preserve">Adicionar à carteira • 63.102 adicionado </t>
  </si>
  <si>
    <t>11.6%</t>
  </si>
  <si>
    <t>26.7%</t>
  </si>
  <si>
    <t xml:space="preserve">$2.749.106.169 </t>
  </si>
  <si>
    <t>$2.749.106.169</t>
  </si>
  <si>
    <t>$623.494.918</t>
  </si>
  <si>
    <t>$2,35 – $2,74</t>
  </si>
  <si>
    <t>$2,31 – $3,25</t>
  </si>
  <si>
    <t>$4,83 43.2%</t>
  </si>
  <si>
    <t>$0,001555 176181.4%</t>
  </si>
  <si>
    <t>Tokens WIF podem ser negociados emcorretoras centralizadas de cripto. A corretora mais popular para comprar e negociar dogwifhat é Binance, onde o par mais ativo WIF/USDT tem um volume de negócios de $212.436.632,39 nas últimas 24 horas. Outras opções populares são BingX e TokoCrypto.</t>
  </si>
  <si>
    <t>O volume de negócios de dogwifhat (WIF) é $623.494.918,35 nas últimas 24 horas, representando uma 14,40% subida de um dia atrás e sinalizando uma recente subida em atividade de mercado.</t>
  </si>
  <si>
    <t>O preço mais alto pago por dogwifhat (WIF) é BTC0,00006864, registrado em mar 31, 2024 (aproximadamente 1 mês). Comparativamente, o preço atual é - 43,20% mais baixo que o pico histórico.</t>
  </si>
  <si>
    <r>
      <t>O preço mais baixo pago por dogwifhat (WIF) é BTC0.0</t>
    </r>
    <r>
      <rPr>
        <sz val="8.25"/>
        <color theme="1"/>
        <rFont val="Segoe UI"/>
        <family val="2"/>
      </rPr>
      <t>7</t>
    </r>
    <r>
      <rPr>
        <sz val="10"/>
        <color theme="1"/>
        <rFont val="Segoe UI"/>
        <family val="2"/>
      </rPr>
      <t>3781, registrado em dez 13, 2023 (5 meses). Comparativamente, o preço atual é 176.181,40% mais alto que a baixa histórica.</t>
    </r>
  </si>
  <si>
    <t>A capitalização de mercado de dogwifhat (WIF) é BTC47.102,4566 classificada em 44 na CoinGecko hoje. A capitalização de mercado é medida multiplicando-se o preço do token pelo suprimento circulante de tokensWIF, (1 mil milhões tokens estão disponíveis para negócio no mercado hoje).</t>
  </si>
  <si>
    <t>A apreciação diluída total de (FDV) dogwifhat (WIF) é BTC47.102,4566. Esta é uma representação estatística da capitalização de mercado máxima, contando que o número máximo de tokens 1 mil milhões WIF estejam em circulação hoje. Dependendo do calendário de emissões de tokens WIF, pode levar vários anos antes que a FDV seja conhecida.</t>
  </si>
  <si>
    <t>Com um preço declínio de - 4,10% nos últimos 7 dias, dogwifhat (WIF) é desempenho acima do normal o mercado global de criptomoedas que é para baixo - 8,20%, enquanto que desempenho acima do normal comparado a semelhantes Meme criptomoedas que são para baixo - 11,40%.</t>
  </si>
  <si>
    <t>$ 1.643.590</t>
  </si>
  <si>
    <t>$ 1.677.164</t>
  </si>
  <si>
    <t>$212.436.632</t>
  </si>
  <si>
    <t>34.18%</t>
  </si>
  <si>
    <t>$ 2.243.741</t>
  </si>
  <si>
    <t>$ 1.145.250</t>
  </si>
  <si>
    <t>$281.568</t>
  </si>
  <si>
    <t>$ 2.160.985</t>
  </si>
  <si>
    <t>$ 896.557</t>
  </si>
  <si>
    <t>$6.069.147</t>
  </si>
  <si>
    <t>$ 752.857</t>
  </si>
  <si>
    <t>$ 842.065</t>
  </si>
  <si>
    <t>$35.730.789</t>
  </si>
  <si>
    <t>5.73%</t>
  </si>
  <si>
    <t>$ 11.097.056</t>
  </si>
  <si>
    <t>$ 4.323.518</t>
  </si>
  <si>
    <t>$28.802.985</t>
  </si>
  <si>
    <t>4.62%</t>
  </si>
  <si>
    <t>$ 2.833.328</t>
  </si>
  <si>
    <t>$ 2.297.596</t>
  </si>
  <si>
    <t>$9.046.852</t>
  </si>
  <si>
    <t>1.45%</t>
  </si>
  <si>
    <t>$ 1.902.160</t>
  </si>
  <si>
    <t>$ 1.166.071</t>
  </si>
  <si>
    <t>$6.911.857</t>
  </si>
  <si>
    <t>1.11%</t>
  </si>
  <si>
    <t>Bit2Me</t>
  </si>
  <si>
    <t>$ 479.247</t>
  </si>
  <si>
    <t>$ 449.512</t>
  </si>
  <si>
    <t>$35.505.302</t>
  </si>
  <si>
    <t>5.71%</t>
  </si>
  <si>
    <t>$ 193.366</t>
  </si>
  <si>
    <t>$ 270.507</t>
  </si>
  <si>
    <t>$5.694.946</t>
  </si>
  <si>
    <t>0.91%</t>
  </si>
  <si>
    <t>$ 85.155</t>
  </si>
  <si>
    <t>$ 223.714</t>
  </si>
  <si>
    <t>$9.640.960</t>
  </si>
  <si>
    <t>Mostrando 1 para 10 dos resultados 166</t>
  </si>
  <si>
    <t xml:space="preserve">1 2 ... 17 </t>
  </si>
  <si>
    <t xml:space="preserve">$2,75 </t>
  </si>
  <si>
    <t>$0,00002210</t>
  </si>
  <si>
    <t>$0,008894</t>
  </si>
  <si>
    <t>$0,4515</t>
  </si>
  <si>
    <t>$0,003675</t>
  </si>
  <si>
    <t>$0,3920</t>
  </si>
  <si>
    <t>21.2%</t>
  </si>
  <si>
    <t>$129,91</t>
  </si>
  <si>
    <t>$0,01190</t>
  </si>
  <si>
    <t>$2.928,06</t>
  </si>
  <si>
    <t>$57.418,22</t>
  </si>
  <si>
    <t>$0.056806</t>
  </si>
  <si>
    <t>$0,6461</t>
  </si>
  <si>
    <t>$0,01613</t>
  </si>
  <si>
    <t>$0,7474</t>
  </si>
  <si>
    <t>$0,7768</t>
  </si>
  <si>
    <t>O preço de dogwifhat (WIF) subiu hoje.</t>
  </si>
  <si>
    <t>O preço de dogwifhat (WIF) é BTC0,00004716 hoje, com um volume de negócios 24h de $623.494.918,35. Isto representa um preço de 17,20% nas últimas 24 horas e um preço de subida nas últimas 24 horas e um preço de - 4,10% declínio nos últimos 7 dias. Com um suprimento circulante de 1 mil milhões WIF, dogwifhat está avaliada a uma capitalização de mercado de BTC47.102,4566.</t>
  </si>
  <si>
    <t>Shiba Inu $0,00002290</t>
  </si>
  <si>
    <t>$0,00002290</t>
  </si>
  <si>
    <t>O preço de Shiba Inu (SHIB) é calculado em tempo real agregando-se os últimos dados de todas as 128 corretoras e 240 mercados, utilizando uma fórmula de peso de volume global. Saiba mais sobre como os preços de cripto são calculados na CoinGecko.</t>
  </si>
  <si>
    <r>
      <t>0.0</t>
    </r>
    <r>
      <rPr>
        <sz val="8.25"/>
        <color theme="1"/>
        <rFont val="Segoe UI"/>
        <family val="2"/>
      </rPr>
      <t>9</t>
    </r>
    <r>
      <rPr>
        <sz val="10"/>
        <color theme="1"/>
        <rFont val="Segoe UI"/>
        <family val="2"/>
      </rPr>
      <t>3926 BTC 7.4%</t>
    </r>
  </si>
  <si>
    <r>
      <t>0.0</t>
    </r>
    <r>
      <rPr>
        <sz val="8.25"/>
        <color theme="1"/>
        <rFont val="Segoe UI"/>
        <family val="2"/>
      </rPr>
      <t>8</t>
    </r>
    <r>
      <rPr>
        <sz val="10"/>
        <color theme="1"/>
        <rFont val="Segoe UI"/>
        <family val="2"/>
      </rPr>
      <t>7647 ETH 4.9%</t>
    </r>
  </si>
  <si>
    <t>$0,00002076 Intervalo de 24h $0,00002324</t>
  </si>
  <si>
    <t xml:space="preserve">Adicionar à carteira • 677.373 adicionado </t>
  </si>
  <si>
    <t>13.0%</t>
  </si>
  <si>
    <t>131.1%</t>
  </si>
  <si>
    <t xml:space="preserve">$13.254.084.029 </t>
  </si>
  <si>
    <t>$22.492.237.569</t>
  </si>
  <si>
    <t>$871.643.299</t>
  </si>
  <si>
    <t>$0,00002076 – $0,00002324</t>
  </si>
  <si>
    <t>$0,00002078 – $0,00002627</t>
  </si>
  <si>
    <t>$0,00008616 73.8%</t>
  </si>
  <si>
    <r>
      <t>$0.0</t>
    </r>
    <r>
      <rPr>
        <sz val="8.25"/>
        <color theme="1"/>
        <rFont val="Segoe UI"/>
        <family val="2"/>
      </rPr>
      <t>10</t>
    </r>
    <r>
      <rPr>
        <sz val="11"/>
        <color theme="1"/>
        <rFont val="Segoe UI"/>
        <family val="2"/>
      </rPr>
      <t>5637 40027577.5%</t>
    </r>
  </si>
  <si>
    <t>Tokens SHIB podem ser negociados emcorretoras centralizadas de cripto. A corretora mais popular para comprar e negociar Shiba Inu é Gate.io, onde o par mais ativo SHIB/USDT tem um volume de negócios de $24.892.619,50 nas últimas 24 horas. Outras opções populares são Bitget e BitVenus.</t>
  </si>
  <si>
    <t>O volume de negócios de Shiba Inu (SHIB) é $871.099.946,33 nas últimas 24 horas, representando uma 21,00% subida de um dia atrás e sinalizando uma recente subida em atividade de mercado.</t>
  </si>
  <si>
    <r>
      <t>O preço mais alto pago por Shiba Inu (SHIB) é BTC0.0</t>
    </r>
    <r>
      <rPr>
        <sz val="8.25"/>
        <color theme="1"/>
        <rFont val="Segoe UI"/>
        <family val="2"/>
      </rPr>
      <t>8</t>
    </r>
    <r>
      <rPr>
        <sz val="10"/>
        <color theme="1"/>
        <rFont val="Segoe UI"/>
        <family val="2"/>
      </rPr>
      <t>1464, registrado em out 28, 2021 (mais de 2 anos). Comparativamente, o preço atual é - 73,80% mais baixo que o pico histórico.</t>
    </r>
  </si>
  <si>
    <r>
      <t>O preço mais baixo pago por Shiba Inu (SHIB) é BTC0.0</t>
    </r>
    <r>
      <rPr>
        <sz val="8.25"/>
        <color theme="1"/>
        <rFont val="Segoe UI"/>
        <family val="2"/>
      </rPr>
      <t>14</t>
    </r>
    <r>
      <rPr>
        <sz val="10"/>
        <color theme="1"/>
        <rFont val="Segoe UI"/>
        <family val="2"/>
      </rPr>
      <t>2426, registrado em nov 28, 2020 (mais de 3 anos). Comparativamente, o preço atual é 40.027.577,50% mais alto que a baixa histórica.</t>
    </r>
  </si>
  <si>
    <t>A capitalização de mercado de Shiba Inu (SHIB) é BTC227.701,3115 classificada em 12 na CoinGecko hoje. A capitalização de mercado é medida multiplicando-se o preço do token pelo suprimento circulante de tokensSHIB, (590 biliões tokens estão disponíveis para negócio no mercado hoje).</t>
  </si>
  <si>
    <t>A apreciação diluída total de (FDV) Shiba Inu (SHIB) é BTC386.410,1043. Esta é uma representação estatística da capitalização de mercado máxima, contando que o número máximo de tokens 1 mil biliões SHIB estejam em circulação hoje. Dependendo do calendário de emissões de tokens SHIB, pode levar vários anos antes que a FDV seja conhecida.</t>
  </si>
  <si>
    <t>Com um preço declínio de - 7,00% nos últimos 7 dias, Shiba Inu (SHIB) é desempenho acima do normal o mercado global de criptomoedas que é para baixo - 8,20%, enquanto que desempenho abaixo do normal comparado a semelhantes Ecossistema Ethereum criptomoedas que são para cima 12,70%.</t>
  </si>
  <si>
    <t>$0,0000229466175222006480000000000000000000000000</t>
  </si>
  <si>
    <t>$ 2.188.611</t>
  </si>
  <si>
    <t>$ 2.394.465</t>
  </si>
  <si>
    <t>$24.892.619</t>
  </si>
  <si>
    <t>$0,0000229922747842098780000000000000000000000000</t>
  </si>
  <si>
    <t>$ 931.504</t>
  </si>
  <si>
    <t>$ 713.560</t>
  </si>
  <si>
    <t>$31.669.197</t>
  </si>
  <si>
    <t>3.64%</t>
  </si>
  <si>
    <t>$0,000022881948673244402000000000000000000000000</t>
  </si>
  <si>
    <t>$ 2.351.863</t>
  </si>
  <si>
    <t>$ 2.161.440</t>
  </si>
  <si>
    <t>$2.650.078</t>
  </si>
  <si>
    <t>$0,000022841945266472996000000000000000000000000</t>
  </si>
  <si>
    <t>$ 2.147.043</t>
  </si>
  <si>
    <t>$ 1.867.669</t>
  </si>
  <si>
    <t>$1.343.685</t>
  </si>
  <si>
    <t>0.15%</t>
  </si>
  <si>
    <t>$0,0000224385473967173550000000000000000000000</t>
  </si>
  <si>
    <t>$ 488.202</t>
  </si>
  <si>
    <t>$ 690.355</t>
  </si>
  <si>
    <t>$182.690.041</t>
  </si>
  <si>
    <t>21.03%</t>
  </si>
  <si>
    <t>$0,000022556876618853488000000000000000000000000</t>
  </si>
  <si>
    <t>$ 2.641.416</t>
  </si>
  <si>
    <t>$ 2.816.067</t>
  </si>
  <si>
    <t>$877.633</t>
  </si>
  <si>
    <t>$0,000022799506467256202000000000000000000000000</t>
  </si>
  <si>
    <t>$ 493.834</t>
  </si>
  <si>
    <t>$ 402.708</t>
  </si>
  <si>
    <t>$14.271.448</t>
  </si>
  <si>
    <t>$0,00002292741902860259000000000000000000000000000000000</t>
  </si>
  <si>
    <t>$ 1.385.145</t>
  </si>
  <si>
    <t>$ 1.527.666</t>
  </si>
  <si>
    <t>$70.132.273</t>
  </si>
  <si>
    <t>8.05%</t>
  </si>
  <si>
    <t>$0,000022946982713410457000000000000000000000000</t>
  </si>
  <si>
    <t>$ 1.026.460</t>
  </si>
  <si>
    <t>$ 796.231</t>
  </si>
  <si>
    <t>$24.996.309</t>
  </si>
  <si>
    <t>2.87%</t>
  </si>
  <si>
    <t>$0,000022664538987621050000000000000000000000000</t>
  </si>
  <si>
    <t>$ 722.158</t>
  </si>
  <si>
    <t>$ 843.252</t>
  </si>
  <si>
    <t>$3.024.594</t>
  </si>
  <si>
    <t>Mostrando 1 para 10 dos resultados 240</t>
  </si>
  <si>
    <t xml:space="preserve">1 2 ... 24 </t>
  </si>
  <si>
    <t>Altseason começará em maio? 3 criptomoedas a serem observadas</t>
  </si>
  <si>
    <t>Há aproximadamente 17 horas</t>
  </si>
  <si>
    <t xml:space="preserve">Rally das memecoins pode trazer de volta BONK e Shiba Inu: Investidores esperam capitalizar com a pré-venda do token $RECQ </t>
  </si>
  <si>
    <t xml:space="preserve">$0,00002244 </t>
  </si>
  <si>
    <t>$0,5969</t>
  </si>
  <si>
    <t>$379,77</t>
  </si>
  <si>
    <t>$0.071448</t>
  </si>
  <si>
    <t>$380,73</t>
  </si>
  <si>
    <t>$0,0002420</t>
  </si>
  <si>
    <t>$130,17</t>
  </si>
  <si>
    <t>$57.471,85</t>
  </si>
  <si>
    <t>$0.056799</t>
  </si>
  <si>
    <t>$0,6549</t>
  </si>
  <si>
    <t>7.5%</t>
  </si>
  <si>
    <t>$2.924,65</t>
  </si>
  <si>
    <t>$374,77</t>
  </si>
  <si>
    <t>O preço de Shiba Inu (SHIB) subiu hoje.</t>
  </si>
  <si>
    <r>
      <t>O preço de Shiba Inu (SHIB) é BTC0.0</t>
    </r>
    <r>
      <rPr>
        <sz val="8.25"/>
        <color theme="1"/>
        <rFont val="Segoe UI"/>
        <family val="2"/>
      </rPr>
      <t>9</t>
    </r>
    <r>
      <rPr>
        <sz val="10"/>
        <color theme="1"/>
        <rFont val="Segoe UI"/>
        <family val="2"/>
      </rPr>
      <t>3926 hoje, com um volume de negócios 24h de $871.643.299,10. Isto representa um preço de 8,90% nas últimas 24 horas e um preço de subida nas últimas 24 horas e um preço de - 6,80% declínio nos últimos 7 dias. Com um suprimento circulante de 590 biliões SHIB, Shiba Inu está avaliada a uma capitalização de mercado de BTC227.701,3115.</t>
    </r>
  </si>
  <si>
    <t xml:space="preserve">Veja a cota磯 do dia: D󬡲, Euro, outras moedas, BM&amp;F Bovespa, outras bolsas de valores, a絥s e _xDBA4_ices econ_xDC76__xDE63_os. Veja tamb魠o conversor de moedas. </t>
  </si>
  <si>
    <r>
      <t xml:space="preserve">Confira quanto estᠡ cota磯 hoje do _xDBA4_ice d󬡲 futuros (DX), como tamb魠grᦩco, dados hist󲩣os, contratos, not_xD8E9_as, anᬩse t飮ica e mais. </t>
    </r>
    <r>
      <rPr>
        <sz val="11"/>
        <color rgb="FF1967D2"/>
        <rFont val="Arial"/>
        <family val="2"/>
      </rPr>
      <t>Grᦩco</t>
    </r>
    <r>
      <rPr>
        <sz val="11"/>
        <color theme="1"/>
        <rFont val="Arial"/>
        <family val="2"/>
      </rPr>
      <t xml:space="preserve"> </t>
    </r>
    <r>
      <rPr>
        <sz val="11"/>
        <color rgb="FF1967D2"/>
        <rFont val="Arial"/>
        <family val="2"/>
      </rPr>
      <t>Dados Hist󲩣os</t>
    </r>
    <r>
      <rPr>
        <sz val="11"/>
        <color theme="1"/>
        <rFont val="Arial"/>
        <family val="2"/>
      </rPr>
      <t xml:space="preserve"> </t>
    </r>
    <r>
      <rPr>
        <sz val="11"/>
        <color rgb="FF1967D2"/>
        <rFont val="Arial"/>
        <family val="2"/>
      </rPr>
      <t>Resumo T飮ico</t>
    </r>
    <r>
      <rPr>
        <sz val="11"/>
        <color theme="1"/>
        <rFont val="Arial"/>
        <family val="2"/>
      </rPr>
      <t xml:space="preserve"> </t>
    </r>
    <r>
      <rPr>
        <sz val="11"/>
        <color rgb="FF1967D2"/>
        <rFont val="Arial"/>
        <family val="2"/>
      </rPr>
      <t>Grᦩco Interativo</t>
    </r>
    <r>
      <rPr>
        <sz val="11"/>
        <color theme="1"/>
        <rFont val="Arial"/>
        <family val="2"/>
      </rPr>
      <t xml:space="preserve"> </t>
    </r>
  </si>
  <si>
    <t xml:space="preserve">D󬡲 - G1 Economia - Globo g1.globo.com › economia › dolar </t>
  </si>
  <si>
    <r>
      <t xml:space="preserve">D󬡲 Comercial, R$ 5,193, +1,52%. Euro, R$ 5,541, +1,06% D󬡲 tem 1 queda ap󳠧arrancada', ainda com cautela sobre juros dos EUA e risco fiscal no... </t>
    </r>
    <r>
      <rPr>
        <sz val="11"/>
        <color rgb="FF1967D2"/>
        <rFont val="Arial"/>
        <family val="2"/>
      </rPr>
      <t>Ibovespa cai</t>
    </r>
    <r>
      <rPr>
        <sz val="11"/>
        <color theme="1"/>
        <rFont val="Arial"/>
        <family val="2"/>
      </rPr>
      <t xml:space="preserve"> </t>
    </r>
    <r>
      <rPr>
        <sz val="11"/>
        <color rgb="FF1967D2"/>
        <rFont val="Arial"/>
        <family val="2"/>
      </rPr>
      <t>D󬡲 e Ibovespa fecham em...</t>
    </r>
    <r>
      <rPr>
        <sz val="11"/>
        <color theme="1"/>
        <rFont val="Arial"/>
        <family val="2"/>
      </rPr>
      <t xml:space="preserve"> </t>
    </r>
    <r>
      <rPr>
        <sz val="11"/>
        <color rgb="FF1967D2"/>
        <rFont val="Arial"/>
        <family val="2"/>
      </rPr>
      <t>Ibovespa tem alta, com dados...</t>
    </r>
    <r>
      <rPr>
        <sz val="11"/>
        <color theme="1"/>
        <rFont val="Arial"/>
        <family val="2"/>
      </rPr>
      <t xml:space="preserve"> </t>
    </r>
  </si>
  <si>
    <t xml:space="preserve">dollar to real </t>
  </si>
  <si>
    <t>Colombo, ParanἯspan&gt; - Do seu endere篠IP - Saiba mais</t>
  </si>
  <si>
    <t>PEPE</t>
  </si>
  <si>
    <t>📊 Now LIVE: 2024 Q1 Crypto Industry Report</t>
  </si>
  <si>
    <t>Exchanges: 1,066</t>
  </si>
  <si>
    <t>Dominance:</t>
  </si>
  <si>
    <t>Data by Etherscan</t>
  </si>
  <si>
    <t>Language</t>
  </si>
  <si>
    <t>Currency</t>
  </si>
  <si>
    <t>Dark Mode</t>
  </si>
  <si>
    <t>My Account</t>
  </si>
  <si>
    <t xml:space="preserve">Login and Security Subscription </t>
  </si>
  <si>
    <t>For Developers</t>
  </si>
  <si>
    <t xml:space="preserve">Developer's Dashboard </t>
  </si>
  <si>
    <t xml:space="preserve">Sign Out </t>
  </si>
  <si>
    <t>Go Ad-free</t>
  </si>
  <si>
    <t>Login</t>
  </si>
  <si>
    <t>Sign Up</t>
  </si>
  <si>
    <t>Use App</t>
  </si>
  <si>
    <t>Get App</t>
  </si>
  <si>
    <t>Cryptocurrencies</t>
  </si>
  <si>
    <t xml:space="preserve">By Market Cap Categories Chains </t>
  </si>
  <si>
    <t xml:space="preserve">Highlights New Cryptocurrencies Gainers &amp; Losers </t>
  </si>
  <si>
    <t>Tools</t>
  </si>
  <si>
    <t xml:space="preserve">All Coins Compare Coins Converter Global Chart </t>
  </si>
  <si>
    <t>Exchanges</t>
  </si>
  <si>
    <t xml:space="preserve">Crypto Exchanges Decentralized Exchanges Derivatives </t>
  </si>
  <si>
    <t xml:space="preserve">NFT Floor Price NFT Related Coins NFT Watchlist </t>
  </si>
  <si>
    <t>Learn</t>
  </si>
  <si>
    <t xml:space="preserve">Learn Crypto Research Insights News Reports Videos Podcast Newsletter Glossary </t>
  </si>
  <si>
    <t>Products</t>
  </si>
  <si>
    <t xml:space="preserve">Crypto Portfolio CoinGecko App CoinGecko Premium </t>
  </si>
  <si>
    <t xml:space="preserve">Crypto API Crypto Widget </t>
  </si>
  <si>
    <t>On-Chain</t>
  </si>
  <si>
    <t>My Candies</t>
  </si>
  <si>
    <t>Portfolio</t>
  </si>
  <si>
    <t>My Portfolio</t>
  </si>
  <si>
    <t xml:space="preserve">My Coins My NFTs </t>
  </si>
  <si>
    <t xml:space="preserve">Login and Security Developer's Dashboard Subscription Sign Out </t>
  </si>
  <si>
    <t>Create an account</t>
  </si>
  <si>
    <t>Log in</t>
  </si>
  <si>
    <t>Search</t>
  </si>
  <si>
    <t>Clear</t>
  </si>
  <si>
    <t xml:space="preserve">Trending NFTs Categories </t>
  </si>
  <si>
    <t xml:space="preserve">Cryptocurrencies NFTs Exchanges Categories Chains Articles GeckoTerminal </t>
  </si>
  <si>
    <t>Move</t>
  </si>
  <si>
    <t>Select</t>
  </si>
  <si>
    <t>Close</t>
  </si>
  <si>
    <t>Share Feedback on Our New Search</t>
  </si>
  <si>
    <t>Portfolios</t>
  </si>
  <si>
    <t>Add to New Portfolio</t>
  </si>
  <si>
    <t xml:space="preserve">1. Cryptocurrencies </t>
  </si>
  <si>
    <t xml:space="preserve">Overview Info Markets News Similar Coins Historical Data </t>
  </si>
  <si>
    <t>Add</t>
  </si>
  <si>
    <t xml:space="preserve">24h 7d 1m 3m 1y Max | LOG </t>
  </si>
  <si>
    <t xml:space="preserve">Price Market Cap Live Chart </t>
  </si>
  <si>
    <t xml:space="preserve">Download as PNG Download as SVG Download as JPEG Download as PDF </t>
  </si>
  <si>
    <t>Compare with:</t>
  </si>
  <si>
    <t>Need more data? Explore our API</t>
  </si>
  <si>
    <t>1y</t>
  </si>
  <si>
    <t xml:space="preserve">Buy </t>
  </si>
  <si>
    <t xml:space="preserve">Market Cap </t>
  </si>
  <si>
    <t>Market Cap = Current Price x Circulating Supply</t>
  </si>
  <si>
    <t>Refers to the total market value of a cryptocurrency’s circulating supply. It is similar to the stock market’s measurement of multiplying price per share by shares readily available in the market (not held &amp; locked by insiders, governments)</t>
  </si>
  <si>
    <t>Read More</t>
  </si>
  <si>
    <t xml:space="preserve">Market Cap / FDV </t>
  </si>
  <si>
    <t>The proportion of current market capitalization compares to market capitalization when meeting max supply.</t>
  </si>
  <si>
    <t>The closer the Mkt Cap/FDV to 1, the closer the current market capitalization to its fully diluted valuation and vice versa.</t>
  </si>
  <si>
    <t>Learn more about Mkt Cap/FDV here.</t>
  </si>
  <si>
    <t xml:space="preserve">Fully Diluted Valuation </t>
  </si>
  <si>
    <t>Fully Diluted Valuation (FDV) = Current Price x Total Supply</t>
  </si>
  <si>
    <t>Fully Diluted Valuation (FDV) is the theoretical market capitalization of a coin if the entirety of its supply is in circulation, based on its current market price. The FDV value is theoretical as increasing the circulating supply of a coin may impact its market price. Also depending on the tokenomics, emission schedule or lock-up period of a coin's supply, it may take a significant time before its entire supply is released into circulation.</t>
  </si>
  <si>
    <t>Learn more about FDV here.</t>
  </si>
  <si>
    <t xml:space="preserve">24 Hour Trading Vol </t>
  </si>
  <si>
    <t>A measure of a cryptocurrency trading volume across all tracked platforms in the last 24 hours. This is tracked on a rolling 24-hour basis with no open/closing times.</t>
  </si>
  <si>
    <t xml:space="preserve">Circulating Supply </t>
  </si>
  <si>
    <t>The amount of coins that are circulating in the market and are tradeable by the public. It is comparable to looking at shares readily available in the market (not held &amp; locked by insiders, governments).</t>
  </si>
  <si>
    <t xml:space="preserve">Total Supply </t>
  </si>
  <si>
    <t>The amount of coins that have already been created, minus any coins that have been burned (removed from circulation). It is comparable to outstanding shares in the stock market.</t>
  </si>
  <si>
    <t>Total Supply = Onchain supply - burned tokens</t>
  </si>
  <si>
    <t xml:space="preserve">Max Supply </t>
  </si>
  <si>
    <t>The maximum number of coins coded to exist in the lifetime of the cryptocurrency. It is comparable to the maximum number of issuable shares in the stock market.</t>
  </si>
  <si>
    <t>Max Supply = Theoretical maximum as coded</t>
  </si>
  <si>
    <t>Buy / Sell</t>
  </si>
  <si>
    <t xml:space="preserve">Sponsored </t>
  </si>
  <si>
    <t>Earn Crypto</t>
  </si>
  <si>
    <t>Info</t>
  </si>
  <si>
    <t>Feedback on page redesign</t>
  </si>
  <si>
    <t>Contract</t>
  </si>
  <si>
    <t>Add to Metamask</t>
  </si>
  <si>
    <t>Explorers</t>
  </si>
  <si>
    <t>Community</t>
  </si>
  <si>
    <t>Search on</t>
  </si>
  <si>
    <t>API ID</t>
  </si>
  <si>
    <t>Chains</t>
  </si>
  <si>
    <t>Ethereum Ecosystem</t>
  </si>
  <si>
    <t>Categories</t>
  </si>
  <si>
    <t>24h Range</t>
  </si>
  <si>
    <t>7d Range</t>
  </si>
  <si>
    <t>All-Time High</t>
  </si>
  <si>
    <t>All-Time Low</t>
  </si>
  <si>
    <t xml:space="preserve">Show Historical Price Hide Historical Price </t>
  </si>
  <si>
    <t xml:space="preserve">About Tokenomics Security </t>
  </si>
  <si>
    <t xml:space="preserve">Read more </t>
  </si>
  <si>
    <t>Affiliate disclosures</t>
  </si>
  <si>
    <t xml:space="preserve">Spot Perpetuals Futures </t>
  </si>
  <si>
    <t>Exchange</t>
  </si>
  <si>
    <t>Pair</t>
  </si>
  <si>
    <t>Price</t>
  </si>
  <si>
    <t>+2% Depth</t>
  </si>
  <si>
    <t>-2% Depth</t>
  </si>
  <si>
    <t>24h Volume</t>
  </si>
  <si>
    <t>Last Updated</t>
  </si>
  <si>
    <t>Trust Score</t>
  </si>
  <si>
    <t>Recently</t>
  </si>
  <si>
    <t>PEPE/USD</t>
  </si>
  <si>
    <t>Rows</t>
  </si>
  <si>
    <t>CoinGape</t>
  </si>
  <si>
    <t>Read more</t>
  </si>
  <si>
    <t>Related Coins You May Like</t>
  </si>
  <si>
    <t>Trending Coins</t>
  </si>
  <si>
    <t>Buy</t>
  </si>
  <si>
    <t>Add to Portfolio</t>
  </si>
  <si>
    <t>CoinGecko provides a fundamental analysis of the crypto market. In addition to tracking price, volume and market capitalisation, CoinGecko tracks community growth, open-source code development, major events and on-chain metrics.</t>
  </si>
  <si>
    <t>Resources</t>
  </si>
  <si>
    <t>Crypto News</t>
  </si>
  <si>
    <t>Bitcoin Treasury</t>
  </si>
  <si>
    <t>Crypto Heatmap</t>
  </si>
  <si>
    <t>Crypto API</t>
  </si>
  <si>
    <t>Donations</t>
  </si>
  <si>
    <t>Donate Bitcoin</t>
  </si>
  <si>
    <t>Donate Ethereum</t>
  </si>
  <si>
    <t>Support</t>
  </si>
  <si>
    <t>Request Form</t>
  </si>
  <si>
    <t>Advertising</t>
  </si>
  <si>
    <t>Candy Rewards Listing</t>
  </si>
  <si>
    <t>Help Center</t>
  </si>
  <si>
    <t>Bug Bounty</t>
  </si>
  <si>
    <t>About CoinGecko</t>
  </si>
  <si>
    <t>About Us</t>
  </si>
  <si>
    <t>Careers</t>
  </si>
  <si>
    <t>Join Us</t>
  </si>
  <si>
    <t>Company Blog</t>
  </si>
  <si>
    <t>Branding Guide</t>
  </si>
  <si>
    <t>Methodology</t>
  </si>
  <si>
    <t>Disclaimer</t>
  </si>
  <si>
    <t>Terms of Service</t>
  </si>
  <si>
    <t>Privacy Policy</t>
  </si>
  <si>
    <t>Ad Policy</t>
  </si>
  <si>
    <t>Cookie Preferences</t>
  </si>
  <si>
    <t>Telegram Chat</t>
  </si>
  <si>
    <t>Telegram News</t>
  </si>
  <si>
    <t>Interested to stay up-to-date with cryptocurrencies?</t>
  </si>
  <si>
    <t>Get the latest crypto news, updates, and reports by subscribing to our free newsletter.</t>
  </si>
  <si>
    <t>Subscribe</t>
  </si>
  <si>
    <t>IMPORTANT DISCLAIMER:</t>
  </si>
  <si>
    <t>All content provided herein our website, hyperlinked sites, associated applications, forums, blogs, social media accounts and other platforms (“Site”) is for your general information only, procured from third party sources. We make no warranties of any kind in relation to our content, including but not limited to accuracy and updatedness. No part of the content that we provide constitutes financial advice, legal advice or any other form of advice meant for your specific reliance for any purpose. Any use or reliance on our content is solely at your own risk and discretion. You should conduct your own research, review, analyse and verify our content before relying on them. Trading is a highly risky activity that can lead to major losses, please therefore consult your financial advisor before making any decision. No content on our Site is meant to be a solicitation or offer.</t>
  </si>
  <si>
    <t>New Portfolio</t>
  </si>
  <si>
    <t>Icon &amp; name</t>
  </si>
  <si>
    <t>Create</t>
  </si>
  <si>
    <t>Select Currency</t>
  </si>
  <si>
    <t>Suggested Currencies</t>
  </si>
  <si>
    <t>Fiat Currencies</t>
  </si>
  <si>
    <t>Bitcoin Units</t>
  </si>
  <si>
    <t>Commodities</t>
  </si>
  <si>
    <t>Select Language</t>
  </si>
  <si>
    <t>Popular Languages</t>
  </si>
  <si>
    <t xml:space="preserve">English </t>
  </si>
  <si>
    <t>All Languages</t>
  </si>
  <si>
    <t xml:space="preserve">Login Sign Up </t>
  </si>
  <si>
    <t>Login to track your favorite coin easily 🚀</t>
  </si>
  <si>
    <t>By continuing, you agree to CoinGecko Terms of Service and acknowledge you’ve read our Privacy Policy</t>
  </si>
  <si>
    <t>Continue with Google</t>
  </si>
  <si>
    <t>Continue with Apple</t>
  </si>
  <si>
    <t>or</t>
  </si>
  <si>
    <t>Remember me Forgot your password?</t>
  </si>
  <si>
    <t>Didn't receive confirmation instructions?</t>
  </si>
  <si>
    <t>Resend confirmation instructions</t>
  </si>
  <si>
    <t>IT'S FREE! Track your favorite coin easily with CoinGecko 🚀</t>
  </si>
  <si>
    <t>Password must contain at least 8 characters including 1 uppercase letter, 1 lowercase letter, 1 number, and 1 special character</t>
  </si>
  <si>
    <t>I would like to subscribe to CoinGecko's daily newsletter.</t>
  </si>
  <si>
    <t>Sign up</t>
  </si>
  <si>
    <t>Forgot your password?</t>
  </si>
  <si>
    <t>You will receive an email with instructions on how to reset your password in a few minutes.</t>
  </si>
  <si>
    <t>Send me reset password instructions</t>
  </si>
  <si>
    <t>You will receive an email with instructions for how to confirm your email address in a few minutes.</t>
  </si>
  <si>
    <t>Get the CoinGecko app.</t>
  </si>
  <si>
    <t>Scan this QR code to download the app now App QR CodeOr check it out in the app stores</t>
  </si>
  <si>
    <t>Continue in app</t>
  </si>
  <si>
    <t>Track prices in real-time</t>
  </si>
  <si>
    <t>Open App</t>
  </si>
  <si>
    <t>Join Weekly Giveaways</t>
  </si>
  <si>
    <t>Explore Polkadot's Ecosystem</t>
  </si>
  <si>
    <t>Discover trending dApps, wallets, DeFi &amp; more</t>
  </si>
  <si>
    <t>What is Zeebu?</t>
  </si>
  <si>
    <t>Learn more about the Web3 neobank</t>
  </si>
  <si>
    <t>Do Not Show 7 Days</t>
  </si>
  <si>
    <t>Coins: 14,044</t>
  </si>
  <si>
    <t xml:space="preserve">BTC 49.8% ETH 15.5% </t>
  </si>
  <si>
    <t>Criptomoedas: 2.4M+</t>
  </si>
  <si>
    <t>Corretoras: 760</t>
  </si>
  <si>
    <t xml:space="preserve">Cap. de Mercado: </t>
  </si>
  <si>
    <t>$2.2T</t>
  </si>
  <si>
    <t xml:space="preserve">Vol 24h: </t>
  </si>
  <si>
    <t>$89.22B</t>
  </si>
  <si>
    <t>12.23%</t>
  </si>
  <si>
    <t>Dominância: BTC: 52.5% ETH: 16.3%</t>
  </si>
  <si>
    <t xml:space="preserve"> Gás do ETH: </t>
  </si>
  <si>
    <t>9 Gwei</t>
  </si>
  <si>
    <t xml:space="preserve"> Fear &amp; Greed: </t>
  </si>
  <si>
    <t>47/100</t>
  </si>
  <si>
    <t>ClassificaçãoCategoriasGráficos GlobaisInstantâneos HistóricosBitcoin ETFs</t>
  </si>
  <si>
    <t>Classificações</t>
  </si>
  <si>
    <t>TendênciasAdicionado RecentementeGanhadores e PerdedoresMais Visitados</t>
  </si>
  <si>
    <t>Estatísticas Gerais dos NFTPrincipais ColeçõesPróximas Vendas</t>
  </si>
  <si>
    <t>On Chain Data</t>
  </si>
  <si>
    <t>Pares de DexChain RankingPeres DEX em Alta</t>
  </si>
  <si>
    <t>Corretoras</t>
  </si>
  <si>
    <t>SpotDerivativosDEX</t>
  </si>
  <si>
    <t>NotíciasTopicsLivesArtigos</t>
  </si>
  <si>
    <t>PRODUCTS</t>
  </si>
  <si>
    <t>ConversorCMC LabsTelegram BotAnunciar</t>
  </si>
  <si>
    <t>API criptoWidgets de site</t>
  </si>
  <si>
    <t>CAMPAIGNS</t>
  </si>
  <si>
    <t>AirdropsRecompensas em DiamantesAprenda e Ganhe</t>
  </si>
  <si>
    <t>CALENDARS</t>
  </si>
  <si>
    <t>Calendário de ICOCalendário de eventos</t>
  </si>
  <si>
    <t>Aprenda</t>
  </si>
  <si>
    <t>NovidadesAcademyResearchVídeosGlossário</t>
  </si>
  <si>
    <t>Lista de interessePortfólio</t>
  </si>
  <si>
    <t>/</t>
  </si>
  <si>
    <t xml:space="preserve">Pepe preço </t>
  </si>
  <si>
    <t xml:space="preserve">R$0.00003853  </t>
  </si>
  <si>
    <t>19.81% (1d)</t>
  </si>
  <si>
    <t>Gráfico de Pepe para BRL</t>
  </si>
  <si>
    <t>Carregando Dados</t>
  </si>
  <si>
    <t>Aguarde, estamos carregando os dados do gráfico</t>
  </si>
  <si>
    <t>Adicionar à lista de interesse</t>
  </si>
  <si>
    <t>Estatísticas de Pepe</t>
  </si>
  <si>
    <t>Capitalização de Mercado</t>
  </si>
  <si>
    <t>19.81%</t>
  </si>
  <si>
    <t>R$16,208,786,259</t>
  </si>
  <si>
    <t>#33</t>
  </si>
  <si>
    <t>Volume (24h)</t>
  </si>
  <si>
    <t>21.18%</t>
  </si>
  <si>
    <t>R$5,978,731,140</t>
  </si>
  <si>
    <t>#11</t>
  </si>
  <si>
    <t>Volume/Capitalização de mercado (24h)</t>
  </si>
  <si>
    <t>36.89%</t>
  </si>
  <si>
    <t>Fornecimento em circulação</t>
  </si>
  <si>
    <t>420,689,899,999,995 PEPE</t>
  </si>
  <si>
    <t>100.00%</t>
  </si>
  <si>
    <t>Fornecimento total</t>
  </si>
  <si>
    <t>Fornecimento máximo</t>
  </si>
  <si>
    <t>420,690,000,000,000 PEPE</t>
  </si>
  <si>
    <t>Capitalização de mercado totalmente diluída</t>
  </si>
  <si>
    <t>R$16,208,790,112</t>
  </si>
  <si>
    <t>Contratos</t>
  </si>
  <si>
    <t xml:space="preserve">Ethereum: 0x6982...311933 </t>
  </si>
  <si>
    <t>Links oficiais</t>
  </si>
  <si>
    <t>Site</t>
  </si>
  <si>
    <t>Sociais</t>
  </si>
  <si>
    <t>𝕏</t>
  </si>
  <si>
    <t>Twitter</t>
  </si>
  <si>
    <t>Avaliação  ·  Com base na 2 classificação institucional</t>
  </si>
  <si>
    <t xml:space="preserve">4.4   </t>
  </si>
  <si>
    <t>Audits</t>
  </si>
  <si>
    <t xml:space="preserve">  CertiK</t>
  </si>
  <si>
    <t xml:space="preserve">  Fairyproof</t>
  </si>
  <si>
    <t>Informações da rede</t>
  </si>
  <si>
    <t>Exploradores de cadeia</t>
  </si>
  <si>
    <t>UCID</t>
  </si>
  <si>
    <t>Converta PEPE para BRL</t>
  </si>
  <si>
    <t>Desempenho do preço</t>
  </si>
  <si>
    <t xml:space="preserve">24h </t>
  </si>
  <si>
    <t>Baixo</t>
  </si>
  <si>
    <t>R$0.00003179</t>
  </si>
  <si>
    <t>Alto</t>
  </si>
  <si>
    <t>R$0.00003877</t>
  </si>
  <si>
    <t>Máxima de todos os tempos</t>
  </si>
  <si>
    <t>Mar 14, 2024 (2 months ago)</t>
  </si>
  <si>
    <t>R$0.00005579</t>
  </si>
  <si>
    <t>-30.94%</t>
  </si>
  <si>
    <t>Mínimo de todos os tempos</t>
  </si>
  <si>
    <t>Apr 17, 2023 (a year ago)</t>
  </si>
  <si>
    <t>R$0.0...01436</t>
  </si>
  <si>
    <t>+26739.49%</t>
  </si>
  <si>
    <t>Ver dados históricos</t>
  </si>
  <si>
    <t>Popularidade</t>
  </si>
  <si>
    <t>Na lista de interesse356,231x</t>
  </si>
  <si>
    <t>200th / 9.9K</t>
  </si>
  <si>
    <t>Tags</t>
  </si>
  <si>
    <t>MemesMostrar todos</t>
  </si>
  <si>
    <t>Mais informações</t>
  </si>
  <si>
    <t>Você é o proprietário do projeto? Atualizar informações do token</t>
  </si>
  <si>
    <r>
      <t>_x0010_</t>
    </r>
    <r>
      <rPr>
        <sz val="11"/>
        <color theme="1"/>
        <rFont val="Calibri"/>
        <family val="2"/>
        <scheme val="minor"/>
      </rPr>
      <t>_x0010_</t>
    </r>
  </si>
  <si>
    <t>Pepe community</t>
  </si>
  <si>
    <t>skeleton-white</t>
  </si>
  <si>
    <t>Pepe Mercados</t>
  </si>
  <si>
    <t>TUDOCEXDEX</t>
  </si>
  <si>
    <t>SpotPerpétuoFuturos</t>
  </si>
  <si>
    <t>Todos os Pares</t>
  </si>
  <si>
    <t>Carregando dados...</t>
  </si>
  <si>
    <t>Show full width</t>
  </si>
  <si>
    <t>Aviso legal: Esta página pode conter links afiliados. A CoinMarketCap pode ser compensada se você visitar qualquer link de afiliado e realizar determinadas ações, como se inscrever e realizar transações com essas plataformas afiliadas. Consulte a Divulgação de Afiliados.</t>
  </si>
  <si>
    <t>Pepe novidades</t>
  </si>
  <si>
    <t>Sobre Pepe</t>
  </si>
  <si>
    <t>O Que É PEPE (PEPE)?</t>
  </si>
  <si>
    <t>PEPE é uma memecoin deflacionária lançada no Ethereum. A criptomoeda foi criada como uma homenagem ao meme da internet Pepe the Frog, criado por Matt Furie, que ganhou popularidade no início dos anos 2000.</t>
  </si>
  <si>
    <t>O projeto visa capitalizar a popularidade de memecoins como Shiba Inu e Dogecoin, e se esforça para se estabelecer como uma das principais criptomoedas baseadas em memes. PEPE atrai a comunidade de criptomoedas ao instituir uma política sem taxas, um sistema redistributivo que recompensa aqueles que fazem stake de longo prazo e um mecanismo de queima para manter a escassez da moeda PEPE.</t>
  </si>
  <si>
    <t>O roteiro do PEPE apresenta três fases, sendo a fase um a sua listagem na CoinMarketCap e tornar $PEPE tendência no Twitter, enquanto a fase dois inclui a listagem em corretoras centralizadas (CEXs) e a fase três inclui listagens de corretoras de "nível 1" e o que a equipe chama de "domínio dos memes."</t>
  </si>
  <si>
    <t>Quem São os Fundadores do Pepe?</t>
  </si>
  <si>
    <t>Até o momento, os fundadores do PEPE permanecem anônimos, o que não é incomum no mundo das criptomoedas. Embora as informações sobre a equipe por trás do projeto sejam escassas, ela chamou a atenção usando plataformas de mídia social como o Twitter para promover sua moeda meme e uma comunidade ao seu redor.</t>
  </si>
  <si>
    <t>O Que Torna PEPE Único?</t>
  </si>
  <si>
    <t>PEPE apresenta uma oferta única no mercado de moedas de memes, construindo sobre o legado de Pepe the Frog, um personagem com uma longa e controversa história. A dedicação do projeto em homenagear esse personagem o distingue de outras criptomoedas e fortalece seu apelo dentro da comunidade de criptomoedas.</t>
  </si>
  <si>
    <t>O sistema de redistribuição é outro aspecto único do PEPE, pois recompensa aqueles que fazem stake de longo prazo e incentiva os usuários a manter o token por períodos de tempo mais longos. Ao fazer isso, o projeto visa promover incentivos aos holders e aumentar as chances de sucesso de longo prazo.</t>
  </si>
  <si>
    <t>O mecanismo de queima do PEPE destaca ainda mais sua natureza única, visando manter a escassez no mercado. Por fim, a política de isenção de taxas faz com que o PEPE se destaque de outras criptomoedas. Ao não impor taxas de transação, o projeto pode atrair um público mais amplo e expandir sua base de usuários.</t>
  </si>
  <si>
    <t>Quantas Moedas PEPE Há em Circulação?</t>
  </si>
  <si>
    <t>PEPE emprega um sistema de redistribuição que recompensa os stakers de longo prazo, oferecendo-lhes incentivos para permanecerem comprometidos com o projeto. Essa abordagem incentiva a estabilidade da moeda, recompensando os usuários por manter o token em vez de vendê-lo rapidamente. Além disso, o PEPE possui um mecanismo de queima por meio do qual uma parte das moedas é permanentemente retirada de circulação de forma regular. Isso visa manter a escassez, apesar do fornecimento máximo de 420.690.000.000.000 moedas.</t>
  </si>
  <si>
    <t>Do fornecimento máximo, 93,1% foram enviados para o pool de liquidez no Uniswap, onde os tokens LP foram queimados e o contrato implantado foi enviado para um endereço nulo. Os 6,9% restantes são mantidos em uma carteira multi-sig, para futuras listagens em CEX, pontes e pools de liquidez. Esta carteira pode ser rastreada usando o nome ENS "pepecexwallet.eth." Os usuários podem acompanhar o par PEPE/WETH no DexScan da CMC.</t>
  </si>
  <si>
    <t>Como o PEPE É Assegurado?</t>
  </si>
  <si>
    <t>PEPE é um token ERC-20 na blockchain do Ethereum, que é protegido pelo mecanismo de consenso Proof-of-Stake (PoS). Os validadores descentralizados fazem stake de 32 ETH para processar transações e proteger a rede.</t>
  </si>
  <si>
    <t>Onde Você Pode Comprar PEPE?</t>
  </si>
  <si>
    <t>PEPE pode ser negociado na Uniswap (V2), Uniswap (V3), Huobi, Gate.io, MEXC e muitas outras.</t>
  </si>
  <si>
    <t>Você pode encontrar outras listadas em nossa página de corretoras de criptomoedas. Aqueles que quiserem acompanhar os preços do PEPE em tempo real podem baixar o aplicativo móvel da CMC.</t>
  </si>
  <si>
    <t>Páginas Relacionadas:</t>
  </si>
  <si>
    <t>Confira a Dogecoin — a memecoin pioneira com tema de cachorro.</t>
  </si>
  <si>
    <t>Saiba mais sobre a Shiba Inu — outra memecoin altamente popular.</t>
  </si>
  <si>
    <t>Aprenda mais sobre a Uniswap — a corretora descentralizada em que o PEPE é negociado.</t>
  </si>
  <si>
    <t>Atualize seu conhecimento sobre o que são memecoins com o Glossário da CMC.</t>
  </si>
  <si>
    <t>Confira os nomes mais engraçados de memecoins com a Alexandria da CMC.</t>
  </si>
  <si>
    <t>Análise de Pepe</t>
  </si>
  <si>
    <t>Carregando...</t>
  </si>
  <si>
    <t>Tokens populares na cadeia Ethereum</t>
  </si>
  <si>
    <t>R$15,176.300.34%SHIB logo</t>
  </si>
  <si>
    <t>R$0.00011411.88%LINK logo</t>
  </si>
  <si>
    <t>R$68.342.55%LEO logo</t>
  </si>
  <si>
    <t>UNUS SED LEO</t>
  </si>
  <si>
    <t>LEO</t>
  </si>
  <si>
    <t>R$30.422.09%UNI logo</t>
  </si>
  <si>
    <t>UNI</t>
  </si>
  <si>
    <t>R$36.080.60%IMX logo</t>
  </si>
  <si>
    <t>R$10.273.44%AXS logo</t>
  </si>
  <si>
    <t>AXS</t>
  </si>
  <si>
    <t>R$35.784.38%BGB logo</t>
  </si>
  <si>
    <t>Bitget Token</t>
  </si>
  <si>
    <t>BGB</t>
  </si>
  <si>
    <t>R$5.740.38%SAND logo</t>
  </si>
  <si>
    <t>SAND</t>
  </si>
  <si>
    <t>R$2.172.17%RNDR logo</t>
  </si>
  <si>
    <t>R$38.664.73%ONDO logo</t>
  </si>
  <si>
    <t>ONDO</t>
  </si>
  <si>
    <t>R$3.884.26%MKR logo</t>
  </si>
  <si>
    <t>MKR</t>
  </si>
  <si>
    <t>R$13,884.542.07%W logo</t>
  </si>
  <si>
    <t>W</t>
  </si>
  <si>
    <t>R$3.356.64%AGIX logo</t>
  </si>
  <si>
    <t>SingularityNET</t>
  </si>
  <si>
    <t>AGIX</t>
  </si>
  <si>
    <t>R$4.150.16%SNX logo</t>
  </si>
  <si>
    <t>Synthetix</t>
  </si>
  <si>
    <t>SNX</t>
  </si>
  <si>
    <t>R$13.501.30%SPCT logo</t>
  </si>
  <si>
    <t>Spectra Chain</t>
  </si>
  <si>
    <t>SPCT</t>
  </si>
  <si>
    <t>R$0.024466.98%INS logo</t>
  </si>
  <si>
    <t>Inscribe</t>
  </si>
  <si>
    <t>INS</t>
  </si>
  <si>
    <t>R$0.29494.12%KERMIT logo</t>
  </si>
  <si>
    <t>Kermit</t>
  </si>
  <si>
    <t>KERMIT</t>
  </si>
  <si>
    <t>R$0.00129712.19%OHM logo</t>
  </si>
  <si>
    <t>Olympus v2</t>
  </si>
  <si>
    <t>OHM</t>
  </si>
  <si>
    <t>R$63.401.68%X2Y2 logo</t>
  </si>
  <si>
    <t>X2Y2</t>
  </si>
  <si>
    <t>R$0.049741.39%</t>
  </si>
  <si>
    <t>Criptomoedas mais visitadas</t>
  </si>
  <si>
    <t>GPU logo</t>
  </si>
  <si>
    <t>Node AI</t>
  </si>
  <si>
    <t>GPU</t>
  </si>
  <si>
    <t>R$5.924.41%ATR logo</t>
  </si>
  <si>
    <t>Artrade</t>
  </si>
  <si>
    <t>ATR</t>
  </si>
  <si>
    <t>R$0.12225.87%NIZA logo</t>
  </si>
  <si>
    <t>Niza Global</t>
  </si>
  <si>
    <t>NIZA</t>
  </si>
  <si>
    <t>R$0.030923.28%CATGIRL logo</t>
  </si>
  <si>
    <t>Catgirl</t>
  </si>
  <si>
    <t>CATGIRL</t>
  </si>
  <si>
    <t>R$0.0000000026954.70%BABYBONK logo</t>
  </si>
  <si>
    <t>Baby Bonk</t>
  </si>
  <si>
    <t>BABYBONK</t>
  </si>
  <si>
    <t>R$0.000000000135611.96%GOOGLE logo</t>
  </si>
  <si>
    <t>Deepmind Ai</t>
  </si>
  <si>
    <t>GOOGLE</t>
  </si>
  <si>
    <t>R$0.099491.28%VPS logo</t>
  </si>
  <si>
    <t>VPS AI</t>
  </si>
  <si>
    <t>VPS</t>
  </si>
  <si>
    <t>R$0.18574.19%IOTA logo</t>
  </si>
  <si>
    <t>IOTA</t>
  </si>
  <si>
    <t>R$1.127.11%WAVES logo</t>
  </si>
  <si>
    <t>Waves</t>
  </si>
  <si>
    <t>WAVES</t>
  </si>
  <si>
    <t>R$12.0310.26%CATA logo</t>
  </si>
  <si>
    <t>CATAMOTO</t>
  </si>
  <si>
    <t>CATA</t>
  </si>
  <si>
    <t>R$0.0037792.49%BTC logo</t>
  </si>
  <si>
    <t>R$304,139.863.23%BCCOIN logo</t>
  </si>
  <si>
    <t>BlackCardCoin</t>
  </si>
  <si>
    <t>BCCOIN</t>
  </si>
  <si>
    <t>R$120.100.26%STRUMP logo</t>
  </si>
  <si>
    <t>Super Trump</t>
  </si>
  <si>
    <t>STRUMP</t>
  </si>
  <si>
    <t>R$0.01969.77%SOL logo</t>
  </si>
  <si>
    <t>R$718.0715.02%ETH logo</t>
  </si>
  <si>
    <t>R$15,522.345.24%SHIB logo</t>
  </si>
  <si>
    <t>R$0.00011910.54%XRP logo</t>
  </si>
  <si>
    <t>R$2.696.94%DOGE logo</t>
  </si>
  <si>
    <t>R$0.68537.61%HBAR logo</t>
  </si>
  <si>
    <t>Hedera</t>
  </si>
  <si>
    <t>HBAR</t>
  </si>
  <si>
    <t>R$0.51165.32%ADA logo</t>
  </si>
  <si>
    <t>ADA</t>
  </si>
  <si>
    <t>R$2.366.71%</t>
  </si>
  <si>
    <t>Preços globais</t>
  </si>
  <si>
    <t>United States Dollar</t>
  </si>
  <si>
    <t>$0.000007418</t>
  </si>
  <si>
    <t>PEPE/BRL</t>
  </si>
  <si>
    <t>Brazilian Real</t>
  </si>
  <si>
    <t>R$0.00003853</t>
  </si>
  <si>
    <t>Tendências</t>
  </si>
  <si>
    <t>BitcoinBitcoin$58,527.16</t>
  </si>
  <si>
    <t>1.38%</t>
  </si>
  <si>
    <t>Dragonball Z TributeDragonball Z Tribute$0.000001207</t>
  </si>
  <si>
    <t>4.51%</t>
  </si>
  <si>
    <t>Omni NetworkOmni Network$18.2</t>
  </si>
  <si>
    <t>3.60%</t>
  </si>
  <si>
    <t>Super TrumpSuper Trump$0.003774</t>
  </si>
  <si>
    <t>7.77%</t>
  </si>
  <si>
    <t>EthenaEthena$0.8175</t>
  </si>
  <si>
    <t>Pepe Preço em Tempo Real</t>
  </si>
  <si>
    <r>
      <t xml:space="preserve">O preço de agora de </t>
    </r>
    <r>
      <rPr>
        <sz val="11"/>
        <color theme="1"/>
        <rFont val="Calibri"/>
        <family val="2"/>
        <scheme val="minor"/>
      </rPr>
      <t>Pepe de hoje</t>
    </r>
    <r>
      <rPr>
        <sz val="11"/>
        <color theme="1"/>
        <rFont val="Calibri"/>
        <family val="2"/>
        <scheme val="minor"/>
      </rPr>
      <t xml:space="preserve"> é de R$0.000039 BRL com um volume de negociação em 24 horas de R$5,978,731,140 BRL. Atualizamos nosso preço de PEPE para BRL em tempo real. Pepe subiu 19.81% nas últimas 24 horas. A classificação atual na CoinMarketCap é de #33, com uma capitalização de mercado de R$16,208,786,259 BRL. Há um fornecimento em circulação de 420,689,899,999,995 PEPE moedas e um máximo. fornecimento máximo de 420,690,000,000,000 PEPE moedas</t>
    </r>
  </si>
  <si>
    <t>As principais corretoras para negociação de Pepe atualmente são Binance, OKX, LBank, Bybit, e . Você pode encontrar outras listagens em nossa .</t>
  </si>
  <si>
    <t>CoinMarketCap</t>
  </si>
  <si>
    <t>Tokens</t>
  </si>
  <si>
    <t>Atualizações do produto</t>
  </si>
  <si>
    <t>CMC Labs</t>
  </si>
  <si>
    <t>API cripto</t>
  </si>
  <si>
    <t>Índices cripto</t>
  </si>
  <si>
    <t>Doodles</t>
  </si>
  <si>
    <t>Sitemap</t>
  </si>
  <si>
    <t>Anunciar</t>
  </si>
  <si>
    <t>Empresa</t>
  </si>
  <si>
    <t>Termos de Uso</t>
  </si>
  <si>
    <t>Política de Privacidade</t>
  </si>
  <si>
    <t>Cookie preferences</t>
  </si>
  <si>
    <t>Política de cookies</t>
  </si>
  <si>
    <t>Regras da Comunidade</t>
  </si>
  <si>
    <t>Aviso legal</t>
  </si>
  <si>
    <t>CarreirasEstamos contratando!</t>
  </si>
  <si>
    <t>Formulário de Pedido</t>
  </si>
  <si>
    <t>Contate o Suporte</t>
  </si>
  <si>
    <t>Perguntas Frequentes</t>
  </si>
  <si>
    <t>Glossário</t>
  </si>
  <si>
    <t>X (Twitter)</t>
  </si>
  <si>
    <t>Telegram</t>
  </si>
  <si>
    <t>LinkedIn</t>
  </si>
  <si>
    <t>© 2024 CoinMarketCap. All rights reserved</t>
  </si>
  <si>
    <t>LDO</t>
  </si>
  <si>
    <t>#60</t>
  </si>
  <si>
    <t>$1.98</t>
  </si>
  <si>
    <t>Market Cap: $2.316T 2.6%</t>
  </si>
  <si>
    <t xml:space="preserve">24h Vol: $106.464B </t>
  </si>
  <si>
    <t xml:space="preserve">Gas: 15 GWEI </t>
  </si>
  <si>
    <r>
      <t xml:space="preserve">Fast: </t>
    </r>
    <r>
      <rPr>
        <sz val="10"/>
        <color theme="1"/>
        <rFont val="Segoe UI"/>
        <family val="2"/>
      </rPr>
      <t>18 GWEI</t>
    </r>
  </si>
  <si>
    <r>
      <t xml:space="preserve">Standard: </t>
    </r>
    <r>
      <rPr>
        <sz val="10"/>
        <color theme="1"/>
        <rFont val="Segoe UI"/>
        <family val="2"/>
      </rPr>
      <t>15 GWEI</t>
    </r>
  </si>
  <si>
    <r>
      <t xml:space="preserve">Safe: </t>
    </r>
    <r>
      <rPr>
        <sz val="10"/>
        <color theme="1"/>
        <rFont val="Segoe UI"/>
        <family val="2"/>
      </rPr>
      <t>15 GWEI</t>
    </r>
  </si>
  <si>
    <t xml:space="preserve">2. Lido DAO Price </t>
  </si>
  <si>
    <t>LDO logo</t>
  </si>
  <si>
    <t>Lido DAO $1.98</t>
  </si>
  <si>
    <t xml:space="preserve">LDO Price </t>
  </si>
  <si>
    <t>How is the price of Lido DAO (LDO) calculated?</t>
  </si>
  <si>
    <t>The price of Lido DAO (LDO) is calculated in real-time by aggregating the latest data across 81 exchanges and 117 markets, using a global volume-weighted average formula. Learn more about how crypto prices are calculated on CoinGecko.</t>
  </si>
  <si>
    <t>0.00003373 BTC 1.8%</t>
  </si>
  <si>
    <t>0.0006600 ETH 0.1%</t>
  </si>
  <si>
    <t>$1.87 24h Range $1.98</t>
  </si>
  <si>
    <t xml:space="preserve">Add to Portfolio • 52,109 added </t>
  </si>
  <si>
    <t>Due to the termination of development and technical support of Lido on Solana, from 16th of October, 2023, staking function is not available anymore. Please, unstake your funds via UI before 4th of February, 2024. For more information, please visit their blog.</t>
  </si>
  <si>
    <t>Lido DAO Price Chart (LDO)</t>
  </si>
  <si>
    <t>LDO Converter</t>
  </si>
  <si>
    <t>Lido DAO Statistics</t>
  </si>
  <si>
    <t xml:space="preserve">$1,768,835,630 </t>
  </si>
  <si>
    <t>0.89</t>
  </si>
  <si>
    <t xml:space="preserve">Market Cap / TVL Ratio </t>
  </si>
  <si>
    <t>Ratio of market capitalization over total value locked of this asset. A ratio of more than 1.0 refers to its market cap being greater than its total value locked.</t>
  </si>
  <si>
    <t>MC/TVL is used to approximate a protocol’s market value vs. the amount in assets it has staked/locked.</t>
  </si>
  <si>
    <t>0.06</t>
  </si>
  <si>
    <t xml:space="preserve">$1,981,999,658 </t>
  </si>
  <si>
    <t xml:space="preserve">Fully Diluted Valuation / TVL Ratio </t>
  </si>
  <si>
    <t>Ratio of fully diluted valuation (FDV) over total value locked (TVL) of this asset. A ratio of more than 1.0 means that the FDV is greater than its TVL.</t>
  </si>
  <si>
    <t>FDV/TVL is used to approximate a protocol’s fully diluted market value vs. the amount in assets it has staked/locked.</t>
  </si>
  <si>
    <t>0.07</t>
  </si>
  <si>
    <t>$75,533,949</t>
  </si>
  <si>
    <t xml:space="preserve">Total Value Locked (TVL) </t>
  </si>
  <si>
    <t>Capital deposited into the platform in the form of loan collateral or liquidity trading pool.</t>
  </si>
  <si>
    <t>Data provided by Defi Llama</t>
  </si>
  <si>
    <t>$27,597,699,440</t>
  </si>
  <si>
    <t xml:space="preserve">892,450,017 </t>
  </si>
  <si>
    <t>https://circ-supply.lido.fi/v1/plain/ldo</t>
  </si>
  <si>
    <t>Est. Circulating Supply</t>
  </si>
  <si>
    <t>892,450,017</t>
  </si>
  <si>
    <t>1,000,000,000</t>
  </si>
  <si>
    <t>0x5a9...ef1b32</t>
  </si>
  <si>
    <r>
      <t>Optimism</t>
    </r>
    <r>
      <rPr>
        <sz val="10"/>
        <color theme="1"/>
        <rFont val="Segoe UI"/>
        <family val="2"/>
      </rPr>
      <t xml:space="preserve"> 0xfdb...96735f</t>
    </r>
  </si>
  <si>
    <r>
      <t>Polygon POS</t>
    </r>
    <r>
      <rPr>
        <sz val="10"/>
        <color theme="1"/>
        <rFont val="Segoe UI"/>
        <family val="2"/>
      </rPr>
      <t xml:space="preserve"> 0xc3c...a58756</t>
    </r>
  </si>
  <si>
    <r>
      <t>Arbitrum One</t>
    </r>
    <r>
      <rPr>
        <sz val="10"/>
        <color theme="1"/>
        <rFont val="Segoe UI"/>
        <family val="2"/>
      </rPr>
      <t xml:space="preserve"> 0x13a...5efa60</t>
    </r>
  </si>
  <si>
    <t>stake.lido.fi</t>
  </si>
  <si>
    <t>blog.lido.fi</t>
  </si>
  <si>
    <t xml:space="preserve">Ethplorer Polygonscan Arbiscan Etherscan Dex Dex Dex </t>
  </si>
  <si>
    <t>Source Code</t>
  </si>
  <si>
    <t xml:space="preserve">lido-dao </t>
  </si>
  <si>
    <t>3 more</t>
  </si>
  <si>
    <t xml:space="preserve">Polygon Ecosystem Arbitrum Ecosystem Optimism Ecosystem </t>
  </si>
  <si>
    <t>Infrastructure</t>
  </si>
  <si>
    <t>8 more</t>
  </si>
  <si>
    <t xml:space="preserve">Decentralized Finance (DeFi) Liquid Staking Governance Tokens eGirl Capital Portfolio Paradigm Portfolio Coinbase Ventures Portfolio Multicoin Capital Portfolio Defi Pulse Index (DPI) Alameda Research Portfolio </t>
  </si>
  <si>
    <t>LDO Historical Price</t>
  </si>
  <si>
    <t>$1.87 – $1.98</t>
  </si>
  <si>
    <t>$1.82 – $2.23</t>
  </si>
  <si>
    <t>$7.30 72.9%</t>
  </si>
  <si>
    <t>Aug 20, 2021 (over 2 years)</t>
  </si>
  <si>
    <t>$0.4061 387.6%</t>
  </si>
  <si>
    <t>Jun 18, 2022 (almost 2 years)</t>
  </si>
  <si>
    <t>How do you feel about LDO today?</t>
  </si>
  <si>
    <t>The community is bullish about Lido DAO (LDO) today.</t>
  </si>
  <si>
    <t>Where can you buy Lido DAO?</t>
  </si>
  <si>
    <t>LDO tokens can be traded on centralized crypto exchanges. The most popular exchange to buy and trade Lido DAO is PointPay, where the most active trading pair LDO/USDT has a trading volume of $198,674.29 in the last 24 hours. Other popular options include MEXC and OrangeX.</t>
  </si>
  <si>
    <t>What is the daily trading volume of Lido DAO (LDO)?</t>
  </si>
  <si>
    <t>The trading volume of Lido DAO (LDO) is $76,002,638.80 in the last 24 hours, representing a -27.90% decrease from one day ago and signalling a recent fall in market activity.</t>
  </si>
  <si>
    <t>What is the all-time high for Lido DAO (LDO)?</t>
  </si>
  <si>
    <t>The highest price paid for Lido DAO (LDO) is BTC0.0001559, which was recorded on Aug 20, 2021 (over 2 years). Comparatively, the current price is -72.90% lower than the all-time high price.</t>
  </si>
  <si>
    <t>What is the all-time low for Lido DAO (LDO)?</t>
  </si>
  <si>
    <r>
      <t>The lowest price paid for Lido DAO (LDO) is BTC0.0</t>
    </r>
    <r>
      <rPr>
        <sz val="8.25"/>
        <color theme="1"/>
        <rFont val="Segoe UI"/>
        <family val="2"/>
      </rPr>
      <t>5</t>
    </r>
    <r>
      <rPr>
        <sz val="10"/>
        <color theme="1"/>
        <rFont val="Segoe UI"/>
        <family val="2"/>
      </rPr>
      <t>9209, which was recorded on Jun 18, 2022 (almost 2 years). Comparatively, the current price is 387.60% higher than the all-time low price.</t>
    </r>
  </si>
  <si>
    <t>What is the market cap of Lido DAO (LDO)?</t>
  </si>
  <si>
    <t>Market capitalization of Lido DAO (LDO) is BTC30,146.5743 and is ranked #60 on CoinGecko today. Market cap is measured by multiplying token price with the circulating supply of LDO tokens (890 Million tokens are tradable on the market today).</t>
  </si>
  <si>
    <t>What is the fully diluted valuation of Lido DAO (LDO)?</t>
  </si>
  <si>
    <t>The fully diluted valuation (FDV) of Lido DAO (LDO) is BTC33,779.5664. This is a statistical representation of the maximum market cap, assuming the maximum number of 1 Billion LDO tokens are in circulation today. Depending on how the emission schedule of LDO tokens are designed, it might take multiple years before FDV is realized.</t>
  </si>
  <si>
    <t>How does the price performance of Lido DAO compare against its peers?</t>
  </si>
  <si>
    <t>With a price increase of 0.30% in the last 7 days, Lido DAO (LDO) is outperforming the global cryptocurrency market which is down -7.60%, while outperforming when compared to similar Polygon Ecosystem cryptocurrencies which are up 0.00%.</t>
  </si>
  <si>
    <t>How to add Lido DAO (LDO) to MetaMask?</t>
  </si>
  <si>
    <t>Adding Lido DAO (LDO) to MetaMask allows you to view your token holdings, trade on decentralized exchanges, and more. To add them, you’ll need to import LDO as a token. You can copy LDO’s contract address (0x5a98fcbea516cf06857215779fd812ca3bef1b32) and import it manually, or if you've installed MetaMask's chrome extension, add LDO to MetaMask with one click on CoinGecko.</t>
  </si>
  <si>
    <t>Add LDO to MetaMask.</t>
  </si>
  <si>
    <t>Lido DAO Markets</t>
  </si>
  <si>
    <t>LDO/USDT</t>
  </si>
  <si>
    <t>$689,891</t>
  </si>
  <si>
    <t>$652,313</t>
  </si>
  <si>
    <t>$198,674</t>
  </si>
  <si>
    <t>0.26%</t>
  </si>
  <si>
    <t>$513,445</t>
  </si>
  <si>
    <t>$512,676</t>
  </si>
  <si>
    <t>$72,712.00</t>
  </si>
  <si>
    <t>$381,287</t>
  </si>
  <si>
    <t>$341,949</t>
  </si>
  <si>
    <t>$1,906,520</t>
  </si>
  <si>
    <t>2.51%</t>
  </si>
  <si>
    <t>$334,979</t>
  </si>
  <si>
    <t>$315,388</t>
  </si>
  <si>
    <t>$957,132</t>
  </si>
  <si>
    <t>1.26%</t>
  </si>
  <si>
    <t>$289,759</t>
  </si>
  <si>
    <t>$271,094</t>
  </si>
  <si>
    <t>$217,097</t>
  </si>
  <si>
    <t>0.29%</t>
  </si>
  <si>
    <t>$185,990</t>
  </si>
  <si>
    <t>$198,264</t>
  </si>
  <si>
    <t>$11,745,348</t>
  </si>
  <si>
    <t>$165,738</t>
  </si>
  <si>
    <t>$74,676</t>
  </si>
  <si>
    <t>$9,166,812</t>
  </si>
  <si>
    <t>12.06%</t>
  </si>
  <si>
    <t>$278,085</t>
  </si>
  <si>
    <t>$296,487</t>
  </si>
  <si>
    <t>$648,493</t>
  </si>
  <si>
    <t>$86,767</t>
  </si>
  <si>
    <t>$108,374</t>
  </si>
  <si>
    <t>$4,450,749</t>
  </si>
  <si>
    <t>5.86%</t>
  </si>
  <si>
    <t>LDO/USD</t>
  </si>
  <si>
    <t>$1.97</t>
  </si>
  <si>
    <t>$119,288</t>
  </si>
  <si>
    <t>$102,969</t>
  </si>
  <si>
    <t>$927,828</t>
  </si>
  <si>
    <t>1.22%</t>
  </si>
  <si>
    <t>Showing 1 to 10 of 117 results</t>
  </si>
  <si>
    <t xml:space="preserve">1 2 ... 12 </t>
  </si>
  <si>
    <t>Lido DAO Latest News</t>
  </si>
  <si>
    <t>Over 80% of Algorand (ALGO), Sandbox (SAND), Arbitrum (ARB) Holders Are Losing Money</t>
  </si>
  <si>
    <t>BeInCrypto</t>
  </si>
  <si>
    <t>1 day ago</t>
  </si>
  <si>
    <t>Crypto Prices Today 30 April: BTC Crash After Hong Kong ETFs</t>
  </si>
  <si>
    <t>coingabbar</t>
  </si>
  <si>
    <t>2 days ago</t>
  </si>
  <si>
    <t>2 Crypto To Buy To Complete $1 Portfolio In May</t>
  </si>
  <si>
    <t>3 days ago</t>
  </si>
  <si>
    <t>Lido DAO Coin Price Return to Yearly Support Hints Best Dip Opportunity</t>
  </si>
  <si>
    <t>Lido DAO Guides</t>
  </si>
  <si>
    <t>What Is Blast? An Optimistic Rollup That Offers Native Yield</t>
  </si>
  <si>
    <t>Coins &amp; Tokens</t>
  </si>
  <si>
    <t>Joel Agbo</t>
  </si>
  <si>
    <t>4.0 (19 votes)</t>
  </si>
  <si>
    <t>DeFi Blue Chips: Generating Fees and Driving Organic Activity</t>
  </si>
  <si>
    <t>Guides</t>
  </si>
  <si>
    <t>Kofi J</t>
  </si>
  <si>
    <t>4.69 (29 votes)</t>
  </si>
  <si>
    <t>Ethereum Staking Statistics 2023</t>
  </si>
  <si>
    <t>Market Coverage</t>
  </si>
  <si>
    <t>Shaun Paul Lee</t>
  </si>
  <si>
    <t>4.36 (25 votes)</t>
  </si>
  <si>
    <t>What are Liquid Staking Derivatives (LSDs) and How Do They Unlock Liquidity?</t>
  </si>
  <si>
    <t>CJ</t>
  </si>
  <si>
    <t>4.3 (47 votes)</t>
  </si>
  <si>
    <t>Global Lido DAO Prices</t>
  </si>
  <si>
    <t xml:space="preserve">LDO / USD US Dollar </t>
  </si>
  <si>
    <t xml:space="preserve">$1.98 </t>
  </si>
  <si>
    <t xml:space="preserve">LDO / CAD Canadian Dollar </t>
  </si>
  <si>
    <t xml:space="preserve">CA$2.72 </t>
  </si>
  <si>
    <t xml:space="preserve">LDO / AUD Australian Dollar </t>
  </si>
  <si>
    <t xml:space="preserve">A$3.03 </t>
  </si>
  <si>
    <t xml:space="preserve">LDO / GBP British Pound Sterling </t>
  </si>
  <si>
    <t xml:space="preserve">£1.58 </t>
  </si>
  <si>
    <t xml:space="preserve">LDO / INR Indian Rupee </t>
  </si>
  <si>
    <t xml:space="preserve">₹165.37 </t>
  </si>
  <si>
    <t xml:space="preserve">LDO / PHP Philippine Peso </t>
  </si>
  <si>
    <t xml:space="preserve">₱114.13 </t>
  </si>
  <si>
    <t>Ankr Network</t>
  </si>
  <si>
    <t>$0.04520</t>
  </si>
  <si>
    <t>Jito</t>
  </si>
  <si>
    <t>$3.20</t>
  </si>
  <si>
    <t>Rocket Pool</t>
  </si>
  <si>
    <t>$18.88</t>
  </si>
  <si>
    <t>Frax Share</t>
  </si>
  <si>
    <t>$4.21</t>
  </si>
  <si>
    <t>Stride</t>
  </si>
  <si>
    <t>$2.22</t>
  </si>
  <si>
    <t>$130.53</t>
  </si>
  <si>
    <t>$0.01199</t>
  </si>
  <si>
    <t>$0.3908</t>
  </si>
  <si>
    <t>$0.01625</t>
  </si>
  <si>
    <t>$2,932.04</t>
  </si>
  <si>
    <t>$57,593.18</t>
  </si>
  <si>
    <t>$0.056819</t>
  </si>
  <si>
    <t>$0.6543</t>
  </si>
  <si>
    <t>7.2%</t>
  </si>
  <si>
    <t>$4.25</t>
  </si>
  <si>
    <t>$2.57</t>
  </si>
  <si>
    <t>Lido DAO (LDO) price has increased today.</t>
  </si>
  <si>
    <t>The price of Lido DAO (LDO) is BTC0.00003373 today with a 24-hour trading volume of $75,533,949.18. This represents a 2.90% price increase in the last 24 hours and a 0.50% price increase in the past 7 days. With a circulating supply of 890 Million LDO, Lido DAO is valued at a market cap of BTC30,153.1629.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</si>
</sst>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R$&quot;\ #,##0;[Red]\-&quot;R$&quot;\ #,##0"/>
    <numFmt numFmtId="8" formatCode="&quot;R$&quot;\ #,##0.00;[Red]\-&quot;R$&quot;\ #,##0.00"/>
    <numFmt numFmtId="44" formatCode="_-&quot;R$&quot;\ * #,##0.00_-;\-&quot;R$&quot;\ * #,##0.00_-;_-&quot;R$&quot;\ * &quot;-&quot;??_-;_-@_-"/>
    <numFmt numFmtId="164" formatCode="_-[$R$-416]\ * #,##0.00_-;\-[$R$-416]\ * #,##0.00_-;_-[$R$-416]\ * &quot;-&quot;??_-;_-@_-"/>
    <numFmt numFmtId="165" formatCode="[$€-2]\ #,##0.00;[Red]\-[$€-2]\ #,##0.00"/>
    <numFmt numFmtId="166" formatCode="_-[$$-409]* #,##0.00_ ;_-[$$-409]* \-#,##0.00\ ;_-[$$-409]* &quot;-&quot;??_ ;_-@_ "/>
  </numFmts>
  <fonts count="33" x14ac:knownFonts="1">
    <font>
      <sz val="11"/>
      <color theme="1"/>
      <name val="Calibri"/>
      <family val="2"/>
      <scheme val="minor"/>
    </font>
    <font>
      <sz val="11"/>
      <color theme="1"/>
      <name val="Calibri"/>
      <family val="2"/>
      <scheme val="minor"/>
    </font>
    <font>
      <b/>
      <sz val="11"/>
      <color theme="1"/>
      <name val="Calibri"/>
      <family val="2"/>
      <scheme val="minor"/>
    </font>
    <font>
      <sz val="10"/>
      <color theme="1"/>
      <name val="Segoe UI"/>
      <family val="2"/>
    </font>
    <font>
      <sz val="11"/>
      <color theme="1"/>
      <name val="Arial"/>
      <family val="2"/>
    </font>
    <font>
      <b/>
      <sz val="10"/>
      <color rgb="FF4285F4"/>
      <name val="Arial"/>
      <family val="2"/>
    </font>
    <font>
      <sz val="10"/>
      <color rgb="FF70757A"/>
      <name val="Arial"/>
      <family val="2"/>
    </font>
    <font>
      <sz val="11"/>
      <color rgb="FF1967D2"/>
      <name val="Arial"/>
      <family val="2"/>
    </font>
    <font>
      <u/>
      <sz val="11"/>
      <color theme="10"/>
      <name val="Calibri"/>
      <family val="2"/>
      <scheme val="minor"/>
    </font>
    <font>
      <b/>
      <sz val="24"/>
      <color theme="1"/>
      <name val="Segoe UI"/>
      <family val="2"/>
    </font>
    <font>
      <b/>
      <sz val="18"/>
      <color theme="1"/>
      <name val="Segoe UI"/>
      <family val="2"/>
    </font>
    <font>
      <b/>
      <sz val="11"/>
      <color theme="1"/>
      <name val="Segoe UI"/>
      <family val="2"/>
    </font>
    <font>
      <sz val="11"/>
      <color theme="1"/>
      <name val="Segoe UI"/>
      <family val="2"/>
    </font>
    <font>
      <i/>
      <sz val="11"/>
      <color theme="1"/>
      <name val="Segoe UI"/>
      <family val="2"/>
    </font>
    <font>
      <b/>
      <sz val="13.5"/>
      <color theme="1"/>
      <name val="Segoe UI"/>
      <family val="2"/>
    </font>
    <font>
      <sz val="8"/>
      <name val="Calibri"/>
      <family val="2"/>
      <scheme val="minor"/>
    </font>
    <font>
      <sz val="11"/>
      <name val="Calibri"/>
      <family val="2"/>
      <scheme val="minor"/>
    </font>
    <font>
      <b/>
      <sz val="11"/>
      <name val="Calibri"/>
      <family val="2"/>
      <scheme val="minor"/>
    </font>
    <font>
      <b/>
      <sz val="14"/>
      <name val="Dm sans"/>
    </font>
    <font>
      <sz val="9"/>
      <color indexed="81"/>
      <name val="Segoe UI"/>
      <family val="2"/>
    </font>
    <font>
      <b/>
      <sz val="9"/>
      <color indexed="81"/>
      <name val="Segoe UI"/>
      <family val="2"/>
    </font>
    <font>
      <b/>
      <sz val="16"/>
      <color theme="1"/>
      <name val="Calibri"/>
      <family val="2"/>
      <scheme val="minor"/>
    </font>
    <font>
      <b/>
      <sz val="10"/>
      <color theme="1"/>
      <name val="Segoe UI"/>
      <family val="2"/>
    </font>
    <font>
      <sz val="8.25"/>
      <color theme="1"/>
      <name val="Segoe UI"/>
      <family val="2"/>
    </font>
    <font>
      <sz val="18"/>
      <color theme="1"/>
      <name val="Segoe UI"/>
      <family val="2"/>
    </font>
    <font>
      <sz val="13.5"/>
      <color theme="1"/>
      <name val="Segoe UI"/>
      <family val="2"/>
    </font>
    <font>
      <i/>
      <sz val="11"/>
      <color theme="1"/>
      <name val="Calibri"/>
      <family val="2"/>
      <scheme val="minor"/>
    </font>
    <font>
      <b/>
      <sz val="24"/>
      <color theme="1"/>
      <name val="Calibri"/>
      <family val="2"/>
      <scheme val="minor"/>
    </font>
    <font>
      <b/>
      <sz val="18"/>
      <color theme="1"/>
      <name val="Calibri"/>
      <family val="2"/>
      <scheme val="minor"/>
    </font>
    <font>
      <b/>
      <sz val="7.5"/>
      <color theme="1"/>
      <name val="Calibri"/>
      <family val="2"/>
      <scheme val="minor"/>
    </font>
    <font>
      <b/>
      <sz val="13.5"/>
      <color theme="1"/>
      <name val="Calibri"/>
      <family val="2"/>
      <scheme val="minor"/>
    </font>
    <font>
      <sz val="9"/>
      <color theme="1"/>
      <name val="Calibri"/>
      <family val="2"/>
      <scheme val="minor"/>
    </font>
    <font>
      <b/>
      <sz val="12"/>
      <color theme="1"/>
      <name val="Calibri"/>
      <family val="2"/>
      <scheme val="minor"/>
    </font>
  </fonts>
  <fills count="11">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lightUp">
        <fgColor theme="1"/>
        <bgColor theme="0" tint="-4.9989318521683403E-2"/>
      </patternFill>
    </fill>
    <fill>
      <patternFill patternType="solid">
        <fgColor theme="7" tint="0.59999389629810485"/>
        <bgColor indexed="64"/>
      </patternFill>
    </fill>
    <fill>
      <patternFill patternType="solid">
        <fgColor rgb="FFECDFF5"/>
        <bgColor indexed="64"/>
      </patternFill>
    </fill>
    <fill>
      <patternFill patternType="lightUp">
        <fgColor theme="0" tint="-0.34998626667073579"/>
        <bgColor indexed="65"/>
      </patternFill>
    </fill>
    <fill>
      <patternFill patternType="lightUp">
        <fgColor theme="0" tint="-0.499984740745262"/>
        <bgColor indexed="65"/>
      </patternFill>
    </fill>
    <fill>
      <patternFill patternType="solid">
        <fgColor rgb="FFF5F7F8"/>
        <bgColor indexed="64"/>
      </patternFill>
    </fill>
  </fills>
  <borders count="28">
    <border>
      <left/>
      <right/>
      <top/>
      <bottom/>
      <diagonal/>
    </border>
    <border>
      <left style="thin">
        <color rgb="FFDADCE0"/>
      </left>
      <right style="thin">
        <color rgb="FFDADCE0"/>
      </right>
      <top style="thin">
        <color rgb="FFDADCE0"/>
      </top>
      <bottom/>
      <diagonal/>
    </border>
    <border>
      <left style="thin">
        <color rgb="FFDADCE0"/>
      </left>
      <right style="thin">
        <color rgb="FFDADCE0"/>
      </right>
      <top style="thin">
        <color rgb="FFDADCE0"/>
      </top>
      <bottom style="thin">
        <color rgb="FFDADCE0"/>
      </bottom>
      <diagonal/>
    </border>
    <border>
      <left/>
      <right/>
      <top style="thin">
        <color rgb="FFDADCE0"/>
      </top>
      <bottom style="thin">
        <color rgb="FFDADCE0"/>
      </bottom>
      <diagonal/>
    </border>
    <border>
      <left/>
      <right style="thin">
        <color rgb="FFDADCE0"/>
      </right>
      <top style="thin">
        <color rgb="FFDADCE0"/>
      </top>
      <bottom style="thin">
        <color rgb="FFDADCE0"/>
      </bottom>
      <diagonal/>
    </border>
    <border>
      <left style="thin">
        <color rgb="FFDADCE0"/>
      </left>
      <right style="thin">
        <color rgb="FFDADCE0"/>
      </right>
      <top/>
      <bottom style="thin">
        <color rgb="FFDADCE0"/>
      </bottom>
      <diagonal/>
    </border>
    <border>
      <left style="thin">
        <color rgb="FFDADCE0"/>
      </left>
      <right/>
      <top style="thin">
        <color rgb="FFDADCE0"/>
      </top>
      <bottom style="thin">
        <color rgb="FFDADC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thin">
        <color indexed="64"/>
      </top>
      <bottom style="medium">
        <color indexed="64"/>
      </bottom>
      <diagonal/>
    </border>
    <border>
      <left/>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top style="thin">
        <color indexed="64"/>
      </top>
      <bottom/>
      <diagonal/>
    </border>
    <border>
      <left/>
      <right style="medium">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0" fontId="8" fillId="0" borderId="0" applyNumberFormat="0" applyFill="0" applyBorder="0" applyAlignment="0" applyProtection="0"/>
  </cellStyleXfs>
  <cellXfs count="166">
    <xf numFmtId="0" fontId="0" fillId="0" borderId="0" xfId="0"/>
    <xf numFmtId="0" fontId="0" fillId="0" borderId="0" xfId="0" applyAlignment="1">
      <alignment horizontal="center" vertical="center"/>
    </xf>
    <xf numFmtId="0" fontId="8" fillId="0" borderId="0" xfId="3" applyAlignment="1">
      <alignment horizontal="center" vertical="center"/>
    </xf>
    <xf numFmtId="0" fontId="4" fillId="0" borderId="1" xfId="0" applyFont="1" applyBorder="1" applyAlignment="1">
      <alignment horizontal="left" vertical="center" wrapText="1" indent="1"/>
    </xf>
    <xf numFmtId="0" fontId="4" fillId="0" borderId="1" xfId="0" applyFont="1" applyBorder="1" applyAlignment="1">
      <alignment vertical="top" wrapText="1"/>
    </xf>
    <xf numFmtId="0" fontId="8" fillId="0" borderId="0" xfId="3" applyAlignment="1">
      <alignment vertical="center" wrapText="1"/>
    </xf>
    <xf numFmtId="0" fontId="5" fillId="0" borderId="2" xfId="0" applyFont="1" applyBorder="1" applyAlignment="1">
      <alignment horizontal="center" vertical="center" wrapText="1"/>
    </xf>
    <xf numFmtId="0" fontId="8" fillId="0" borderId="3" xfId="3" applyBorder="1" applyAlignment="1">
      <alignment vertical="center" wrapText="1"/>
    </xf>
    <xf numFmtId="0" fontId="8" fillId="0" borderId="4" xfId="3" applyBorder="1" applyAlignment="1">
      <alignment vertical="center" wrapText="1"/>
    </xf>
    <xf numFmtId="0" fontId="6" fillId="0" borderId="2" xfId="0" applyFont="1" applyBorder="1" applyAlignment="1">
      <alignment horizontal="right" vertical="center" indent="1"/>
    </xf>
    <xf numFmtId="0" fontId="8" fillId="0" borderId="5" xfId="3" applyBorder="1" applyAlignment="1">
      <alignment vertical="center" wrapText="1"/>
    </xf>
    <xf numFmtId="0" fontId="0" fillId="0" borderId="0" xfId="0" applyAlignment="1">
      <alignment vertical="center"/>
    </xf>
    <xf numFmtId="0" fontId="4" fillId="0" borderId="0" xfId="0" applyFont="1" applyAlignment="1">
      <alignment vertical="center"/>
    </xf>
    <xf numFmtId="0" fontId="8" fillId="0" borderId="0" xfId="3" applyAlignment="1">
      <alignment vertical="center"/>
    </xf>
    <xf numFmtId="0" fontId="4" fillId="0" borderId="2" xfId="0" applyFont="1" applyBorder="1" applyAlignment="1">
      <alignment vertical="center" wrapText="1" indent="1"/>
    </xf>
    <xf numFmtId="0" fontId="8" fillId="0" borderId="2" xfId="3" applyBorder="1" applyAlignment="1">
      <alignment horizontal="right" vertical="center" wrapText="1"/>
    </xf>
    <xf numFmtId="0" fontId="8" fillId="0" borderId="6" xfId="3" applyBorder="1" applyAlignment="1">
      <alignment vertical="center" wrapText="1"/>
    </xf>
    <xf numFmtId="0" fontId="8" fillId="0" borderId="2" xfId="3" applyBorder="1" applyAlignment="1">
      <alignment vertical="center" wrapText="1"/>
    </xf>
    <xf numFmtId="0" fontId="0" fillId="2" borderId="0" xfId="0" applyFill="1"/>
    <xf numFmtId="44" fontId="0" fillId="0" borderId="0" xfId="1" applyFont="1" applyAlignment="1">
      <alignment horizontal="center" vertical="center"/>
    </xf>
    <xf numFmtId="0" fontId="0" fillId="0" borderId="0" xfId="0" applyAlignment="1">
      <alignment horizontal="right" vertical="center" indent="1"/>
    </xf>
    <xf numFmtId="0" fontId="8" fillId="0" borderId="0" xfId="3" applyAlignment="1">
      <alignment horizontal="right" vertical="center" indent="1"/>
    </xf>
    <xf numFmtId="0" fontId="8" fillId="0" borderId="0" xfId="3" applyAlignment="1">
      <alignment horizontal="left" vertical="center" indent="1"/>
    </xf>
    <xf numFmtId="0" fontId="3" fillId="0" borderId="0" xfId="0" applyFont="1" applyAlignment="1">
      <alignment vertical="center"/>
    </xf>
    <xf numFmtId="0" fontId="3" fillId="0" borderId="0" xfId="0" applyFont="1" applyAlignment="1">
      <alignment horizontal="right" vertical="center" indent="1"/>
    </xf>
    <xf numFmtId="0" fontId="3" fillId="0" borderId="0" xfId="0" applyFont="1" applyAlignment="1">
      <alignment horizontal="left" vertical="center" indent="2"/>
    </xf>
    <xf numFmtId="0" fontId="8" fillId="0" borderId="0" xfId="3" applyAlignment="1">
      <alignment horizontal="left" vertical="center" indent="2"/>
    </xf>
    <xf numFmtId="0" fontId="9" fillId="0" borderId="0" xfId="0" applyFont="1" applyAlignment="1">
      <alignment horizontal="right" vertical="center" indent="1"/>
    </xf>
    <xf numFmtId="0" fontId="3" fillId="0" borderId="0" xfId="0" applyFont="1" applyAlignment="1">
      <alignment horizontal="left" vertical="center" indent="1"/>
    </xf>
    <xf numFmtId="0" fontId="10" fillId="0" borderId="0" xfId="0" applyFont="1" applyAlignment="1">
      <alignment horizontal="right" vertical="center" indent="1"/>
    </xf>
    <xf numFmtId="0" fontId="0" fillId="0" borderId="0" xfId="0" applyAlignment="1">
      <alignment horizontal="center" vertical="center" wrapText="1"/>
    </xf>
    <xf numFmtId="0" fontId="11" fillId="0" borderId="0" xfId="0" applyFont="1" applyAlignment="1">
      <alignment horizontal="center" vertical="center" wrapText="1"/>
    </xf>
    <xf numFmtId="0" fontId="12" fillId="0" borderId="0" xfId="0" applyFont="1" applyAlignment="1">
      <alignment horizontal="right" vertical="center" wrapText="1" indent="1"/>
    </xf>
    <xf numFmtId="0" fontId="8" fillId="0" borderId="0" xfId="3" applyAlignment="1">
      <alignment horizontal="center" vertical="center" wrapText="1"/>
    </xf>
    <xf numFmtId="3" fontId="12" fillId="0" borderId="0" xfId="0" applyNumberFormat="1" applyFont="1" applyAlignment="1">
      <alignment horizontal="right" vertical="center" wrapText="1" indent="1"/>
    </xf>
    <xf numFmtId="0" fontId="8" fillId="0" borderId="0" xfId="3" applyAlignment="1">
      <alignment horizontal="right" vertical="center" wrapText="1" indent="1"/>
    </xf>
    <xf numFmtId="0" fontId="12" fillId="0" borderId="0" xfId="0" applyFont="1" applyAlignment="1">
      <alignment horizontal="left" vertical="center" wrapText="1" indent="1"/>
    </xf>
    <xf numFmtId="9" fontId="3" fillId="0" borderId="0" xfId="0" applyNumberFormat="1" applyFont="1" applyAlignment="1">
      <alignment horizontal="right" vertical="center" indent="1"/>
    </xf>
    <xf numFmtId="165" fontId="8" fillId="0" borderId="0" xfId="3" applyNumberFormat="1" applyAlignment="1">
      <alignment horizontal="right" vertical="center" indent="1"/>
    </xf>
    <xf numFmtId="6" fontId="8" fillId="0" borderId="0" xfId="3" applyNumberFormat="1" applyAlignment="1">
      <alignment horizontal="right" vertical="center" indent="1"/>
    </xf>
    <xf numFmtId="0" fontId="14" fillId="0" borderId="0" xfId="0" applyFont="1" applyAlignment="1">
      <alignment horizontal="right" vertical="center" indent="1"/>
    </xf>
    <xf numFmtId="0" fontId="3" fillId="0" borderId="0" xfId="0" applyFont="1" applyAlignment="1">
      <alignment horizontal="left" vertical="center"/>
    </xf>
    <xf numFmtId="8" fontId="8" fillId="0" borderId="0" xfId="3" applyNumberFormat="1" applyAlignment="1">
      <alignment horizontal="right" vertical="center" indent="1"/>
    </xf>
    <xf numFmtId="44" fontId="0" fillId="0" borderId="0" xfId="1" applyFont="1" applyBorder="1" applyAlignment="1">
      <alignment horizontal="center" vertical="center"/>
    </xf>
    <xf numFmtId="10" fontId="0" fillId="0" borderId="0" xfId="2" applyNumberFormat="1" applyFont="1" applyAlignment="1">
      <alignment horizontal="center" vertical="center"/>
    </xf>
    <xf numFmtId="166" fontId="0" fillId="0" borderId="0" xfId="0" applyNumberFormat="1" applyAlignment="1">
      <alignment horizontal="center" vertical="center"/>
    </xf>
    <xf numFmtId="0" fontId="0" fillId="0" borderId="0" xfId="2" applyNumberFormat="1" applyFont="1" applyAlignment="1">
      <alignment horizontal="center" vertical="center"/>
    </xf>
    <xf numFmtId="166" fontId="0" fillId="0" borderId="13" xfId="0" applyNumberFormat="1" applyBorder="1" applyAlignment="1">
      <alignment horizontal="center" vertical="center"/>
    </xf>
    <xf numFmtId="10" fontId="0" fillId="0" borderId="13" xfId="2" applyNumberFormat="1" applyFont="1" applyBorder="1" applyAlignment="1">
      <alignment horizontal="center" vertical="center"/>
    </xf>
    <xf numFmtId="44" fontId="0" fillId="0" borderId="18" xfId="1" applyFont="1" applyBorder="1" applyAlignment="1">
      <alignment horizontal="center" vertical="center"/>
    </xf>
    <xf numFmtId="0" fontId="0" fillId="5" borderId="0" xfId="0" applyFill="1" applyAlignment="1">
      <alignment horizontal="center" vertical="center"/>
    </xf>
    <xf numFmtId="164" fontId="0" fillId="0" borderId="0" xfId="0" applyNumberFormat="1" applyAlignment="1">
      <alignment horizontal="center" vertical="center"/>
    </xf>
    <xf numFmtId="44" fontId="0" fillId="0" borderId="0" xfId="0" applyNumberFormat="1" applyAlignment="1">
      <alignment horizontal="center" vertical="center"/>
    </xf>
    <xf numFmtId="44" fontId="0" fillId="0" borderId="11" xfId="0" applyNumberFormat="1" applyBorder="1" applyAlignment="1">
      <alignment horizontal="center" vertical="center"/>
    </xf>
    <xf numFmtId="14" fontId="0" fillId="0" borderId="12" xfId="0" applyNumberFormat="1" applyBorder="1" applyAlignment="1">
      <alignment horizontal="center" vertical="center"/>
    </xf>
    <xf numFmtId="166" fontId="0" fillId="0" borderId="14" xfId="0" applyNumberFormat="1" applyBorder="1" applyAlignment="1">
      <alignment horizontal="center" vertical="center"/>
    </xf>
    <xf numFmtId="10" fontId="0" fillId="0" borderId="0" xfId="0" applyNumberFormat="1" applyAlignment="1">
      <alignment horizontal="center" vertical="center"/>
    </xf>
    <xf numFmtId="0" fontId="16" fillId="3" borderId="15" xfId="0" applyFont="1" applyFill="1" applyBorder="1" applyAlignment="1">
      <alignment horizontal="center" vertical="center"/>
    </xf>
    <xf numFmtId="0" fontId="16" fillId="3" borderId="17" xfId="0" applyFont="1" applyFill="1" applyBorder="1" applyAlignment="1">
      <alignment horizontal="center" vertical="center"/>
    </xf>
    <xf numFmtId="10" fontId="16" fillId="3" borderId="17" xfId="0" applyNumberFormat="1" applyFont="1" applyFill="1" applyBorder="1" applyAlignment="1">
      <alignment horizontal="center" vertical="center"/>
    </xf>
    <xf numFmtId="10" fontId="16" fillId="3" borderId="16" xfId="2" applyNumberFormat="1" applyFont="1" applyFill="1" applyBorder="1" applyAlignment="1">
      <alignment horizontal="center" vertical="center"/>
    </xf>
    <xf numFmtId="0" fontId="17" fillId="3" borderId="15" xfId="0" applyFont="1" applyFill="1" applyBorder="1" applyAlignment="1">
      <alignment horizontal="center" vertical="center"/>
    </xf>
    <xf numFmtId="0" fontId="17" fillId="3" borderId="17" xfId="0" applyFont="1" applyFill="1" applyBorder="1" applyAlignment="1">
      <alignment horizontal="center" vertical="center"/>
    </xf>
    <xf numFmtId="164" fontId="0" fillId="7" borderId="0" xfId="1" applyNumberFormat="1" applyFont="1" applyFill="1" applyBorder="1" applyAlignment="1">
      <alignment horizontal="center" vertical="center"/>
    </xf>
    <xf numFmtId="44" fontId="0" fillId="7" borderId="0" xfId="1" applyFont="1" applyFill="1" applyBorder="1" applyAlignment="1">
      <alignment horizontal="center" vertical="center"/>
    </xf>
    <xf numFmtId="10" fontId="0" fillId="7" borderId="0" xfId="2" applyNumberFormat="1" applyFont="1" applyFill="1" applyBorder="1" applyAlignment="1">
      <alignment horizontal="center" vertical="center"/>
    </xf>
    <xf numFmtId="164" fontId="0" fillId="6" borderId="19" xfId="0" applyNumberFormat="1" applyFill="1" applyBorder="1" applyAlignment="1">
      <alignment horizontal="center" vertical="center"/>
    </xf>
    <xf numFmtId="164" fontId="0" fillId="6" borderId="19" xfId="1" applyNumberFormat="1" applyFont="1" applyFill="1" applyBorder="1" applyAlignment="1">
      <alignment horizontal="center" vertical="center"/>
    </xf>
    <xf numFmtId="0" fontId="0" fillId="6" borderId="19" xfId="0" applyFill="1" applyBorder="1" applyAlignment="1">
      <alignment horizontal="center" vertical="center"/>
    </xf>
    <xf numFmtId="44" fontId="0" fillId="6" borderId="19" xfId="0" applyNumberFormat="1" applyFill="1" applyBorder="1" applyAlignment="1">
      <alignment horizontal="center" vertical="center"/>
    </xf>
    <xf numFmtId="10" fontId="0" fillId="6" borderId="19" xfId="0" applyNumberFormat="1" applyFill="1" applyBorder="1" applyAlignment="1">
      <alignment horizontal="center" vertical="center"/>
    </xf>
    <xf numFmtId="44" fontId="0" fillId="6" borderId="19" xfId="1" applyFont="1" applyFill="1" applyBorder="1" applyAlignment="1">
      <alignment horizontal="center" vertical="center"/>
    </xf>
    <xf numFmtId="166" fontId="0" fillId="6" borderId="19" xfId="0" applyNumberFormat="1" applyFill="1" applyBorder="1" applyAlignment="1">
      <alignment horizontal="center" vertical="center"/>
    </xf>
    <xf numFmtId="10" fontId="0" fillId="6" borderId="19" xfId="2" applyNumberFormat="1" applyFont="1" applyFill="1" applyBorder="1" applyAlignment="1">
      <alignment horizontal="center" vertical="center"/>
    </xf>
    <xf numFmtId="10" fontId="0" fillId="5" borderId="0" xfId="2" applyNumberFormat="1" applyFont="1" applyFill="1" applyAlignment="1">
      <alignment horizontal="center" vertical="center"/>
    </xf>
    <xf numFmtId="0" fontId="2" fillId="6" borderId="20" xfId="0" applyFont="1" applyFill="1" applyBorder="1" applyAlignment="1">
      <alignment horizontal="left" vertical="center" indent="4"/>
    </xf>
    <xf numFmtId="10" fontId="0" fillId="6" borderId="21" xfId="2" applyNumberFormat="1" applyFont="1" applyFill="1" applyBorder="1" applyAlignment="1">
      <alignment horizontal="center" vertical="center"/>
    </xf>
    <xf numFmtId="10" fontId="0" fillId="3" borderId="9" xfId="0" applyNumberFormat="1" applyFill="1" applyBorder="1" applyAlignment="1">
      <alignment vertical="center"/>
    </xf>
    <xf numFmtId="10" fontId="0" fillId="3" borderId="11" xfId="0" applyNumberFormat="1" applyFill="1" applyBorder="1" applyAlignment="1">
      <alignment vertical="center"/>
    </xf>
    <xf numFmtId="10" fontId="0" fillId="3" borderId="14" xfId="0" applyNumberFormat="1" applyFill="1" applyBorder="1" applyAlignment="1">
      <alignment vertical="center"/>
    </xf>
    <xf numFmtId="164" fontId="0" fillId="7" borderId="0" xfId="0" applyNumberFormat="1" applyFill="1" applyAlignment="1">
      <alignment horizontal="center" vertical="center"/>
    </xf>
    <xf numFmtId="0" fontId="0" fillId="7" borderId="0" xfId="0" applyFill="1" applyAlignment="1">
      <alignment horizontal="center" vertical="center"/>
    </xf>
    <xf numFmtId="44" fontId="0" fillId="7" borderId="0" xfId="0" applyNumberFormat="1" applyFill="1" applyAlignment="1">
      <alignment horizontal="center" vertical="center"/>
    </xf>
    <xf numFmtId="10" fontId="0" fillId="7" borderId="0" xfId="0" applyNumberFormat="1" applyFill="1" applyAlignment="1">
      <alignment horizontal="center" vertical="center"/>
    </xf>
    <xf numFmtId="166" fontId="0" fillId="7" borderId="0" xfId="0" applyNumberFormat="1" applyFill="1" applyAlignment="1">
      <alignment horizontal="center" vertical="center"/>
    </xf>
    <xf numFmtId="0" fontId="2" fillId="7" borderId="10" xfId="0" applyFont="1" applyFill="1" applyBorder="1" applyAlignment="1">
      <alignment horizontal="left" vertical="center" indent="4"/>
    </xf>
    <xf numFmtId="0" fontId="4" fillId="0" borderId="1" xfId="0" applyFont="1" applyBorder="1" applyAlignment="1">
      <alignment horizontal="right" vertical="center" wrapText="1" indent="1"/>
    </xf>
    <xf numFmtId="0" fontId="17" fillId="3" borderId="13" xfId="0" applyFont="1" applyFill="1" applyBorder="1" applyAlignment="1">
      <alignment horizontal="center" vertical="center"/>
    </xf>
    <xf numFmtId="10" fontId="0" fillId="8" borderId="14" xfId="2" applyNumberFormat="1" applyFont="1" applyFill="1" applyBorder="1" applyAlignment="1">
      <alignment horizontal="center" vertical="center"/>
    </xf>
    <xf numFmtId="10" fontId="17" fillId="3" borderId="16" xfId="2" applyNumberFormat="1" applyFont="1" applyFill="1" applyBorder="1" applyAlignment="1">
      <alignment horizontal="center" vertical="center"/>
    </xf>
    <xf numFmtId="0" fontId="17" fillId="3" borderId="8" xfId="0" applyFont="1" applyFill="1" applyBorder="1" applyAlignment="1">
      <alignment horizontal="center" vertical="center"/>
    </xf>
    <xf numFmtId="0" fontId="0" fillId="0" borderId="15" xfId="0" applyBorder="1" applyAlignment="1">
      <alignment horizontal="center" vertical="center"/>
    </xf>
    <xf numFmtId="0" fontId="0" fillId="0" borderId="17" xfId="0" applyBorder="1" applyAlignment="1">
      <alignment horizontal="center" vertical="center"/>
    </xf>
    <xf numFmtId="44" fontId="0" fillId="0" borderId="17" xfId="1" applyFont="1" applyBorder="1" applyAlignment="1">
      <alignment horizontal="center" vertical="center"/>
    </xf>
    <xf numFmtId="166" fontId="0" fillId="0" borderId="17" xfId="0" applyNumberFormat="1" applyBorder="1" applyAlignment="1">
      <alignment horizontal="center" vertical="center"/>
    </xf>
    <xf numFmtId="0" fontId="0" fillId="0" borderId="16" xfId="2" applyNumberFormat="1" applyFont="1" applyBorder="1" applyAlignment="1">
      <alignment horizontal="center" vertical="center"/>
    </xf>
    <xf numFmtId="0" fontId="0" fillId="9" borderId="17" xfId="0" applyFill="1" applyBorder="1" applyAlignment="1">
      <alignment horizontal="center" vertical="center"/>
    </xf>
    <xf numFmtId="0" fontId="0" fillId="4" borderId="0" xfId="0" applyFill="1"/>
    <xf numFmtId="10" fontId="0" fillId="6" borderId="23" xfId="2" applyNumberFormat="1" applyFont="1" applyFill="1" applyBorder="1" applyAlignment="1">
      <alignment horizontal="center" vertical="center"/>
    </xf>
    <xf numFmtId="10" fontId="0" fillId="7" borderId="22" xfId="2" applyNumberFormat="1" applyFont="1" applyFill="1" applyBorder="1" applyAlignment="1">
      <alignment horizontal="center" vertical="center"/>
    </xf>
    <xf numFmtId="0" fontId="2" fillId="0" borderId="23" xfId="0" applyFont="1" applyBorder="1" applyAlignment="1">
      <alignment horizontal="left" vertical="center" indent="4"/>
    </xf>
    <xf numFmtId="164" fontId="0" fillId="0" borderId="23" xfId="0" applyNumberFormat="1" applyBorder="1" applyAlignment="1">
      <alignment horizontal="center" vertical="center"/>
    </xf>
    <xf numFmtId="164" fontId="0" fillId="0" borderId="23" xfId="1" applyNumberFormat="1" applyFont="1" applyFill="1" applyBorder="1" applyAlignment="1">
      <alignment horizontal="center" vertical="center"/>
    </xf>
    <xf numFmtId="0" fontId="0" fillId="0" borderId="23" xfId="0" applyBorder="1" applyAlignment="1">
      <alignment horizontal="center" vertical="center"/>
    </xf>
    <xf numFmtId="44" fontId="0" fillId="0" borderId="23" xfId="0" applyNumberFormat="1" applyBorder="1" applyAlignment="1">
      <alignment horizontal="center" vertical="center"/>
    </xf>
    <xf numFmtId="10" fontId="0" fillId="0" borderId="23" xfId="0" applyNumberFormat="1" applyBorder="1" applyAlignment="1">
      <alignment horizontal="center" vertical="center"/>
    </xf>
    <xf numFmtId="44" fontId="0" fillId="0" borderId="23" xfId="1" applyFont="1" applyFill="1" applyBorder="1" applyAlignment="1">
      <alignment horizontal="center" vertical="center"/>
    </xf>
    <xf numFmtId="166" fontId="0" fillId="0" borderId="23" xfId="0" applyNumberFormat="1" applyBorder="1" applyAlignment="1">
      <alignment horizontal="center" vertical="center"/>
    </xf>
    <xf numFmtId="10" fontId="0" fillId="0" borderId="21" xfId="2" applyNumberFormat="1" applyFont="1" applyFill="1" applyBorder="1" applyAlignment="1">
      <alignment horizontal="center" vertical="center"/>
    </xf>
    <xf numFmtId="10" fontId="0" fillId="0" borderId="22" xfId="2" applyNumberFormat="1" applyFont="1" applyFill="1" applyBorder="1" applyAlignment="1">
      <alignment horizontal="center" vertical="center"/>
    </xf>
    <xf numFmtId="10" fontId="0" fillId="0" borderId="24" xfId="2" applyNumberFormat="1" applyFont="1" applyFill="1" applyBorder="1" applyAlignment="1">
      <alignment horizontal="center" vertical="center"/>
    </xf>
    <xf numFmtId="0" fontId="8" fillId="0" borderId="0" xfId="3" applyAlignment="1">
      <alignment horizontal="left" vertical="center" wrapText="1" indent="1"/>
    </xf>
    <xf numFmtId="0" fontId="0" fillId="0" borderId="0" xfId="0" applyAlignment="1">
      <alignment horizontal="left" vertical="center" indent="1"/>
    </xf>
    <xf numFmtId="0" fontId="22" fillId="0" borderId="0" xfId="0" applyFont="1" applyAlignment="1">
      <alignment horizontal="right" vertical="center" indent="1"/>
    </xf>
    <xf numFmtId="0" fontId="2" fillId="0" borderId="0" xfId="0" applyFont="1" applyAlignment="1">
      <alignment horizontal="center" vertical="center"/>
    </xf>
    <xf numFmtId="0" fontId="17" fillId="3" borderId="7" xfId="0" applyFont="1" applyFill="1" applyBorder="1" applyAlignment="1">
      <alignment horizontal="center" vertical="center"/>
    </xf>
    <xf numFmtId="0" fontId="17" fillId="3" borderId="9" xfId="0" applyFont="1" applyFill="1" applyBorder="1" applyAlignment="1">
      <alignment horizontal="center" vertical="center"/>
    </xf>
    <xf numFmtId="0" fontId="0" fillId="0" borderId="25" xfId="0" applyBorder="1" applyAlignment="1">
      <alignment horizontal="center" vertical="center"/>
    </xf>
    <xf numFmtId="14" fontId="0" fillId="0" borderId="26" xfId="0" applyNumberFormat="1" applyBorder="1" applyAlignment="1">
      <alignment horizontal="center" vertical="center"/>
    </xf>
    <xf numFmtId="0" fontId="0" fillId="0" borderId="26" xfId="0" applyBorder="1" applyAlignment="1">
      <alignment horizontal="center" vertical="center"/>
    </xf>
    <xf numFmtId="44" fontId="0" fillId="0" borderId="26" xfId="1" applyFont="1" applyBorder="1" applyAlignment="1">
      <alignment horizontal="center" vertical="center"/>
    </xf>
    <xf numFmtId="166" fontId="0" fillId="0" borderId="26" xfId="0" applyNumberFormat="1" applyBorder="1" applyAlignment="1">
      <alignment horizontal="center" vertical="center"/>
    </xf>
    <xf numFmtId="10" fontId="0" fillId="0" borderId="26" xfId="2" applyNumberFormat="1" applyFont="1" applyBorder="1" applyAlignment="1">
      <alignment horizontal="center" vertical="center"/>
    </xf>
    <xf numFmtId="0" fontId="0" fillId="0" borderId="27" xfId="2" applyNumberFormat="1" applyFont="1" applyBorder="1" applyAlignment="1">
      <alignment horizontal="center" vertical="center"/>
    </xf>
    <xf numFmtId="166" fontId="0" fillId="0" borderId="26" xfId="2" applyNumberFormat="1" applyFont="1" applyBorder="1" applyAlignment="1">
      <alignment horizontal="center" vertical="center"/>
    </xf>
    <xf numFmtId="0" fontId="24" fillId="0" borderId="0" xfId="0" applyFont="1" applyAlignment="1">
      <alignment horizontal="left" vertical="center" indent="1"/>
    </xf>
    <xf numFmtId="0" fontId="25" fillId="0" borderId="0" xfId="0" applyFont="1" applyAlignment="1">
      <alignment horizontal="left" vertical="center" indent="1"/>
    </xf>
    <xf numFmtId="14" fontId="0" fillId="5" borderId="0" xfId="0" applyNumberFormat="1" applyFill="1" applyAlignment="1">
      <alignment horizontal="center" vertical="center"/>
    </xf>
    <xf numFmtId="14" fontId="17" fillId="3" borderId="13" xfId="0" applyNumberFormat="1" applyFont="1" applyFill="1" applyBorder="1" applyAlignment="1">
      <alignment horizontal="center" vertical="center"/>
    </xf>
    <xf numFmtId="14" fontId="0" fillId="9" borderId="17" xfId="0" applyNumberFormat="1" applyFill="1" applyBorder="1" applyAlignment="1">
      <alignment horizontal="center" vertical="center"/>
    </xf>
    <xf numFmtId="14" fontId="17" fillId="3" borderId="8" xfId="0" applyNumberFormat="1" applyFont="1" applyFill="1" applyBorder="1" applyAlignment="1">
      <alignment horizontal="center" vertical="center"/>
    </xf>
    <xf numFmtId="14" fontId="0" fillId="0" borderId="0" xfId="0" applyNumberFormat="1" applyAlignment="1">
      <alignment horizontal="center" vertical="center"/>
    </xf>
    <xf numFmtId="166" fontId="0" fillId="5" borderId="0" xfId="0" applyNumberFormat="1" applyFill="1" applyAlignment="1">
      <alignment horizontal="center" vertical="center"/>
    </xf>
    <xf numFmtId="166" fontId="17" fillId="3" borderId="13" xfId="0" applyNumberFormat="1" applyFont="1" applyFill="1" applyBorder="1" applyAlignment="1">
      <alignment horizontal="center" vertical="center"/>
    </xf>
    <xf numFmtId="166" fontId="0" fillId="9" borderId="17" xfId="0" applyNumberFormat="1" applyFill="1" applyBorder="1" applyAlignment="1">
      <alignment horizontal="center" vertical="center"/>
    </xf>
    <xf numFmtId="166" fontId="17" fillId="3" borderId="8" xfId="0" applyNumberFormat="1" applyFont="1" applyFill="1" applyBorder="1" applyAlignment="1">
      <alignment horizontal="center" vertical="center"/>
    </xf>
    <xf numFmtId="0" fontId="0" fillId="10" borderId="0" xfId="0" applyFill="1" applyAlignment="1">
      <alignment vertical="center"/>
    </xf>
    <xf numFmtId="0" fontId="27" fillId="0" borderId="0" xfId="0" applyFont="1" applyAlignment="1">
      <alignment vertical="center"/>
    </xf>
    <xf numFmtId="0" fontId="28" fillId="0" borderId="0" xfId="0" applyFont="1" applyAlignment="1">
      <alignment vertical="center"/>
    </xf>
    <xf numFmtId="0" fontId="29" fillId="0" borderId="0" xfId="0" applyFont="1" applyAlignment="1">
      <alignment vertical="center"/>
    </xf>
    <xf numFmtId="0" fontId="30" fillId="0" borderId="0" xfId="0" applyFont="1" applyAlignment="1">
      <alignment vertical="center"/>
    </xf>
    <xf numFmtId="0" fontId="26" fillId="0" borderId="0" xfId="0" applyFont="1" applyAlignment="1">
      <alignment vertical="center"/>
    </xf>
    <xf numFmtId="0" fontId="31" fillId="0" borderId="0" xfId="0" applyFont="1" applyAlignment="1">
      <alignment vertical="center"/>
    </xf>
    <xf numFmtId="0" fontId="32" fillId="0" borderId="0" xfId="0" applyFont="1" applyAlignment="1">
      <alignment horizontal="center" vertical="center"/>
    </xf>
    <xf numFmtId="0" fontId="18" fillId="4" borderId="15" xfId="0" applyFont="1" applyFill="1" applyBorder="1" applyAlignment="1">
      <alignment horizontal="center" vertical="center"/>
    </xf>
    <xf numFmtId="0" fontId="18" fillId="4" borderId="17" xfId="0" applyFont="1" applyFill="1" applyBorder="1" applyAlignment="1">
      <alignment horizontal="center" vertical="center"/>
    </xf>
    <xf numFmtId="0" fontId="18" fillId="4" borderId="16" xfId="0" applyFont="1" applyFill="1" applyBorder="1" applyAlignment="1">
      <alignment horizontal="center" vertical="center"/>
    </xf>
    <xf numFmtId="10" fontId="0" fillId="3" borderId="7" xfId="0" applyNumberFormat="1" applyFill="1" applyBorder="1" applyAlignment="1">
      <alignment horizontal="center" vertical="center"/>
    </xf>
    <xf numFmtId="10" fontId="0" fillId="3" borderId="8" xfId="0" applyNumberFormat="1" applyFill="1" applyBorder="1" applyAlignment="1">
      <alignment horizontal="center" vertical="center"/>
    </xf>
    <xf numFmtId="10" fontId="0" fillId="3" borderId="9" xfId="0" applyNumberFormat="1" applyFill="1" applyBorder="1" applyAlignment="1">
      <alignment horizontal="center" vertical="center"/>
    </xf>
    <xf numFmtId="10" fontId="0" fillId="3" borderId="10" xfId="0" applyNumberFormat="1" applyFill="1" applyBorder="1" applyAlignment="1">
      <alignment horizontal="center" vertical="center"/>
    </xf>
    <xf numFmtId="10" fontId="0" fillId="3" borderId="0" xfId="0" applyNumberFormat="1" applyFill="1" applyAlignment="1">
      <alignment horizontal="center" vertical="center"/>
    </xf>
    <xf numFmtId="10" fontId="0" fillId="3" borderId="11" xfId="0" applyNumberFormat="1" applyFill="1" applyBorder="1" applyAlignment="1">
      <alignment horizontal="center" vertical="center"/>
    </xf>
    <xf numFmtId="10" fontId="0" fillId="3" borderId="12" xfId="0" applyNumberFormat="1" applyFill="1" applyBorder="1" applyAlignment="1">
      <alignment horizontal="center" vertical="center"/>
    </xf>
    <xf numFmtId="10" fontId="0" fillId="3" borderId="13" xfId="0" applyNumberFormat="1" applyFill="1" applyBorder="1" applyAlignment="1">
      <alignment horizontal="center" vertical="center"/>
    </xf>
    <xf numFmtId="10" fontId="0" fillId="3" borderId="14" xfId="0" applyNumberFormat="1" applyFill="1" applyBorder="1" applyAlignment="1">
      <alignment horizontal="center" vertical="center"/>
    </xf>
    <xf numFmtId="0" fontId="18" fillId="4" borderId="15" xfId="0" applyFont="1" applyFill="1" applyBorder="1" applyAlignment="1">
      <alignment horizontal="left" vertical="center" indent="30"/>
    </xf>
    <xf numFmtId="0" fontId="18" fillId="4" borderId="17" xfId="0" applyFont="1" applyFill="1" applyBorder="1" applyAlignment="1">
      <alignment horizontal="left" vertical="center" indent="30"/>
    </xf>
    <xf numFmtId="0" fontId="18" fillId="4" borderId="16" xfId="0" applyFont="1" applyFill="1" applyBorder="1" applyAlignment="1">
      <alignment horizontal="left" vertical="center" indent="30"/>
    </xf>
    <xf numFmtId="0" fontId="12" fillId="0" borderId="0" xfId="0" applyFont="1" applyAlignment="1">
      <alignment horizontal="right" vertical="center" wrapText="1" indent="1"/>
    </xf>
    <xf numFmtId="0" fontId="8" fillId="0" borderId="0" xfId="3" applyAlignment="1">
      <alignment horizontal="right" vertical="center" wrapText="1" indent="1"/>
    </xf>
    <xf numFmtId="0" fontId="13" fillId="0" borderId="0" xfId="0" applyFont="1" applyAlignment="1">
      <alignment horizontal="right" vertical="center" wrapText="1" indent="1"/>
    </xf>
    <xf numFmtId="0" fontId="28" fillId="0" borderId="0" xfId="0" applyFont="1" applyAlignment="1">
      <alignment horizontal="right" vertical="center" wrapText="1" indent="1"/>
    </xf>
    <xf numFmtId="0" fontId="11" fillId="0" borderId="0" xfId="0" applyFont="1" applyAlignment="1">
      <alignment horizontal="center" vertical="center" wrapText="1"/>
    </xf>
    <xf numFmtId="3" fontId="12" fillId="0" borderId="0" xfId="0" applyNumberFormat="1" applyFont="1" applyAlignment="1">
      <alignment horizontal="right" vertical="center" wrapText="1" indent="1"/>
    </xf>
    <xf numFmtId="0" fontId="21" fillId="0" borderId="0" xfId="0" applyFont="1" applyAlignment="1">
      <alignment horizontal="center" vertical="center"/>
    </xf>
  </cellXfs>
  <cellStyles count="4">
    <cellStyle name="Hiperlink" xfId="3" builtinId="8"/>
    <cellStyle name="Moeda" xfId="1" builtinId="4"/>
    <cellStyle name="Normal" xfId="0" builtinId="0"/>
    <cellStyle name="Porcentagem" xfId="2" builtinId="5"/>
  </cellStyles>
  <dxfs count="56">
    <dxf>
      <font>
        <color rgb="FF00B050"/>
      </font>
    </dxf>
    <dxf>
      <font>
        <color rgb="FFFF0000"/>
      </font>
    </dxf>
    <dxf>
      <font>
        <color rgb="FF00B050"/>
      </font>
    </dxf>
    <dxf>
      <font>
        <color rgb="FFFF0000"/>
      </font>
    </dxf>
    <dxf>
      <font>
        <color rgb="FF00B050"/>
      </font>
    </dxf>
    <dxf>
      <font>
        <color rgb="FFFF0000"/>
      </font>
    </dxf>
    <dxf>
      <fill>
        <patternFill patternType="lightUp">
          <fgColor theme="0" tint="-0.34998626667073579"/>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border diagonalUp="0" diagonalDown="0">
        <left/>
        <right style="medium">
          <color indexed="64"/>
        </right>
        <top/>
        <bottom/>
        <vertical/>
        <horizontal/>
      </border>
    </dxf>
    <dxf>
      <fill>
        <patternFill patternType="lightUp">
          <fgColor theme="0" tint="-0.499984740745262"/>
          <bgColor indexed="65"/>
        </patternFill>
      </fill>
      <alignment horizontal="center" vertical="center" textRotation="0" wrapText="0" indent="0" justifyLastLine="0" shrinkToFit="0" readingOrder="0"/>
    </dxf>
    <dxf>
      <fill>
        <patternFill patternType="lightUp">
          <fgColor theme="0" tint="-0.499984740745262"/>
          <bgColor indexed="65"/>
        </patternFill>
      </fill>
      <alignment horizontal="center" vertical="center" textRotation="0" wrapText="0" indent="0" justifyLastLine="0" shrinkToFit="0" readingOrder="0"/>
    </dxf>
    <dxf>
      <numFmt numFmtId="166" formatCode="_-[$$-409]* #,##0.00_ ;_-[$$-409]* \-#,##0.00\ ;_-[$$-409]* &quot;-&quot;??_ ;_-@_ "/>
      <fill>
        <patternFill patternType="lightUp">
          <fgColor theme="0" tint="-0.499984740745262"/>
          <bgColor indexed="65"/>
        </patternFill>
      </fill>
      <alignment horizontal="center" vertical="center" textRotation="0" wrapText="0" indent="0" justifyLastLine="0" shrinkToFit="0" readingOrder="0"/>
    </dxf>
    <dxf>
      <fill>
        <patternFill patternType="lightUp">
          <fgColor theme="0" tint="-0.499984740745262"/>
          <bgColor indexed="65"/>
        </patternFill>
      </fill>
      <alignment horizontal="center" vertical="center" textRotation="0" wrapText="0" indent="0" justifyLastLine="0" shrinkToFit="0" readingOrder="0"/>
    </dxf>
    <dxf>
      <numFmt numFmtId="166" formatCode="_-[$$-409]* #,##0.00_ ;_-[$$-409]* \-#,##0.00\ ;_-[$$-409]* &quot;-&quot;??_ ;_-@_ "/>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numFmt numFmtId="19" formatCode="dd/mm/yyyy"/>
      <fill>
        <patternFill patternType="lightUp">
          <fgColor theme="0" tint="-0.499984740745262"/>
          <bgColor indexed="65"/>
        </patternFill>
      </fill>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medium">
          <color indexed="64"/>
        </left>
        <right/>
        <top/>
        <bottom/>
      </border>
    </dxf>
    <dxf>
      <border outline="0">
        <left style="medium">
          <color indexed="64"/>
        </left>
        <right style="medium">
          <color indexed="64"/>
        </right>
        <top style="medium">
          <color indexed="64"/>
        </top>
        <bottom style="medium">
          <color indexed="64"/>
        </bottom>
      </border>
    </dxf>
    <dxf>
      <fill>
        <patternFill patternType="lightUp">
          <fgColor theme="0" tint="-0.34998626667073579"/>
          <bgColor indexed="65"/>
        </patternFill>
      </fill>
      <alignment horizontal="center" vertical="center" textRotation="0" wrapText="0" indent="0" justifyLastLine="0" shrinkToFit="0" readingOrder="0"/>
    </dxf>
    <dxf>
      <border outline="0">
        <bottom style="medium">
          <color indexed="64"/>
        </bottom>
      </border>
    </dxf>
    <dxf>
      <font>
        <b/>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166" formatCode="_-[$$-409]* #,##0.00_ ;_-[$$-409]* \-#,##0.00\ ;_-[$$-409]* &quot;-&quot;??_ ;_-@_ "/>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0" formatCode="General"/>
      <alignment horizontal="center" vertical="center" textRotation="0" wrapText="0" indent="0" justifyLastLine="0" shrinkToFit="0" readingOrder="0"/>
      <border diagonalUp="0" diagonalDown="0">
        <left/>
        <right style="medium">
          <color indexed="64"/>
        </right>
        <top/>
        <bottom/>
        <vertical/>
        <horizontal/>
      </border>
    </dxf>
    <dxf>
      <numFmt numFmtId="14" formatCode="0.00%"/>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166" formatCode="_-[$$-409]* #,##0.00_ ;_-[$$-409]* \-#,##0.00\ ;_-[$$-409]* &quot;-&quot;??_ ;_-@_ "/>
      <alignment horizontal="center" vertical="center" textRotation="0" wrapText="0" indent="0" justifyLastLine="0" shrinkToFit="0" readingOrder="0"/>
    </dxf>
    <dxf>
      <alignment horizontal="center" vertical="center" textRotation="0" wrapText="0" indent="0" justifyLastLine="0" shrinkToFit="0" readingOrder="0"/>
    </dxf>
    <dxf>
      <numFmt numFmtId="166" formatCode="_-[$$-409]* #,##0.00_ ;_-[$$-409]* \-#,##0.00\ ;_-[$$-409]* &quot;-&quot;??_ ;_-@_ "/>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19" formatCode="dd/mm/yyyy"/>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style="medium">
          <color indexed="64"/>
        </left>
        <right/>
        <top/>
        <bottom/>
      </border>
    </dxf>
    <dxf>
      <border diagonalUp="0" diagonalDown="0">
        <left style="medium">
          <color indexed="64"/>
        </left>
        <right style="medium">
          <color indexed="64"/>
        </right>
        <top style="medium">
          <color indexed="64"/>
        </top>
        <bottom style="medium">
          <color indexed="64"/>
        </bottom>
      </border>
    </dxf>
    <dxf>
      <alignment horizontal="center" vertical="center" textRotation="0" wrapText="0" indent="0" justifyLastLine="0" shrinkToFit="0" readingOrder="0"/>
    </dxf>
    <dxf>
      <alignment horizontal="center" vertical="center" textRotation="0" wrapText="0" indent="0" justifyLastLine="0" shrinkToFit="0" readingOrder="0"/>
    </dxf>
    <dxf>
      <font>
        <strike val="0"/>
        <outline val="0"/>
        <shadow val="0"/>
        <u val="none"/>
        <vertAlign val="baseline"/>
        <sz val="11"/>
      </font>
      <numFmt numFmtId="14" formatCode="0.00%"/>
      <alignment horizontal="center" vertical="center" textRotation="0" wrapText="0" indent="0" justifyLastLine="0" shrinkToFit="0" readingOrder="0"/>
    </dxf>
    <dxf>
      <numFmt numFmtId="14" formatCode="0.00%"/>
      <border diagonalUp="0" diagonalDown="0">
        <left/>
        <right style="medium">
          <color indexed="64"/>
        </right>
        <vertical/>
      </border>
    </dxf>
    <dxf>
      <font>
        <strike val="0"/>
        <outline val="0"/>
        <shadow val="0"/>
        <u val="none"/>
        <vertAlign val="baseline"/>
        <sz val="11"/>
      </font>
      <numFmt numFmtId="166" formatCode="_-[$$-409]* #,##0.00_ ;_-[$$-409]* \-#,##0.00\ ;_-[$$-409]* &quot;-&quot;??_ ;_-@_ "/>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34" formatCode="_-&quot;R$&quot;\ * #,##0.00_-;\-&quot;R$&quot;\ * #,##0.00_-;_-&quot;R$&quot;\ * &quot;-&quot;??_-;_-@_-"/>
      <alignment horizontal="center" vertical="center" textRotation="0" wrapText="0" indent="0" justifyLastLine="0" shrinkToFit="0" readingOrder="0"/>
    </dxf>
    <dxf>
      <font>
        <strike val="0"/>
        <outline val="0"/>
        <shadow val="0"/>
        <u val="none"/>
        <vertAlign val="baseline"/>
        <sz val="11"/>
      </font>
      <numFmt numFmtId="34" formatCode="_-&quot;R$&quot;\ * #,##0.00_-;\-&quot;R$&quot;\ * #,##0.00_-;_-&quot;R$&quot;\ * &quot;-&quot;??_-;_-@_-"/>
      <alignment horizontal="center" vertical="center" textRotation="0" wrapText="0" indent="0" justifyLastLine="0" shrinkToFit="0" readingOrder="0"/>
    </dxf>
    <dxf>
      <font>
        <strike val="0"/>
        <outline val="0"/>
        <shadow val="0"/>
        <u val="none"/>
        <vertAlign val="baseline"/>
        <sz val="11"/>
      </font>
      <numFmt numFmtId="34" formatCode="_-&quot;R$&quot;\ * #,##0.00_-;\-&quot;R$&quot;\ * #,##0.00_-;_-&quot;R$&quot;\ * &quot;-&quot;??_-;_-@_-"/>
      <alignment horizontal="center" vertical="center" textRotation="0" wrapText="0" indent="0" justifyLastLine="0" shrinkToFit="0" readingOrder="0"/>
    </dxf>
    <dxf>
      <font>
        <strike val="0"/>
        <outline val="0"/>
        <shadow val="0"/>
        <u val="none"/>
        <vertAlign val="baseline"/>
        <sz val="11"/>
      </font>
      <numFmt numFmtId="14" formatCode="0.00%"/>
      <alignment horizontal="center" vertical="center" textRotation="0" wrapText="0" indent="0" justifyLastLine="0" shrinkToFit="0" readingOrder="0"/>
    </dxf>
    <dxf>
      <font>
        <strike val="0"/>
        <outline val="0"/>
        <shadow val="0"/>
        <u val="none"/>
        <vertAlign val="baseline"/>
        <sz val="11"/>
      </font>
      <numFmt numFmtId="34" formatCode="_-&quot;R$&quot;\ * #,##0.00_-;\-&quot;R$&quot;\ * #,##0.00_-;_-&quot;R$&quot;\ * &quot;-&quot;??_-;_-@_-"/>
      <alignment horizontal="center" vertical="center" textRotation="0" wrapText="0" indent="0" justifyLastLine="0" shrinkToFit="0" readingOrder="0"/>
    </dxf>
    <dxf>
      <font>
        <strike val="0"/>
        <outline val="0"/>
        <shadow val="0"/>
        <u val="none"/>
        <vertAlign val="baseline"/>
        <sz val="11"/>
      </font>
      <numFmt numFmtId="164" formatCode="_-[$R$-416]\ * #,##0.00_-;\-[$R$-416]\ * #,##0.00_-;_-[$R$-416]\ * &quot;-&quot;??_-;_-@_-"/>
      <alignment horizontal="center" vertical="center" textRotation="0" wrapText="0" indent="0" justifyLastLine="0" shrinkToFit="0" readingOrder="0"/>
    </dxf>
    <dxf>
      <font>
        <strike val="0"/>
        <outline val="0"/>
        <shadow val="0"/>
        <u val="none"/>
        <vertAlign val="baseline"/>
        <sz val="11"/>
      </font>
      <numFmt numFmtId="0" formatCode="General"/>
      <alignment horizontal="center" vertical="center" textRotation="0" wrapText="0" indent="0" justifyLastLine="0" shrinkToFit="0" readingOrder="0"/>
    </dxf>
    <dxf>
      <font>
        <strike val="0"/>
        <outline val="0"/>
        <shadow val="0"/>
        <u val="none"/>
        <vertAlign val="baseline"/>
        <sz val="11"/>
      </font>
      <numFmt numFmtId="164" formatCode="_-[$R$-416]\ * #,##0.00_-;\-[$R$-416]\ * #,##0.00_-;_-[$R$-416]\ * &quot;-&quot;??_-;_-@_-"/>
      <alignment horizontal="center" vertical="center" textRotation="0" wrapText="0" indent="0" justifyLastLine="0" shrinkToFit="0" readingOrder="0"/>
    </dxf>
    <dxf>
      <font>
        <strike val="0"/>
        <outline val="0"/>
        <shadow val="0"/>
        <u val="none"/>
        <vertAlign val="baseline"/>
        <sz val="11"/>
      </font>
      <numFmt numFmtId="164" formatCode="_-[$R$-416]\ * #,##0.00_-;\-[$R$-416]\ * #,##0.00_-;_-[$R$-416]\ * &quot;-&quot;??_-;_-@_-"/>
      <alignment horizontal="center" vertical="center" textRotation="0" wrapText="0" indent="0" justifyLastLine="0" shrinkToFit="0" readingOrder="0"/>
    </dxf>
    <dxf>
      <font>
        <b/>
        <strike val="0"/>
        <outline val="0"/>
        <shadow val="0"/>
        <u val="none"/>
        <vertAlign val="baseline"/>
        <sz val="11"/>
      </font>
      <alignment horizontal="left" vertical="center" textRotation="0" wrapText="0" relativeIndent="-1" justifyLastLine="0" shrinkToFit="0" readingOrder="0"/>
      <border diagonalUp="0" diagonalDown="0">
        <left style="medium">
          <color indexed="64"/>
        </left>
        <right/>
        <vertical/>
      </border>
    </dxf>
    <dxf>
      <border diagonalUp="0" diagonalDown="0">
        <left style="medium">
          <color indexed="64"/>
        </left>
        <right style="medium">
          <color indexed="64"/>
        </right>
        <top style="medium">
          <color indexed="64"/>
        </top>
        <bottom style="medium">
          <color indexed="64"/>
        </bottom>
      </border>
    </dxf>
    <dxf>
      <font>
        <strike val="0"/>
        <outline val="0"/>
        <shadow val="0"/>
        <u val="none"/>
        <vertAlign val="baseline"/>
        <sz val="11"/>
      </font>
      <alignment horizontal="center" vertical="center" textRotation="0" wrapText="0" indent="0" justifyLastLine="0" shrinkToFit="0" readingOrder="0"/>
    </dxf>
    <dxf>
      <border>
        <bottom style="medium">
          <color indexed="64"/>
        </bottom>
      </border>
    </dxf>
    <dxf>
      <font>
        <strike val="0"/>
        <outline val="0"/>
        <shadow val="0"/>
        <u val="none"/>
        <vertAlign val="baseline"/>
        <sz val="11"/>
        <color auto="1"/>
        <name val="Calibri"/>
        <family val="2"/>
        <scheme val="minor"/>
      </font>
      <fill>
        <patternFill patternType="solid">
          <fgColor indexed="64"/>
          <bgColor theme="0" tint="-0.14999847407452621"/>
        </patternFill>
      </fill>
      <alignment horizontal="center" vertical="center" textRotation="0" wrapText="0" indent="0" justifyLastLine="0" shrinkToFit="0" readingOrder="0"/>
      <border diagonalUp="0" diagonalDown="0">
        <left/>
        <right/>
        <top/>
        <bottom/>
        <vertical/>
        <horizontal/>
      </border>
    </dxf>
  </dxfs>
  <tableStyles count="0" defaultTableStyle="TableStyleMedium2" defaultPivotStyle="PivotStyleLight16"/>
  <colors>
    <mruColors>
      <color rgb="FFECDFF5"/>
      <color rgb="FFD3B5E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600" b="1"/>
              <a:t>% carteira</a:t>
            </a:r>
          </a:p>
        </c:rich>
      </c:tx>
      <c:layout>
        <c:manualLayout>
          <c:xMode val="edge"/>
          <c:yMode val="edge"/>
          <c:x val="0.39969855822816669"/>
          <c:y val="3.100766589198375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pieChart>
        <c:varyColors val="1"/>
        <c:ser>
          <c:idx val="0"/>
          <c:order val="0"/>
          <c:tx>
            <c:strRef>
              <c:f>Principal!$M$8</c:f>
              <c:strCache>
                <c:ptCount val="1"/>
                <c:pt idx="0">
                  <c:v>% carteira</c:v>
                </c:pt>
              </c:strCache>
            </c:strRef>
          </c:tx>
          <c:dPt>
            <c:idx val="0"/>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E-5852-47CB-8463-1A220734FC0E}"/>
              </c:ext>
            </c:extLst>
          </c:dPt>
          <c:dPt>
            <c:idx val="1"/>
            <c:bubble3D val="0"/>
            <c:spPr>
              <a:solidFill>
                <a:srgbClr val="D3B5E9"/>
              </a:solidFill>
              <a:ln w="19050">
                <a:solidFill>
                  <a:schemeClr val="lt1"/>
                </a:solidFill>
              </a:ln>
              <a:effectLst/>
            </c:spPr>
            <c:extLst>
              <c:ext xmlns:c16="http://schemas.microsoft.com/office/drawing/2014/chart" uri="{C3380CC4-5D6E-409C-BE32-E72D297353CC}">
                <c16:uniqueId val="{0000000F-5852-47CB-8463-1A220734FC0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EA4-47B4-A05D-9318B284290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EA4-47B4-A05D-9318B284290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EA4-47B4-A05D-9318B284290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EA4-47B4-A05D-9318B284290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EA4-47B4-A05D-9318B284290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EA4-47B4-A05D-9318B284290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EA4-47B4-A05D-9318B284290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EA4-47B4-A05D-9318B284290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EA4-47B4-A05D-9318B284290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EA4-47B4-A05D-9318B284290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EA4-47B4-A05D-9318B284290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EA4-47B4-A05D-9318B284290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EA4-47B4-A05D-9318B2842909}"/>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E83E-4B4D-B240-3E217A5F7E5B}"/>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E83E-4B4D-B240-3E217A5F7E5B}"/>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Principal!$B$9:$B$25</c:f>
              <c:strCache>
                <c:ptCount val="17"/>
                <c:pt idx="0">
                  <c:v>BTC</c:v>
                </c:pt>
                <c:pt idx="1">
                  <c:v>ETH</c:v>
                </c:pt>
                <c:pt idx="2">
                  <c:v>SOL</c:v>
                </c:pt>
                <c:pt idx="3">
                  <c:v>LINK</c:v>
                </c:pt>
                <c:pt idx="4">
                  <c:v>RON</c:v>
                </c:pt>
                <c:pt idx="5">
                  <c:v>IMX</c:v>
                </c:pt>
                <c:pt idx="6">
                  <c:v>GALA</c:v>
                </c:pt>
                <c:pt idx="7">
                  <c:v>MATIC</c:v>
                </c:pt>
                <c:pt idx="8">
                  <c:v>OP</c:v>
                </c:pt>
                <c:pt idx="9">
                  <c:v>ARB</c:v>
                </c:pt>
                <c:pt idx="10">
                  <c:v>RNDR</c:v>
                </c:pt>
                <c:pt idx="11">
                  <c:v>STX</c:v>
                </c:pt>
                <c:pt idx="12">
                  <c:v>DOGE</c:v>
                </c:pt>
                <c:pt idx="13">
                  <c:v>WIF</c:v>
                </c:pt>
                <c:pt idx="14">
                  <c:v>SHIBA</c:v>
                </c:pt>
                <c:pt idx="15">
                  <c:v>PEPE</c:v>
                </c:pt>
                <c:pt idx="16">
                  <c:v>LDO</c:v>
                </c:pt>
              </c:strCache>
            </c:strRef>
          </c:cat>
          <c:val>
            <c:numRef>
              <c:f>Principal!$M$9:$M$25</c:f>
              <c:numCache>
                <c:formatCode>0.00%</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extLst>
            <c:ext xmlns:c16="http://schemas.microsoft.com/office/drawing/2014/chart" uri="{C3380CC4-5D6E-409C-BE32-E72D297353CC}">
              <c16:uniqueId val="{0000000D-5852-47CB-8463-1A220734FC0E}"/>
            </c:ext>
          </c:extLst>
        </c:ser>
        <c:dLbls>
          <c:showLegendKey val="0"/>
          <c:showVal val="0"/>
          <c:showCatName val="0"/>
          <c:showSerName val="0"/>
          <c:showPercent val="0"/>
          <c:showBubbleSize val="0"/>
          <c:showLeaderLines val="1"/>
        </c:dLbls>
        <c:firstSliceAng val="0"/>
      </c:pieChart>
      <c:spPr>
        <a:noFill/>
        <a:ln>
          <a:noFill/>
        </a:ln>
        <a:effectLst/>
      </c:spPr>
    </c:plotArea>
    <c:legend>
      <c:legendPos val="r"/>
      <c:layout>
        <c:manualLayout>
          <c:xMode val="edge"/>
          <c:yMode val="edge"/>
          <c:x val="0.81019814653069633"/>
          <c:y val="0.11462491607153757"/>
          <c:w val="9.1604819344390465E-2"/>
          <c:h val="0.7828078208285638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pt-B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lumMod val="95000"/>
      </a:schemeClr>
    </a:solid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image" Target="../media/image10.png"/><Relationship Id="rId18" Type="http://schemas.openxmlformats.org/officeDocument/2006/relationships/image" Target="../media/image15.png"/><Relationship Id="rId3" Type="http://schemas.openxmlformats.org/officeDocument/2006/relationships/hyperlink" Target="#Graficos!A1"/><Relationship Id="rId7" Type="http://schemas.openxmlformats.org/officeDocument/2006/relationships/image" Target="../media/image4.png"/><Relationship Id="rId12" Type="http://schemas.openxmlformats.org/officeDocument/2006/relationships/image" Target="../media/image9.png"/><Relationship Id="rId17" Type="http://schemas.openxmlformats.org/officeDocument/2006/relationships/image" Target="../media/image14.png"/><Relationship Id="rId2" Type="http://schemas.openxmlformats.org/officeDocument/2006/relationships/hyperlink" Target="#Links!A1"/><Relationship Id="rId16" Type="http://schemas.openxmlformats.org/officeDocument/2006/relationships/image" Target="../media/image13.png"/><Relationship Id="rId20" Type="http://schemas.openxmlformats.org/officeDocument/2006/relationships/image" Target="../media/image17.jpeg"/><Relationship Id="rId1" Type="http://schemas.openxmlformats.org/officeDocument/2006/relationships/hyperlink" Target="#Movimentos!A1"/><Relationship Id="rId6" Type="http://schemas.openxmlformats.org/officeDocument/2006/relationships/image" Target="../media/image3.png"/><Relationship Id="rId11" Type="http://schemas.openxmlformats.org/officeDocument/2006/relationships/image" Target="../media/image8.png"/><Relationship Id="rId5" Type="http://schemas.openxmlformats.org/officeDocument/2006/relationships/image" Target="../media/image2.jpeg"/><Relationship Id="rId15" Type="http://schemas.openxmlformats.org/officeDocument/2006/relationships/image" Target="../media/image12.jpeg"/><Relationship Id="rId10" Type="http://schemas.openxmlformats.org/officeDocument/2006/relationships/image" Target="../media/image7.png"/><Relationship Id="rId19" Type="http://schemas.openxmlformats.org/officeDocument/2006/relationships/image" Target="../media/image16.jpeg"/><Relationship Id="rId4" Type="http://schemas.openxmlformats.org/officeDocument/2006/relationships/image" Target="../media/image1.png"/><Relationship Id="rId9" Type="http://schemas.openxmlformats.org/officeDocument/2006/relationships/image" Target="../media/image6.jpeg"/><Relationship Id="rId14" Type="http://schemas.openxmlformats.org/officeDocument/2006/relationships/image" Target="../media/image11.png"/></Relationships>
</file>

<file path=xl/drawings/_rels/drawing3.xml.rels><?xml version="1.0" encoding="UTF-8" standalone="yes"?>
<Relationships xmlns="http://schemas.openxmlformats.org/package/2006/relationships"><Relationship Id="rId2" Type="http://schemas.openxmlformats.org/officeDocument/2006/relationships/hyperlink" Target="#Principal!A1"/><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hyperlink" Target="#Principal!A1"/></Relationships>
</file>

<file path=xl/drawings/drawing1.xml><?xml version="1.0" encoding="utf-8"?>
<xdr:wsDr xmlns:xdr="http://schemas.openxmlformats.org/drawingml/2006/spreadsheetDrawing" xmlns:a="http://schemas.openxmlformats.org/drawingml/2006/main">
  <xdr:twoCellAnchor>
    <xdr:from>
      <xdr:col>8</xdr:col>
      <xdr:colOff>666750</xdr:colOff>
      <xdr:row>4</xdr:row>
      <xdr:rowOff>28575</xdr:rowOff>
    </xdr:from>
    <xdr:to>
      <xdr:col>9</xdr:col>
      <xdr:colOff>676275</xdr:colOff>
      <xdr:row>5</xdr:row>
      <xdr:rowOff>111429</xdr:rowOff>
    </xdr:to>
    <xdr:sp macro="" textlink="">
      <xdr:nvSpPr>
        <xdr:cNvPr id="3" name="Retângulo: Cantos Arredondados 2">
          <a:hlinkClick xmlns:r="http://schemas.openxmlformats.org/officeDocument/2006/relationships" r:id="rId1"/>
          <a:extLst>
            <a:ext uri="{FF2B5EF4-FFF2-40B4-BE49-F238E27FC236}">
              <a16:creationId xmlns:a16="http://schemas.microsoft.com/office/drawing/2014/main" id="{74957269-303B-CC93-1450-58D05D5D42D6}"/>
            </a:ext>
          </a:extLst>
        </xdr:cNvPr>
        <xdr:cNvSpPr/>
      </xdr:nvSpPr>
      <xdr:spPr>
        <a:xfrm>
          <a:off x="8829675" y="933450"/>
          <a:ext cx="1133475" cy="301929"/>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chemeClr val="tx1"/>
              </a:solidFill>
            </a:rPr>
            <a:t>Movimentação</a:t>
          </a:r>
        </a:p>
      </xdr:txBody>
    </xdr:sp>
    <xdr:clientData/>
  </xdr:twoCellAnchor>
  <xdr:twoCellAnchor>
    <xdr:from>
      <xdr:col>11</xdr:col>
      <xdr:colOff>400050</xdr:colOff>
      <xdr:row>4</xdr:row>
      <xdr:rowOff>28575</xdr:rowOff>
    </xdr:from>
    <xdr:to>
      <xdr:col>12</xdr:col>
      <xdr:colOff>581025</xdr:colOff>
      <xdr:row>5</xdr:row>
      <xdr:rowOff>111429</xdr:rowOff>
    </xdr:to>
    <xdr:sp macro="" textlink="">
      <xdr:nvSpPr>
        <xdr:cNvPr id="4" name="Retângulo: Cantos Arredondados 3">
          <a:hlinkClick xmlns:r="http://schemas.openxmlformats.org/officeDocument/2006/relationships" r:id="rId2"/>
          <a:extLst>
            <a:ext uri="{FF2B5EF4-FFF2-40B4-BE49-F238E27FC236}">
              <a16:creationId xmlns:a16="http://schemas.microsoft.com/office/drawing/2014/main" id="{1710CCB2-B16F-44E5-A46B-57FF7A2335A9}"/>
            </a:ext>
          </a:extLst>
        </xdr:cNvPr>
        <xdr:cNvSpPr/>
      </xdr:nvSpPr>
      <xdr:spPr>
        <a:xfrm>
          <a:off x="11706225" y="933450"/>
          <a:ext cx="1133475" cy="301929"/>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chemeClr val="tx1"/>
              </a:solidFill>
            </a:rPr>
            <a:t>Links</a:t>
          </a:r>
        </a:p>
      </xdr:txBody>
    </xdr:sp>
    <xdr:clientData/>
  </xdr:twoCellAnchor>
  <xdr:twoCellAnchor>
    <xdr:from>
      <xdr:col>9</xdr:col>
      <xdr:colOff>981075</xdr:colOff>
      <xdr:row>4</xdr:row>
      <xdr:rowOff>28575</xdr:rowOff>
    </xdr:from>
    <xdr:to>
      <xdr:col>11</xdr:col>
      <xdr:colOff>95250</xdr:colOff>
      <xdr:row>5</xdr:row>
      <xdr:rowOff>111429</xdr:rowOff>
    </xdr:to>
    <xdr:sp macro="" textlink="">
      <xdr:nvSpPr>
        <xdr:cNvPr id="5" name="Retângulo: Cantos Arredondados 4">
          <a:hlinkClick xmlns:r="http://schemas.openxmlformats.org/officeDocument/2006/relationships" r:id="rId3"/>
          <a:extLst>
            <a:ext uri="{FF2B5EF4-FFF2-40B4-BE49-F238E27FC236}">
              <a16:creationId xmlns:a16="http://schemas.microsoft.com/office/drawing/2014/main" id="{C0CDA6BB-0978-481A-AB94-319AF7259200}"/>
            </a:ext>
          </a:extLst>
        </xdr:cNvPr>
        <xdr:cNvSpPr/>
      </xdr:nvSpPr>
      <xdr:spPr>
        <a:xfrm>
          <a:off x="10267950" y="933450"/>
          <a:ext cx="1133475" cy="301929"/>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chemeClr val="tx1"/>
              </a:solidFill>
            </a:rPr>
            <a:t>Graficos</a:t>
          </a:r>
        </a:p>
      </xdr:txBody>
    </xdr:sp>
    <xdr:clientData/>
  </xdr:twoCellAnchor>
  <xdr:twoCellAnchor>
    <xdr:from>
      <xdr:col>7</xdr:col>
      <xdr:colOff>200025</xdr:colOff>
      <xdr:row>4</xdr:row>
      <xdr:rowOff>28575</xdr:rowOff>
    </xdr:from>
    <xdr:to>
      <xdr:col>8</xdr:col>
      <xdr:colOff>361950</xdr:colOff>
      <xdr:row>5</xdr:row>
      <xdr:rowOff>111429</xdr:rowOff>
    </xdr:to>
    <xdr:sp macro="[0]!Principal.Atualizar" textlink="">
      <xdr:nvSpPr>
        <xdr:cNvPr id="6" name="Retângulo: Cantos Arredondados 5">
          <a:extLst>
            <a:ext uri="{FF2B5EF4-FFF2-40B4-BE49-F238E27FC236}">
              <a16:creationId xmlns:a16="http://schemas.microsoft.com/office/drawing/2014/main" id="{44324E39-B17D-4778-9E0F-32A7CB37AFDE}"/>
            </a:ext>
          </a:extLst>
        </xdr:cNvPr>
        <xdr:cNvSpPr/>
      </xdr:nvSpPr>
      <xdr:spPr>
        <a:xfrm>
          <a:off x="7391400" y="933450"/>
          <a:ext cx="1133475" cy="301929"/>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chemeClr val="tx1"/>
              </a:solidFill>
            </a:rPr>
            <a:t>Atualizar!</a:t>
          </a:r>
        </a:p>
      </xdr:txBody>
    </xdr:sp>
    <xdr:clientData/>
  </xdr:twoCellAnchor>
  <xdr:twoCellAnchor>
    <xdr:from>
      <xdr:col>11</xdr:col>
      <xdr:colOff>400050</xdr:colOff>
      <xdr:row>2</xdr:row>
      <xdr:rowOff>47625</xdr:rowOff>
    </xdr:from>
    <xdr:to>
      <xdr:col>12</xdr:col>
      <xdr:colOff>581025</xdr:colOff>
      <xdr:row>3</xdr:row>
      <xdr:rowOff>130479</xdr:rowOff>
    </xdr:to>
    <xdr:sp macro="[0]!AddCoin" textlink="">
      <xdr:nvSpPr>
        <xdr:cNvPr id="7" name="Retângulo: Cantos Arredondados 6">
          <a:extLst>
            <a:ext uri="{FF2B5EF4-FFF2-40B4-BE49-F238E27FC236}">
              <a16:creationId xmlns:a16="http://schemas.microsoft.com/office/drawing/2014/main" id="{611E4850-9CE0-4B00-940A-1E5CE4657383}"/>
            </a:ext>
          </a:extLst>
        </xdr:cNvPr>
        <xdr:cNvSpPr/>
      </xdr:nvSpPr>
      <xdr:spPr>
        <a:xfrm>
          <a:off x="11706225" y="533400"/>
          <a:ext cx="1133475" cy="301929"/>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chemeClr val="tx1"/>
              </a:solidFill>
            </a:rPr>
            <a:t>Add Coin</a:t>
          </a:r>
        </a:p>
      </xdr:txBody>
    </xdr:sp>
    <xdr:clientData/>
  </xdr:twoCellAnchor>
  <xdr:twoCellAnchor>
    <xdr:from>
      <xdr:col>9</xdr:col>
      <xdr:colOff>981075</xdr:colOff>
      <xdr:row>2</xdr:row>
      <xdr:rowOff>47625</xdr:rowOff>
    </xdr:from>
    <xdr:to>
      <xdr:col>11</xdr:col>
      <xdr:colOff>95250</xdr:colOff>
      <xdr:row>3</xdr:row>
      <xdr:rowOff>130479</xdr:rowOff>
    </xdr:to>
    <xdr:sp macro="[0]!AjustarTela" textlink="">
      <xdr:nvSpPr>
        <xdr:cNvPr id="10" name="Retângulo: Cantos Arredondados 9">
          <a:extLst>
            <a:ext uri="{FF2B5EF4-FFF2-40B4-BE49-F238E27FC236}">
              <a16:creationId xmlns:a16="http://schemas.microsoft.com/office/drawing/2014/main" id="{396A2491-07DB-4E1F-804F-0E5D01ED5872}"/>
            </a:ext>
          </a:extLst>
        </xdr:cNvPr>
        <xdr:cNvSpPr/>
      </xdr:nvSpPr>
      <xdr:spPr>
        <a:xfrm>
          <a:off x="10267950" y="533400"/>
          <a:ext cx="1133475" cy="301929"/>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chemeClr val="tx1"/>
              </a:solidFill>
            </a:rPr>
            <a:t>Ajustar Tela</a:t>
          </a:r>
        </a:p>
      </xdr:txBody>
    </xdr:sp>
    <xdr:clientData/>
  </xdr:twoCellAnchor>
  <xdr:twoCellAnchor editAs="oneCell">
    <xdr:from>
      <xdr:col>1</xdr:col>
      <xdr:colOff>128971</xdr:colOff>
      <xdr:row>22</xdr:row>
      <xdr:rowOff>16652</xdr:rowOff>
    </xdr:from>
    <xdr:to>
      <xdr:col>1</xdr:col>
      <xdr:colOff>281228</xdr:colOff>
      <xdr:row>22</xdr:row>
      <xdr:rowOff>171853</xdr:rowOff>
    </xdr:to>
    <xdr:pic>
      <xdr:nvPicPr>
        <xdr:cNvPr id="2" name="Imagem 1" descr="SHIB logo">
          <a:extLst>
            <a:ext uri="{FF2B5EF4-FFF2-40B4-BE49-F238E27FC236}">
              <a16:creationId xmlns:a16="http://schemas.microsoft.com/office/drawing/2014/main" id="{3D1631A3-4331-BDB2-61A6-14E0E4B77E2A}"/>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36127" y="4344574"/>
          <a:ext cx="152257" cy="1552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127758</xdr:colOff>
      <xdr:row>21</xdr:row>
      <xdr:rowOff>16568</xdr:rowOff>
    </xdr:from>
    <xdr:to>
      <xdr:col>1</xdr:col>
      <xdr:colOff>282441</xdr:colOff>
      <xdr:row>21</xdr:row>
      <xdr:rowOff>171770</xdr:rowOff>
    </xdr:to>
    <xdr:pic>
      <xdr:nvPicPr>
        <xdr:cNvPr id="11" name="Imagem 10" descr="WIF logo">
          <a:extLst>
            <a:ext uri="{FF2B5EF4-FFF2-40B4-BE49-F238E27FC236}">
              <a16:creationId xmlns:a16="http://schemas.microsoft.com/office/drawing/2014/main" id="{9E202023-73C4-72A9-DA90-5AAAC0B6F512}"/>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234914" y="4153990"/>
          <a:ext cx="154683" cy="155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127758</xdr:colOff>
      <xdr:row>20</xdr:row>
      <xdr:rowOff>16485</xdr:rowOff>
    </xdr:from>
    <xdr:to>
      <xdr:col>1</xdr:col>
      <xdr:colOff>282441</xdr:colOff>
      <xdr:row>20</xdr:row>
      <xdr:rowOff>171687</xdr:rowOff>
    </xdr:to>
    <xdr:pic>
      <xdr:nvPicPr>
        <xdr:cNvPr id="13" name="Imagem 12" descr="DOGE logo">
          <a:extLst>
            <a:ext uri="{FF2B5EF4-FFF2-40B4-BE49-F238E27FC236}">
              <a16:creationId xmlns:a16="http://schemas.microsoft.com/office/drawing/2014/main" id="{ACCB310A-77B0-CBF0-02F4-45979BFAA6D8}"/>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34914" y="3963407"/>
          <a:ext cx="154683" cy="155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127758</xdr:colOff>
      <xdr:row>19</xdr:row>
      <xdr:rowOff>16402</xdr:rowOff>
    </xdr:from>
    <xdr:to>
      <xdr:col>1</xdr:col>
      <xdr:colOff>282441</xdr:colOff>
      <xdr:row>19</xdr:row>
      <xdr:rowOff>171604</xdr:rowOff>
    </xdr:to>
    <xdr:pic>
      <xdr:nvPicPr>
        <xdr:cNvPr id="14" name="Imagem 13" descr="STX logo">
          <a:extLst>
            <a:ext uri="{FF2B5EF4-FFF2-40B4-BE49-F238E27FC236}">
              <a16:creationId xmlns:a16="http://schemas.microsoft.com/office/drawing/2014/main" id="{4D93BDD1-D9B5-3823-C3DC-04F100E0CEC0}"/>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34914" y="3772824"/>
          <a:ext cx="154683" cy="155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127758</xdr:colOff>
      <xdr:row>18</xdr:row>
      <xdr:rowOff>16319</xdr:rowOff>
    </xdr:from>
    <xdr:to>
      <xdr:col>1</xdr:col>
      <xdr:colOff>282441</xdr:colOff>
      <xdr:row>18</xdr:row>
      <xdr:rowOff>171521</xdr:rowOff>
    </xdr:to>
    <xdr:pic>
      <xdr:nvPicPr>
        <xdr:cNvPr id="15" name="Imagem 14" descr="RNDR logo">
          <a:extLst>
            <a:ext uri="{FF2B5EF4-FFF2-40B4-BE49-F238E27FC236}">
              <a16:creationId xmlns:a16="http://schemas.microsoft.com/office/drawing/2014/main" id="{89DC1DD6-ACB4-3A9D-0B64-1D48497B53D6}"/>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34914" y="3582241"/>
          <a:ext cx="154683" cy="155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127758</xdr:colOff>
      <xdr:row>17</xdr:row>
      <xdr:rowOff>16236</xdr:rowOff>
    </xdr:from>
    <xdr:to>
      <xdr:col>1</xdr:col>
      <xdr:colOff>282441</xdr:colOff>
      <xdr:row>17</xdr:row>
      <xdr:rowOff>171438</xdr:rowOff>
    </xdr:to>
    <xdr:pic>
      <xdr:nvPicPr>
        <xdr:cNvPr id="16" name="Imagem 15" descr="ARB logo">
          <a:extLst>
            <a:ext uri="{FF2B5EF4-FFF2-40B4-BE49-F238E27FC236}">
              <a16:creationId xmlns:a16="http://schemas.microsoft.com/office/drawing/2014/main" id="{3E451915-CE7A-3B94-42A8-1627F02D2D39}"/>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34914" y="3391658"/>
          <a:ext cx="154683" cy="155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127758</xdr:colOff>
      <xdr:row>16</xdr:row>
      <xdr:rowOff>16153</xdr:rowOff>
    </xdr:from>
    <xdr:to>
      <xdr:col>1</xdr:col>
      <xdr:colOff>282441</xdr:colOff>
      <xdr:row>16</xdr:row>
      <xdr:rowOff>171355</xdr:rowOff>
    </xdr:to>
    <xdr:pic>
      <xdr:nvPicPr>
        <xdr:cNvPr id="17" name="Imagem 16" descr="OP logo">
          <a:extLst>
            <a:ext uri="{FF2B5EF4-FFF2-40B4-BE49-F238E27FC236}">
              <a16:creationId xmlns:a16="http://schemas.microsoft.com/office/drawing/2014/main" id="{E9482DD4-8036-2DB7-4136-013237F11F77}"/>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234914" y="3201075"/>
          <a:ext cx="154683" cy="155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127758</xdr:colOff>
      <xdr:row>15</xdr:row>
      <xdr:rowOff>16070</xdr:rowOff>
    </xdr:from>
    <xdr:to>
      <xdr:col>1</xdr:col>
      <xdr:colOff>282441</xdr:colOff>
      <xdr:row>15</xdr:row>
      <xdr:rowOff>171272</xdr:rowOff>
    </xdr:to>
    <xdr:pic>
      <xdr:nvPicPr>
        <xdr:cNvPr id="18" name="Imagem 17" descr="MATIC logo">
          <a:extLst>
            <a:ext uri="{FF2B5EF4-FFF2-40B4-BE49-F238E27FC236}">
              <a16:creationId xmlns:a16="http://schemas.microsoft.com/office/drawing/2014/main" id="{A7D71ABD-6DC2-FD81-5C74-D20337FA3754}"/>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234914" y="3010492"/>
          <a:ext cx="154683" cy="155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127758</xdr:colOff>
      <xdr:row>14</xdr:row>
      <xdr:rowOff>15987</xdr:rowOff>
    </xdr:from>
    <xdr:to>
      <xdr:col>1</xdr:col>
      <xdr:colOff>282441</xdr:colOff>
      <xdr:row>14</xdr:row>
      <xdr:rowOff>171189</xdr:rowOff>
    </xdr:to>
    <xdr:pic>
      <xdr:nvPicPr>
        <xdr:cNvPr id="19" name="Imagem 18" descr="GALA logo">
          <a:extLst>
            <a:ext uri="{FF2B5EF4-FFF2-40B4-BE49-F238E27FC236}">
              <a16:creationId xmlns:a16="http://schemas.microsoft.com/office/drawing/2014/main" id="{9944DA40-D8B8-9D4B-9BEB-9CD6194BB63B}"/>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234914" y="2819909"/>
          <a:ext cx="154683" cy="155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127758</xdr:colOff>
      <xdr:row>13</xdr:row>
      <xdr:rowOff>15904</xdr:rowOff>
    </xdr:from>
    <xdr:to>
      <xdr:col>1</xdr:col>
      <xdr:colOff>282441</xdr:colOff>
      <xdr:row>13</xdr:row>
      <xdr:rowOff>171106</xdr:rowOff>
    </xdr:to>
    <xdr:pic>
      <xdr:nvPicPr>
        <xdr:cNvPr id="20" name="Imagem 19" descr="IMX logo">
          <a:extLst>
            <a:ext uri="{FF2B5EF4-FFF2-40B4-BE49-F238E27FC236}">
              <a16:creationId xmlns:a16="http://schemas.microsoft.com/office/drawing/2014/main" id="{A181EA84-1893-E840-D52A-44FB6648F045}"/>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234914" y="2629326"/>
          <a:ext cx="154683" cy="155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127758</xdr:colOff>
      <xdr:row>10</xdr:row>
      <xdr:rowOff>16259</xdr:rowOff>
    </xdr:from>
    <xdr:to>
      <xdr:col>1</xdr:col>
      <xdr:colOff>282441</xdr:colOff>
      <xdr:row>10</xdr:row>
      <xdr:rowOff>171461</xdr:rowOff>
    </xdr:to>
    <xdr:pic>
      <xdr:nvPicPr>
        <xdr:cNvPr id="21" name="Imagem 20" descr="SOL logo">
          <a:extLst>
            <a:ext uri="{FF2B5EF4-FFF2-40B4-BE49-F238E27FC236}">
              <a16:creationId xmlns:a16="http://schemas.microsoft.com/office/drawing/2014/main" id="{F0A65DEB-B0CB-F36E-1567-C48DA767A491}"/>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234914" y="2058181"/>
          <a:ext cx="154683" cy="155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127758</xdr:colOff>
      <xdr:row>12</xdr:row>
      <xdr:rowOff>15821</xdr:rowOff>
    </xdr:from>
    <xdr:to>
      <xdr:col>1</xdr:col>
      <xdr:colOff>282441</xdr:colOff>
      <xdr:row>12</xdr:row>
      <xdr:rowOff>171023</xdr:rowOff>
    </xdr:to>
    <xdr:pic>
      <xdr:nvPicPr>
        <xdr:cNvPr id="22" name="Imagem 21" descr="RON logo">
          <a:extLst>
            <a:ext uri="{FF2B5EF4-FFF2-40B4-BE49-F238E27FC236}">
              <a16:creationId xmlns:a16="http://schemas.microsoft.com/office/drawing/2014/main" id="{FA225505-1410-BC00-17B0-02A85FEC352D}"/>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234914" y="2438743"/>
          <a:ext cx="154683" cy="155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127758</xdr:colOff>
      <xdr:row>8</xdr:row>
      <xdr:rowOff>19820</xdr:rowOff>
    </xdr:from>
    <xdr:to>
      <xdr:col>1</xdr:col>
      <xdr:colOff>282441</xdr:colOff>
      <xdr:row>8</xdr:row>
      <xdr:rowOff>171295</xdr:rowOff>
    </xdr:to>
    <xdr:pic>
      <xdr:nvPicPr>
        <xdr:cNvPr id="24" name="Imagem 23" descr="BTC logo">
          <a:extLst>
            <a:ext uri="{FF2B5EF4-FFF2-40B4-BE49-F238E27FC236}">
              <a16:creationId xmlns:a16="http://schemas.microsoft.com/office/drawing/2014/main" id="{D05ADF55-9BB9-893C-46BE-D42835D85508}"/>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234914" y="1680742"/>
          <a:ext cx="154683" cy="151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127758</xdr:colOff>
      <xdr:row>9</xdr:row>
      <xdr:rowOff>16176</xdr:rowOff>
    </xdr:from>
    <xdr:to>
      <xdr:col>1</xdr:col>
      <xdr:colOff>282441</xdr:colOff>
      <xdr:row>9</xdr:row>
      <xdr:rowOff>171378</xdr:rowOff>
    </xdr:to>
    <xdr:pic>
      <xdr:nvPicPr>
        <xdr:cNvPr id="25" name="Imagem 24" descr="ETH logo">
          <a:extLst>
            <a:ext uri="{FF2B5EF4-FFF2-40B4-BE49-F238E27FC236}">
              <a16:creationId xmlns:a16="http://schemas.microsoft.com/office/drawing/2014/main" id="{13C7EE67-A3D5-22AE-F1FF-052959C89ECA}"/>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234914" y="1867598"/>
          <a:ext cx="154683" cy="155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127800</xdr:colOff>
      <xdr:row>11</xdr:row>
      <xdr:rowOff>16342</xdr:rowOff>
    </xdr:from>
    <xdr:to>
      <xdr:col>1</xdr:col>
      <xdr:colOff>282398</xdr:colOff>
      <xdr:row>11</xdr:row>
      <xdr:rowOff>170940</xdr:rowOff>
    </xdr:to>
    <xdr:pic>
      <xdr:nvPicPr>
        <xdr:cNvPr id="26" name="Imagem 25" descr="LINK logo">
          <a:extLst>
            <a:ext uri="{FF2B5EF4-FFF2-40B4-BE49-F238E27FC236}">
              <a16:creationId xmlns:a16="http://schemas.microsoft.com/office/drawing/2014/main" id="{F0F188B4-AB85-C3A4-3619-EC179ABA66F9}"/>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234956" y="2248764"/>
          <a:ext cx="154598" cy="15459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129268</xdr:colOff>
      <xdr:row>23</xdr:row>
      <xdr:rowOff>21772</xdr:rowOff>
    </xdr:from>
    <xdr:to>
      <xdr:col>1</xdr:col>
      <xdr:colOff>281668</xdr:colOff>
      <xdr:row>23</xdr:row>
      <xdr:rowOff>174172</xdr:rowOff>
    </xdr:to>
    <xdr:pic>
      <xdr:nvPicPr>
        <xdr:cNvPr id="9" name="Imagem 8" descr="PEPE logo">
          <a:extLst>
            <a:ext uri="{FF2B5EF4-FFF2-40B4-BE49-F238E27FC236}">
              <a16:creationId xmlns:a16="http://schemas.microsoft.com/office/drawing/2014/main" id="{0E56BFDA-BA8A-6909-B235-5E4ABF7C5D3A}"/>
            </a:ext>
          </a:extLst>
        </xdr:cNvPr>
        <xdr:cNvPicPr>
          <a:picLocks noChangeAspect="1" noChangeArrowheads="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a:fillRect/>
        </a:stretch>
      </xdr:blipFill>
      <xdr:spPr bwMode="auto">
        <a:xfrm>
          <a:off x="232682" y="4523015"/>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130511</xdr:colOff>
      <xdr:row>24</xdr:row>
      <xdr:rowOff>20605</xdr:rowOff>
    </xdr:from>
    <xdr:to>
      <xdr:col>1</xdr:col>
      <xdr:colOff>284377</xdr:colOff>
      <xdr:row>24</xdr:row>
      <xdr:rowOff>174471</xdr:rowOff>
    </xdr:to>
    <xdr:pic>
      <xdr:nvPicPr>
        <xdr:cNvPr id="23" name="Imagem 22" descr="LDO logo">
          <a:extLst>
            <a:ext uri="{FF2B5EF4-FFF2-40B4-BE49-F238E27FC236}">
              <a16:creationId xmlns:a16="http://schemas.microsoft.com/office/drawing/2014/main" id="{A5E57FED-C81E-6044-F9B6-0679107FD8E7}"/>
            </a:ext>
          </a:extLst>
        </xdr:cNvPr>
        <xdr:cNvPicPr>
          <a:picLocks noChangeAspect="1" noChangeArrowheads="1"/>
        </xdr:cNvPicPr>
      </xdr:nvPicPr>
      <xdr:blipFill>
        <a:blip xmlns:r="http://schemas.openxmlformats.org/officeDocument/2006/relationships" r:embed="rId20" cstate="print">
          <a:extLst>
            <a:ext uri="{28A0092B-C50C-407E-A947-70E740481C1C}">
              <a14:useLocalDpi xmlns:a14="http://schemas.microsoft.com/office/drawing/2010/main" val="0"/>
            </a:ext>
          </a:extLst>
        </a:blip>
        <a:srcRect/>
        <a:stretch>
          <a:fillRect/>
        </a:stretch>
      </xdr:blipFill>
      <xdr:spPr bwMode="auto">
        <a:xfrm>
          <a:off x="237667" y="4729527"/>
          <a:ext cx="153866" cy="1538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85726</xdr:colOff>
      <xdr:row>1</xdr:row>
      <xdr:rowOff>123825</xdr:rowOff>
    </xdr:from>
    <xdr:to>
      <xdr:col>2</xdr:col>
      <xdr:colOff>333375</xdr:colOff>
      <xdr:row>1</xdr:row>
      <xdr:rowOff>400050</xdr:rowOff>
    </xdr:to>
    <xdr:sp macro="[0]!Voltar" textlink="">
      <xdr:nvSpPr>
        <xdr:cNvPr id="2" name="Seta: para a Esquerda 1">
          <a:extLst>
            <a:ext uri="{FF2B5EF4-FFF2-40B4-BE49-F238E27FC236}">
              <a16:creationId xmlns:a16="http://schemas.microsoft.com/office/drawing/2014/main" id="{59E30DF3-300D-41F2-8AF5-325C72E4BA7A}"/>
            </a:ext>
          </a:extLst>
        </xdr:cNvPr>
        <xdr:cNvSpPr/>
      </xdr:nvSpPr>
      <xdr:spPr>
        <a:xfrm>
          <a:off x="190501" y="228600"/>
          <a:ext cx="933449" cy="276225"/>
        </a:xfrm>
        <a:prstGeom prst="leftArrow">
          <a:avLst/>
        </a:prstGeom>
        <a:solidFill>
          <a:schemeClr val="bg1">
            <a:lumMod val="85000"/>
          </a:schemeClr>
        </a:solidFill>
        <a:ln w="19050">
          <a:solidFill>
            <a:schemeClr val="tx1">
              <a:lumMod val="95000"/>
              <a:lumOff val="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11</xdr:col>
      <xdr:colOff>717273</xdr:colOff>
      <xdr:row>1</xdr:row>
      <xdr:rowOff>128587</xdr:rowOff>
    </xdr:from>
    <xdr:to>
      <xdr:col>12</xdr:col>
      <xdr:colOff>737624</xdr:colOff>
      <xdr:row>1</xdr:row>
      <xdr:rowOff>395287</xdr:rowOff>
    </xdr:to>
    <xdr:sp macro="[0]!Limpar" textlink="">
      <xdr:nvSpPr>
        <xdr:cNvPr id="3" name="Retângulo: Cantos Arredondados 2">
          <a:extLst>
            <a:ext uri="{FF2B5EF4-FFF2-40B4-BE49-F238E27FC236}">
              <a16:creationId xmlns:a16="http://schemas.microsoft.com/office/drawing/2014/main" id="{1A37BDF6-BF8A-43BA-9F6F-C6BA6C45E581}"/>
            </a:ext>
          </a:extLst>
        </xdr:cNvPr>
        <xdr:cNvSpPr/>
      </xdr:nvSpPr>
      <xdr:spPr>
        <a:xfrm>
          <a:off x="9851748" y="233362"/>
          <a:ext cx="906176" cy="266700"/>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chemeClr val="tx1"/>
              </a:solidFill>
            </a:rPr>
            <a:t>Limpar</a:t>
          </a:r>
        </a:p>
      </xdr:txBody>
    </xdr:sp>
    <xdr:clientData/>
  </xdr:twoCellAnchor>
  <xdr:twoCellAnchor>
    <xdr:from>
      <xdr:col>10</xdr:col>
      <xdr:colOff>639257</xdr:colOff>
      <xdr:row>1</xdr:row>
      <xdr:rowOff>128587</xdr:rowOff>
    </xdr:from>
    <xdr:to>
      <xdr:col>11</xdr:col>
      <xdr:colOff>526773</xdr:colOff>
      <xdr:row>1</xdr:row>
      <xdr:rowOff>395287</xdr:rowOff>
    </xdr:to>
    <xdr:sp macro="[0]!Pesquisar" textlink="">
      <xdr:nvSpPr>
        <xdr:cNvPr id="4" name="Retângulo: Cantos Arredondados 3">
          <a:extLst>
            <a:ext uri="{FF2B5EF4-FFF2-40B4-BE49-F238E27FC236}">
              <a16:creationId xmlns:a16="http://schemas.microsoft.com/office/drawing/2014/main" id="{C8EAA8D3-1871-4A8A-92FC-E2756EAC8239}"/>
            </a:ext>
          </a:extLst>
        </xdr:cNvPr>
        <xdr:cNvSpPr/>
      </xdr:nvSpPr>
      <xdr:spPr>
        <a:xfrm>
          <a:off x="8716457" y="233362"/>
          <a:ext cx="944791" cy="266700"/>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chemeClr val="tx1"/>
              </a:solidFill>
            </a:rPr>
            <a:t>Pesquisar</a:t>
          </a:r>
        </a:p>
      </xdr:txBody>
    </xdr:sp>
    <xdr:clientData/>
  </xdr:twoCellAnchor>
  <xdr:twoCellAnchor>
    <xdr:from>
      <xdr:col>9</xdr:col>
      <xdr:colOff>599432</xdr:colOff>
      <xdr:row>1</xdr:row>
      <xdr:rowOff>128587</xdr:rowOff>
    </xdr:from>
    <xdr:to>
      <xdr:col>10</xdr:col>
      <xdr:colOff>448757</xdr:colOff>
      <xdr:row>1</xdr:row>
      <xdr:rowOff>395287</xdr:rowOff>
    </xdr:to>
    <xdr:sp macro="[0]!Cadastrar" textlink="">
      <xdr:nvSpPr>
        <xdr:cNvPr id="5" name="Retângulo: Cantos Arredondados 4">
          <a:extLst>
            <a:ext uri="{FF2B5EF4-FFF2-40B4-BE49-F238E27FC236}">
              <a16:creationId xmlns:a16="http://schemas.microsoft.com/office/drawing/2014/main" id="{299F6634-E50D-4DD8-BF9A-CF86A84201CF}"/>
            </a:ext>
          </a:extLst>
        </xdr:cNvPr>
        <xdr:cNvSpPr/>
      </xdr:nvSpPr>
      <xdr:spPr>
        <a:xfrm>
          <a:off x="7619357" y="233362"/>
          <a:ext cx="906600" cy="266700"/>
        </a:xfrm>
        <a:prstGeom prst="roundRect">
          <a:avLst/>
        </a:prstGeom>
        <a:solidFill>
          <a:schemeClr val="bg1">
            <a:lumMod val="9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b="1">
              <a:solidFill>
                <a:schemeClr val="tx1"/>
              </a:solidFill>
            </a:rPr>
            <a:t>Cadastrar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247650</xdr:colOff>
      <xdr:row>22</xdr:row>
      <xdr:rowOff>133350</xdr:rowOff>
    </xdr:to>
    <xdr:graphicFrame macro="">
      <xdr:nvGraphicFramePr>
        <xdr:cNvPr id="2" name="Gráfico 1">
          <a:extLst>
            <a:ext uri="{FF2B5EF4-FFF2-40B4-BE49-F238E27FC236}">
              <a16:creationId xmlns:a16="http://schemas.microsoft.com/office/drawing/2014/main" id="{AC94FBA4-BDD4-EA11-F9BE-53C2D1EC27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123825</xdr:colOff>
      <xdr:row>0</xdr:row>
      <xdr:rowOff>142876</xdr:rowOff>
    </xdr:from>
    <xdr:to>
      <xdr:col>1</xdr:col>
      <xdr:colOff>580832</xdr:colOff>
      <xdr:row>2</xdr:row>
      <xdr:rowOff>9526</xdr:rowOff>
    </xdr:to>
    <xdr:sp macro="" textlink="">
      <xdr:nvSpPr>
        <xdr:cNvPr id="3" name="Seta: para a Esquerda 2">
          <a:hlinkClick xmlns:r="http://schemas.openxmlformats.org/officeDocument/2006/relationships" r:id="rId2"/>
          <a:extLst>
            <a:ext uri="{FF2B5EF4-FFF2-40B4-BE49-F238E27FC236}">
              <a16:creationId xmlns:a16="http://schemas.microsoft.com/office/drawing/2014/main" id="{02CF8C46-E78E-4AC3-B598-637407568656}"/>
            </a:ext>
          </a:extLst>
        </xdr:cNvPr>
        <xdr:cNvSpPr/>
      </xdr:nvSpPr>
      <xdr:spPr>
        <a:xfrm>
          <a:off x="123825" y="142876"/>
          <a:ext cx="1066607" cy="247650"/>
        </a:xfrm>
        <a:prstGeom prst="leftArrow">
          <a:avLst/>
        </a:prstGeom>
        <a:solidFill>
          <a:schemeClr val="bg1">
            <a:lumMod val="85000"/>
          </a:schemeClr>
        </a:solidFill>
        <a:ln w="19050">
          <a:solidFill>
            <a:schemeClr val="tx1">
              <a:lumMod val="95000"/>
              <a:lumOff val="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112059</xdr:colOff>
      <xdr:row>0</xdr:row>
      <xdr:rowOff>246531</xdr:rowOff>
    </xdr:from>
    <xdr:to>
      <xdr:col>0</xdr:col>
      <xdr:colOff>1546412</xdr:colOff>
      <xdr:row>0</xdr:row>
      <xdr:rowOff>579566</xdr:rowOff>
    </xdr:to>
    <xdr:sp macro="" textlink="">
      <xdr:nvSpPr>
        <xdr:cNvPr id="10" name="Seta: para a Esquerda 9">
          <a:hlinkClick xmlns:r="http://schemas.openxmlformats.org/officeDocument/2006/relationships" r:id="rId1"/>
          <a:extLst>
            <a:ext uri="{FF2B5EF4-FFF2-40B4-BE49-F238E27FC236}">
              <a16:creationId xmlns:a16="http://schemas.microsoft.com/office/drawing/2014/main" id="{95C44383-2B02-E11E-9F79-590EA1C430CA}"/>
            </a:ext>
          </a:extLst>
        </xdr:cNvPr>
        <xdr:cNvSpPr/>
      </xdr:nvSpPr>
      <xdr:spPr>
        <a:xfrm>
          <a:off x="112059" y="246531"/>
          <a:ext cx="1434353" cy="333035"/>
        </a:xfrm>
        <a:prstGeom prst="leftArrow">
          <a:avLst/>
        </a:prstGeom>
        <a:solidFill>
          <a:srgbClr val="FFFF00"/>
        </a:solidFill>
        <a:ln>
          <a:solidFill>
            <a:schemeClr val="tx1">
              <a:lumMod val="95000"/>
              <a:lumOff val="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gala" preserveFormatting="0" connectionId="16" xr16:uid="{A72A39F7-F0D6-4887-82FA-91819CE16519}" autoFormatId="16" applyNumberFormats="0" applyBorderFormats="0" applyFontFormats="1" applyPatternFormats="1"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solana" preserveFormatting="0" connectionId="2" xr16:uid="{FD43D6E2-8858-4C3D-8B36-1DDC8037B508}" autoFormatId="16" applyNumberFormats="0" applyBorderFormats="0" applyFontFormats="1" applyPatternFormats="1"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thereum_1" preserveFormatting="0" connectionId="13" xr16:uid="{32EBD02E-CD53-4242-B9CB-900627DB34E8}" autoFormatId="16" applyNumberFormats="0" applyBorderFormats="0" applyFontFormats="1" applyPatternFormats="1"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dogwifhat" preserveFormatting="0" connectionId="7" xr16:uid="{26C9B913-861D-48DE-9A19-74D3EE232E1F}" autoFormatId="16" applyNumberFormats="0" applyBorderFormats="0" applyFontFormats="1" applyPatternFormats="1"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search?client=firefox-b-d&amp;q=dollar" preserveFormatting="0" connectionId="1" xr16:uid="{05800757-B429-4C47-A1A9-E95CE9D5F557}" autoFormatId="16" applyNumberFormats="0" applyBorderFormats="0" applyFontFormats="1" applyPatternFormats="1"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stacks" preserveFormatting="0" connectionId="5" xr16:uid="{8F11570B-5371-4362-8287-1258243436AB}" autoFormatId="16" applyNumberFormats="0" applyBorderFormats="0" applyFontFormats="1" applyPatternFormats="1"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chainlink" preserveFormatting="0" connectionId="11" xr16:uid="{EC95D87A-3753-4F5C-B0C1-A3D0228C4990}" autoFormatId="16" applyNumberFormats="0" applyBorderFormats="0" applyFontFormats="1" applyPatternFormats="1"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optimism" preserveFormatting="0" connectionId="18" xr16:uid="{CAED8605-9C64-488A-9E2A-2C48D3D92D81}" autoFormatId="16" applyNumberFormats="0" applyBorderFormats="0" applyFontFormats="1" applyPatternFormats="1" applyAlignmentFormats="0" applyWidthHeightFormats="0"/>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bitcoin_1" preserveFormatting="0" connectionId="12" xr16:uid="{F63FABF8-F68D-46B4-A148-184ED764CC48}" autoFormatId="16" applyNumberFormats="0" applyBorderFormats="0" applyFontFormats="1" applyPatternFormats="1" applyAlignmentFormats="0" applyWidthHeightFormats="0"/>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lido-dao" preserveFormatting="0" connectionId="10" xr16:uid="{D2CD1934-4A1E-4B1E-8E15-82AA1FFD02F6}" autoFormatId="16" applyNumberFormats="0" applyBorderFormats="0" applyFontFormats="1" applyPatternFormats="1" applyAlignmentFormats="0" applyWidthHeightFormats="0"/>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polygon" preserveFormatting="0" connectionId="17" xr16:uid="{23869378-F064-44ED-87E8-8318B6117DED}" autoFormatId="16" applyNumberFormats="0" applyBorderFormats="0" applyFontFormats="1" applyPatternFormats="1" applyAlignmentFormats="0" applyWidthHeightFormats="0"/>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arbitrum" preserveFormatting="0" connectionId="3" xr16:uid="{903312EF-0F10-469B-BFE0-8FFEFD9478EE}" autoFormatId="16" applyNumberFormats="0" applyBorderFormats="0" applyFontFormats="1" applyPatternFormats="1" applyAlignmentFormats="0" applyWidthHeightFormats="0"/>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pepe_2" preserveFormatting="0" connectionId="9" xr16:uid="{BB9DEE53-AECF-48BB-89D1-FC21AEE51348}" autoFormatId="16" applyNumberFormats="0" applyBorderFormats="0" applyFontFormats="1" applyPatternFormats="1" applyAlignmentFormats="0" applyWidthHeightFormats="0"/>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ronin" preserveFormatting="0" connectionId="14" xr16:uid="{058BF915-FDF0-44A9-83FE-34D3E0104E0B}" autoFormatId="16" applyNumberFormats="0" applyBorderFormats="0" applyFontFormats="1" applyPatternFormats="1" applyAlignmentFormats="0" applyWidthHeightFormats="0"/>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dogecoin" preserveFormatting="0" connectionId="6" xr16:uid="{3F0D1A6D-B1A5-4F75-8937-7C0B50BECCEE}" autoFormatId="16" applyNumberFormats="0" applyBorderFormats="0" applyFontFormats="1" applyPatternFormats="1" applyAlignmentFormats="0" applyWidthHeightFormats="0"/>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shiba-inu" preserveFormatting="0" connectionId="8" xr16:uid="{50A051E5-2782-4542-8D0C-6FBAD73E3DDC}" autoFormatId="16" applyNumberFormats="0" applyBorderFormats="0" applyFontFormats="1" applyPatternFormats="1" applyAlignmentFormats="0" applyWidthHeightFormats="0"/>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render" preserveFormatting="0" connectionId="4" xr16:uid="{598DE6ED-74E6-440D-B319-BED0D35939AD}" autoFormatId="16" applyNumberFormats="0" applyBorderFormats="0" applyFontFormats="1" applyPatternFormats="1" applyAlignmentFormats="0" applyWidthHeightFormats="0"/>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immutable-x" preserveFormatting="0" connectionId="15" xr16:uid="{EFCA3CD2-A4E2-40BC-8A70-478CECDA80AB}" autoFormatId="16"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1C961BC-4DF3-41CB-AA1A-3B8BD1D6692C}" name="Principal" displayName="Principal" ref="B8:N25" totalsRowShown="0" headerRowDxfId="55" dataDxfId="53" headerRowBorderDxfId="54" tableBorderDxfId="52">
  <tableColumns count="13">
    <tableColumn id="1" xr3:uid="{92FE3D98-DED3-4E5D-A86E-E72D1A849B0E}" name="Coin" dataDxfId="51"/>
    <tableColumn id="2" xr3:uid="{F9F74837-330B-456B-B385-ABDBAF61C2CF}" name="Coin/$" dataDxfId="50">
      <calculatedColumnFormula>RIGHT(BTCLink,9)</calculatedColumnFormula>
    </tableColumn>
    <tableColumn id="3" xr3:uid="{FCECD35B-B59E-4E52-99E9-3D231A9CC0CC}" name="Coin/R$" dataDxfId="49" dataCellStyle="Moeda">
      <calculatedColumnFormula>BTC*Dollar</calculatedColumnFormula>
    </tableColumn>
    <tableColumn id="4" xr3:uid="{4B778A4E-A53F-4985-B55A-3BC9DF5204AA}" name="Coin em carteira" dataDxfId="48">
      <calculatedColumnFormula>SUMIFS(Movimentos[Qtt Coin],Movimentos[CoinMov],Principal[[#This Row],[Coin]],Movimentos[Movimento],"Entrada")-SUMIFS(Movimentos[Qtt Coin],Movimentos[CoinMov],Principal[[#This Row],[Coin]],Movimentos[Movimento],"Saida")</calculatedColumnFormula>
    </tableColumn>
    <tableColumn id="5" xr3:uid="{6B46B9A9-7B4E-4D06-89C1-E6BFB868098C}" name="R$ em carteira" dataDxfId="47">
      <calculatedColumnFormula>Principal[[#This Row],[Coin em carteira]]*Principal[[#This Row],[Coin/R$]]</calculatedColumnFormula>
    </tableColumn>
    <tableColumn id="6" xr3:uid="{395B4A52-D85B-4D6C-A1C2-EFD394AD23B8}" name="R$ ganhos" dataDxfId="46">
      <calculatedColumnFormula>Principal[[#This Row],[Total ret R$]]+Principal[[#This Row],[R$ em carteira]]-Principal[[#This Row],[Total inv R$]]</calculatedColumnFormula>
    </tableColumn>
    <tableColumn id="7" xr3:uid="{019168B6-A5EB-43A4-A2E7-0F71C132D363}" name="% ganhos" dataDxfId="45">
      <calculatedColumnFormula>((Principal[[#This Row],[R$ ganhos]]*100)/Principal[[#This Row],[Total inv R$]])/100</calculatedColumnFormula>
    </tableColumn>
    <tableColumn id="8" xr3:uid="{845D0DF8-2751-4BF4-A64B-5B7F2EE4FD07}" name="Total inv R$" dataDxfId="44" dataCellStyle="Moeda">
      <calculatedColumnFormula>SUMIFS(Movimentos[Valor R$],Movimentos[CoinMov],Principal[[#This Row],[Coin]],Movimentos[Movimento],"Entrada")</calculatedColumnFormula>
    </tableColumn>
    <tableColumn id="9" xr3:uid="{8AC20BFB-E9EF-4411-9FFC-B51CADE250B3}" name="Total ret R$" dataDxfId="43" dataCellStyle="Moeda">
      <calculatedColumnFormula>SUMIFS(Movimentos[Valor R$],Movimentos[CoinMov],Principal[[#This Row],[Coin]],Movimentos[Movimento],"Saida")</calculatedColumnFormula>
    </tableColumn>
    <tableColumn id="12" xr3:uid="{55D12116-FC59-4912-B95D-3DEF9E0A47A0}" name="Invs - Ret R$" dataDxfId="42" dataCellStyle="Moeda">
      <calculatedColumnFormula>Principal[[#This Row],[Total ret R$]]-Principal[[#This Row],[Total inv R$]]</calculatedColumnFormula>
    </tableColumn>
    <tableColumn id="10" xr3:uid="{0A30C243-5B10-4EE7-A4BB-7785E26D3785}" name="Preço medio $" dataDxfId="41">
      <calculatedColumnFormula>SUMIFS(Movimentos[CondigPreço Medio],Movimentos[CoinMov],Principal[[#This Row],[Coin]],Movimentos[Movimento],"Entrada")/COUNTIFS(Movimentos[CoinMov],Principal[[#This Row],[Coin]],Movimentos[Movimento],"Entrada")</calculatedColumnFormula>
    </tableColumn>
    <tableColumn id="13" xr3:uid="{A7D2BD50-F07F-4F7D-AF28-3A9126FAC3F8}" name="% carteira" dataDxfId="40" dataCellStyle="Porcentagem">
      <calculatedColumnFormula>Principal[[#This Row],[R$ em carteira]]*100/TotalMomentoReal/100</calculatedColumnFormula>
    </tableColumn>
    <tableColumn id="11" xr3:uid="{6CFBFBEF-F4FF-43C1-95F7-E10928D40032}" name="Link" dataDxfId="39" dataCellStyle="Porcentagem">
      <calculatedColumnFormula>CONCATENATE(Principal[[#This Row],[Coin]],"Link")</calculatedColumnFormula>
    </tableColumn>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0F1A5E6-B4B9-4B26-B4CA-D85D474250CF}" name="Movimentos" displayName="Movimentos" ref="B6:N7" insertRow="1" totalsRowShown="0" headerRowDxfId="38" dataDxfId="37" tableBorderDxfId="36">
  <sortState xmlns:xlrd2="http://schemas.microsoft.com/office/spreadsheetml/2017/richdata2" ref="B7:N7">
    <sortCondition descending="1" ref="C6:C7"/>
  </sortState>
  <tableColumns count="13">
    <tableColumn id="1" xr3:uid="{54C66BE9-9D57-42DC-B1AC-7A086277FFD6}" name="CoinMov" dataDxfId="35"/>
    <tableColumn id="2" xr3:uid="{5B028901-B068-490E-80F6-0997F97E31C7}" name="Data" dataDxfId="34"/>
    <tableColumn id="3" xr3:uid="{C4E18D26-C310-4451-B661-C593CB9E850B}" name="Movimento" dataDxfId="33"/>
    <tableColumn id="4" xr3:uid="{DF317287-6716-4F3C-A31F-CA03BF6DA26D}" name="Taxa" dataDxfId="32" dataCellStyle="Moeda"/>
    <tableColumn id="5" xr3:uid="{47D80342-C7FD-4652-A61E-5E7B23239D99}" name="Valor R$" dataDxfId="31" dataCellStyle="Moeda"/>
    <tableColumn id="6" xr3:uid="{4DC7BD59-F7F3-48BF-A3A4-54BE4E3B6347}" name="Qtt Coin" dataDxfId="30"/>
    <tableColumn id="7" xr3:uid="{10F2773A-4F2A-4B1E-ADB9-5F1C32E1BCAB}" name="Coin dia" dataDxfId="29"/>
    <tableColumn id="8" xr3:uid="{C7FA082D-47CD-4D33-8167-2FAB648BEF62}" name="Dollar dia" dataDxfId="28" dataCellStyle="Moeda"/>
    <tableColumn id="9" xr3:uid="{3492C8D4-5D26-45D6-9B52-F8078012E7C2}" name="BTC dia $" dataDxfId="27"/>
    <tableColumn id="10" xr3:uid="{520C9577-786A-4658-9B9B-CCA9630878E9}" name="Coin hoje $" dataDxfId="26">
      <calculatedColumnFormula>VLOOKUP(Movimentos[[#This Row],[CoinMov]],Principal[#All],2,FALSE)</calculatedColumnFormula>
    </tableColumn>
    <tableColumn id="11" xr3:uid="{49A73002-987E-46E9-962D-4B7BDC5B7106}" name="Valorização" dataDxfId="25" dataCellStyle="Porcentagem">
      <calculatedColumnFormula>IF(Movimentos[[#This Row],[Movimento]]="Entrada",((Movimentos[[#This Row],[Coin hoje $]]*100/Movimentos[[#This Row],[Coin dia]])-100)/100,"")</calculatedColumnFormula>
    </tableColumn>
    <tableColumn id="13" xr3:uid="{7114F578-1543-4EA4-A36B-8A948A7CEAC8}" name="Wallet" dataDxfId="24" dataCellStyle="Porcentagem"/>
    <tableColumn id="14" xr3:uid="{E1688E28-B333-4016-B63B-6FC1F8D8093D}" name="CondigPreço Medio" dataDxfId="23" dataCellStyle="Porcentagem">
      <calculatedColumnFormula>IF(Movimentos[[#This Row],[Movimento]]="Entrada",Movimentos[[#This Row],[Valor R$]]*Movimentos[[#This Row],[Coin dia]],"")</calculatedColumnFormula>
    </tableColumn>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02EAE0C-F3F1-404E-80E8-A8DA72A7B734}" name="MovimentosCriterios" displayName="MovimentosCriterios" ref="B3:N4" totalsRowShown="0" headerRowDxfId="22" dataDxfId="20" headerRowBorderDxfId="21" tableBorderDxfId="19">
  <tableColumns count="13">
    <tableColumn id="1" xr3:uid="{7DF7E4D6-4F06-4235-B7A7-C34974B599A5}" name="CoinMov" dataDxfId="18"/>
    <tableColumn id="2" xr3:uid="{CF6E1702-DFAC-4D46-8468-3946495CDBA6}" name="Data" dataDxfId="17"/>
    <tableColumn id="3" xr3:uid="{F4DA1146-05AE-40A5-98BE-9C82EBB5C797}" name="Movimento" dataDxfId="16"/>
    <tableColumn id="4" xr3:uid="{B4ABFD54-D384-40C6-A688-A868E08C2CA5}" name="Taxa" dataDxfId="15" dataCellStyle="Moeda"/>
    <tableColumn id="5" xr3:uid="{FCA1EE40-C00C-4AA0-8D40-0DCE55DD33C1}" name="Valor R$" dataDxfId="14" dataCellStyle="Moeda"/>
    <tableColumn id="6" xr3:uid="{1BCC0C04-5D2F-422D-A7C5-34F4E044716B}" name="Qtt Coin" dataDxfId="13"/>
    <tableColumn id="7" xr3:uid="{773F2B14-B1CD-4E07-BE48-7FA84CC80761}" name="Coin dia" dataDxfId="12"/>
    <tableColumn id="8" xr3:uid="{FEE40E04-5D00-409E-B549-05496A2E4598}" name="Dollar dia" dataDxfId="11"/>
    <tableColumn id="9" xr3:uid="{45F60B8D-26CF-4F85-9A13-36BC7235C149}" name="BTC dia $" dataDxfId="10"/>
    <tableColumn id="10" xr3:uid="{8BC3B3DA-76CF-48B8-9A9D-EA117FDAB6F1}" name="Coin hoje $" dataDxfId="9"/>
    <tableColumn id="11" xr3:uid="{0FC01171-FD06-4BB6-9267-7C12A63240B3}" name="Valorização" dataDxfId="8"/>
    <tableColumn id="12" xr3:uid="{DFE588EA-F502-4F79-BB8C-5FD5240A9B05}" name="Wallet" dataDxfId="7" dataCellStyle="Porcentagem"/>
    <tableColumn id="13" xr3:uid="{7393CE02-40F1-4DD8-A71F-83F9E5E9FFD7}" name="CondigPreço Medio" dataDxfId="6"/>
  </tableColumns>
  <tableStyleInfo name="TableStyleMedium4"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omments" Target="../comments2.xml"/><Relationship Id="rId4" Type="http://schemas.openxmlformats.org/officeDocument/2006/relationships/table" Target="../tables/table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827" Type="http://schemas.openxmlformats.org/officeDocument/2006/relationships/hyperlink" Target="https://www.coingecko.com/pt/c%C3%A2mbios/okx" TargetMode="External"/><Relationship Id="rId170" Type="http://schemas.openxmlformats.org/officeDocument/2006/relationships/hyperlink" Target="https://www.coingecko.com/pt/candy" TargetMode="External"/><Relationship Id="rId987" Type="http://schemas.openxmlformats.org/officeDocument/2006/relationships/hyperlink" Target="http://galagames.tel/" TargetMode="External"/><Relationship Id="rId2668" Type="http://schemas.openxmlformats.org/officeDocument/2006/relationships/hyperlink" Target="https://www.coingecko.com/learn/what-is-blast-crypto-l2-optimistic-rollup" TargetMode="External"/><Relationship Id="rId847" Type="http://schemas.openxmlformats.org/officeDocument/2006/relationships/hyperlink" Target="https://www.coingecko.com/pt/c%C3%A2mbios/digifinex" TargetMode="External"/><Relationship Id="rId1477" Type="http://schemas.openxmlformats.org/officeDocument/2006/relationships/hyperlink" Target="https://www.coingecko.com/pt/categories/layer-2" TargetMode="External"/><Relationship Id="rId1684" Type="http://schemas.openxmlformats.org/officeDocument/2006/relationships/hyperlink" Target="https://www.coingecko.com/pt/moedas/floki" TargetMode="External"/><Relationship Id="rId1891" Type="http://schemas.openxmlformats.org/officeDocument/2006/relationships/hyperlink" Target="https://www.coingecko.com/pt/cryptocurrency-heatmap" TargetMode="External"/><Relationship Id="rId2528" Type="http://schemas.openxmlformats.org/officeDocument/2006/relationships/hyperlink" Target="https://coinmarketcap.com/pt-br/currencies/blackcardcoin/" TargetMode="External"/><Relationship Id="rId2735" Type="http://schemas.openxmlformats.org/officeDocument/2006/relationships/hyperlink" Target="https://www.coingecko.com/en/coins/wormhole" TargetMode="External"/><Relationship Id="rId707" Type="http://schemas.openxmlformats.org/officeDocument/2006/relationships/hyperlink" Target="https://www.coingecko.com/pt/c%C3%A2mbios/bingx" TargetMode="External"/><Relationship Id="rId914" Type="http://schemas.openxmlformats.org/officeDocument/2006/relationships/hyperlink" Target="https://www.coingecko.com/pt/moedas/degen-base" TargetMode="External"/><Relationship Id="rId1337" Type="http://schemas.openxmlformats.org/officeDocument/2006/relationships/hyperlink" Target="https://www.bitvenus.me/exchange/OP/USDT?register/vh2osI" TargetMode="External"/><Relationship Id="rId1544" Type="http://schemas.openxmlformats.org/officeDocument/2006/relationships/hyperlink" Target="https://www.coingecko.com/pt/moedas/solana" TargetMode="External"/><Relationship Id="rId1751" Type="http://schemas.openxmlformats.org/officeDocument/2006/relationships/hyperlink" Target="https://t.me/coingecko" TargetMode="External"/><Relationship Id="rId43" Type="http://schemas.openxmlformats.org/officeDocument/2006/relationships/hyperlink" Target="https://pro.kraken.com/app/trade/BTC-USD?c/2223866/1766749/10583" TargetMode="External"/><Relationship Id="rId1404" Type="http://schemas.openxmlformats.org/officeDocument/2006/relationships/hyperlink" Target="https://www.coingecko.com/pt/moedas/degen-base" TargetMode="External"/><Relationship Id="rId1611" Type="http://schemas.openxmlformats.org/officeDocument/2006/relationships/hyperlink" Target="https://www.coingecko.com/pt/candy" TargetMode="External"/><Relationship Id="rId497" Type="http://schemas.openxmlformats.org/officeDocument/2006/relationships/hyperlink" Target="https://www.coingecko.com/pt/metodologia" TargetMode="External"/><Relationship Id="rId2178" Type="http://schemas.openxmlformats.org/officeDocument/2006/relationships/hyperlink" Target="https://www.coingecko.com/pt/moedas/pixels" TargetMode="External"/><Relationship Id="rId2385" Type="http://schemas.openxmlformats.org/officeDocument/2006/relationships/hyperlink" Target="https://t.me/coingecko" TargetMode="External"/><Relationship Id="rId357" Type="http://schemas.openxmlformats.org/officeDocument/2006/relationships/hyperlink" Target="https://www.coingecko.com/pt/c%C3%A2mbios/gate-io" TargetMode="External"/><Relationship Id="rId1194" Type="http://schemas.openxmlformats.org/officeDocument/2006/relationships/hyperlink" Target="https://br.beincrypto.com/altcoins-formaram-fundo-e-estao-prontas-para-bull-run/" TargetMode="External"/><Relationship Id="rId2038" Type="http://schemas.openxmlformats.org/officeDocument/2006/relationships/hyperlink" Target="https://www.coingecko.com/pt/moedas/aerodrome-finance" TargetMode="External"/><Relationship Id="rId2592" Type="http://schemas.openxmlformats.org/officeDocument/2006/relationships/hyperlink" Target="https://coingecko.app.link/lTInCXLGz4" TargetMode="External"/><Relationship Id="rId217" Type="http://schemas.openxmlformats.org/officeDocument/2006/relationships/hyperlink" Target="https://www.coingecko.com/pt/c%C3%A2mbios/coinbase-exchange" TargetMode="External"/><Relationship Id="rId564" Type="http://schemas.openxmlformats.org/officeDocument/2006/relationships/hyperlink" Target="https://br.beincrypto.com/adaptador-de-blockchain-para-ativos-tokenizados/" TargetMode="External"/><Relationship Id="rId771" Type="http://schemas.openxmlformats.org/officeDocument/2006/relationships/hyperlink" Target="https://www.coingecko.com/pt/moedas/bittensor" TargetMode="External"/><Relationship Id="rId2245" Type="http://schemas.openxmlformats.org/officeDocument/2006/relationships/hyperlink" Target="https://www.coingecko.com/pt/metodologia" TargetMode="External"/><Relationship Id="rId2452" Type="http://schemas.openxmlformats.org/officeDocument/2006/relationships/hyperlink" Target="https://fairyproof.com/report/Pepe" TargetMode="External"/><Relationship Id="rId424" Type="http://schemas.openxmlformats.org/officeDocument/2006/relationships/hyperlink" Target="https://www.coingecko.com/pt/moedas/ethereum" TargetMode="External"/><Relationship Id="rId631" Type="http://schemas.openxmlformats.org/officeDocument/2006/relationships/hyperlink" Target="https://gcko.io/coingeckoads" TargetMode="External"/><Relationship Id="rId1054" Type="http://schemas.openxmlformats.org/officeDocument/2006/relationships/hyperlink" Target="https://www.coingecko.com/pt/moedas/vulcan-forged" TargetMode="External"/><Relationship Id="rId1261" Type="http://schemas.openxmlformats.org/officeDocument/2006/relationships/hyperlink" Target="https://support.coingecko.com/" TargetMode="External"/><Relationship Id="rId2105" Type="http://schemas.openxmlformats.org/officeDocument/2006/relationships/hyperlink" Target="https://twitter.com/search?q=$WIF" TargetMode="External"/><Relationship Id="rId2312" Type="http://schemas.openxmlformats.org/officeDocument/2006/relationships/hyperlink" Target="https://www.coingecko.com/pt/moedas/shiba-inu/usd" TargetMode="External"/><Relationship Id="rId1121" Type="http://schemas.openxmlformats.org/officeDocument/2006/relationships/hyperlink" Target="https://www.coingecko.com/pt/global-charts" TargetMode="External"/><Relationship Id="rId1938" Type="http://schemas.openxmlformats.org/officeDocument/2006/relationships/hyperlink" Target="https://www.coingecko.com/learn/what-is-fully-diluted-valuation-fdv-in-crypto" TargetMode="External"/><Relationship Id="rId281" Type="http://schemas.openxmlformats.org/officeDocument/2006/relationships/hyperlink" Target="https://www.coingecko.com/pt/moedas/dymension" TargetMode="External"/><Relationship Id="rId141" Type="http://schemas.openxmlformats.org/officeDocument/2006/relationships/hyperlink" Target="https://careers.coingecko.com/" TargetMode="External"/><Relationship Id="rId7" Type="http://schemas.openxmlformats.org/officeDocument/2006/relationships/hyperlink" Target="https://www.geckoterminal.com/?utm_source=coingecko&amp;utm_medium=referral&amp;utm_campaign=desktop_navigation" TargetMode="External"/><Relationship Id="rId2779" Type="http://schemas.openxmlformats.org/officeDocument/2006/relationships/drawing" Target="../drawings/drawing4.xml"/><Relationship Id="rId958" Type="http://schemas.openxmlformats.org/officeDocument/2006/relationships/hyperlink" Target="https://www.coingecko.com/pt/c%C3%A2mbios" TargetMode="External"/><Relationship Id="rId1588" Type="http://schemas.openxmlformats.org/officeDocument/2006/relationships/hyperlink" Target="https://www.coingecko.com/pt/metodologia" TargetMode="External"/><Relationship Id="rId1795" Type="http://schemas.openxmlformats.org/officeDocument/2006/relationships/hyperlink" Target="https://forum.stacks.org/" TargetMode="External"/><Relationship Id="rId2639" Type="http://schemas.openxmlformats.org/officeDocument/2006/relationships/hyperlink" Target="https://www.bitunix.com/spot-trade?symbol=LDOUSDTregister?inviteCode=yq5pr7" TargetMode="External"/><Relationship Id="rId87" Type="http://schemas.openxmlformats.org/officeDocument/2006/relationships/hyperlink" Target="https://www.coingecko.com/pt/moedas/bnb" TargetMode="External"/><Relationship Id="rId818" Type="http://schemas.openxmlformats.org/officeDocument/2006/relationships/hyperlink" Target="https://www.coingecko.com/pt/metodologia" TargetMode="External"/><Relationship Id="rId1448" Type="http://schemas.openxmlformats.org/officeDocument/2006/relationships/hyperlink" Target="https://www.coingecko.com/pt/global-charts" TargetMode="External"/><Relationship Id="rId1655" Type="http://schemas.openxmlformats.org/officeDocument/2006/relationships/hyperlink" Target="https://www.bitunix.com/spot-trade?symbol=RNDRUSDTregister?inviteCode=yq5pr7" TargetMode="External"/><Relationship Id="rId2706" Type="http://schemas.openxmlformats.org/officeDocument/2006/relationships/hyperlink" Target="https://www.coingecko.com/en/coins/frax-share" TargetMode="External"/><Relationship Id="rId1308" Type="http://schemas.openxmlformats.org/officeDocument/2006/relationships/hyperlink" Target="https://app.optimism.io/governance" TargetMode="External"/><Relationship Id="rId1862" Type="http://schemas.openxmlformats.org/officeDocument/2006/relationships/hyperlink" Target="https://www.coingecko.com/pt/moedas/dione" TargetMode="External"/><Relationship Id="rId1515" Type="http://schemas.openxmlformats.org/officeDocument/2006/relationships/hyperlink" Target="https://www.cryptopolitan.com/pt/essas-4-altcoins-sao-as-favoritas-para-as-baleias-criptograficas-obterem-ganhos-garantidos/" TargetMode="External"/><Relationship Id="rId1722" Type="http://schemas.openxmlformats.org/officeDocument/2006/relationships/hyperlink" Target="https://www.coingecko.com/pt/moedas/ethereum" TargetMode="External"/><Relationship Id="rId14" Type="http://schemas.openxmlformats.org/officeDocument/2006/relationships/hyperlink" Target="https://www.coingecko.com/pt/metodologia" TargetMode="External"/><Relationship Id="rId2289" Type="http://schemas.openxmlformats.org/officeDocument/2006/relationships/hyperlink" Target="https://www.biconomy.com/exchange/SHIB_USDT" TargetMode="External"/><Relationship Id="rId2496" Type="http://schemas.openxmlformats.org/officeDocument/2006/relationships/hyperlink" Target="https://coinmarketcap.com/pt-br/currencies/inscribe/" TargetMode="External"/><Relationship Id="rId468" Type="http://schemas.openxmlformats.org/officeDocument/2006/relationships/hyperlink" Target="https://t.me/coingeckonews" TargetMode="External"/><Relationship Id="rId675" Type="http://schemas.openxmlformats.org/officeDocument/2006/relationships/hyperlink" Target="https://www.coingecko.com/learn/what-is-fully-diluted-valuation-fdv-in-crypto" TargetMode="External"/><Relationship Id="rId882" Type="http://schemas.openxmlformats.org/officeDocument/2006/relationships/hyperlink" Target="https://www.coingecko.com/pt/moedas/beam-2" TargetMode="External"/><Relationship Id="rId1098" Type="http://schemas.openxmlformats.org/officeDocument/2006/relationships/hyperlink" Target="https://www.coingecko.com/pt/sobre" TargetMode="External"/><Relationship Id="rId2149" Type="http://schemas.openxmlformats.org/officeDocument/2006/relationships/hyperlink" Target="https://www.coingecko.com/pt/moedas/bonk" TargetMode="External"/><Relationship Id="rId2356" Type="http://schemas.openxmlformats.org/officeDocument/2006/relationships/hyperlink" Target="https://www.coingecko.com/pt/moedas/ethereum" TargetMode="External"/><Relationship Id="rId2563" Type="http://schemas.openxmlformats.org/officeDocument/2006/relationships/hyperlink" Target="https://coinmarketcap.com/indices/" TargetMode="External"/><Relationship Id="rId2770" Type="http://schemas.openxmlformats.org/officeDocument/2006/relationships/hyperlink" Target="https://www.youtube.com/channel/UC-OTgwOAI7KmP0eDAtqN3Ow?sub_confirmation=1" TargetMode="External"/><Relationship Id="rId328" Type="http://schemas.openxmlformats.org/officeDocument/2006/relationships/hyperlink" Target="https://www.coingecko.com/pt/candy" TargetMode="External"/><Relationship Id="rId535" Type="http://schemas.openxmlformats.org/officeDocument/2006/relationships/hyperlink" Target="https://www.coingecko.com/pt/c%C3%A2mbios/c-patex" TargetMode="External"/><Relationship Id="rId742" Type="http://schemas.openxmlformats.org/officeDocument/2006/relationships/hyperlink" Target="https://www.coingecko.com/pt/moedas/ethereum" TargetMode="External"/><Relationship Id="rId1165" Type="http://schemas.openxmlformats.org/officeDocument/2006/relationships/hyperlink" Target="https://www.coingecko.com/pt/c%C3%A2mbios/orangex" TargetMode="External"/><Relationship Id="rId1372" Type="http://schemas.openxmlformats.org/officeDocument/2006/relationships/hyperlink" Target="https://www.coingecko.com/pt/moedas/cosmos-hub" TargetMode="External"/><Relationship Id="rId2009" Type="http://schemas.openxmlformats.org/officeDocument/2006/relationships/hyperlink" Target="https://www.coingecko.com/pt/moedas/optimus-ai" TargetMode="External"/><Relationship Id="rId2216" Type="http://schemas.openxmlformats.org/officeDocument/2006/relationships/hyperlink" Target="https://t.me/coingeckonews" TargetMode="External"/><Relationship Id="rId2423" Type="http://schemas.openxmlformats.org/officeDocument/2006/relationships/hyperlink" Target="https://www.google.com/search?client=firefox-b-d&amp;sca_esv=8f14c8c94b33adc6&amp;sca_upv=1&amp;ie=UTF-8&amp;q=d%C3%B3lar+turismo+hoje+venda" TargetMode="External"/><Relationship Id="rId2630" Type="http://schemas.openxmlformats.org/officeDocument/2006/relationships/hyperlink" Target="https://www.mexc.com/exchange/LDO_USDT?inviteCode=1498J" TargetMode="External"/><Relationship Id="rId602" Type="http://schemas.openxmlformats.org/officeDocument/2006/relationships/hyperlink" Target="https://www.coingecko.com/pt/moedas/pixels" TargetMode="External"/><Relationship Id="rId1025" Type="http://schemas.openxmlformats.org/officeDocument/2006/relationships/hyperlink" Target="https://hpg.com.br/brise-bitgert-criptomoeda-projeto-onde-comprar-vai-subir-em-2024.html" TargetMode="External"/><Relationship Id="rId1232" Type="http://schemas.openxmlformats.org/officeDocument/2006/relationships/hyperlink" Target="https://www.coingecko.com/pt/moedas/bitcoin" TargetMode="External"/><Relationship Id="rId185" Type="http://schemas.openxmlformats.org/officeDocument/2006/relationships/hyperlink" Target="https://etherscan.io/" TargetMode="External"/><Relationship Id="rId1909" Type="http://schemas.openxmlformats.org/officeDocument/2006/relationships/hyperlink" Target="https://twitter.com/coingecko" TargetMode="External"/><Relationship Id="rId392" Type="http://schemas.openxmlformats.org/officeDocument/2006/relationships/hyperlink" Target="https://br.beincrypto.com/cripto-investidores-vendem-em-maio-e-vao-embora/" TargetMode="External"/><Relationship Id="rId2073" Type="http://schemas.openxmlformats.org/officeDocument/2006/relationships/hyperlink" Target="https://discord.gg/EhrkaCH" TargetMode="External"/><Relationship Id="rId2280" Type="http://schemas.openxmlformats.org/officeDocument/2006/relationships/hyperlink" Target="https://www.mexc.com/exchange/SHIB_USDT?inviteCode=1498J" TargetMode="External"/><Relationship Id="rId252" Type="http://schemas.openxmlformats.org/officeDocument/2006/relationships/hyperlink" Target="https://www.coingecko.com/pt/moedas/render" TargetMode="External"/><Relationship Id="rId2140" Type="http://schemas.openxmlformats.org/officeDocument/2006/relationships/hyperlink" Target="https://br.beincrypto.com/altcoins-para-ficar-de-olho-em-maio/" TargetMode="External"/><Relationship Id="rId112" Type="http://schemas.openxmlformats.org/officeDocument/2006/relationships/hyperlink" Target="https://www.coingecko.com/pt/moedas/ethereum" TargetMode="External"/><Relationship Id="rId1699" Type="http://schemas.openxmlformats.org/officeDocument/2006/relationships/hyperlink" Target="https://www.coingecko.com/pt/moedas/solana" TargetMode="External"/><Relationship Id="rId2000" Type="http://schemas.openxmlformats.org/officeDocument/2006/relationships/hyperlink" Target="https://www.coingecko.com/pt/moedas/dogecoin/brl" TargetMode="External"/><Relationship Id="rId929" Type="http://schemas.openxmlformats.org/officeDocument/2006/relationships/hyperlink" Target="https://www.coingecko.com/pt/api" TargetMode="External"/><Relationship Id="rId1559" Type="http://schemas.openxmlformats.org/officeDocument/2006/relationships/hyperlink" Target="https://www.coingecko.com/pt/moedas/ethereum" TargetMode="External"/><Relationship Id="rId1766" Type="http://schemas.openxmlformats.org/officeDocument/2006/relationships/hyperlink" Target="https://coingecko.app.link/lTInCXLGz4" TargetMode="External"/><Relationship Id="rId1973" Type="http://schemas.openxmlformats.org/officeDocument/2006/relationships/hyperlink" Target="https://bingx.com/en-us/spot/DOGEUSDT?ch=cgk_organic" TargetMode="External"/><Relationship Id="rId58" Type="http://schemas.openxmlformats.org/officeDocument/2006/relationships/hyperlink" Target="https://www.mexc.com/exchange/BTC_USDT?inviteCode=1498J" TargetMode="External"/><Relationship Id="rId1419" Type="http://schemas.openxmlformats.org/officeDocument/2006/relationships/hyperlink" Target="https://www.coingecko.com/request" TargetMode="External"/><Relationship Id="rId1626" Type="http://schemas.openxmlformats.org/officeDocument/2006/relationships/hyperlink" Target="https://forms.gle/ULNnnCGCEAimK9cJ7" TargetMode="External"/><Relationship Id="rId1833" Type="http://schemas.openxmlformats.org/officeDocument/2006/relationships/hyperlink" Target="https://www.cryptopolitan.com/pt/pilhas-de-dinheiro-bitcoin-e-rebelde-satoshi-rblz-sao-tres-moedas-que-voce-deveria-comprar-apos-o-halving-do-bitcoin/" TargetMode="External"/><Relationship Id="rId1900" Type="http://schemas.openxmlformats.org/officeDocument/2006/relationships/hyperlink" Target="https://careers.coingecko.com/" TargetMode="External"/><Relationship Id="rId579" Type="http://schemas.openxmlformats.org/officeDocument/2006/relationships/hyperlink" Target="https://www.coingecko.com/pt/moedas/chainlink/brl" TargetMode="External"/><Relationship Id="rId786" Type="http://schemas.openxmlformats.org/officeDocument/2006/relationships/hyperlink" Target="https://careers.coingecko.com/" TargetMode="External"/><Relationship Id="rId993" Type="http://schemas.openxmlformats.org/officeDocument/2006/relationships/hyperlink" Target="https://www.coingecko.com/pt/c%C3%A2mbios/gate-io" TargetMode="External"/><Relationship Id="rId2467" Type="http://schemas.openxmlformats.org/officeDocument/2006/relationships/hyperlink" Target="https://coinmarketcap.com/pt-br/currencies/chainlink/" TargetMode="External"/><Relationship Id="rId2674" Type="http://schemas.openxmlformats.org/officeDocument/2006/relationships/hyperlink" Target="https://www.coingecko.com/learn/defi-blue-chips" TargetMode="External"/><Relationship Id="rId439" Type="http://schemas.openxmlformats.org/officeDocument/2006/relationships/hyperlink" Target="https://www.coingecko.com/pt/moedas/bittensor" TargetMode="External"/><Relationship Id="rId646" Type="http://schemas.openxmlformats.org/officeDocument/2006/relationships/hyperlink" Target="https://twitter.com/coingecko" TargetMode="External"/><Relationship Id="rId1069" Type="http://schemas.openxmlformats.org/officeDocument/2006/relationships/hyperlink" Target="https://www.coingecko.com/pt/moedas/pepe" TargetMode="External"/><Relationship Id="rId1276" Type="http://schemas.openxmlformats.org/officeDocument/2006/relationships/hyperlink" Target="https://t.me/coingeckonews" TargetMode="External"/><Relationship Id="rId1483" Type="http://schemas.openxmlformats.org/officeDocument/2006/relationships/hyperlink" Target="https://www.toobit.com/en-US/spot/ARB_USDTregister?invite_code=ukqPOK" TargetMode="External"/><Relationship Id="rId2327" Type="http://schemas.openxmlformats.org/officeDocument/2006/relationships/hyperlink" Target="https://www.coingecko.com/pt/moedas/xfund" TargetMode="External"/><Relationship Id="rId506" Type="http://schemas.openxmlformats.org/officeDocument/2006/relationships/hyperlink" Target="https://etherscan.io/token/0x514910771af9ca656af840dff83e8264ecf986ca?a=0xfB682b0dE4e0093835EA21cfABb5449cA9ac9e5e" TargetMode="External"/><Relationship Id="rId853" Type="http://schemas.openxmlformats.org/officeDocument/2006/relationships/hyperlink" Target="https://www.coingecko.com/pt/c%C3%A2mbios/bingx" TargetMode="External"/><Relationship Id="rId1136" Type="http://schemas.openxmlformats.org/officeDocument/2006/relationships/hyperlink" Target="https://www.coingecko.com/learn/what-is-fully-diluted-valuation-fdv-in-crypto" TargetMode="External"/><Relationship Id="rId1690" Type="http://schemas.openxmlformats.org/officeDocument/2006/relationships/hyperlink" Target="https://www.coingecko.com/pt/moedas/the-sandbox" TargetMode="External"/><Relationship Id="rId2534" Type="http://schemas.openxmlformats.org/officeDocument/2006/relationships/hyperlink" Target="https://coinmarketcap.com/pt-br/currencies/ethereum/" TargetMode="External"/><Relationship Id="rId2741" Type="http://schemas.openxmlformats.org/officeDocument/2006/relationships/hyperlink" Target="https://www.coingecko.com/en/coins/ronin" TargetMode="External"/><Relationship Id="rId713" Type="http://schemas.openxmlformats.org/officeDocument/2006/relationships/hyperlink" Target="https://www.coingecko.com/pt/c%C3%A2mbios/katana" TargetMode="External"/><Relationship Id="rId920" Type="http://schemas.openxmlformats.org/officeDocument/2006/relationships/hyperlink" Target="https://www.coingecko.com/pt/moedas/ronin" TargetMode="External"/><Relationship Id="rId1343" Type="http://schemas.openxmlformats.org/officeDocument/2006/relationships/hyperlink" Target="https://www.bitget.com/spot/OPUSDT?channelCode=42xn&amp;vipCode=sq59&amp;languageType=0" TargetMode="External"/><Relationship Id="rId1550" Type="http://schemas.openxmlformats.org/officeDocument/2006/relationships/hyperlink" Target="https://www.coingecko.com/pt/moedas/bitcoin" TargetMode="External"/><Relationship Id="rId2601" Type="http://schemas.openxmlformats.org/officeDocument/2006/relationships/hyperlink" Target="https://blog.lido.fi/sunset-lido-on-solana/" TargetMode="External"/><Relationship Id="rId1203" Type="http://schemas.openxmlformats.org/officeDocument/2006/relationships/hyperlink" Target="https://www.coingecko.com/pt/moedas/polygon/usd" TargetMode="External"/><Relationship Id="rId1410" Type="http://schemas.openxmlformats.org/officeDocument/2006/relationships/hyperlink" Target="https://www.coingecko.com/pt/moedas/ronin" TargetMode="External"/><Relationship Id="rId296" Type="http://schemas.openxmlformats.org/officeDocument/2006/relationships/hyperlink" Target="https://hackenproof.com/coingecko/coingecko" TargetMode="External"/><Relationship Id="rId2184" Type="http://schemas.openxmlformats.org/officeDocument/2006/relationships/hyperlink" Target="https://www.coingecko.com/pt/moedas/degen-base" TargetMode="External"/><Relationship Id="rId2391" Type="http://schemas.openxmlformats.org/officeDocument/2006/relationships/hyperlink" Target="https://www.youtube.com/channel/UC-OTgwOAI7KmP0eDAtqN3Ow?sub_confirmation=1" TargetMode="External"/><Relationship Id="rId156" Type="http://schemas.openxmlformats.org/officeDocument/2006/relationships/hyperlink" Target="https://www.facebook.com/coingecko" TargetMode="External"/><Relationship Id="rId363" Type="http://schemas.openxmlformats.org/officeDocument/2006/relationships/hyperlink" Target="https://www.coingecko.com/pt/c%C3%A2mbios/weex" TargetMode="External"/><Relationship Id="rId570" Type="http://schemas.openxmlformats.org/officeDocument/2006/relationships/hyperlink" Target="https://www.cryptopolitan.com/pt/chainlink-vrf-v25-lancado-com-melhorias/" TargetMode="External"/><Relationship Id="rId2044" Type="http://schemas.openxmlformats.org/officeDocument/2006/relationships/hyperlink" Target="https://www.coingecko.com/pt/moedas/ondo" TargetMode="External"/><Relationship Id="rId2251" Type="http://schemas.openxmlformats.org/officeDocument/2006/relationships/hyperlink" Target="https://etherscan.io/token/0x95ad61b0a150d79219dcf64e1e6cc01f0b64c4ce?a=0x11450058d796b02eb53e65374be59cff65d3fe7f" TargetMode="External"/><Relationship Id="rId223" Type="http://schemas.openxmlformats.org/officeDocument/2006/relationships/hyperlink" Target="https://br.beincrypto.com/dydx-chain-token/" TargetMode="External"/><Relationship Id="rId430" Type="http://schemas.openxmlformats.org/officeDocument/2006/relationships/hyperlink" Target="https://www.coingecko.com/pt/moedas/bitcoin" TargetMode="External"/><Relationship Id="rId1060" Type="http://schemas.openxmlformats.org/officeDocument/2006/relationships/hyperlink" Target="https://www.coingecko.com/pt/moedas/dione" TargetMode="External"/><Relationship Id="rId2111" Type="http://schemas.openxmlformats.org/officeDocument/2006/relationships/hyperlink" Target="https://www.coingecko.com/pt/c%C3%A2mbios/tokocrypto" TargetMode="External"/><Relationship Id="rId1877" Type="http://schemas.openxmlformats.org/officeDocument/2006/relationships/hyperlink" Target="https://www.coingecko.com/pt/moedas/ethereum" TargetMode="External"/><Relationship Id="rId1737" Type="http://schemas.openxmlformats.org/officeDocument/2006/relationships/hyperlink" Target="https://support.coingecko.com/" TargetMode="External"/><Relationship Id="rId1944" Type="http://schemas.openxmlformats.org/officeDocument/2006/relationships/hyperlink" Target="https://blockchair.com/dogecoin" TargetMode="External"/><Relationship Id="rId29" Type="http://schemas.openxmlformats.org/officeDocument/2006/relationships/hyperlink" Target="https://www.facebook.com/134466763256650" TargetMode="External"/><Relationship Id="rId1804" Type="http://schemas.openxmlformats.org/officeDocument/2006/relationships/hyperlink" Target="https://www.coingecko.com/pt/c%C3%A2mbios/binance" TargetMode="External"/><Relationship Id="rId897" Type="http://schemas.openxmlformats.org/officeDocument/2006/relationships/hyperlink" Target="https://www.coingecko.com/pt/moedas/solana" TargetMode="External"/><Relationship Id="rId2578" Type="http://schemas.openxmlformats.org/officeDocument/2006/relationships/hyperlink" Target="https://coinmarketcap.com/academy/pt/glossary" TargetMode="External"/><Relationship Id="rId2785" Type="http://schemas.openxmlformats.org/officeDocument/2006/relationships/queryTable" Target="../queryTables/queryTable6.xml"/><Relationship Id="rId757" Type="http://schemas.openxmlformats.org/officeDocument/2006/relationships/hyperlink" Target="https://www.coingecko.com/pt/moedas/ethereum" TargetMode="External"/><Relationship Id="rId964" Type="http://schemas.openxmlformats.org/officeDocument/2006/relationships/hyperlink" Target="https://www.coingecko.com/pt/candy" TargetMode="External"/><Relationship Id="rId1387" Type="http://schemas.openxmlformats.org/officeDocument/2006/relationships/hyperlink" Target="https://www.coingecko.com/pt/moedas/dione" TargetMode="External"/><Relationship Id="rId1594" Type="http://schemas.openxmlformats.org/officeDocument/2006/relationships/hyperlink" Target="https://t.me/coingecko" TargetMode="External"/><Relationship Id="rId2438" Type="http://schemas.openxmlformats.org/officeDocument/2006/relationships/hyperlink" Target="https://coinmarketcap.com/pt-br/" TargetMode="External"/><Relationship Id="rId2645" Type="http://schemas.openxmlformats.org/officeDocument/2006/relationships/hyperlink" Target="https://www.bybit.com/trade/spot/LDO/USDT/?affiliate_id=9763" TargetMode="External"/><Relationship Id="rId93" Type="http://schemas.openxmlformats.org/officeDocument/2006/relationships/hyperlink" Target="https://www.coingecko.com/pt/moedas/toncoin" TargetMode="External"/><Relationship Id="rId617" Type="http://schemas.openxmlformats.org/officeDocument/2006/relationships/hyperlink" Target="https://www.coingecko.com/pt/moedas/wormhole" TargetMode="External"/><Relationship Id="rId824" Type="http://schemas.openxmlformats.org/officeDocument/2006/relationships/hyperlink" Target="https://www.coingecko.com/pt/metodologia" TargetMode="External"/><Relationship Id="rId1247" Type="http://schemas.openxmlformats.org/officeDocument/2006/relationships/hyperlink" Target="https://www.coingecko.com/pt/moedas/pepe" TargetMode="External"/><Relationship Id="rId1454" Type="http://schemas.openxmlformats.org/officeDocument/2006/relationships/hyperlink" Target="https://www.coingecko.com/pt/candy" TargetMode="External"/><Relationship Id="rId1661" Type="http://schemas.openxmlformats.org/officeDocument/2006/relationships/hyperlink" Target="https://www.mexc.com/exchange/RNDR_USDT?inviteCode=1498J" TargetMode="External"/><Relationship Id="rId2505" Type="http://schemas.openxmlformats.org/officeDocument/2006/relationships/hyperlink" Target="https://coinmarketcap.com/pt-br/currencies/node-ai/" TargetMode="External"/><Relationship Id="rId2712" Type="http://schemas.openxmlformats.org/officeDocument/2006/relationships/hyperlink" Target="https://www.coingecko.com/en/coins/solana" TargetMode="External"/><Relationship Id="rId1107" Type="http://schemas.openxmlformats.org/officeDocument/2006/relationships/hyperlink" Target="https://www.coingecko.com/pt/ad_policy" TargetMode="External"/><Relationship Id="rId1314" Type="http://schemas.openxmlformats.org/officeDocument/2006/relationships/hyperlink" Target="https://snapshot.org/" TargetMode="External"/><Relationship Id="rId1521" Type="http://schemas.openxmlformats.org/officeDocument/2006/relationships/hyperlink" Target="https://www.coingecko.com/pt/moedas/arbitrum/usd" TargetMode="External"/><Relationship Id="rId20" Type="http://schemas.openxmlformats.org/officeDocument/2006/relationships/hyperlink" Target="https://www.coingecko.com/pt/metodologia" TargetMode="External"/><Relationship Id="rId2088" Type="http://schemas.openxmlformats.org/officeDocument/2006/relationships/hyperlink" Target="https://www.coingecko.com/pt/candy" TargetMode="External"/><Relationship Id="rId2295" Type="http://schemas.openxmlformats.org/officeDocument/2006/relationships/hyperlink" Target="https://www.digifinex.com/en-ww/trade/USDT/SHIB" TargetMode="External"/><Relationship Id="rId267" Type="http://schemas.openxmlformats.org/officeDocument/2006/relationships/hyperlink" Target="https://www.coingecko.com/pt/moedas/bitcoin" TargetMode="External"/><Relationship Id="rId474" Type="http://schemas.openxmlformats.org/officeDocument/2006/relationships/hyperlink" Target="https://www.tiktok.com/@coingeckotv" TargetMode="External"/><Relationship Id="rId2155" Type="http://schemas.openxmlformats.org/officeDocument/2006/relationships/hyperlink" Target="https://www.coingecko.com/pt/moedas/popcat" TargetMode="External"/><Relationship Id="rId127" Type="http://schemas.openxmlformats.org/officeDocument/2006/relationships/hyperlink" Target="https://www.coingecko.com/pt/moedas/bittensor" TargetMode="External"/><Relationship Id="rId681" Type="http://schemas.openxmlformats.org/officeDocument/2006/relationships/hyperlink" Target="https://explorer.roninchain.com/" TargetMode="External"/><Relationship Id="rId2362" Type="http://schemas.openxmlformats.org/officeDocument/2006/relationships/hyperlink" Target="https://www.coingecko.com/pt/moedas/polygon" TargetMode="External"/><Relationship Id="rId334" Type="http://schemas.openxmlformats.org/officeDocument/2006/relationships/hyperlink" Target="https://www.tradingview.com/?aff_id=132489" TargetMode="External"/><Relationship Id="rId541" Type="http://schemas.openxmlformats.org/officeDocument/2006/relationships/hyperlink" Target="https://www.coingecko.com/pt/c%C3%A2mbios/lbank" TargetMode="External"/><Relationship Id="rId1171" Type="http://schemas.openxmlformats.org/officeDocument/2006/relationships/hyperlink" Target="https://www.coingecko.com/pt/c%C3%A2mbios/bitvenus-spot" TargetMode="External"/><Relationship Id="rId2015" Type="http://schemas.openxmlformats.org/officeDocument/2006/relationships/hyperlink" Target="https://www.coingecko.com/pt/moedas/baby-grok" TargetMode="External"/><Relationship Id="rId2222" Type="http://schemas.openxmlformats.org/officeDocument/2006/relationships/hyperlink" Target="https://www.tiktok.com/@coingeckotv" TargetMode="External"/><Relationship Id="rId401" Type="http://schemas.openxmlformats.org/officeDocument/2006/relationships/hyperlink" Target="https://www.coingecko.com/pt/moedas/tether" TargetMode="External"/><Relationship Id="rId1031" Type="http://schemas.openxmlformats.org/officeDocument/2006/relationships/hyperlink" Target="https://hpg.com.br/bit-bitdao-criptomoeda-projeto-onde-comprar-vai-subir-em-2024.html" TargetMode="External"/><Relationship Id="rId1988" Type="http://schemas.openxmlformats.org/officeDocument/2006/relationships/hyperlink" Target="https://br.beincrypto.com/dogecoin-solana-xrp-interesse-cai/" TargetMode="External"/><Relationship Id="rId1848" Type="http://schemas.openxmlformats.org/officeDocument/2006/relationships/hyperlink" Target="https://www.coingecko.com/pt/moedas/satoshivm" TargetMode="External"/><Relationship Id="rId191" Type="http://schemas.openxmlformats.org/officeDocument/2006/relationships/hyperlink" Target="https://www.coingecko.com/pt/categories/smart-contract-platform" TargetMode="External"/><Relationship Id="rId1708" Type="http://schemas.openxmlformats.org/officeDocument/2006/relationships/hyperlink" Target="https://www.coingecko.com/pt/moedas/bitcoin" TargetMode="External"/><Relationship Id="rId1915" Type="http://schemas.openxmlformats.org/officeDocument/2006/relationships/hyperlink" Target="https://www.facebook.com/coingecko" TargetMode="External"/><Relationship Id="rId2689" Type="http://schemas.openxmlformats.org/officeDocument/2006/relationships/hyperlink" Target="https://www.coingecko.com/en/coins/lido-dao/aud" TargetMode="External"/><Relationship Id="rId868" Type="http://schemas.openxmlformats.org/officeDocument/2006/relationships/hyperlink" Target="https://www.coingecko.com/pt/c%C3%A2mbios/whitebit" TargetMode="External"/><Relationship Id="rId1498" Type="http://schemas.openxmlformats.org/officeDocument/2006/relationships/hyperlink" Target="https://www.bitget.com/spot/ARBUSDT?channelCode=42xn&amp;vipCode=sq59&amp;languageType=0" TargetMode="External"/><Relationship Id="rId2549" Type="http://schemas.openxmlformats.org/officeDocument/2006/relationships/hyperlink" Target="https://coinmarketcap.com/pt-br/currencies/pepe/pepe/brl/" TargetMode="External"/><Relationship Id="rId2756" Type="http://schemas.openxmlformats.org/officeDocument/2006/relationships/hyperlink" Target="https://blog.coingecko.com/" TargetMode="External"/><Relationship Id="rId728" Type="http://schemas.openxmlformats.org/officeDocument/2006/relationships/hyperlink" Target="https://www.coingecko.com/pt/moedas/gnosis" TargetMode="External"/><Relationship Id="rId935" Type="http://schemas.openxmlformats.org/officeDocument/2006/relationships/hyperlink" Target="https://www.coingecko.com/pt/faq" TargetMode="External"/><Relationship Id="rId1358" Type="http://schemas.openxmlformats.org/officeDocument/2006/relationships/hyperlink" Target="https://br.beincrypto.com/principais-noticias-criptograficas-desta-semana/" TargetMode="External"/><Relationship Id="rId1565" Type="http://schemas.openxmlformats.org/officeDocument/2006/relationships/hyperlink" Target="https://www.coingecko.com/pt/moedas/aerodrome-finance" TargetMode="External"/><Relationship Id="rId1772" Type="http://schemas.openxmlformats.org/officeDocument/2006/relationships/hyperlink" Target="https://gcko.io/search-survey" TargetMode="External"/><Relationship Id="rId2409" Type="http://schemas.openxmlformats.org/officeDocument/2006/relationships/hyperlink" Target="https://www.google.com/url?q=https://g1.globo.com/economia/dolar/&amp;sa=U&amp;ved=2ahUKEwj_2bOd7u6FAxXSpZUCHUfnDMEQFnoECAIQAg&amp;usg=AOvVaw2zC4WyhjzCTDZ_QeIdmkvY" TargetMode="External"/><Relationship Id="rId2616" Type="http://schemas.openxmlformats.org/officeDocument/2006/relationships/hyperlink" Target="https://twitter.com/lidofinance" TargetMode="External"/><Relationship Id="rId64" Type="http://schemas.openxmlformats.org/officeDocument/2006/relationships/hyperlink" Target="https://trading.bitfinex.com/t/BTC:USD?type=exchange?refcode=6dwJVwfb" TargetMode="External"/><Relationship Id="rId1218" Type="http://schemas.openxmlformats.org/officeDocument/2006/relationships/hyperlink" Target="https://www.coingecko.com/pt/moedas/multiversx" TargetMode="External"/><Relationship Id="rId1425" Type="http://schemas.openxmlformats.org/officeDocument/2006/relationships/hyperlink" Target="https://www.coingecko.com/pt/sobre" TargetMode="External"/><Relationship Id="rId1632" Type="http://schemas.openxmlformats.org/officeDocument/2006/relationships/hyperlink" Target="https://gcko.io/ledger" TargetMode="External"/><Relationship Id="rId2199" Type="http://schemas.openxmlformats.org/officeDocument/2006/relationships/hyperlink" Target="https://gcko.io/coingeckoads" TargetMode="External"/><Relationship Id="rId378" Type="http://schemas.openxmlformats.org/officeDocument/2006/relationships/hyperlink" Target="https://www.coingecko.com/pt/c%C3%A2mbios/okx" TargetMode="External"/><Relationship Id="rId585" Type="http://schemas.openxmlformats.org/officeDocument/2006/relationships/hyperlink" Target="https://www.coingecko.com/pt/moedas/cosmos-hub" TargetMode="External"/><Relationship Id="rId792" Type="http://schemas.openxmlformats.org/officeDocument/2006/relationships/hyperlink" Target="https://www.coingecko.com/pt/privacidade" TargetMode="External"/><Relationship Id="rId2059" Type="http://schemas.openxmlformats.org/officeDocument/2006/relationships/hyperlink" Target="https://careers.coingecko.com/" TargetMode="External"/><Relationship Id="rId2266" Type="http://schemas.openxmlformats.org/officeDocument/2006/relationships/hyperlink" Target="https://www.coingecko.com/pt/categories/meme-token" TargetMode="External"/><Relationship Id="rId2473" Type="http://schemas.openxmlformats.org/officeDocument/2006/relationships/hyperlink" Target="https://coinmarketcap.com/pt-br/currencies/immutable-x/" TargetMode="External"/><Relationship Id="rId2680" Type="http://schemas.openxmlformats.org/officeDocument/2006/relationships/hyperlink" Target="https://www.coingecko.com/research/publications/ethereum-staking-statistics" TargetMode="External"/><Relationship Id="rId238" Type="http://schemas.openxmlformats.org/officeDocument/2006/relationships/hyperlink" Target="https://www.coingecko.com/pt/moedas/ethereum/eur" TargetMode="External"/><Relationship Id="rId445" Type="http://schemas.openxmlformats.org/officeDocument/2006/relationships/hyperlink" Target="https://www.coingecko.com/pt" TargetMode="External"/><Relationship Id="rId652" Type="http://schemas.openxmlformats.org/officeDocument/2006/relationships/hyperlink" Target="https://www.facebook.com/coingecko" TargetMode="External"/><Relationship Id="rId1075" Type="http://schemas.openxmlformats.org/officeDocument/2006/relationships/hyperlink" Target="https://www.coingecko.com/pt/moedas/degen-base" TargetMode="External"/><Relationship Id="rId1282" Type="http://schemas.openxmlformats.org/officeDocument/2006/relationships/hyperlink" Target="https://www.tiktok.com/@coingeckotv" TargetMode="External"/><Relationship Id="rId2126" Type="http://schemas.openxmlformats.org/officeDocument/2006/relationships/hyperlink" Target="https://www.coingecko.com/pt/c%C3%A2mbios/digifinex" TargetMode="External"/><Relationship Id="rId2333" Type="http://schemas.openxmlformats.org/officeDocument/2006/relationships/hyperlink" Target="https://www.coingecko.com/pt/moedas/solana" TargetMode="External"/><Relationship Id="rId2540" Type="http://schemas.openxmlformats.org/officeDocument/2006/relationships/hyperlink" Target="https://coinmarketcap.com/pt-br/currencies/dogecoin/" TargetMode="External"/><Relationship Id="rId305" Type="http://schemas.openxmlformats.org/officeDocument/2006/relationships/hyperlink" Target="https://www.coingecko.com/pt/termos" TargetMode="External"/><Relationship Id="rId512" Type="http://schemas.openxmlformats.org/officeDocument/2006/relationships/hyperlink" Target="https://etherscan.io/token/0x514910771af9ca656af840dff83e8264ecf986ca?a=0x9BBb46637A1Df7CADec2AFcA19C2920CdDCc8Db8" TargetMode="External"/><Relationship Id="rId1142" Type="http://schemas.openxmlformats.org/officeDocument/2006/relationships/hyperlink" Target="https://etherscan.io/token/0x7d1afa7b718fb893db30a3abc0cfc608aacfebb0?a=0xb316fa9fa91700d7084d377bfdc81eb9f232f5ff" TargetMode="External"/><Relationship Id="rId2400" Type="http://schemas.openxmlformats.org/officeDocument/2006/relationships/hyperlink" Target="https://www.google.com/url?q=https://economia.uol.com.br/cotacoes/cambio/&amp;sa=U&amp;ved=2ahUKEwj_2bOd7u6FAxXSpZUCHUfnDMEQFnoECAsQAg&amp;usg=AOvVaw2bPGd3w8yZTkflHf-ONEeM" TargetMode="External"/><Relationship Id="rId1002" Type="http://schemas.openxmlformats.org/officeDocument/2006/relationships/hyperlink" Target="https://www.coingecko.com/pt/c%C3%A2mbios/binance" TargetMode="External"/><Relationship Id="rId1959" Type="http://schemas.openxmlformats.org/officeDocument/2006/relationships/hyperlink" Target="https://www.coingecko.com/pt/c%C3%A2mbios/digifinex" TargetMode="External"/><Relationship Id="rId1819" Type="http://schemas.openxmlformats.org/officeDocument/2006/relationships/hyperlink" Target="https://www.coingecko.com/pt/c%C3%A2mbios/mexc" TargetMode="External"/><Relationship Id="rId2190" Type="http://schemas.openxmlformats.org/officeDocument/2006/relationships/hyperlink" Target="https://www.coingecko.com/pt/moedas/ethena" TargetMode="External"/><Relationship Id="rId162" Type="http://schemas.openxmlformats.org/officeDocument/2006/relationships/hyperlink" Target="https://www.coingecko.com/pt/c%C3%A2mbios" TargetMode="External"/><Relationship Id="rId2050" Type="http://schemas.openxmlformats.org/officeDocument/2006/relationships/hyperlink" Target="https://www.coingecko.com/pt/cryptocurrency-heatmap" TargetMode="External"/><Relationship Id="rId979" Type="http://schemas.openxmlformats.org/officeDocument/2006/relationships/hyperlink" Target="https://forms.gle/ULNnnCGCEAimK9cJ7" TargetMode="External"/><Relationship Id="rId839" Type="http://schemas.openxmlformats.org/officeDocument/2006/relationships/hyperlink" Target="https://www.coingecko.com/learn/complete-beginners-guide-to-metamask" TargetMode="External"/><Relationship Id="rId1469" Type="http://schemas.openxmlformats.org/officeDocument/2006/relationships/hyperlink" Target="http://arbitrum.foundation/" TargetMode="External"/><Relationship Id="rId1676" Type="http://schemas.openxmlformats.org/officeDocument/2006/relationships/hyperlink" Target="https://br.beincrypto.com/altcoins-para-ficar-de-olho-em-maio/" TargetMode="External"/><Relationship Id="rId1883" Type="http://schemas.openxmlformats.org/officeDocument/2006/relationships/hyperlink" Target="https://www.coingecko.com/pt/moedas/pendle" TargetMode="External"/><Relationship Id="rId2727" Type="http://schemas.openxmlformats.org/officeDocument/2006/relationships/hyperlink" Target="https://www.coingecko.com/en/coins/bitcoin" TargetMode="External"/><Relationship Id="rId906" Type="http://schemas.openxmlformats.org/officeDocument/2006/relationships/hyperlink" Target="https://www.coingecko.com/pt/moedas/ethereum" TargetMode="External"/><Relationship Id="rId1329" Type="http://schemas.openxmlformats.org/officeDocument/2006/relationships/hyperlink" Target="https://www.coingecko.com/pt/c%C3%A2mbios/binance" TargetMode="External"/><Relationship Id="rId1536" Type="http://schemas.openxmlformats.org/officeDocument/2006/relationships/hyperlink" Target="https://www.coingecko.com/pt/moedas/manta-network" TargetMode="External"/><Relationship Id="rId1743" Type="http://schemas.openxmlformats.org/officeDocument/2006/relationships/hyperlink" Target="https://blog.coingecko.com/" TargetMode="External"/><Relationship Id="rId1950" Type="http://schemas.openxmlformats.org/officeDocument/2006/relationships/hyperlink" Target="https://github.com/dogecoin" TargetMode="External"/><Relationship Id="rId35" Type="http://schemas.openxmlformats.org/officeDocument/2006/relationships/hyperlink" Target="https://www.coingecko.com/pt/c%C3%A2mbios/binance" TargetMode="External"/><Relationship Id="rId1603" Type="http://schemas.openxmlformats.org/officeDocument/2006/relationships/hyperlink" Target="https://coingecko.app.link/lTInCXLGz4" TargetMode="External"/><Relationship Id="rId1810" Type="http://schemas.openxmlformats.org/officeDocument/2006/relationships/hyperlink" Target="https://www.coingecko.com/pt/c%C3%A2mbios/digifinex" TargetMode="External"/><Relationship Id="rId489" Type="http://schemas.openxmlformats.org/officeDocument/2006/relationships/hyperlink" Target="https://www.coingecko.com/pt" TargetMode="External"/><Relationship Id="rId696" Type="http://schemas.openxmlformats.org/officeDocument/2006/relationships/hyperlink" Target="https://www.huobi.com/en-us/exchange/ronin_usdt?invite_code=d8c53" TargetMode="External"/><Relationship Id="rId2377" Type="http://schemas.openxmlformats.org/officeDocument/2006/relationships/hyperlink" Target="https://blog.coingecko.com/" TargetMode="External"/><Relationship Id="rId2584" Type="http://schemas.openxmlformats.org/officeDocument/2006/relationships/hyperlink" Target="https://www.reddit.com/r/CoinMarketCap/" TargetMode="External"/><Relationship Id="rId2791" Type="http://schemas.openxmlformats.org/officeDocument/2006/relationships/queryTable" Target="../queryTables/queryTable12.xml"/><Relationship Id="rId349" Type="http://schemas.openxmlformats.org/officeDocument/2006/relationships/hyperlink" Target="https://www.coingecko.com/pt/categories/solana-ecosystem" TargetMode="External"/><Relationship Id="rId556" Type="http://schemas.openxmlformats.org/officeDocument/2006/relationships/hyperlink" Target="https://www.coingecko.com/pt/c%C3%A2mbios/coinbase-exchange" TargetMode="External"/><Relationship Id="rId763" Type="http://schemas.openxmlformats.org/officeDocument/2006/relationships/hyperlink" Target="https://www.coingecko.com/pt/moedas/degen-base" TargetMode="External"/><Relationship Id="rId1186" Type="http://schemas.openxmlformats.org/officeDocument/2006/relationships/hyperlink" Target="https://www.coingecko.com/pt/c%C3%A2mbios/bitget" TargetMode="External"/><Relationship Id="rId1393" Type="http://schemas.openxmlformats.org/officeDocument/2006/relationships/hyperlink" Target="https://www.coingecko.com/pt/moedas/pixels" TargetMode="External"/><Relationship Id="rId2237" Type="http://schemas.openxmlformats.org/officeDocument/2006/relationships/hyperlink" Target="https://www.coingecko.com/pt" TargetMode="External"/><Relationship Id="rId2444" Type="http://schemas.openxmlformats.org/officeDocument/2006/relationships/hyperlink" Target="https://coinmarketcap.com/pt-br/charts/" TargetMode="External"/><Relationship Id="rId209" Type="http://schemas.openxmlformats.org/officeDocument/2006/relationships/hyperlink" Target="https://www.coingecko.com/pt/c%C3%A2mbios/htx" TargetMode="External"/><Relationship Id="rId416" Type="http://schemas.openxmlformats.org/officeDocument/2006/relationships/hyperlink" Target="https://www.coingecko.com/pt/moedas/solana" TargetMode="External"/><Relationship Id="rId970" Type="http://schemas.openxmlformats.org/officeDocument/2006/relationships/hyperlink" Target="https://www.coingecko.com/pt/metodologia" TargetMode="External"/><Relationship Id="rId1046" Type="http://schemas.openxmlformats.org/officeDocument/2006/relationships/hyperlink" Target="https://www.coingecko.com/pt/moedas/hooked-protocol" TargetMode="External"/><Relationship Id="rId1253" Type="http://schemas.openxmlformats.org/officeDocument/2006/relationships/hyperlink" Target="https://www.coingecko.com/pt" TargetMode="External"/><Relationship Id="rId2651" Type="http://schemas.openxmlformats.org/officeDocument/2006/relationships/hyperlink" Target="https://www.okx.com/trade-spot/ldo-usdt?channelid=1902090" TargetMode="External"/><Relationship Id="rId623" Type="http://schemas.openxmlformats.org/officeDocument/2006/relationships/hyperlink" Target="https://www.coingecko.com/pt/moedas/kaspa" TargetMode="External"/><Relationship Id="rId830" Type="http://schemas.openxmlformats.org/officeDocument/2006/relationships/hyperlink" Target="https://etherscan.io/token/0xf57e7e7c23978c3caec3c3548e3d615c346e79ff" TargetMode="External"/><Relationship Id="rId1460" Type="http://schemas.openxmlformats.org/officeDocument/2006/relationships/hyperlink" Target="https://www.geckoterminal.com/arbitrum/tokens/0x912ce59144191c1204e64559fe8253a0e49e6548?utm_source=coingecko&amp;utm_medium=referral&amp;utm_campaign=livechart-btn" TargetMode="External"/><Relationship Id="rId2304" Type="http://schemas.openxmlformats.org/officeDocument/2006/relationships/hyperlink" Target="https://br.beincrypto.com/altcoin-season-may-2024-cryptos/" TargetMode="External"/><Relationship Id="rId2511" Type="http://schemas.openxmlformats.org/officeDocument/2006/relationships/hyperlink" Target="https://coinmarketcap.com/pt-br/currencies/catgirl/" TargetMode="External"/><Relationship Id="rId1113" Type="http://schemas.openxmlformats.org/officeDocument/2006/relationships/hyperlink" Target="https://discord.gg/EhrkaCH" TargetMode="External"/><Relationship Id="rId1320" Type="http://schemas.openxmlformats.org/officeDocument/2006/relationships/hyperlink" Target="https://www.coingecko.com/pt/c%C3%A2mbios/gate-io" TargetMode="External"/><Relationship Id="rId2094" Type="http://schemas.openxmlformats.org/officeDocument/2006/relationships/hyperlink" Target="https://www.coingecko.com/pt/api" TargetMode="External"/><Relationship Id="rId273" Type="http://schemas.openxmlformats.org/officeDocument/2006/relationships/hyperlink" Target="https://www.coingecko.com/pt/moedas/wormhole" TargetMode="External"/><Relationship Id="rId480" Type="http://schemas.openxmlformats.org/officeDocument/2006/relationships/hyperlink" Target="https://www.coingecko.com/pt/global-charts" TargetMode="External"/><Relationship Id="rId2161" Type="http://schemas.openxmlformats.org/officeDocument/2006/relationships/hyperlink" Target="https://www.coingecko.com/pt/moedas/jeo-boden" TargetMode="External"/><Relationship Id="rId133" Type="http://schemas.openxmlformats.org/officeDocument/2006/relationships/hyperlink" Target="https://www.coingecko.com/pt/api" TargetMode="External"/><Relationship Id="rId340" Type="http://schemas.openxmlformats.org/officeDocument/2006/relationships/hyperlink" Target="http://api.mainnet-beta.solana.com/v0/circulating-supply" TargetMode="External"/><Relationship Id="rId2021" Type="http://schemas.openxmlformats.org/officeDocument/2006/relationships/hyperlink" Target="https://www.coingecko.com/pt/moedas/dione" TargetMode="External"/><Relationship Id="rId200" Type="http://schemas.openxmlformats.org/officeDocument/2006/relationships/hyperlink" Target="https://www.coingecko.com/pt/c%C3%A2mbios/okx" TargetMode="External"/><Relationship Id="rId1787" Type="http://schemas.openxmlformats.org/officeDocument/2006/relationships/hyperlink" Target="https://www.stacks.co/blog" TargetMode="External"/><Relationship Id="rId1994" Type="http://schemas.openxmlformats.org/officeDocument/2006/relationships/hyperlink" Target="https://www.cryptopolitan.com/pt/principais-altcoins-de-baixo-risco-que-tem-potencial-3x-maior-que-dogecoin-doge/" TargetMode="External"/><Relationship Id="rId79" Type="http://schemas.openxmlformats.org/officeDocument/2006/relationships/hyperlink" Target="https://www.coingecko.com/pt/moedas/bitcoin/usd" TargetMode="External"/><Relationship Id="rId1647" Type="http://schemas.openxmlformats.org/officeDocument/2006/relationships/hyperlink" Target="https://www.coingecko.com/pt/c%C3%A2mbios/binance" TargetMode="External"/><Relationship Id="rId1854" Type="http://schemas.openxmlformats.org/officeDocument/2006/relationships/hyperlink" Target="https://www.coingecko.com/pt/moedas/ethereum" TargetMode="External"/><Relationship Id="rId1507" Type="http://schemas.openxmlformats.org/officeDocument/2006/relationships/hyperlink" Target="https://www.weex.com/trade/arb_usdt" TargetMode="External"/><Relationship Id="rId1714" Type="http://schemas.openxmlformats.org/officeDocument/2006/relationships/hyperlink" Target="https://www.coingecko.com/pt/moedas/degen-base" TargetMode="External"/><Relationship Id="rId1921" Type="http://schemas.openxmlformats.org/officeDocument/2006/relationships/hyperlink" Target="https://www.coingecko.com/pt/c%C3%A2mbios" TargetMode="External"/><Relationship Id="rId2488" Type="http://schemas.openxmlformats.org/officeDocument/2006/relationships/hyperlink" Target="https://coinmarketcap.com/pt-br/currencies/wormhole/" TargetMode="External"/><Relationship Id="rId1297" Type="http://schemas.openxmlformats.org/officeDocument/2006/relationships/hyperlink" Target="https://www.coingecko.com/pt" TargetMode="External"/><Relationship Id="rId2695" Type="http://schemas.openxmlformats.org/officeDocument/2006/relationships/hyperlink" Target="https://www.coingecko.com/en/coins/lido-dao/php" TargetMode="External"/><Relationship Id="rId667" Type="http://schemas.openxmlformats.org/officeDocument/2006/relationships/hyperlink" Target="https://www.coingecko.com/pt/portfolio" TargetMode="External"/><Relationship Id="rId874" Type="http://schemas.openxmlformats.org/officeDocument/2006/relationships/hyperlink" Target="https://www.coingecko.com/pt/moedas/immutable-x/usd" TargetMode="External"/><Relationship Id="rId2348" Type="http://schemas.openxmlformats.org/officeDocument/2006/relationships/hyperlink" Target="https://www.coingecko.com/pt/moedas/degen-base" TargetMode="External"/><Relationship Id="rId2555" Type="http://schemas.openxmlformats.org/officeDocument/2006/relationships/hyperlink" Target="https://coinmarketcap.com/pt-br/currencies/super-trump-io/" TargetMode="External"/><Relationship Id="rId2762" Type="http://schemas.openxmlformats.org/officeDocument/2006/relationships/hyperlink" Target="https://www.coingecko.com/en/ad_policy" TargetMode="External"/><Relationship Id="rId527" Type="http://schemas.openxmlformats.org/officeDocument/2006/relationships/hyperlink" Target="https://github.com/smartcontractkit" TargetMode="External"/><Relationship Id="rId734" Type="http://schemas.openxmlformats.org/officeDocument/2006/relationships/hyperlink" Target="https://www.coingecko.com/pt/moedas/xana" TargetMode="External"/><Relationship Id="rId941" Type="http://schemas.openxmlformats.org/officeDocument/2006/relationships/hyperlink" Target="https://www.coingecko.com/pt/metodologia" TargetMode="External"/><Relationship Id="rId1157" Type="http://schemas.openxmlformats.org/officeDocument/2006/relationships/hyperlink" Target="https://www.coingecko.com/pt/categories/smart-contract-platform" TargetMode="External"/><Relationship Id="rId1364" Type="http://schemas.openxmlformats.org/officeDocument/2006/relationships/hyperlink" Target="https://www.coingecko.com/pt/moedas/optimism/usd" TargetMode="External"/><Relationship Id="rId1571" Type="http://schemas.openxmlformats.org/officeDocument/2006/relationships/hyperlink" Target="https://www.coingecko.com/pt/moedas/wormhole" TargetMode="External"/><Relationship Id="rId2208" Type="http://schemas.openxmlformats.org/officeDocument/2006/relationships/hyperlink" Target="https://www.coingecko.com/pt/branding" TargetMode="External"/><Relationship Id="rId2415" Type="http://schemas.openxmlformats.org/officeDocument/2006/relationships/hyperlink" Target="https://www.google.com/search?client=firefox-b-d&amp;sca_esv=8f14c8c94b33adc6&amp;sca_upv=1&amp;ie=UTF-8&amp;q=cota%C3%A7%C3%A3o+d%C3%B3lar" TargetMode="External"/><Relationship Id="rId2622" Type="http://schemas.openxmlformats.org/officeDocument/2006/relationships/hyperlink" Target="https://www.coingecko.com/en/categories/ethereum-ecosystem" TargetMode="External"/><Relationship Id="rId70" Type="http://schemas.openxmlformats.org/officeDocument/2006/relationships/hyperlink" Target="https://www.cryptopolitan.com/pt/ultima-correcao-do-bitcoin-etf-freia-a-demanda/" TargetMode="External"/><Relationship Id="rId801" Type="http://schemas.openxmlformats.org/officeDocument/2006/relationships/hyperlink" Target="https://www.youtube.com/channel/UC-OTgwOAI7KmP0eDAtqN3Ow?sub_confirmation=1" TargetMode="External"/><Relationship Id="rId1017" Type="http://schemas.openxmlformats.org/officeDocument/2006/relationships/hyperlink" Target="https://www.coingecko.com/pt/c%C3%A2mbios/bybit_spot" TargetMode="External"/><Relationship Id="rId1224" Type="http://schemas.openxmlformats.org/officeDocument/2006/relationships/hyperlink" Target="https://www.coingecko.com/pt/moedas/solana" TargetMode="External"/><Relationship Id="rId1431" Type="http://schemas.openxmlformats.org/officeDocument/2006/relationships/hyperlink" Target="https://www.coingecko.com/pt/isen%C3%A7%C3%A3o_de_responsabilidade" TargetMode="External"/><Relationship Id="rId177" Type="http://schemas.openxmlformats.org/officeDocument/2006/relationships/hyperlink" Target="https://www.coingecko.com/pt/metodologia" TargetMode="External"/><Relationship Id="rId384" Type="http://schemas.openxmlformats.org/officeDocument/2006/relationships/hyperlink" Target="https://br.beincrypto.com/fundacao-fantom-memecoin-promove-seguranca-etica/" TargetMode="External"/><Relationship Id="rId591" Type="http://schemas.openxmlformats.org/officeDocument/2006/relationships/hyperlink" Target="https://www.coingecko.com/pt/moedas/akash-network" TargetMode="External"/><Relationship Id="rId2065" Type="http://schemas.openxmlformats.org/officeDocument/2006/relationships/hyperlink" Target="https://www.coingecko.com/pt/termos" TargetMode="External"/><Relationship Id="rId2272" Type="http://schemas.openxmlformats.org/officeDocument/2006/relationships/hyperlink" Target="https://www.coingecko.com/pt/c%C3%A2mbios/bitget" TargetMode="External"/><Relationship Id="rId244" Type="http://schemas.openxmlformats.org/officeDocument/2006/relationships/hyperlink" Target="https://www.coingecko.com/pt/moedas/solana" TargetMode="External"/><Relationship Id="rId1081" Type="http://schemas.openxmlformats.org/officeDocument/2006/relationships/hyperlink" Target="https://www.coingecko.com/pt/moedas/wormhole" TargetMode="External"/><Relationship Id="rId451" Type="http://schemas.openxmlformats.org/officeDocument/2006/relationships/hyperlink" Target="https://gcko.io/coingeckoads" TargetMode="External"/><Relationship Id="rId2132" Type="http://schemas.openxmlformats.org/officeDocument/2006/relationships/hyperlink" Target="https://www.coingecko.com/pt/c%C3%A2mbios/orangex" TargetMode="External"/><Relationship Id="rId104" Type="http://schemas.openxmlformats.org/officeDocument/2006/relationships/hyperlink" Target="https://www.coingecko.com/pt/moedas/dione" TargetMode="External"/><Relationship Id="rId311" Type="http://schemas.openxmlformats.org/officeDocument/2006/relationships/hyperlink" Target="https://www.instagram.com/coingecko/" TargetMode="External"/><Relationship Id="rId1898" Type="http://schemas.openxmlformats.org/officeDocument/2006/relationships/hyperlink" Target="https://www.coingecko.com/pt/faq" TargetMode="External"/><Relationship Id="rId1758" Type="http://schemas.openxmlformats.org/officeDocument/2006/relationships/hyperlink" Target="https://www.tiktok.com/@coingeckotv" TargetMode="External"/><Relationship Id="rId1965" Type="http://schemas.openxmlformats.org/officeDocument/2006/relationships/hyperlink" Target="https://www.coingecko.com/pt/c%C3%A2mbios/gate-io" TargetMode="External"/><Relationship Id="rId1618" Type="http://schemas.openxmlformats.org/officeDocument/2006/relationships/hyperlink" Target="https://www.geckoterminal.com/eth/tokens/0x6de037ef9ad2725eb40118bb1702ebb27e4aeb24?utm_source=coingecko&amp;utm_medium=referral&amp;utm_campaign=livechart-btn" TargetMode="External"/><Relationship Id="rId1825" Type="http://schemas.openxmlformats.org/officeDocument/2006/relationships/hyperlink" Target="https://www.coingecko.com/pt/c%C3%A2mbios/crypto_com" TargetMode="External"/><Relationship Id="rId2599" Type="http://schemas.openxmlformats.org/officeDocument/2006/relationships/hyperlink" Target="https://www.coingecko.com/" TargetMode="External"/><Relationship Id="rId778" Type="http://schemas.openxmlformats.org/officeDocument/2006/relationships/hyperlink" Target="https://www.coingecko.com/request" TargetMode="External"/><Relationship Id="rId985" Type="http://schemas.openxmlformats.org/officeDocument/2006/relationships/hyperlink" Target="https://t.me/PoweredByGala" TargetMode="External"/><Relationship Id="rId2459" Type="http://schemas.openxmlformats.org/officeDocument/2006/relationships/hyperlink" Target="https://coinmarketcap.com/pt-br/currencies/uniswap/" TargetMode="External"/><Relationship Id="rId2666" Type="http://schemas.openxmlformats.org/officeDocument/2006/relationships/hyperlink" Target="https://coingape.com/markets/lido-dao-price-return-to-yearly-support-may-dip-opportunity/" TargetMode="External"/><Relationship Id="rId638" Type="http://schemas.openxmlformats.org/officeDocument/2006/relationships/hyperlink" Target="https://careers.coingecko.com/" TargetMode="External"/><Relationship Id="rId845" Type="http://schemas.openxmlformats.org/officeDocument/2006/relationships/hyperlink" Target="https://www.binance.com/en/trade/IMX_USDT?ref=37754157" TargetMode="External"/><Relationship Id="rId1268" Type="http://schemas.openxmlformats.org/officeDocument/2006/relationships/hyperlink" Target="https://www.coingecko.com/pt/branding" TargetMode="External"/><Relationship Id="rId1475" Type="http://schemas.openxmlformats.org/officeDocument/2006/relationships/hyperlink" Target="https://twitter.com/search?q=$ARB" TargetMode="External"/><Relationship Id="rId1682" Type="http://schemas.openxmlformats.org/officeDocument/2006/relationships/hyperlink" Target="https://www.coingecko.com/pt/moedas/render/brl" TargetMode="External"/><Relationship Id="rId2319" Type="http://schemas.openxmlformats.org/officeDocument/2006/relationships/hyperlink" Target="https://www.coingecko.com/pt/moedas/bone-shibaswap" TargetMode="External"/><Relationship Id="rId2526" Type="http://schemas.openxmlformats.org/officeDocument/2006/relationships/hyperlink" Target="https://coinmarketcap.com/pt-br/currencies/bitcoin/" TargetMode="External"/><Relationship Id="rId2733" Type="http://schemas.openxmlformats.org/officeDocument/2006/relationships/hyperlink" Target="https://www.coingecko.com/en/coins/wormhole" TargetMode="External"/><Relationship Id="rId705" Type="http://schemas.openxmlformats.org/officeDocument/2006/relationships/hyperlink" Target="https://www.okx.com/trade-spot/ron-usdt?channelid=1902090" TargetMode="External"/><Relationship Id="rId1128" Type="http://schemas.openxmlformats.org/officeDocument/2006/relationships/hyperlink" Target="https://www.coingecko.com/pt/candy" TargetMode="External"/><Relationship Id="rId1335" Type="http://schemas.openxmlformats.org/officeDocument/2006/relationships/hyperlink" Target="https://www.coingecko.com/pt/c%C3%A2mbios/bitvenus-spot" TargetMode="External"/><Relationship Id="rId1542" Type="http://schemas.openxmlformats.org/officeDocument/2006/relationships/hyperlink" Target="https://www.coingecko.com/pt/moedas/solana" TargetMode="External"/><Relationship Id="rId912" Type="http://schemas.openxmlformats.org/officeDocument/2006/relationships/hyperlink" Target="https://www.coingecko.com/pt/moedas/pixels" TargetMode="External"/><Relationship Id="rId41" Type="http://schemas.openxmlformats.org/officeDocument/2006/relationships/hyperlink" Target="https://www.coingecko.com/pt/c%C3%A2mbios/kraken" TargetMode="External"/><Relationship Id="rId1402" Type="http://schemas.openxmlformats.org/officeDocument/2006/relationships/hyperlink" Target="https://www.coingecko.com/pt/moedas/degen-base" TargetMode="External"/><Relationship Id="rId288" Type="http://schemas.openxmlformats.org/officeDocument/2006/relationships/hyperlink" Target="https://www.coingecko.com/pt/news" TargetMode="External"/><Relationship Id="rId495" Type="http://schemas.openxmlformats.org/officeDocument/2006/relationships/hyperlink" Target="https://www.coingecko.com/learn/what-is-fully-diluted-valuation-fdv-in-crypto" TargetMode="External"/><Relationship Id="rId2176" Type="http://schemas.openxmlformats.org/officeDocument/2006/relationships/hyperlink" Target="https://www.coingecko.com/pt/moedas/pepe" TargetMode="External"/><Relationship Id="rId2383" Type="http://schemas.openxmlformats.org/officeDocument/2006/relationships/hyperlink" Target="https://www.coingecko.com/pt/ad_policy" TargetMode="External"/><Relationship Id="rId2590" Type="http://schemas.openxmlformats.org/officeDocument/2006/relationships/hyperlink" Target="https://www.coingecko.com/en/global-charts" TargetMode="External"/><Relationship Id="rId148" Type="http://schemas.openxmlformats.org/officeDocument/2006/relationships/hyperlink" Target="https://www.coingecko.com/pt/privacidade" TargetMode="External"/><Relationship Id="rId355" Type="http://schemas.openxmlformats.org/officeDocument/2006/relationships/hyperlink" Target="https://www.coingecko.com/pt/c%C3%A2mbios/bitvenus-spot" TargetMode="External"/><Relationship Id="rId562" Type="http://schemas.openxmlformats.org/officeDocument/2006/relationships/hyperlink" Target="https://br.beincrypto.com/adaptador-de-blockchain-para-ativos-tokenizados/" TargetMode="External"/><Relationship Id="rId1192" Type="http://schemas.openxmlformats.org/officeDocument/2006/relationships/hyperlink" Target="https://br.beincrypto.com/solana-dogwifhat-helium-e-mais-5-criptomoedas-para-ficar-de-olho-hoje/" TargetMode="External"/><Relationship Id="rId2036" Type="http://schemas.openxmlformats.org/officeDocument/2006/relationships/hyperlink" Target="https://www.coingecko.com/pt/moedas/degen-base" TargetMode="External"/><Relationship Id="rId2243" Type="http://schemas.openxmlformats.org/officeDocument/2006/relationships/hyperlink" Target="https://www.coingecko.com/learn/what-is-fully-diluted-valuation-fdv-in-crypto" TargetMode="External"/><Relationship Id="rId2450" Type="http://schemas.openxmlformats.org/officeDocument/2006/relationships/hyperlink" Target="https://twitter.com/pepecoineth" TargetMode="External"/><Relationship Id="rId215" Type="http://schemas.openxmlformats.org/officeDocument/2006/relationships/hyperlink" Target="https://www.coingecko.com/pt/c%C3%A2mbios/mexc" TargetMode="External"/><Relationship Id="rId422" Type="http://schemas.openxmlformats.org/officeDocument/2006/relationships/hyperlink" Target="https://www.coingecko.com/pt/moedas/pixels" TargetMode="External"/><Relationship Id="rId1052" Type="http://schemas.openxmlformats.org/officeDocument/2006/relationships/hyperlink" Target="https://www.coingecko.com/pt/moedas/nakamoto-games" TargetMode="External"/><Relationship Id="rId2103" Type="http://schemas.openxmlformats.org/officeDocument/2006/relationships/hyperlink" Target="https://twitter.com/dogwifcoin" TargetMode="External"/><Relationship Id="rId2310" Type="http://schemas.openxmlformats.org/officeDocument/2006/relationships/hyperlink" Target="https://www.criptofacil.com/rally-das-memecoins-pode-trazer-de-volta-bonk-e-shiba-inu-investidores-esperam-capitalizar-com-a-pre-venda-do-token-recq/" TargetMode="External"/><Relationship Id="rId1869" Type="http://schemas.openxmlformats.org/officeDocument/2006/relationships/hyperlink" Target="https://www.coingecko.com/pt/moedas/pepe" TargetMode="External"/><Relationship Id="rId1729" Type="http://schemas.openxmlformats.org/officeDocument/2006/relationships/hyperlink" Target="https://www.coingecko.com/pt" TargetMode="External"/><Relationship Id="rId1936" Type="http://schemas.openxmlformats.org/officeDocument/2006/relationships/hyperlink" Target="https://www.coingecko.com/pt/metodologia" TargetMode="External"/><Relationship Id="rId5" Type="http://schemas.openxmlformats.org/officeDocument/2006/relationships/hyperlink" Target="https://www.coingecko.com/pt/premium/pricing" TargetMode="External"/><Relationship Id="rId889" Type="http://schemas.openxmlformats.org/officeDocument/2006/relationships/hyperlink" Target="https://www.coingecko.com/pt/moedas/skale" TargetMode="External"/><Relationship Id="rId2777" Type="http://schemas.openxmlformats.org/officeDocument/2006/relationships/hyperlink" Target="https://gcko.io/wxw4jjq" TargetMode="External"/><Relationship Id="rId749" Type="http://schemas.openxmlformats.org/officeDocument/2006/relationships/hyperlink" Target="https://www.coingecko.com/pt/moedas/pixels" TargetMode="External"/><Relationship Id="rId1379" Type="http://schemas.openxmlformats.org/officeDocument/2006/relationships/hyperlink" Target="https://www.coingecko.com/pt/moedas/lido-dao" TargetMode="External"/><Relationship Id="rId1586" Type="http://schemas.openxmlformats.org/officeDocument/2006/relationships/hyperlink" Target="https://blog.coingecko.com/" TargetMode="External"/><Relationship Id="rId609" Type="http://schemas.openxmlformats.org/officeDocument/2006/relationships/hyperlink" Target="https://www.coingecko.com/pt/moedas/degen-base" TargetMode="External"/><Relationship Id="rId956" Type="http://schemas.openxmlformats.org/officeDocument/2006/relationships/hyperlink" Target="https://coingecko.app.link/lTInCXLGz4" TargetMode="External"/><Relationship Id="rId1239" Type="http://schemas.openxmlformats.org/officeDocument/2006/relationships/hyperlink" Target="https://www.coingecko.com/pt/moedas/wormhole" TargetMode="External"/><Relationship Id="rId1793" Type="http://schemas.openxmlformats.org/officeDocument/2006/relationships/hyperlink" Target="https://discord.com/invite/5DJaBrf" TargetMode="External"/><Relationship Id="rId2637" Type="http://schemas.openxmlformats.org/officeDocument/2006/relationships/hyperlink" Target="https://www.coingecko.com/en/exchanges/bitunix" TargetMode="External"/><Relationship Id="rId85" Type="http://schemas.openxmlformats.org/officeDocument/2006/relationships/hyperlink" Target="https://www.coingecko.com/pt/moedas/ethereum" TargetMode="External"/><Relationship Id="rId816" Type="http://schemas.openxmlformats.org/officeDocument/2006/relationships/hyperlink" Target="https://gcko.io/search-survey" TargetMode="External"/><Relationship Id="rId1446" Type="http://schemas.openxmlformats.org/officeDocument/2006/relationships/hyperlink" Target="https://www.coingecko.com/pt" TargetMode="External"/><Relationship Id="rId1653" Type="http://schemas.openxmlformats.org/officeDocument/2006/relationships/hyperlink" Target="https://www.coingecko.com/pt/c%C3%A2mbios/bitunix" TargetMode="External"/><Relationship Id="rId1860" Type="http://schemas.openxmlformats.org/officeDocument/2006/relationships/hyperlink" Target="https://www.coingecko.com/pt/moedas/solana" TargetMode="External"/><Relationship Id="rId2704" Type="http://schemas.openxmlformats.org/officeDocument/2006/relationships/hyperlink" Target="https://www.coingecko.com/en/coins/rocket-pool" TargetMode="External"/><Relationship Id="rId1306" Type="http://schemas.openxmlformats.org/officeDocument/2006/relationships/hyperlink" Target="https://static.optimism.io/tokenomics/circulatingSupply.txt" TargetMode="External"/><Relationship Id="rId1513" Type="http://schemas.openxmlformats.org/officeDocument/2006/relationships/hyperlink" Target="https://br.beincrypto.com/3-criptomoedas-que-as-baleias-estao-comprando-para-ter-lucro-em-maio/" TargetMode="External"/><Relationship Id="rId1720" Type="http://schemas.openxmlformats.org/officeDocument/2006/relationships/hyperlink" Target="https://www.coingecko.com/pt/moedas/ethereum" TargetMode="External"/><Relationship Id="rId12" Type="http://schemas.openxmlformats.org/officeDocument/2006/relationships/hyperlink" Target="https://gcko.io/search-survey" TargetMode="External"/><Relationship Id="rId399" Type="http://schemas.openxmlformats.org/officeDocument/2006/relationships/hyperlink" Target="https://www.coingecko.com/pt/moedas/solana/brl" TargetMode="External"/><Relationship Id="rId2287" Type="http://schemas.openxmlformats.org/officeDocument/2006/relationships/hyperlink" Target="https://www.coingecko.com/pt/c%C3%A2mbios/biconomy" TargetMode="External"/><Relationship Id="rId2494" Type="http://schemas.openxmlformats.org/officeDocument/2006/relationships/hyperlink" Target="https://coinmarketcap.com/pt-br/currencies/spectra-chain/" TargetMode="External"/><Relationship Id="rId259" Type="http://schemas.openxmlformats.org/officeDocument/2006/relationships/hyperlink" Target="https://www.coingecko.com/pt/moedas/solana" TargetMode="External"/><Relationship Id="rId466" Type="http://schemas.openxmlformats.org/officeDocument/2006/relationships/hyperlink" Target="https://twitter.com/coingecko" TargetMode="External"/><Relationship Id="rId673" Type="http://schemas.openxmlformats.org/officeDocument/2006/relationships/hyperlink" Target="https://www.coingecko.com/pt/metodologia" TargetMode="External"/><Relationship Id="rId880" Type="http://schemas.openxmlformats.org/officeDocument/2006/relationships/hyperlink" Target="https://www.coingecko.com/pt/moedas/beam-2" TargetMode="External"/><Relationship Id="rId1096" Type="http://schemas.openxmlformats.org/officeDocument/2006/relationships/hyperlink" Target="https://hackenproof.com/coingecko/coingecko" TargetMode="External"/><Relationship Id="rId2147" Type="http://schemas.openxmlformats.org/officeDocument/2006/relationships/hyperlink" Target="https://www.coingecko.com/pt/moedas/dogwifhat/brl" TargetMode="External"/><Relationship Id="rId2354" Type="http://schemas.openxmlformats.org/officeDocument/2006/relationships/hyperlink" Target="https://www.coingecko.com/pt/moedas/ethereum" TargetMode="External"/><Relationship Id="rId2561" Type="http://schemas.openxmlformats.org/officeDocument/2006/relationships/hyperlink" Target="https://coinmarketcap.com/events/cmc-labs/" TargetMode="External"/><Relationship Id="rId119" Type="http://schemas.openxmlformats.org/officeDocument/2006/relationships/hyperlink" Target="https://www.coingecko.com/pt/moedas/degen-base" TargetMode="External"/><Relationship Id="rId326" Type="http://schemas.openxmlformats.org/officeDocument/2006/relationships/hyperlink" Target="https://www.coingecko.com/pt/candy" TargetMode="External"/><Relationship Id="rId533" Type="http://schemas.openxmlformats.org/officeDocument/2006/relationships/hyperlink" Target="https://gate.io/trade/LINK_USDT?ref=3018394" TargetMode="External"/><Relationship Id="rId1163" Type="http://schemas.openxmlformats.org/officeDocument/2006/relationships/hyperlink" Target="https://www.coingecko.com/pt/c%C3%A2mbios/gate-io" TargetMode="External"/><Relationship Id="rId1370" Type="http://schemas.openxmlformats.org/officeDocument/2006/relationships/hyperlink" Target="https://www.coingecko.com/pt/moedas/uniswap" TargetMode="External"/><Relationship Id="rId2007" Type="http://schemas.openxmlformats.org/officeDocument/2006/relationships/hyperlink" Target="https://www.coingecko.com/pt/moedas/grok-2" TargetMode="External"/><Relationship Id="rId2214" Type="http://schemas.openxmlformats.org/officeDocument/2006/relationships/hyperlink" Target="https://twitter.com/coingecko" TargetMode="External"/><Relationship Id="rId740" Type="http://schemas.openxmlformats.org/officeDocument/2006/relationships/hyperlink" Target="https://www.coingecko.com/pt/moedas/ethereum" TargetMode="External"/><Relationship Id="rId1023" Type="http://schemas.openxmlformats.org/officeDocument/2006/relationships/hyperlink" Target="https://hpg.com.br/brise-bitgert-criptomoeda-projeto-onde-comprar-vai-subir-em-2024.html" TargetMode="External"/><Relationship Id="rId2421" Type="http://schemas.openxmlformats.org/officeDocument/2006/relationships/hyperlink" Target="https://www.google.com/search?client=firefox-b-d&amp;sca_esv=8f14c8c94b33adc6&amp;sca_upv=1&amp;ie=UTF-8&amp;q=cota%C3%A7%C3%A3o+d%C3%B3lar+turismo+hoje+banco+central" TargetMode="External"/><Relationship Id="rId600" Type="http://schemas.openxmlformats.org/officeDocument/2006/relationships/hyperlink" Target="https://www.coingecko.com/pt/moedas/dione" TargetMode="External"/><Relationship Id="rId1230" Type="http://schemas.openxmlformats.org/officeDocument/2006/relationships/hyperlink" Target="https://www.coingecko.com/pt/moedas/pixels" TargetMode="External"/><Relationship Id="rId183" Type="http://schemas.openxmlformats.org/officeDocument/2006/relationships/hyperlink" Target="https://forms.gle/ULNnnCGCEAimK9cJ7" TargetMode="External"/><Relationship Id="rId390" Type="http://schemas.openxmlformats.org/officeDocument/2006/relationships/hyperlink" Target="https://br.beincrypto.com/dogecoin-solana-xrp-interesse-cai/" TargetMode="External"/><Relationship Id="rId1907" Type="http://schemas.openxmlformats.org/officeDocument/2006/relationships/hyperlink" Target="https://www.coingecko.com/pt/privacidade" TargetMode="External"/><Relationship Id="rId2071" Type="http://schemas.openxmlformats.org/officeDocument/2006/relationships/hyperlink" Target="https://www.instagram.com/coingecko/" TargetMode="External"/><Relationship Id="rId250" Type="http://schemas.openxmlformats.org/officeDocument/2006/relationships/hyperlink" Target="https://www.coingecko.com/pt/moedas/polygon" TargetMode="External"/><Relationship Id="rId110" Type="http://schemas.openxmlformats.org/officeDocument/2006/relationships/hyperlink" Target="https://www.coingecko.com/pt/moedas/bitcoin" TargetMode="External"/><Relationship Id="rId1697" Type="http://schemas.openxmlformats.org/officeDocument/2006/relationships/hyperlink" Target="https://www.coingecko.com/pt/moedas/illuvium" TargetMode="External"/><Relationship Id="rId2748" Type="http://schemas.openxmlformats.org/officeDocument/2006/relationships/hyperlink" Target="https://gcko.io/coingeckoads" TargetMode="External"/><Relationship Id="rId927" Type="http://schemas.openxmlformats.org/officeDocument/2006/relationships/hyperlink" Target="https://www.coingecko.com/pt/public-companies-bitcoin" TargetMode="External"/><Relationship Id="rId1557" Type="http://schemas.openxmlformats.org/officeDocument/2006/relationships/hyperlink" Target="https://www.coingecko.com/pt/moedas/ethereum" TargetMode="External"/><Relationship Id="rId1764" Type="http://schemas.openxmlformats.org/officeDocument/2006/relationships/hyperlink" Target="https://www.coingecko.com/pt/global-charts" TargetMode="External"/><Relationship Id="rId1971" Type="http://schemas.openxmlformats.org/officeDocument/2006/relationships/hyperlink" Target="https://www.coingecko.com/pt/c%C3%A2mbios/bingx" TargetMode="External"/><Relationship Id="rId2608" Type="http://schemas.openxmlformats.org/officeDocument/2006/relationships/hyperlink" Target="https://defillama.com/" TargetMode="External"/><Relationship Id="rId56" Type="http://schemas.openxmlformats.org/officeDocument/2006/relationships/hyperlink" Target="https://www.coingecko.com/pt/c%C3%A2mbios/mexc" TargetMode="External"/><Relationship Id="rId1417" Type="http://schemas.openxmlformats.org/officeDocument/2006/relationships/hyperlink" Target="https://www.coingecko.com/pt/cryptocurrency-heatmap" TargetMode="External"/><Relationship Id="rId1624" Type="http://schemas.openxmlformats.org/officeDocument/2006/relationships/hyperlink" Target="https://www.coingecko.com/pt/metodologia" TargetMode="External"/><Relationship Id="rId1831" Type="http://schemas.openxmlformats.org/officeDocument/2006/relationships/hyperlink" Target="https://www.cryptopolitan.com/pt/pilhas-de-dinheiro-bitcoin-e-rebelde-satoshi-rblz-sao-tres-moedas-que-voce-deveria-comprar-apos-o-halving-do-bitcoin/" TargetMode="External"/><Relationship Id="rId2398" Type="http://schemas.openxmlformats.org/officeDocument/2006/relationships/hyperlink" Target="https://www.google.com/search?q=dollar&amp;client=firefox-b-d&amp;sca_esv=8f14c8c94b33adc6&amp;sca_upv=1&amp;ie=UTF-8&amp;tbm=vid&amp;source=lnms&amp;sa=X&amp;ved=0ahUKEwj_2bOd7u6FAxXSpZUCHUfnDMEQ_AUIBygD" TargetMode="External"/><Relationship Id="rId577" Type="http://schemas.openxmlformats.org/officeDocument/2006/relationships/hyperlink" Target="https://www.coingecko.com/pt/moedas/chainlink/eur" TargetMode="External"/><Relationship Id="rId2258" Type="http://schemas.openxmlformats.org/officeDocument/2006/relationships/hyperlink" Target="https://shibatoken.com/" TargetMode="External"/><Relationship Id="rId784" Type="http://schemas.openxmlformats.org/officeDocument/2006/relationships/hyperlink" Target="https://www.coingecko.com/pt/sobre" TargetMode="External"/><Relationship Id="rId991" Type="http://schemas.openxmlformats.org/officeDocument/2006/relationships/hyperlink" Target="https://www.coingecko.com/pt/categories/gaming" TargetMode="External"/><Relationship Id="rId1067" Type="http://schemas.openxmlformats.org/officeDocument/2006/relationships/hyperlink" Target="https://www.coingecko.com/pt/moedas/bitcoin" TargetMode="External"/><Relationship Id="rId2465" Type="http://schemas.openxmlformats.org/officeDocument/2006/relationships/hyperlink" Target="https://coinmarketcap.com/pt-br/currencies/shiba-inu/" TargetMode="External"/><Relationship Id="rId2672" Type="http://schemas.openxmlformats.org/officeDocument/2006/relationships/hyperlink" Target="https://www.coingecko.com/learn/what-is-blast-crypto-l2-optimistic-rollup" TargetMode="External"/><Relationship Id="rId437" Type="http://schemas.openxmlformats.org/officeDocument/2006/relationships/hyperlink" Target="https://www.coingecko.com/pt/moedas/wormhole" TargetMode="External"/><Relationship Id="rId644" Type="http://schemas.openxmlformats.org/officeDocument/2006/relationships/hyperlink" Target="https://www.coingecko.com/pt/privacidade" TargetMode="External"/><Relationship Id="rId851" Type="http://schemas.openxmlformats.org/officeDocument/2006/relationships/hyperlink" Target="https://www.mexc.com/exchange/IMX_USDT?inviteCode=1498J" TargetMode="External"/><Relationship Id="rId1274" Type="http://schemas.openxmlformats.org/officeDocument/2006/relationships/hyperlink" Target="https://twitter.com/coingecko" TargetMode="External"/><Relationship Id="rId1481" Type="http://schemas.openxmlformats.org/officeDocument/2006/relationships/hyperlink" Target="https://www.coingecko.com/pt/c%C3%A2mbios/toobit" TargetMode="External"/><Relationship Id="rId2118" Type="http://schemas.openxmlformats.org/officeDocument/2006/relationships/hyperlink" Target="https://www.coingecko.com/pt/c%C3%A2mbios/gate-io" TargetMode="External"/><Relationship Id="rId2325" Type="http://schemas.openxmlformats.org/officeDocument/2006/relationships/hyperlink" Target="https://www.coingecko.com/pt/moedas/pawswap" TargetMode="External"/><Relationship Id="rId2532" Type="http://schemas.openxmlformats.org/officeDocument/2006/relationships/hyperlink" Target="https://coinmarketcap.com/pt-br/currencies/solana/" TargetMode="External"/><Relationship Id="rId504" Type="http://schemas.openxmlformats.org/officeDocument/2006/relationships/hyperlink" Target="https://etherscan.io/token/0x514910771af9ca656af840dff83e8264ecf986ca?a=0x8d34d66bDb2d1d6ACd788A2d73d68e62282332e7" TargetMode="External"/><Relationship Id="rId711" Type="http://schemas.openxmlformats.org/officeDocument/2006/relationships/hyperlink" Target="https://www.geckoterminal.com/ronin/pools/0x32d1dbb6a4275133cc49f1c61653be3998ada4ff?utm_source=coingecko&amp;utm_medium=referral&amp;utm_campaign=livechart" TargetMode="External"/><Relationship Id="rId1134" Type="http://schemas.openxmlformats.org/officeDocument/2006/relationships/hyperlink" Target="https://www.coingecko.com/pt/api" TargetMode="External"/><Relationship Id="rId1341" Type="http://schemas.openxmlformats.org/officeDocument/2006/relationships/hyperlink" Target="https://www.coingecko.com/pt/c%C3%A2mbios/bitget" TargetMode="External"/><Relationship Id="rId1201" Type="http://schemas.openxmlformats.org/officeDocument/2006/relationships/hyperlink" Target="https://br.beincrypto.com/matic-amidst-mixed-signals/" TargetMode="External"/><Relationship Id="rId294" Type="http://schemas.openxmlformats.org/officeDocument/2006/relationships/hyperlink" Target="https://www.coingecko.com/pt/candy/partners-getting-started" TargetMode="External"/><Relationship Id="rId2182" Type="http://schemas.openxmlformats.org/officeDocument/2006/relationships/hyperlink" Target="https://www.coingecko.com/pt/moedas/wormhole" TargetMode="External"/><Relationship Id="rId154" Type="http://schemas.openxmlformats.org/officeDocument/2006/relationships/hyperlink" Target="https://www.reddit.com/r/coingecko/" TargetMode="External"/><Relationship Id="rId361" Type="http://schemas.openxmlformats.org/officeDocument/2006/relationships/hyperlink" Target="https://www.coingecko.com/pt/c%C3%A2mbios/bingx" TargetMode="External"/><Relationship Id="rId2042" Type="http://schemas.openxmlformats.org/officeDocument/2006/relationships/hyperlink" Target="https://www.coingecko.com/pt/moedas/jupiter" TargetMode="External"/><Relationship Id="rId221" Type="http://schemas.openxmlformats.org/officeDocument/2006/relationships/hyperlink" Target="https://www.coingecko.com/pt/c%C3%A2mbios/crypto_com" TargetMode="External"/><Relationship Id="rId1668" Type="http://schemas.openxmlformats.org/officeDocument/2006/relationships/hyperlink" Target="https://www.coingecko.com/pt/c%C3%A2mbios/kucoin" TargetMode="External"/><Relationship Id="rId1875" Type="http://schemas.openxmlformats.org/officeDocument/2006/relationships/hyperlink" Target="https://www.coingecko.com/pt/moedas/bitcoin" TargetMode="External"/><Relationship Id="rId2719" Type="http://schemas.openxmlformats.org/officeDocument/2006/relationships/hyperlink" Target="https://www.coingecko.com/en/coins/pixels" TargetMode="External"/><Relationship Id="rId1528" Type="http://schemas.openxmlformats.org/officeDocument/2006/relationships/hyperlink" Target="https://www.coingecko.com/pt/moedas/immutable-x" TargetMode="External"/><Relationship Id="rId1735" Type="http://schemas.openxmlformats.org/officeDocument/2006/relationships/hyperlink" Target="https://gcko.io/coingeckoads" TargetMode="External"/><Relationship Id="rId1942" Type="http://schemas.openxmlformats.org/officeDocument/2006/relationships/hyperlink" Target="https://forms.gle/ULNnnCGCEAimK9cJ7" TargetMode="External"/><Relationship Id="rId27" Type="http://schemas.openxmlformats.org/officeDocument/2006/relationships/hyperlink" Target="https://gcko.io/ledger" TargetMode="External"/><Relationship Id="rId1802" Type="http://schemas.openxmlformats.org/officeDocument/2006/relationships/hyperlink" Target="https://gate.io/trade/STX_USDT?ref=3018394" TargetMode="External"/><Relationship Id="rId688" Type="http://schemas.openxmlformats.org/officeDocument/2006/relationships/hyperlink" Target="https://www.coingecko.com/pt/c%C3%A2mbios/bitget" TargetMode="External"/><Relationship Id="rId895" Type="http://schemas.openxmlformats.org/officeDocument/2006/relationships/hyperlink" Target="https://www.coingecko.com/pt/moedas/solana" TargetMode="External"/><Relationship Id="rId2369" Type="http://schemas.openxmlformats.org/officeDocument/2006/relationships/hyperlink" Target="https://gcko.io/coingeckoads" TargetMode="External"/><Relationship Id="rId2576" Type="http://schemas.openxmlformats.org/officeDocument/2006/relationships/hyperlink" Target="https://support-chat.coinmarketcap.com/" TargetMode="External"/><Relationship Id="rId2783" Type="http://schemas.openxmlformats.org/officeDocument/2006/relationships/queryTable" Target="../queryTables/queryTable4.xml"/><Relationship Id="rId548" Type="http://schemas.openxmlformats.org/officeDocument/2006/relationships/hyperlink" Target="https://whitebit.com/trade/LINK_USDT?referral=21d28793-2c37-4ad5-ad65-ec354740a197" TargetMode="External"/><Relationship Id="rId755" Type="http://schemas.openxmlformats.org/officeDocument/2006/relationships/hyperlink" Target="https://www.coingecko.com/pt/moedas/ethereum" TargetMode="External"/><Relationship Id="rId962" Type="http://schemas.openxmlformats.org/officeDocument/2006/relationships/hyperlink" Target="https://coingecko.app.link/lTInCXLGz4" TargetMode="External"/><Relationship Id="rId1178" Type="http://schemas.openxmlformats.org/officeDocument/2006/relationships/hyperlink" Target="https://www.coingecko.com/pt/c%C3%A2mbios/lbank" TargetMode="External"/><Relationship Id="rId1385" Type="http://schemas.openxmlformats.org/officeDocument/2006/relationships/hyperlink" Target="https://www.coingecko.com/pt/moedas/solana" TargetMode="External"/><Relationship Id="rId1592" Type="http://schemas.openxmlformats.org/officeDocument/2006/relationships/hyperlink" Target="https://www.coingecko.com/pt/ad_policy" TargetMode="External"/><Relationship Id="rId2229" Type="http://schemas.openxmlformats.org/officeDocument/2006/relationships/hyperlink" Target="https://www.coingecko.com/pt/premium/pricing" TargetMode="External"/><Relationship Id="rId2436" Type="http://schemas.openxmlformats.org/officeDocument/2006/relationships/hyperlink" Target="https://coinmarketcap.com/pt-br/charts/" TargetMode="External"/><Relationship Id="rId2643" Type="http://schemas.openxmlformats.org/officeDocument/2006/relationships/hyperlink" Target="https://www.coingecko.com/en/exchanges/bybit_spot" TargetMode="External"/><Relationship Id="rId91" Type="http://schemas.openxmlformats.org/officeDocument/2006/relationships/hyperlink" Target="https://www.coingecko.com/pt/moedas/solana" TargetMode="External"/><Relationship Id="rId408" Type="http://schemas.openxmlformats.org/officeDocument/2006/relationships/hyperlink" Target="https://www.coingecko.com/pt/moedas/chainlink" TargetMode="External"/><Relationship Id="rId615" Type="http://schemas.openxmlformats.org/officeDocument/2006/relationships/hyperlink" Target="https://www.coingecko.com/pt/moedas/ethereum" TargetMode="External"/><Relationship Id="rId822" Type="http://schemas.openxmlformats.org/officeDocument/2006/relationships/hyperlink" Target="https://www.coingecko.com/learn/what-is-fully-diluted-valuation-fdv-in-crypto" TargetMode="External"/><Relationship Id="rId1038" Type="http://schemas.openxmlformats.org/officeDocument/2006/relationships/hyperlink" Target="https://www.coingecko.com/pt/moedas/gala/eur" TargetMode="External"/><Relationship Id="rId1245" Type="http://schemas.openxmlformats.org/officeDocument/2006/relationships/hyperlink" Target="https://www.coingecko.com/pt/moedas/kaspa" TargetMode="External"/><Relationship Id="rId1452" Type="http://schemas.openxmlformats.org/officeDocument/2006/relationships/hyperlink" Target="https://www.geckoterminal.com/?utm_source=coingecko&amp;utm_medium=referral&amp;utm_campaign=desktop_navigation" TargetMode="External"/><Relationship Id="rId2503" Type="http://schemas.openxmlformats.org/officeDocument/2006/relationships/hyperlink" Target="https://coinmarketcap.com/pt-br/currencies/x2y2/" TargetMode="External"/><Relationship Id="rId1105" Type="http://schemas.openxmlformats.org/officeDocument/2006/relationships/hyperlink" Target="https://www.coingecko.com/pt/termos" TargetMode="External"/><Relationship Id="rId1312" Type="http://schemas.openxmlformats.org/officeDocument/2006/relationships/hyperlink" Target="https://gemwallet.com/" TargetMode="External"/><Relationship Id="rId2710" Type="http://schemas.openxmlformats.org/officeDocument/2006/relationships/hyperlink" Target="https://www.coingecko.com/en/coins/stride" TargetMode="External"/><Relationship Id="rId198" Type="http://schemas.openxmlformats.org/officeDocument/2006/relationships/hyperlink" Target="https://gate.io/trade/ETH_USDT?ref=3018394" TargetMode="External"/><Relationship Id="rId2086" Type="http://schemas.openxmlformats.org/officeDocument/2006/relationships/hyperlink" Target="https://www.coingecko.com/pt/candy" TargetMode="External"/><Relationship Id="rId2293" Type="http://schemas.openxmlformats.org/officeDocument/2006/relationships/hyperlink" Target="https://www.coingecko.com/pt/c%C3%A2mbios/digifinex" TargetMode="External"/><Relationship Id="rId265" Type="http://schemas.openxmlformats.org/officeDocument/2006/relationships/hyperlink" Target="https://www.coingecko.com/pt/moedas/pixels" TargetMode="External"/><Relationship Id="rId472" Type="http://schemas.openxmlformats.org/officeDocument/2006/relationships/hyperlink" Target="https://www.facebook.com/coingecko" TargetMode="External"/><Relationship Id="rId2153" Type="http://schemas.openxmlformats.org/officeDocument/2006/relationships/hyperlink" Target="https://www.coingecko.com/pt/moedas/book-of-meme" TargetMode="External"/><Relationship Id="rId2360" Type="http://schemas.openxmlformats.org/officeDocument/2006/relationships/hyperlink" Target="https://www.coingecko.com/pt/moedas/polygon" TargetMode="External"/><Relationship Id="rId125" Type="http://schemas.openxmlformats.org/officeDocument/2006/relationships/hyperlink" Target="https://www.coingecko.com/pt/moedas/dymension" TargetMode="External"/><Relationship Id="rId332" Type="http://schemas.openxmlformats.org/officeDocument/2006/relationships/hyperlink" Target="https://www.coingecko.com/pt/metodologia" TargetMode="External"/><Relationship Id="rId2013" Type="http://schemas.openxmlformats.org/officeDocument/2006/relationships/hyperlink" Target="https://www.coingecko.com/pt/moedas/byte" TargetMode="External"/><Relationship Id="rId2220" Type="http://schemas.openxmlformats.org/officeDocument/2006/relationships/hyperlink" Target="https://www.facebook.com/coingecko" TargetMode="External"/><Relationship Id="rId1779" Type="http://schemas.openxmlformats.org/officeDocument/2006/relationships/hyperlink" Target="https://www.coingecko.com/learn/what-is-fully-diluted-valuation-fdv-in-crypto" TargetMode="External"/><Relationship Id="rId1986" Type="http://schemas.openxmlformats.org/officeDocument/2006/relationships/hyperlink" Target="https://www.criptofacil.com/previsao-de-preco-das-3-principais-memecoins-dogecoin-shiba-inu-e-bonk/" TargetMode="External"/><Relationship Id="rId1639" Type="http://schemas.openxmlformats.org/officeDocument/2006/relationships/hyperlink" Target="https://rendernetwork.medium.com/" TargetMode="External"/><Relationship Id="rId1846" Type="http://schemas.openxmlformats.org/officeDocument/2006/relationships/hyperlink" Target="https://www.coingecko.com/pt/moedas/satoshivm" TargetMode="External"/><Relationship Id="rId1706" Type="http://schemas.openxmlformats.org/officeDocument/2006/relationships/hyperlink" Target="https://www.coingecko.com/pt/moedas/pixels" TargetMode="External"/><Relationship Id="rId1913" Type="http://schemas.openxmlformats.org/officeDocument/2006/relationships/hyperlink" Target="https://www.reddit.com/r/coingecko/" TargetMode="External"/><Relationship Id="rId799" Type="http://schemas.openxmlformats.org/officeDocument/2006/relationships/hyperlink" Target="https://discord.gg/EhrkaCH" TargetMode="External"/><Relationship Id="rId2687" Type="http://schemas.openxmlformats.org/officeDocument/2006/relationships/hyperlink" Target="https://www.coingecko.com/en/coins/lido-dao/cad" TargetMode="External"/><Relationship Id="rId659" Type="http://schemas.openxmlformats.org/officeDocument/2006/relationships/hyperlink" Target="https://www.coingecko.com/pt/global-charts" TargetMode="External"/><Relationship Id="rId866" Type="http://schemas.openxmlformats.org/officeDocument/2006/relationships/hyperlink" Target="https://www.weex.com/trade/imx_usdt" TargetMode="External"/><Relationship Id="rId1289" Type="http://schemas.openxmlformats.org/officeDocument/2006/relationships/hyperlink" Target="https://www.coingecko.com/pt/premium/pricing" TargetMode="External"/><Relationship Id="rId1496" Type="http://schemas.openxmlformats.org/officeDocument/2006/relationships/hyperlink" Target="https://www.coingecko.com/pt/c%C3%A2mbios/bitget" TargetMode="External"/><Relationship Id="rId2547" Type="http://schemas.openxmlformats.org/officeDocument/2006/relationships/hyperlink" Target="https://coinmarketcap.com/pt-br/currencies/pepe/pepe/usd/" TargetMode="External"/><Relationship Id="rId519" Type="http://schemas.openxmlformats.org/officeDocument/2006/relationships/hyperlink" Target="https://chain.link/" TargetMode="External"/><Relationship Id="rId1149" Type="http://schemas.openxmlformats.org/officeDocument/2006/relationships/hyperlink" Target="https://gcko.io/ledger" TargetMode="External"/><Relationship Id="rId1356" Type="http://schemas.openxmlformats.org/officeDocument/2006/relationships/hyperlink" Target="https://br.beincrypto.com/dogecoin-pepe-optimism-e-mais-5-criptomoedas-para-ficar-de-olho-hoje/" TargetMode="External"/><Relationship Id="rId2754" Type="http://schemas.openxmlformats.org/officeDocument/2006/relationships/hyperlink" Target="https://careers.coingecko.com/" TargetMode="External"/><Relationship Id="rId726" Type="http://schemas.openxmlformats.org/officeDocument/2006/relationships/hyperlink" Target="https://www.coingecko.com/pt/moedas/ronin/brl" TargetMode="External"/><Relationship Id="rId933" Type="http://schemas.openxmlformats.org/officeDocument/2006/relationships/hyperlink" Target="https://support.coingecko.com/" TargetMode="External"/><Relationship Id="rId1009" Type="http://schemas.openxmlformats.org/officeDocument/2006/relationships/hyperlink" Target="https://www.coingecko.com/pt/c%C3%A2mbios/bitget" TargetMode="External"/><Relationship Id="rId1563" Type="http://schemas.openxmlformats.org/officeDocument/2006/relationships/hyperlink" Target="https://www.coingecko.com/pt/moedas/aerodrome-finance" TargetMode="External"/><Relationship Id="rId1770" Type="http://schemas.openxmlformats.org/officeDocument/2006/relationships/hyperlink" Target="https://www.coingecko.com/pt/candy" TargetMode="External"/><Relationship Id="rId2407" Type="http://schemas.openxmlformats.org/officeDocument/2006/relationships/hyperlink" Target="https://www.google.com/url?q=https://m.br.investing.com/currencies/us-dollar-index&amp;sa=U&amp;ved=2ahUKEwj_2bOd7u6FAxXSpZUCHUfnDMEQFnoECAQQAg&amp;usg=AOvVaw30yIvmHYD6iRJQ7nu3Bu3V" TargetMode="External"/><Relationship Id="rId2614" Type="http://schemas.openxmlformats.org/officeDocument/2006/relationships/hyperlink" Target="https://blog.lido.fi/" TargetMode="External"/><Relationship Id="rId62" Type="http://schemas.openxmlformats.org/officeDocument/2006/relationships/hyperlink" Target="https://www.coingecko.com/pt/c%C3%A2mbios/bitfinex" TargetMode="External"/><Relationship Id="rId1216" Type="http://schemas.openxmlformats.org/officeDocument/2006/relationships/hyperlink" Target="https://www.coingecko.com/pt/moedas/bittorrent" TargetMode="External"/><Relationship Id="rId1423" Type="http://schemas.openxmlformats.org/officeDocument/2006/relationships/hyperlink" Target="https://hackenproof.com/coingecko/coingecko" TargetMode="External"/><Relationship Id="rId1630" Type="http://schemas.openxmlformats.org/officeDocument/2006/relationships/hyperlink" Target="https://medium.com/render-token" TargetMode="External"/><Relationship Id="rId1728" Type="http://schemas.openxmlformats.org/officeDocument/2006/relationships/hyperlink" Target="https://www.coingecko.com/pt/moedas/polygon" TargetMode="External"/><Relationship Id="rId1935" Type="http://schemas.openxmlformats.org/officeDocument/2006/relationships/hyperlink" Target="https://www.tradingview.com/?aff_id=132489" TargetMode="External"/><Relationship Id="rId2197" Type="http://schemas.openxmlformats.org/officeDocument/2006/relationships/hyperlink" Target="https://www.coingecko.com/pt/api" TargetMode="External"/><Relationship Id="rId169" Type="http://schemas.openxmlformats.org/officeDocument/2006/relationships/hyperlink" Target="https://www.coingecko.com/pt/candy" TargetMode="External"/><Relationship Id="rId376" Type="http://schemas.openxmlformats.org/officeDocument/2006/relationships/hyperlink" Target="https://www.coingecko.com/pt/c%C3%A2mbios/bybit_spot" TargetMode="External"/><Relationship Id="rId583" Type="http://schemas.openxmlformats.org/officeDocument/2006/relationships/hyperlink" Target="https://www.coingecko.com/pt/moedas/cosmos-hub" TargetMode="External"/><Relationship Id="rId790" Type="http://schemas.openxmlformats.org/officeDocument/2006/relationships/hyperlink" Target="https://www.coingecko.com/pt/isen%C3%A7%C3%A3o_de_responsabilidade" TargetMode="External"/><Relationship Id="rId2057" Type="http://schemas.openxmlformats.org/officeDocument/2006/relationships/hyperlink" Target="https://www.coingecko.com/pt/faq" TargetMode="External"/><Relationship Id="rId2264" Type="http://schemas.openxmlformats.org/officeDocument/2006/relationships/hyperlink" Target="https://twitter.com/search?q=$SHIB" TargetMode="External"/><Relationship Id="rId2471" Type="http://schemas.openxmlformats.org/officeDocument/2006/relationships/hyperlink" Target="https://coinmarketcap.com/pt-br/currencies/uniswap/" TargetMode="External"/><Relationship Id="rId4" Type="http://schemas.openxmlformats.org/officeDocument/2006/relationships/hyperlink" Target="https://www.coingecko.com/pt/global-charts" TargetMode="External"/><Relationship Id="rId236" Type="http://schemas.openxmlformats.org/officeDocument/2006/relationships/hyperlink" Target="https://www.coingecko.com/pt/moedas/ethereum/usd" TargetMode="External"/><Relationship Id="rId443" Type="http://schemas.openxmlformats.org/officeDocument/2006/relationships/hyperlink" Target="https://www.coingecko.com/pt/moedas/polygon" TargetMode="External"/><Relationship Id="rId650" Type="http://schemas.openxmlformats.org/officeDocument/2006/relationships/hyperlink" Target="https://www.reddit.com/r/coingecko/" TargetMode="External"/><Relationship Id="rId888" Type="http://schemas.openxmlformats.org/officeDocument/2006/relationships/hyperlink" Target="https://www.coingecko.com/pt/moedas/enjin-coin" TargetMode="External"/><Relationship Id="rId1073" Type="http://schemas.openxmlformats.org/officeDocument/2006/relationships/hyperlink" Target="https://www.coingecko.com/pt/moedas/ethereum" TargetMode="External"/><Relationship Id="rId1280" Type="http://schemas.openxmlformats.org/officeDocument/2006/relationships/hyperlink" Target="https://www.facebook.com/coingecko" TargetMode="External"/><Relationship Id="rId2124" Type="http://schemas.openxmlformats.org/officeDocument/2006/relationships/hyperlink" Target="https://www.coingecko.com/pt/c%C3%A2mbios/pionex" TargetMode="External"/><Relationship Id="rId2331" Type="http://schemas.openxmlformats.org/officeDocument/2006/relationships/hyperlink" Target="https://www.coingecko.com/pt/moedas/woofwork-io" TargetMode="External"/><Relationship Id="rId2569" Type="http://schemas.openxmlformats.org/officeDocument/2006/relationships/hyperlink" Target="https://coinmarketcap.com/pt-br/privacy/" TargetMode="External"/><Relationship Id="rId2776" Type="http://schemas.openxmlformats.org/officeDocument/2006/relationships/hyperlink" Target="https://gcko.io/vptresd" TargetMode="External"/><Relationship Id="rId303" Type="http://schemas.openxmlformats.org/officeDocument/2006/relationships/hyperlink" Target="https://www.coingecko.com/pt/metodologia" TargetMode="External"/><Relationship Id="rId748" Type="http://schemas.openxmlformats.org/officeDocument/2006/relationships/hyperlink" Target="https://www.coingecko.com/pt/moedas/dione" TargetMode="External"/><Relationship Id="rId955" Type="http://schemas.openxmlformats.org/officeDocument/2006/relationships/hyperlink" Target="https://www.coingecko.com/pt/isen%C3%A7%C3%A3o_de_responsabilidade" TargetMode="External"/><Relationship Id="rId1140" Type="http://schemas.openxmlformats.org/officeDocument/2006/relationships/hyperlink" Target="https://www.coingecko.com/pt/metodologia" TargetMode="External"/><Relationship Id="rId1378" Type="http://schemas.openxmlformats.org/officeDocument/2006/relationships/hyperlink" Target="https://www.coingecko.com/pt/moedas/lido-dao" TargetMode="External"/><Relationship Id="rId1585" Type="http://schemas.openxmlformats.org/officeDocument/2006/relationships/hyperlink" Target="https://careers.coingecko.com/" TargetMode="External"/><Relationship Id="rId1792" Type="http://schemas.openxmlformats.org/officeDocument/2006/relationships/hyperlink" Target="https://t.me/StacksChat" TargetMode="External"/><Relationship Id="rId2429" Type="http://schemas.openxmlformats.org/officeDocument/2006/relationships/hyperlink" Target="https://www.google.com/preferences?hl=pt-BR&amp;client=firefox-b-d&amp;sa=X&amp;ved=0ahUKEwj_2bOd7u6FAxXSpZUCHUfnDMEQv5YECEg" TargetMode="External"/><Relationship Id="rId2636" Type="http://schemas.openxmlformats.org/officeDocument/2006/relationships/hyperlink" Target="https://www.lbank.com/trade/ldo_usdt" TargetMode="External"/><Relationship Id="rId84" Type="http://schemas.openxmlformats.org/officeDocument/2006/relationships/hyperlink" Target="https://www.coingecko.com/pt/moedas/ethereum" TargetMode="External"/><Relationship Id="rId510" Type="http://schemas.openxmlformats.org/officeDocument/2006/relationships/hyperlink" Target="https://etherscan.io/token/0x514910771af9ca656af840dff83e8264ecf986ca?a=0x0DFfD343C2D3460a7EAD2797a687304Beb394ce0" TargetMode="External"/><Relationship Id="rId608" Type="http://schemas.openxmlformats.org/officeDocument/2006/relationships/hyperlink" Target="https://www.coingecko.com/pt/moedas/degen-base" TargetMode="External"/><Relationship Id="rId815" Type="http://schemas.openxmlformats.org/officeDocument/2006/relationships/hyperlink" Target="https://www.coingecko.com/pt/portfolio" TargetMode="External"/><Relationship Id="rId1238" Type="http://schemas.openxmlformats.org/officeDocument/2006/relationships/hyperlink" Target="https://www.coingecko.com/pt/moedas/wormhole" TargetMode="External"/><Relationship Id="rId1445" Type="http://schemas.openxmlformats.org/officeDocument/2006/relationships/hyperlink" Target="https://coingecko.app.link/lTInCXLGz4" TargetMode="External"/><Relationship Id="rId1652" Type="http://schemas.openxmlformats.org/officeDocument/2006/relationships/hyperlink" Target="https://www.weex.com/trade/rndr_usdt" TargetMode="External"/><Relationship Id="rId1000" Type="http://schemas.openxmlformats.org/officeDocument/2006/relationships/hyperlink" Target="https://www.coingecko.com/pt/c%C3%A2mbios/pointpay" TargetMode="External"/><Relationship Id="rId1305" Type="http://schemas.openxmlformats.org/officeDocument/2006/relationships/hyperlink" Target="https://www.coingecko.com/pt/metodologia" TargetMode="External"/><Relationship Id="rId1957" Type="http://schemas.openxmlformats.org/officeDocument/2006/relationships/hyperlink" Target="https://www.coingecko.com/pt/c%C3%A2mbios/binance" TargetMode="External"/><Relationship Id="rId2703" Type="http://schemas.openxmlformats.org/officeDocument/2006/relationships/hyperlink" Target="https://www.coingecko.com/en/coins/rocket-pool" TargetMode="External"/><Relationship Id="rId1512" Type="http://schemas.openxmlformats.org/officeDocument/2006/relationships/hyperlink" Target="https://br.beincrypto.com/3-criptomoedas-que-as-baleias-estao-comprando-para-ter-lucro-em-maio/" TargetMode="External"/><Relationship Id="rId1817" Type="http://schemas.openxmlformats.org/officeDocument/2006/relationships/hyperlink" Target="https://www.binance.com/en/trade/STX_BTC?ref=37754157" TargetMode="External"/><Relationship Id="rId11" Type="http://schemas.openxmlformats.org/officeDocument/2006/relationships/hyperlink" Target="https://www.coingecko.com/pt/portfolio" TargetMode="External"/><Relationship Id="rId398" Type="http://schemas.openxmlformats.org/officeDocument/2006/relationships/hyperlink" Target="https://www.coingecko.com/pt/moedas/solana/brl" TargetMode="External"/><Relationship Id="rId2079" Type="http://schemas.openxmlformats.org/officeDocument/2006/relationships/hyperlink" Target="https://www.coingecko.com/pt" TargetMode="External"/><Relationship Id="rId160" Type="http://schemas.openxmlformats.org/officeDocument/2006/relationships/hyperlink" Target="https://coingecko.app.link/lTInCXLGz4" TargetMode="External"/><Relationship Id="rId2286" Type="http://schemas.openxmlformats.org/officeDocument/2006/relationships/hyperlink" Target="https://www.weex.com/trade/shib_usdt" TargetMode="External"/><Relationship Id="rId2493" Type="http://schemas.openxmlformats.org/officeDocument/2006/relationships/hyperlink" Target="https://coinmarketcap.com/pt-br/currencies/spectra-chain/" TargetMode="External"/><Relationship Id="rId258" Type="http://schemas.openxmlformats.org/officeDocument/2006/relationships/hyperlink" Target="https://www.coingecko.com/pt/moedas/solana" TargetMode="External"/><Relationship Id="rId465" Type="http://schemas.openxmlformats.org/officeDocument/2006/relationships/hyperlink" Target="https://www.coingecko.com/pt/ad_policy" TargetMode="External"/><Relationship Id="rId672" Type="http://schemas.openxmlformats.org/officeDocument/2006/relationships/hyperlink" Target="https://www.coingecko.com/pt/api" TargetMode="External"/><Relationship Id="rId1095" Type="http://schemas.openxmlformats.org/officeDocument/2006/relationships/hyperlink" Target="https://support.coingecko.com/" TargetMode="External"/><Relationship Id="rId2146" Type="http://schemas.openxmlformats.org/officeDocument/2006/relationships/hyperlink" Target="https://www.coingecko.com/pt/moedas/dogwifhat/brl" TargetMode="External"/><Relationship Id="rId2353" Type="http://schemas.openxmlformats.org/officeDocument/2006/relationships/hyperlink" Target="https://www.coingecko.com/pt/moedas/wormhole" TargetMode="External"/><Relationship Id="rId2560" Type="http://schemas.openxmlformats.org/officeDocument/2006/relationships/hyperlink" Target="https://coinmarketcap.com/product-updates/all/" TargetMode="External"/><Relationship Id="rId118" Type="http://schemas.openxmlformats.org/officeDocument/2006/relationships/hyperlink" Target="https://www.coingecko.com/pt/moedas/degen-base" TargetMode="External"/><Relationship Id="rId325" Type="http://schemas.openxmlformats.org/officeDocument/2006/relationships/hyperlink" Target="https://www.geckoterminal.com/?utm_source=coingecko&amp;utm_medium=referral&amp;utm_campaign=desktop_navigation" TargetMode="External"/><Relationship Id="rId532" Type="http://schemas.openxmlformats.org/officeDocument/2006/relationships/hyperlink" Target="https://www.coingecko.com/pt/c%C3%A2mbios/gate-io" TargetMode="External"/><Relationship Id="rId977" Type="http://schemas.openxmlformats.org/officeDocument/2006/relationships/hyperlink" Target="https://www.coingecko.com/pt/metodologia" TargetMode="External"/><Relationship Id="rId1162" Type="http://schemas.openxmlformats.org/officeDocument/2006/relationships/hyperlink" Target="https://www.coingecko.com/pt/c%C3%A2mbios/gate-io" TargetMode="External"/><Relationship Id="rId2006" Type="http://schemas.openxmlformats.org/officeDocument/2006/relationships/hyperlink" Target="https://www.coingecko.com/pt/moedas/grok-2" TargetMode="External"/><Relationship Id="rId2213" Type="http://schemas.openxmlformats.org/officeDocument/2006/relationships/hyperlink" Target="https://www.coingecko.com/pt/ad_policy" TargetMode="External"/><Relationship Id="rId2420" Type="http://schemas.openxmlformats.org/officeDocument/2006/relationships/hyperlink" Target="https://www.google.com/search?client=firefox-b-d&amp;sca_esv=8f14c8c94b33adc6&amp;sca_upv=1&amp;ie=UTF-8&amp;q=cota%C3%A7%C3%A3o+d%C3%B3lar+turismo+hoje+banco+central&amp;sa=X&amp;ved=2ahUKEwj_2bOd7u6FAxXSpZUCHUfnDMEQ1QJ6BAgAEAY" TargetMode="External"/><Relationship Id="rId2658" Type="http://schemas.openxmlformats.org/officeDocument/2006/relationships/hyperlink" Target="https://beincrypto.com/altcoin-holders-are-losing-money/" TargetMode="External"/><Relationship Id="rId837" Type="http://schemas.openxmlformats.org/officeDocument/2006/relationships/hyperlink" Target="https://www.coingecko.com/pt/categories/immutable-ecosystem" TargetMode="External"/><Relationship Id="rId1022" Type="http://schemas.openxmlformats.org/officeDocument/2006/relationships/hyperlink" Target="https://www.huobi.com/en-us/exchange/gala_usdt?invite_code=d8c53" TargetMode="External"/><Relationship Id="rId1467" Type="http://schemas.openxmlformats.org/officeDocument/2006/relationships/hyperlink" Target="https://forms.gle/ULNnnCGCEAimK9cJ7" TargetMode="External"/><Relationship Id="rId1674" Type="http://schemas.openxmlformats.org/officeDocument/2006/relationships/hyperlink" Target="https://br.beincrypto.com/altcoins-para-ficar-de-olho-em-maio/" TargetMode="External"/><Relationship Id="rId1881" Type="http://schemas.openxmlformats.org/officeDocument/2006/relationships/hyperlink" Target="https://www.coingecko.com/pt/moedas/wormhole" TargetMode="External"/><Relationship Id="rId2518" Type="http://schemas.openxmlformats.org/officeDocument/2006/relationships/hyperlink" Target="https://coinmarketcap.com/pt-br/currencies/vps-ai/" TargetMode="External"/><Relationship Id="rId2725" Type="http://schemas.openxmlformats.org/officeDocument/2006/relationships/hyperlink" Target="https://www.coingecko.com/en/coins/ethereum" TargetMode="External"/><Relationship Id="rId904" Type="http://schemas.openxmlformats.org/officeDocument/2006/relationships/hyperlink" Target="https://www.coingecko.com/pt/moedas/ethereum" TargetMode="External"/><Relationship Id="rId1327" Type="http://schemas.openxmlformats.org/officeDocument/2006/relationships/hyperlink" Target="https://www.coingecko.com/pt/c%C3%A2mbios/mexc" TargetMode="External"/><Relationship Id="rId1534" Type="http://schemas.openxmlformats.org/officeDocument/2006/relationships/hyperlink" Target="https://www.coingecko.com/pt/moedas/starknet" TargetMode="External"/><Relationship Id="rId1741" Type="http://schemas.openxmlformats.org/officeDocument/2006/relationships/hyperlink" Target="https://careers.coingecko.com/" TargetMode="External"/><Relationship Id="rId1979" Type="http://schemas.openxmlformats.org/officeDocument/2006/relationships/hyperlink" Target="https://www.okx.com/trade-spot/doge-usdt?channelid=1902090" TargetMode="External"/><Relationship Id="rId33" Type="http://schemas.openxmlformats.org/officeDocument/2006/relationships/hyperlink" Target="https://www.coingecko.com/pt/categories/cryptocurrency" TargetMode="External"/><Relationship Id="rId1601" Type="http://schemas.openxmlformats.org/officeDocument/2006/relationships/hyperlink" Target="https://www.tiktok.com/@coingeckotv" TargetMode="External"/><Relationship Id="rId1839" Type="http://schemas.openxmlformats.org/officeDocument/2006/relationships/hyperlink" Target="https://www.coingecko.com/pt/moedas/stacks/eur" TargetMode="External"/><Relationship Id="rId182" Type="http://schemas.openxmlformats.org/officeDocument/2006/relationships/hyperlink" Target="https://api.coingecko.com/api/v3/supply/eth" TargetMode="External"/><Relationship Id="rId1906" Type="http://schemas.openxmlformats.org/officeDocument/2006/relationships/hyperlink" Target="https://www.coingecko.com/pt/termos" TargetMode="External"/><Relationship Id="rId487" Type="http://schemas.openxmlformats.org/officeDocument/2006/relationships/hyperlink" Target="https://www.coingecko.com/pt/portfolio" TargetMode="External"/><Relationship Id="rId694" Type="http://schemas.openxmlformats.org/officeDocument/2006/relationships/hyperlink" Target="https://www.coingecko.com/pt/c%C3%A2mbios/htx" TargetMode="External"/><Relationship Id="rId2070" Type="http://schemas.openxmlformats.org/officeDocument/2006/relationships/hyperlink" Target="https://t.me/coingeckonews" TargetMode="External"/><Relationship Id="rId2168" Type="http://schemas.openxmlformats.org/officeDocument/2006/relationships/hyperlink" Target="https://www.coingecko.com/pt/moedas/dione" TargetMode="External"/><Relationship Id="rId2375" Type="http://schemas.openxmlformats.org/officeDocument/2006/relationships/hyperlink" Target="https://careers.coingecko.com/" TargetMode="External"/><Relationship Id="rId347" Type="http://schemas.openxmlformats.org/officeDocument/2006/relationships/hyperlink" Target="https://twitter.com/search?q=$SOL" TargetMode="External"/><Relationship Id="rId999" Type="http://schemas.openxmlformats.org/officeDocument/2006/relationships/hyperlink" Target="https://www.coingecko.com/pt/c%C3%A2mbios/pointpay" TargetMode="External"/><Relationship Id="rId1184" Type="http://schemas.openxmlformats.org/officeDocument/2006/relationships/hyperlink" Target="https://www.coingecko.com/pt/c%C3%A2mbios/crypto_com" TargetMode="External"/><Relationship Id="rId2028" Type="http://schemas.openxmlformats.org/officeDocument/2006/relationships/hyperlink" Target="https://www.coingecko.com/pt/moedas/pixels" TargetMode="External"/><Relationship Id="rId2582" Type="http://schemas.openxmlformats.org/officeDocument/2006/relationships/hyperlink" Target="https://www.instagram.com/coinmarketcap/" TargetMode="External"/><Relationship Id="rId554" Type="http://schemas.openxmlformats.org/officeDocument/2006/relationships/hyperlink" Target="https://www.binance.com/en/trade/LINK_USDT?ref=37754157" TargetMode="External"/><Relationship Id="rId761" Type="http://schemas.openxmlformats.org/officeDocument/2006/relationships/hyperlink" Target="https://www.coingecko.com/pt/moedas/degen-base" TargetMode="External"/><Relationship Id="rId859" Type="http://schemas.openxmlformats.org/officeDocument/2006/relationships/hyperlink" Target="https://www.coingecko.com/pt/c%C3%A2mbios/slex" TargetMode="External"/><Relationship Id="rId1391" Type="http://schemas.openxmlformats.org/officeDocument/2006/relationships/hyperlink" Target="https://www.coingecko.com/pt/moedas/bitcoin" TargetMode="External"/><Relationship Id="rId1489" Type="http://schemas.openxmlformats.org/officeDocument/2006/relationships/hyperlink" Target="https://www.digifinex.com/en-ww/trade/USDT/ARB" TargetMode="External"/><Relationship Id="rId1696" Type="http://schemas.openxmlformats.org/officeDocument/2006/relationships/hyperlink" Target="https://www.coingecko.com/pt/moedas/illuvium" TargetMode="External"/><Relationship Id="rId2235" Type="http://schemas.openxmlformats.org/officeDocument/2006/relationships/hyperlink" Target="https://www.coingecko.com/pt/portfolio" TargetMode="External"/><Relationship Id="rId2442" Type="http://schemas.openxmlformats.org/officeDocument/2006/relationships/hyperlink" Target="https://coinmarketcap.com/pt-br/rankings/exchanges/" TargetMode="External"/><Relationship Id="rId207" Type="http://schemas.openxmlformats.org/officeDocument/2006/relationships/hyperlink" Target="https://www.toobit.com/en-US/spot/ETH_USDTregister?invite_code=ukqPOK" TargetMode="External"/><Relationship Id="rId414" Type="http://schemas.openxmlformats.org/officeDocument/2006/relationships/hyperlink" Target="https://www.coingecko.com/pt/moedas/dogwifhat" TargetMode="External"/><Relationship Id="rId621" Type="http://schemas.openxmlformats.org/officeDocument/2006/relationships/hyperlink" Target="https://www.coingecko.com/pt/moedas/pendle" TargetMode="External"/><Relationship Id="rId1044" Type="http://schemas.openxmlformats.org/officeDocument/2006/relationships/hyperlink" Target="https://www.coingecko.com/pt/moedas/portal" TargetMode="External"/><Relationship Id="rId1251" Type="http://schemas.openxmlformats.org/officeDocument/2006/relationships/hyperlink" Target="https://www.coingecko.com/pt/moedas/pendle" TargetMode="External"/><Relationship Id="rId1349" Type="http://schemas.openxmlformats.org/officeDocument/2006/relationships/hyperlink" Target="https://www.bitrue.com/trade/op_usdt?inviteCode=LLLHGE" TargetMode="External"/><Relationship Id="rId2302" Type="http://schemas.openxmlformats.org/officeDocument/2006/relationships/hyperlink" Target="https://www.criptofacil.com/previsao-de-preco-das-3-principais-memecoins-dogecoin-shiba-inu-e-bonk/" TargetMode="External"/><Relationship Id="rId2747" Type="http://schemas.openxmlformats.org/officeDocument/2006/relationships/hyperlink" Target="https://www.coingecko.com/request" TargetMode="External"/><Relationship Id="rId719" Type="http://schemas.openxmlformats.org/officeDocument/2006/relationships/hyperlink" Target="https://www.criptofacil.com/ronin-e-sky-mavis-recebem-mais-um-jogo-na-rede-propria/" TargetMode="External"/><Relationship Id="rId926" Type="http://schemas.openxmlformats.org/officeDocument/2006/relationships/hyperlink" Target="https://www.coingecko.com/pt/news" TargetMode="External"/><Relationship Id="rId1111" Type="http://schemas.openxmlformats.org/officeDocument/2006/relationships/hyperlink" Target="https://www.instagram.com/coingecko/" TargetMode="External"/><Relationship Id="rId1556" Type="http://schemas.openxmlformats.org/officeDocument/2006/relationships/hyperlink" Target="https://www.coingecko.com/pt/moedas/pepe" TargetMode="External"/><Relationship Id="rId1763" Type="http://schemas.openxmlformats.org/officeDocument/2006/relationships/hyperlink" Target="https://www.coingecko.com/pt/global-charts" TargetMode="External"/><Relationship Id="rId1970" Type="http://schemas.openxmlformats.org/officeDocument/2006/relationships/hyperlink" Target="https://whitebit.com/trade/DOGE_USDT?referral=21d28793-2c37-4ad5-ad65-ec354740a197" TargetMode="External"/><Relationship Id="rId2607" Type="http://schemas.openxmlformats.org/officeDocument/2006/relationships/hyperlink" Target="https://www.coingecko.com/en/methodology" TargetMode="External"/><Relationship Id="rId55" Type="http://schemas.openxmlformats.org/officeDocument/2006/relationships/hyperlink" Target="https://www.binance.com/en/trade/WBTC_BTC?ref=37754157" TargetMode="External"/><Relationship Id="rId1209" Type="http://schemas.openxmlformats.org/officeDocument/2006/relationships/hyperlink" Target="https://www.coingecko.com/pt/moedas/injective" TargetMode="External"/><Relationship Id="rId1416" Type="http://schemas.openxmlformats.org/officeDocument/2006/relationships/hyperlink" Target="https://www.coingecko.com/pt/public-companies-bitcoin" TargetMode="External"/><Relationship Id="rId1623" Type="http://schemas.openxmlformats.org/officeDocument/2006/relationships/hyperlink" Target="https://www.coingecko.com/pt/metodologia" TargetMode="External"/><Relationship Id="rId1830" Type="http://schemas.openxmlformats.org/officeDocument/2006/relationships/hyperlink" Target="https://www.cryptopolitan.com/pt/pilhas-de-dinheiro-bitcoin-e-rebelde-satoshi-rblz-sao-tres-moedas-que-voce-deveria-comprar-apos-o-halving-do-bitcoin/" TargetMode="External"/><Relationship Id="rId1928" Type="http://schemas.openxmlformats.org/officeDocument/2006/relationships/hyperlink" Target="https://www.coingecko.com/pt/candy" TargetMode="External"/><Relationship Id="rId2092" Type="http://schemas.openxmlformats.org/officeDocument/2006/relationships/hyperlink" Target="https://www.coingecko.com/pt/metodologia" TargetMode="External"/><Relationship Id="rId271" Type="http://schemas.openxmlformats.org/officeDocument/2006/relationships/hyperlink" Target="https://www.coingecko.com/pt/moedas/ethereum" TargetMode="External"/><Relationship Id="rId2397" Type="http://schemas.openxmlformats.org/officeDocument/2006/relationships/hyperlink" Target="https://www.google.com/search?q=dollar&amp;client=firefox-b-d&amp;sca_esv=8f14c8c94b33adc6&amp;sca_upv=1&amp;ie=UTF-8&amp;tbm=isch&amp;source=lnms&amp;sa=X&amp;ved=0ahUKEwj_2bOd7u6FAxXSpZUCHUfnDMEQ_AUIBigC" TargetMode="External"/><Relationship Id="rId131" Type="http://schemas.openxmlformats.org/officeDocument/2006/relationships/hyperlink" Target="https://www.coingecko.com/pt/public-companies-bitcoin" TargetMode="External"/><Relationship Id="rId369" Type="http://schemas.openxmlformats.org/officeDocument/2006/relationships/hyperlink" Target="https://www.coingecko.com/pt/c%C3%A2mbios/kraken" TargetMode="External"/><Relationship Id="rId576" Type="http://schemas.openxmlformats.org/officeDocument/2006/relationships/hyperlink" Target="https://www.coingecko.com/pt/moedas/chainlink/eur" TargetMode="External"/><Relationship Id="rId783" Type="http://schemas.openxmlformats.org/officeDocument/2006/relationships/hyperlink" Target="https://www.coingecko.com/pt/faq" TargetMode="External"/><Relationship Id="rId990" Type="http://schemas.openxmlformats.org/officeDocument/2006/relationships/hyperlink" Target="https://www.coingecko.com/pt/categories/ethereum-ecosystem" TargetMode="External"/><Relationship Id="rId2257" Type="http://schemas.openxmlformats.org/officeDocument/2006/relationships/hyperlink" Target="https://forms.gle/ULNnnCGCEAimK9cJ7" TargetMode="External"/><Relationship Id="rId2464" Type="http://schemas.openxmlformats.org/officeDocument/2006/relationships/hyperlink" Target="https://coinmarketcap.com/pt-br/currencies/ethereum/" TargetMode="External"/><Relationship Id="rId2671" Type="http://schemas.openxmlformats.org/officeDocument/2006/relationships/hyperlink" Target="https://www.coingecko.com/learn/what-is-blast-crypto-l2-optimistic-rollup" TargetMode="External"/><Relationship Id="rId229" Type="http://schemas.openxmlformats.org/officeDocument/2006/relationships/hyperlink" Target="https://www.criptofacil.com/uniswap-domina-entre-as-layer-2-com-37-do-volume-de-negociacoes/" TargetMode="External"/><Relationship Id="rId436" Type="http://schemas.openxmlformats.org/officeDocument/2006/relationships/hyperlink" Target="https://www.coingecko.com/pt/moedas/wormhole" TargetMode="External"/><Relationship Id="rId643" Type="http://schemas.openxmlformats.org/officeDocument/2006/relationships/hyperlink" Target="https://www.coingecko.com/pt/termos" TargetMode="External"/><Relationship Id="rId1066" Type="http://schemas.openxmlformats.org/officeDocument/2006/relationships/hyperlink" Target="https://www.coingecko.com/pt/moedas/bitcoin" TargetMode="External"/><Relationship Id="rId1273" Type="http://schemas.openxmlformats.org/officeDocument/2006/relationships/hyperlink" Target="https://www.coingecko.com/pt/ad_policy" TargetMode="External"/><Relationship Id="rId1480" Type="http://schemas.openxmlformats.org/officeDocument/2006/relationships/hyperlink" Target="https://gate.io/trade/ARB_USDT?ref=3018394" TargetMode="External"/><Relationship Id="rId2117" Type="http://schemas.openxmlformats.org/officeDocument/2006/relationships/hyperlink" Target="https://www.coingecko.com/pt/c%C3%A2mbios/gate-io" TargetMode="External"/><Relationship Id="rId2324" Type="http://schemas.openxmlformats.org/officeDocument/2006/relationships/hyperlink" Target="https://www.coingecko.com/pt/moedas/pawswap" TargetMode="External"/><Relationship Id="rId2769" Type="http://schemas.openxmlformats.org/officeDocument/2006/relationships/hyperlink" Target="https://www.facebook.com/coingecko" TargetMode="External"/><Relationship Id="rId850" Type="http://schemas.openxmlformats.org/officeDocument/2006/relationships/hyperlink" Target="https://www.coingecko.com/pt/c%C3%A2mbios/mexc" TargetMode="External"/><Relationship Id="rId948" Type="http://schemas.openxmlformats.org/officeDocument/2006/relationships/hyperlink" Target="https://t.me/coingeckonews" TargetMode="External"/><Relationship Id="rId1133" Type="http://schemas.openxmlformats.org/officeDocument/2006/relationships/hyperlink" Target="https://www.geckoterminal.com/eth/tokens/0x7d1afa7b718fb893db30a3abc0cfc608aacfebb0?utm_source=coingecko&amp;utm_medium=referral&amp;utm_campaign=livechart-btn" TargetMode="External"/><Relationship Id="rId1578" Type="http://schemas.openxmlformats.org/officeDocument/2006/relationships/hyperlink" Target="https://gcko.io/coingeckoads" TargetMode="External"/><Relationship Id="rId1785" Type="http://schemas.openxmlformats.org/officeDocument/2006/relationships/hyperlink" Target="http://stacks.co/" TargetMode="External"/><Relationship Id="rId1992" Type="http://schemas.openxmlformats.org/officeDocument/2006/relationships/hyperlink" Target="https://br.beincrypto.com/dogecoin-pepe-optimism-e-mais-5-criptomoedas-para-ficar-de-olho-hoje/" TargetMode="External"/><Relationship Id="rId2531" Type="http://schemas.openxmlformats.org/officeDocument/2006/relationships/hyperlink" Target="https://coinmarketcap.com/pt-br/currencies/solana/" TargetMode="External"/><Relationship Id="rId2629" Type="http://schemas.openxmlformats.org/officeDocument/2006/relationships/hyperlink" Target="https://www.coingecko.com/en/exchanges/mexc" TargetMode="External"/><Relationship Id="rId77" Type="http://schemas.openxmlformats.org/officeDocument/2006/relationships/hyperlink" Target="https://portaldobitcoin.uol.com.br/governo-dos-eua-esta-investigando-jack-dorsey-por-negocios-com-bitcoin/" TargetMode="External"/><Relationship Id="rId503" Type="http://schemas.openxmlformats.org/officeDocument/2006/relationships/hyperlink" Target="https://etherscan.io/token/0x514910771af9ca656af840dff83e8264ecf986ca?a=0x5Eab1966D5F61E52C22D0279F06f175e36A7181E" TargetMode="External"/><Relationship Id="rId710" Type="http://schemas.openxmlformats.org/officeDocument/2006/relationships/hyperlink" Target="https://www.coingecko.com/pt/c%C3%A2mbios/katana" TargetMode="External"/><Relationship Id="rId808" Type="http://schemas.openxmlformats.org/officeDocument/2006/relationships/hyperlink" Target="https://www.coingecko.com/pt/global-charts" TargetMode="External"/><Relationship Id="rId1340" Type="http://schemas.openxmlformats.org/officeDocument/2006/relationships/hyperlink" Target="https://www.okx.com/trade-spot/op-usdt?channelid=1902090" TargetMode="External"/><Relationship Id="rId1438" Type="http://schemas.openxmlformats.org/officeDocument/2006/relationships/hyperlink" Target="https://www.instagram.com/coingecko/" TargetMode="External"/><Relationship Id="rId1645" Type="http://schemas.openxmlformats.org/officeDocument/2006/relationships/hyperlink" Target="https://www.coingecko.com/pt/c%C3%A2mbios/gate-io" TargetMode="External"/><Relationship Id="rId1200" Type="http://schemas.openxmlformats.org/officeDocument/2006/relationships/hyperlink" Target="https://br.beincrypto.com/matic-amidst-mixed-signals/" TargetMode="External"/><Relationship Id="rId1852" Type="http://schemas.openxmlformats.org/officeDocument/2006/relationships/hyperlink" Target="https://www.coingecko.com/pt/moedas/ethereum" TargetMode="External"/><Relationship Id="rId1505" Type="http://schemas.openxmlformats.org/officeDocument/2006/relationships/hyperlink" Target="https://www.coingecko.com/pt/c%C3%A2mbios/weex" TargetMode="External"/><Relationship Id="rId1712" Type="http://schemas.openxmlformats.org/officeDocument/2006/relationships/hyperlink" Target="https://www.coingecko.com/pt/moedas/pepe" TargetMode="External"/><Relationship Id="rId293" Type="http://schemas.openxmlformats.org/officeDocument/2006/relationships/hyperlink" Target="https://gcko.io/coingeckoads" TargetMode="External"/><Relationship Id="rId2181" Type="http://schemas.openxmlformats.org/officeDocument/2006/relationships/hyperlink" Target="https://www.coingecko.com/pt/moedas/wormhole" TargetMode="External"/><Relationship Id="rId153" Type="http://schemas.openxmlformats.org/officeDocument/2006/relationships/hyperlink" Target="https://www.instagram.com/coingecko/" TargetMode="External"/><Relationship Id="rId360" Type="http://schemas.openxmlformats.org/officeDocument/2006/relationships/hyperlink" Target="https://www.coingecko.com/pt/c%C3%A2mbios/bingx" TargetMode="External"/><Relationship Id="rId598" Type="http://schemas.openxmlformats.org/officeDocument/2006/relationships/hyperlink" Target="https://www.coingecko.com/pt/moedas/dione" TargetMode="External"/><Relationship Id="rId2041" Type="http://schemas.openxmlformats.org/officeDocument/2006/relationships/hyperlink" Target="https://www.coingecko.com/pt/moedas/jupiter" TargetMode="External"/><Relationship Id="rId2279" Type="http://schemas.openxmlformats.org/officeDocument/2006/relationships/hyperlink" Target="https://www.coingecko.com/pt/c%C3%A2mbios/mexc" TargetMode="External"/><Relationship Id="rId2486" Type="http://schemas.openxmlformats.org/officeDocument/2006/relationships/hyperlink" Target="https://coinmarketcap.com/pt-br/currencies/maker/" TargetMode="External"/><Relationship Id="rId2693" Type="http://schemas.openxmlformats.org/officeDocument/2006/relationships/hyperlink" Target="https://www.coingecko.com/en/coins/lido-dao/inr" TargetMode="External"/><Relationship Id="rId220" Type="http://schemas.openxmlformats.org/officeDocument/2006/relationships/hyperlink" Target="https://www.coingecko.com/pt/c%C3%A2mbios/crypto_com" TargetMode="External"/><Relationship Id="rId458" Type="http://schemas.openxmlformats.org/officeDocument/2006/relationships/hyperlink" Target="https://careers.coingecko.com/" TargetMode="External"/><Relationship Id="rId665" Type="http://schemas.openxmlformats.org/officeDocument/2006/relationships/hyperlink" Target="https://www.coingecko.com/pt/candy" TargetMode="External"/><Relationship Id="rId872" Type="http://schemas.openxmlformats.org/officeDocument/2006/relationships/hyperlink" Target="https://www.criptofacil.com/immutable-programa-de-recompensas-oferece-us-50-mil-para-jogadores/" TargetMode="External"/><Relationship Id="rId1088" Type="http://schemas.openxmlformats.org/officeDocument/2006/relationships/hyperlink" Target="https://www.coingecko.com/pt/news" TargetMode="External"/><Relationship Id="rId1295" Type="http://schemas.openxmlformats.org/officeDocument/2006/relationships/hyperlink" Target="https://www.coingecko.com/pt/portfolio" TargetMode="External"/><Relationship Id="rId2139" Type="http://schemas.openxmlformats.org/officeDocument/2006/relationships/hyperlink" Target="https://br.beincrypto.com/altcoins-para-ficar-de-olho-em-maio/" TargetMode="External"/><Relationship Id="rId2346" Type="http://schemas.openxmlformats.org/officeDocument/2006/relationships/hyperlink" Target="https://www.coingecko.com/pt/moedas/pepe" TargetMode="External"/><Relationship Id="rId2553" Type="http://schemas.openxmlformats.org/officeDocument/2006/relationships/hyperlink" Target="https://coinmarketcap.com/pt-br/currencies/dragonball-z-tribute/" TargetMode="External"/><Relationship Id="rId2760" Type="http://schemas.openxmlformats.org/officeDocument/2006/relationships/hyperlink" Target="https://www.coingecko.com/en/terms" TargetMode="External"/><Relationship Id="rId318" Type="http://schemas.openxmlformats.org/officeDocument/2006/relationships/hyperlink" Target="https://coingecko.app.link/lTInCXLGz4" TargetMode="External"/><Relationship Id="rId525" Type="http://schemas.openxmlformats.org/officeDocument/2006/relationships/hyperlink" Target="https://t.me/chainlinkofficial" TargetMode="External"/><Relationship Id="rId732" Type="http://schemas.openxmlformats.org/officeDocument/2006/relationships/hyperlink" Target="https://www.coingecko.com/pt/moedas/meter-governance" TargetMode="External"/><Relationship Id="rId1155" Type="http://schemas.openxmlformats.org/officeDocument/2006/relationships/hyperlink" Target="https://github.com/maticnetwork" TargetMode="External"/><Relationship Id="rId1362" Type="http://schemas.openxmlformats.org/officeDocument/2006/relationships/hyperlink" Target="https://br.beincrypto.com/altcoins-formaram-fundo-e-estao-prontas-para-bull-run/" TargetMode="External"/><Relationship Id="rId2206" Type="http://schemas.openxmlformats.org/officeDocument/2006/relationships/hyperlink" Target="https://careers.coingecko.com/" TargetMode="External"/><Relationship Id="rId2413" Type="http://schemas.openxmlformats.org/officeDocument/2006/relationships/hyperlink" Target="https://www.google.com/search?client=firefox-b-d&amp;sca_esv=8f14c8c94b33adc6&amp;sca_upv=1&amp;ie=UTF-8&amp;q=d%C3%B3lar+real" TargetMode="External"/><Relationship Id="rId2620" Type="http://schemas.openxmlformats.org/officeDocument/2006/relationships/hyperlink" Target="https://twitter.com/search?q=$LDO" TargetMode="External"/><Relationship Id="rId99" Type="http://schemas.openxmlformats.org/officeDocument/2006/relationships/hyperlink" Target="https://www.coingecko.com/pt/moedas/solana" TargetMode="External"/><Relationship Id="rId1015" Type="http://schemas.openxmlformats.org/officeDocument/2006/relationships/hyperlink" Target="https://www.coingecko.com/pt/c%C3%A2mbios/crypto_com" TargetMode="External"/><Relationship Id="rId1222" Type="http://schemas.openxmlformats.org/officeDocument/2006/relationships/hyperlink" Target="https://www.coingecko.com/pt/moedas/axie-infinity" TargetMode="External"/><Relationship Id="rId1667" Type="http://schemas.openxmlformats.org/officeDocument/2006/relationships/hyperlink" Target="https://bingx.com/en-us/spot/RNDRUSDT?ch=cgk_organic" TargetMode="External"/><Relationship Id="rId1874" Type="http://schemas.openxmlformats.org/officeDocument/2006/relationships/hyperlink" Target="https://www.coingecko.com/pt/moedas/bitcoin" TargetMode="External"/><Relationship Id="rId2718" Type="http://schemas.openxmlformats.org/officeDocument/2006/relationships/hyperlink" Target="https://www.coingecko.com/en/coins/pixels" TargetMode="External"/><Relationship Id="rId1527" Type="http://schemas.openxmlformats.org/officeDocument/2006/relationships/hyperlink" Target="https://www.coingecko.com/pt/moedas/immutable-x" TargetMode="External"/><Relationship Id="rId1734" Type="http://schemas.openxmlformats.org/officeDocument/2006/relationships/hyperlink" Target="https://www.coingecko.com/request" TargetMode="External"/><Relationship Id="rId1941" Type="http://schemas.openxmlformats.org/officeDocument/2006/relationships/hyperlink" Target="https://api.blockchair.com/dogecoin/stats" TargetMode="External"/><Relationship Id="rId26" Type="http://schemas.openxmlformats.org/officeDocument/2006/relationships/hyperlink" Target="https://mempool.space/" TargetMode="External"/><Relationship Id="rId175" Type="http://schemas.openxmlformats.org/officeDocument/2006/relationships/hyperlink" Target="https://www.coingecko.com/pt/api" TargetMode="External"/><Relationship Id="rId1801" Type="http://schemas.openxmlformats.org/officeDocument/2006/relationships/hyperlink" Target="https://www.coingecko.com/pt/c%C3%A2mbios/gate-io" TargetMode="External"/><Relationship Id="rId382" Type="http://schemas.openxmlformats.org/officeDocument/2006/relationships/hyperlink" Target="https://br.beincrypto.com/fundacao-fantom-memecoin-promove-seguranca-etica/" TargetMode="External"/><Relationship Id="rId687" Type="http://schemas.openxmlformats.org/officeDocument/2006/relationships/hyperlink" Target="https://www.coingecko.com/pt/categories/smart-contract-platform" TargetMode="External"/><Relationship Id="rId2063" Type="http://schemas.openxmlformats.org/officeDocument/2006/relationships/hyperlink" Target="https://www.coingecko.com/pt/metodologia" TargetMode="External"/><Relationship Id="rId2270" Type="http://schemas.openxmlformats.org/officeDocument/2006/relationships/hyperlink" Target="https://www.coingecko.com/pt/c%C3%A2mbios/gate-io" TargetMode="External"/><Relationship Id="rId2368" Type="http://schemas.openxmlformats.org/officeDocument/2006/relationships/hyperlink" Target="https://www.coingecko.com/request" TargetMode="External"/><Relationship Id="rId242" Type="http://schemas.openxmlformats.org/officeDocument/2006/relationships/hyperlink" Target="https://www.coingecko.com/pt/moedas/solana" TargetMode="External"/><Relationship Id="rId894" Type="http://schemas.openxmlformats.org/officeDocument/2006/relationships/hyperlink" Target="https://www.coingecko.com/pt/moedas/wax" TargetMode="External"/><Relationship Id="rId1177" Type="http://schemas.openxmlformats.org/officeDocument/2006/relationships/hyperlink" Target="https://www.coingecko.com/pt/c%C3%A2mbios/lbank" TargetMode="External"/><Relationship Id="rId2130" Type="http://schemas.openxmlformats.org/officeDocument/2006/relationships/hyperlink" Target="https://www.coingecko.com/pt/c%C3%A2mbios/bit2me" TargetMode="External"/><Relationship Id="rId2575" Type="http://schemas.openxmlformats.org/officeDocument/2006/relationships/hyperlink" Target="https://coinmarketcap.com/request/" TargetMode="External"/><Relationship Id="rId2782" Type="http://schemas.openxmlformats.org/officeDocument/2006/relationships/queryTable" Target="../queryTables/queryTable3.xml"/><Relationship Id="rId102" Type="http://schemas.openxmlformats.org/officeDocument/2006/relationships/hyperlink" Target="https://www.coingecko.com/pt/moedas/dione" TargetMode="External"/><Relationship Id="rId547" Type="http://schemas.openxmlformats.org/officeDocument/2006/relationships/hyperlink" Target="https://www.coingecko.com/pt/c%C3%A2mbios/whitebit" TargetMode="External"/><Relationship Id="rId754" Type="http://schemas.openxmlformats.org/officeDocument/2006/relationships/hyperlink" Target="https://www.coingecko.com/pt/moedas/bitcoin" TargetMode="External"/><Relationship Id="rId961" Type="http://schemas.openxmlformats.org/officeDocument/2006/relationships/hyperlink" Target="https://www.coingecko.com/pt/premium/pricing" TargetMode="External"/><Relationship Id="rId1384" Type="http://schemas.openxmlformats.org/officeDocument/2006/relationships/hyperlink" Target="https://www.coingecko.com/pt/moedas/solana" TargetMode="External"/><Relationship Id="rId1591" Type="http://schemas.openxmlformats.org/officeDocument/2006/relationships/hyperlink" Target="https://www.coingecko.com/pt/privacidade" TargetMode="External"/><Relationship Id="rId1689" Type="http://schemas.openxmlformats.org/officeDocument/2006/relationships/hyperlink" Target="https://www.coingecko.com/pt/moedas/axie-infinity" TargetMode="External"/><Relationship Id="rId2228" Type="http://schemas.openxmlformats.org/officeDocument/2006/relationships/hyperlink" Target="https://www.coingecko.com/pt/global-charts" TargetMode="External"/><Relationship Id="rId2435" Type="http://schemas.openxmlformats.org/officeDocument/2006/relationships/hyperlink" Target="https://coinmarketcap.com/pt-br/charts/" TargetMode="External"/><Relationship Id="rId2642" Type="http://schemas.openxmlformats.org/officeDocument/2006/relationships/hyperlink" Target="https://www.binance.com/en/trade/LDO_USDT?ref=37754157" TargetMode="External"/><Relationship Id="rId90" Type="http://schemas.openxmlformats.org/officeDocument/2006/relationships/hyperlink" Target="https://www.coingecko.com/pt/moedas/solana" TargetMode="External"/><Relationship Id="rId407" Type="http://schemas.openxmlformats.org/officeDocument/2006/relationships/hyperlink" Target="https://www.coingecko.com/pt/moedas/chainlink" TargetMode="External"/><Relationship Id="rId614" Type="http://schemas.openxmlformats.org/officeDocument/2006/relationships/hyperlink" Target="https://www.coingecko.com/pt/moedas/ethereum" TargetMode="External"/><Relationship Id="rId821" Type="http://schemas.openxmlformats.org/officeDocument/2006/relationships/hyperlink" Target="https://www.coingecko.com/pt/metodologia" TargetMode="External"/><Relationship Id="rId1037" Type="http://schemas.openxmlformats.org/officeDocument/2006/relationships/hyperlink" Target="https://www.coingecko.com/pt/moedas/gala/usd" TargetMode="External"/><Relationship Id="rId1244" Type="http://schemas.openxmlformats.org/officeDocument/2006/relationships/hyperlink" Target="https://www.coingecko.com/pt/moedas/kaspa" TargetMode="External"/><Relationship Id="rId1451" Type="http://schemas.openxmlformats.org/officeDocument/2006/relationships/hyperlink" Target="https://coingecko.app.link/lTInCXLGz4" TargetMode="External"/><Relationship Id="rId1896" Type="http://schemas.openxmlformats.org/officeDocument/2006/relationships/hyperlink" Target="https://support.coingecko.com/" TargetMode="External"/><Relationship Id="rId2502" Type="http://schemas.openxmlformats.org/officeDocument/2006/relationships/hyperlink" Target="https://coinmarketcap.com/pt-br/currencies/x2y2/" TargetMode="External"/><Relationship Id="rId919" Type="http://schemas.openxmlformats.org/officeDocument/2006/relationships/hyperlink" Target="https://www.coingecko.com/pt/moedas/ronin" TargetMode="External"/><Relationship Id="rId1104" Type="http://schemas.openxmlformats.org/officeDocument/2006/relationships/hyperlink" Target="https://www.coingecko.com/pt/isen%C3%A7%C3%A3o_de_responsabilidade" TargetMode="External"/><Relationship Id="rId1311" Type="http://schemas.openxmlformats.org/officeDocument/2006/relationships/hyperlink" Target="https://gcko.io/safepal" TargetMode="External"/><Relationship Id="rId1549" Type="http://schemas.openxmlformats.org/officeDocument/2006/relationships/hyperlink" Target="https://www.coingecko.com/pt/moedas/bitcoin" TargetMode="External"/><Relationship Id="rId1756" Type="http://schemas.openxmlformats.org/officeDocument/2006/relationships/hyperlink" Target="https://www.facebook.com/coingecko" TargetMode="External"/><Relationship Id="rId1963" Type="http://schemas.openxmlformats.org/officeDocument/2006/relationships/hyperlink" Target="https://www.coingecko.com/pt/c%C3%A2mbios/kraken" TargetMode="External"/><Relationship Id="rId48" Type="http://schemas.openxmlformats.org/officeDocument/2006/relationships/hyperlink" Target="https://www.coingecko.com/pt/c%C3%A2mbios/gate-io" TargetMode="External"/><Relationship Id="rId1409" Type="http://schemas.openxmlformats.org/officeDocument/2006/relationships/hyperlink" Target="https://www.coingecko.com/pt/moedas/ronin" TargetMode="External"/><Relationship Id="rId1616" Type="http://schemas.openxmlformats.org/officeDocument/2006/relationships/hyperlink" Target="https://www.coingecko.com/pt" TargetMode="External"/><Relationship Id="rId1823" Type="http://schemas.openxmlformats.org/officeDocument/2006/relationships/hyperlink" Target="https://www.coinbase.com/advanced-trade/spot/STX-USD" TargetMode="External"/><Relationship Id="rId197" Type="http://schemas.openxmlformats.org/officeDocument/2006/relationships/hyperlink" Target="https://www.coingecko.com/pt/c%C3%A2mbios/gate-io" TargetMode="External"/><Relationship Id="rId2085" Type="http://schemas.openxmlformats.org/officeDocument/2006/relationships/hyperlink" Target="https://www.geckoterminal.com/?utm_source=coingecko&amp;utm_medium=referral&amp;utm_campaign=desktop_navigation" TargetMode="External"/><Relationship Id="rId2292" Type="http://schemas.openxmlformats.org/officeDocument/2006/relationships/hyperlink" Target="https://www.coinbase.com/advanced-trade/spot/SHIB-USD" TargetMode="External"/><Relationship Id="rId264" Type="http://schemas.openxmlformats.org/officeDocument/2006/relationships/hyperlink" Target="https://www.coingecko.com/pt/moedas/pixels" TargetMode="External"/><Relationship Id="rId471" Type="http://schemas.openxmlformats.org/officeDocument/2006/relationships/hyperlink" Target="https://discord.gg/EhrkaCH" TargetMode="External"/><Relationship Id="rId2152" Type="http://schemas.openxmlformats.org/officeDocument/2006/relationships/hyperlink" Target="https://www.coingecko.com/pt/moedas/book-of-meme" TargetMode="External"/><Relationship Id="rId2597" Type="http://schemas.openxmlformats.org/officeDocument/2006/relationships/hyperlink" Target="https://www.coingecko.com/en/portfolio" TargetMode="External"/><Relationship Id="rId124" Type="http://schemas.openxmlformats.org/officeDocument/2006/relationships/hyperlink" Target="https://www.coingecko.com/pt/moedas/dymension" TargetMode="External"/><Relationship Id="rId569" Type="http://schemas.openxmlformats.org/officeDocument/2006/relationships/hyperlink" Target="https://www.cryptopolitan.com/pt/chainlink-vrf-v25-lancado-com-melhorias/" TargetMode="External"/><Relationship Id="rId776" Type="http://schemas.openxmlformats.org/officeDocument/2006/relationships/hyperlink" Target="https://www.coingecko.com/pt/cryptocurrency-heatmap" TargetMode="External"/><Relationship Id="rId983" Type="http://schemas.openxmlformats.org/officeDocument/2006/relationships/hyperlink" Target="https://ethplorer.io/address/0xd1d2eb1b1e90b638588728b4130137d262c87cae" TargetMode="External"/><Relationship Id="rId1199" Type="http://schemas.openxmlformats.org/officeDocument/2006/relationships/hyperlink" Target="https://br.beincrypto.com/matic-amidst-mixed-signals/" TargetMode="External"/><Relationship Id="rId2457" Type="http://schemas.openxmlformats.org/officeDocument/2006/relationships/hyperlink" Target="https://coinmarketcap.com/pt-br/currencies/dogecoin/" TargetMode="External"/><Relationship Id="rId2664" Type="http://schemas.openxmlformats.org/officeDocument/2006/relationships/hyperlink" Target="https://coingape.com/markets/2-crypto-to-buy-to-complete-1-portfolio-in-may/" TargetMode="External"/><Relationship Id="rId331" Type="http://schemas.openxmlformats.org/officeDocument/2006/relationships/hyperlink" Target="https://www.coingecko.com/pt" TargetMode="External"/><Relationship Id="rId429" Type="http://schemas.openxmlformats.org/officeDocument/2006/relationships/hyperlink" Target="https://www.coingecko.com/pt/moedas/degen-base" TargetMode="External"/><Relationship Id="rId636" Type="http://schemas.openxmlformats.org/officeDocument/2006/relationships/hyperlink" Target="https://www.coingecko.com/pt/sobre" TargetMode="External"/><Relationship Id="rId1059" Type="http://schemas.openxmlformats.org/officeDocument/2006/relationships/hyperlink" Target="https://www.coingecko.com/pt/moedas/solana" TargetMode="External"/><Relationship Id="rId1266" Type="http://schemas.openxmlformats.org/officeDocument/2006/relationships/hyperlink" Target="https://careers.coingecko.com/" TargetMode="External"/><Relationship Id="rId1473" Type="http://schemas.openxmlformats.org/officeDocument/2006/relationships/hyperlink" Target="https://t.me/arbitrum" TargetMode="External"/><Relationship Id="rId2012" Type="http://schemas.openxmlformats.org/officeDocument/2006/relationships/hyperlink" Target="https://www.coingecko.com/pt/moedas/byte" TargetMode="External"/><Relationship Id="rId2317" Type="http://schemas.openxmlformats.org/officeDocument/2006/relationships/hyperlink" Target="https://www.coingecko.com/pt/moedas/shiba-inu/brl" TargetMode="External"/><Relationship Id="rId843" Type="http://schemas.openxmlformats.org/officeDocument/2006/relationships/hyperlink" Target="https://www.coingecko.com/pt/c%C3%A2mbios/binance" TargetMode="External"/><Relationship Id="rId1126" Type="http://schemas.openxmlformats.org/officeDocument/2006/relationships/hyperlink" Target="https://www.coingecko.com/pt/candy" TargetMode="External"/><Relationship Id="rId1680" Type="http://schemas.openxmlformats.org/officeDocument/2006/relationships/hyperlink" Target="https://www.coingecko.com/pt/moedas/render/eur" TargetMode="External"/><Relationship Id="rId1778" Type="http://schemas.openxmlformats.org/officeDocument/2006/relationships/hyperlink" Target="https://www.coingecko.com/learn/what-is-fully-diluted-valuation-fdv-in-crypto" TargetMode="External"/><Relationship Id="rId1985" Type="http://schemas.openxmlformats.org/officeDocument/2006/relationships/hyperlink" Target="https://www.criptofacil.com/previsao-de-preco-das-3-principais-memecoins-dogecoin-shiba-inu-e-bonk/" TargetMode="External"/><Relationship Id="rId2524" Type="http://schemas.openxmlformats.org/officeDocument/2006/relationships/hyperlink" Target="https://coinmarketcap.com/pt-br/currencies/catamoto-cat/" TargetMode="External"/><Relationship Id="rId2731" Type="http://schemas.openxmlformats.org/officeDocument/2006/relationships/hyperlink" Target="https://www.coingecko.com/en/coins/pepe" TargetMode="External"/><Relationship Id="rId703" Type="http://schemas.openxmlformats.org/officeDocument/2006/relationships/hyperlink" Target="https://www.coingecko.com/pt/c%C3%A2mbios/okx" TargetMode="External"/><Relationship Id="rId910" Type="http://schemas.openxmlformats.org/officeDocument/2006/relationships/hyperlink" Target="https://www.coingecko.com/pt/moedas/pixels" TargetMode="External"/><Relationship Id="rId1333" Type="http://schemas.openxmlformats.org/officeDocument/2006/relationships/hyperlink" Target="https://www.coingecko.com/pt/c%C3%A2mbios/orangex" TargetMode="External"/><Relationship Id="rId1540" Type="http://schemas.openxmlformats.org/officeDocument/2006/relationships/hyperlink" Target="https://www.coingecko.com/pt/moedas/skale" TargetMode="External"/><Relationship Id="rId1638" Type="http://schemas.openxmlformats.org/officeDocument/2006/relationships/hyperlink" Target="https://www.facebook.com/rendernetwork" TargetMode="External"/><Relationship Id="rId1400" Type="http://schemas.openxmlformats.org/officeDocument/2006/relationships/hyperlink" Target="https://www.coingecko.com/pt/moedas/ethereum" TargetMode="External"/><Relationship Id="rId1845" Type="http://schemas.openxmlformats.org/officeDocument/2006/relationships/hyperlink" Target="https://www.coingecko.com/pt/moedas/elastos" TargetMode="External"/><Relationship Id="rId1705" Type="http://schemas.openxmlformats.org/officeDocument/2006/relationships/hyperlink" Target="https://www.coingecko.com/pt/moedas/pixels" TargetMode="External"/><Relationship Id="rId1912" Type="http://schemas.openxmlformats.org/officeDocument/2006/relationships/hyperlink" Target="https://www.instagram.com/coingecko/" TargetMode="External"/><Relationship Id="rId286" Type="http://schemas.openxmlformats.org/officeDocument/2006/relationships/hyperlink" Target="https://www.coingecko.com/pt/moedas/bittensor" TargetMode="External"/><Relationship Id="rId493" Type="http://schemas.openxmlformats.org/officeDocument/2006/relationships/hyperlink" Target="https://www.coingecko.com/pt/metodologia" TargetMode="External"/><Relationship Id="rId2174" Type="http://schemas.openxmlformats.org/officeDocument/2006/relationships/hyperlink" Target="https://www.coingecko.com/pt/moedas/bitcoin" TargetMode="External"/><Relationship Id="rId2381" Type="http://schemas.openxmlformats.org/officeDocument/2006/relationships/hyperlink" Target="https://www.coingecko.com/pt/termos" TargetMode="External"/><Relationship Id="rId146" Type="http://schemas.openxmlformats.org/officeDocument/2006/relationships/hyperlink" Target="https://www.coingecko.com/pt/isen%C3%A7%C3%A3o_de_responsabilidade" TargetMode="External"/><Relationship Id="rId353" Type="http://schemas.openxmlformats.org/officeDocument/2006/relationships/hyperlink" Target="https://www.binance.com/en/trade/SOL_USDT?ref=37754157" TargetMode="External"/><Relationship Id="rId560" Type="http://schemas.openxmlformats.org/officeDocument/2006/relationships/hyperlink" Target="https://crypto.com/exchange/trade/spot/LINK_USD" TargetMode="External"/><Relationship Id="rId798" Type="http://schemas.openxmlformats.org/officeDocument/2006/relationships/hyperlink" Target="https://www.reddit.com/r/coingecko/" TargetMode="External"/><Relationship Id="rId1190" Type="http://schemas.openxmlformats.org/officeDocument/2006/relationships/hyperlink" Target="https://br.beincrypto.com/solana-dogwifhat-helium-e-mais-5-criptomoedas-para-ficar-de-olho-hoje/" TargetMode="External"/><Relationship Id="rId2034" Type="http://schemas.openxmlformats.org/officeDocument/2006/relationships/hyperlink" Target="https://www.coingecko.com/pt/moedas/bitcoin" TargetMode="External"/><Relationship Id="rId2241" Type="http://schemas.openxmlformats.org/officeDocument/2006/relationships/hyperlink" Target="https://www.coingecko.com/pt/metodologia" TargetMode="External"/><Relationship Id="rId2479" Type="http://schemas.openxmlformats.org/officeDocument/2006/relationships/hyperlink" Target="https://coinmarketcap.com/pt-br/currencies/the-sandbox/" TargetMode="External"/><Relationship Id="rId2686" Type="http://schemas.openxmlformats.org/officeDocument/2006/relationships/hyperlink" Target="https://www.coingecko.com/en/coins/lido-dao/usd" TargetMode="External"/><Relationship Id="rId213" Type="http://schemas.openxmlformats.org/officeDocument/2006/relationships/hyperlink" Target="https://pro.kraken.com/app/trade/ETH-USD?c/2223866/1766749/10583" TargetMode="External"/><Relationship Id="rId420" Type="http://schemas.openxmlformats.org/officeDocument/2006/relationships/hyperlink" Target="https://www.coingecko.com/pt/moedas/dione" TargetMode="External"/><Relationship Id="rId658" Type="http://schemas.openxmlformats.org/officeDocument/2006/relationships/hyperlink" Target="https://www.coingecko.com/pt/c%C3%A2mbios" TargetMode="External"/><Relationship Id="rId865" Type="http://schemas.openxmlformats.org/officeDocument/2006/relationships/hyperlink" Target="https://www.coingecko.com/pt/c%C3%A2mbios/weex" TargetMode="External"/><Relationship Id="rId1050" Type="http://schemas.openxmlformats.org/officeDocument/2006/relationships/hyperlink" Target="https://www.coingecko.com/pt/moedas/myria" TargetMode="External"/><Relationship Id="rId1288" Type="http://schemas.openxmlformats.org/officeDocument/2006/relationships/hyperlink" Target="https://www.coingecko.com/pt/global-charts" TargetMode="External"/><Relationship Id="rId1495" Type="http://schemas.openxmlformats.org/officeDocument/2006/relationships/hyperlink" Target="https://www.bitunix.com/spot-trade?symbol=ARBUSDTregister?inviteCode=yq5pr7" TargetMode="External"/><Relationship Id="rId2101" Type="http://schemas.openxmlformats.org/officeDocument/2006/relationships/hyperlink" Target="https://dogwifcoin.org/" TargetMode="External"/><Relationship Id="rId2339" Type="http://schemas.openxmlformats.org/officeDocument/2006/relationships/hyperlink" Target="https://www.coingecko.com/pt/moedas/pixels" TargetMode="External"/><Relationship Id="rId2546" Type="http://schemas.openxmlformats.org/officeDocument/2006/relationships/hyperlink" Target="https://coinmarketcap.com/pt-br/currencies/pepe/pepe/usd/" TargetMode="External"/><Relationship Id="rId2753" Type="http://schemas.openxmlformats.org/officeDocument/2006/relationships/hyperlink" Target="https://www.coingecko.com/en/about" TargetMode="External"/><Relationship Id="rId518" Type="http://schemas.openxmlformats.org/officeDocument/2006/relationships/hyperlink" Target="https://forms.gle/ULNnnCGCEAimK9cJ7" TargetMode="External"/><Relationship Id="rId725" Type="http://schemas.openxmlformats.org/officeDocument/2006/relationships/hyperlink" Target="https://www.coingecko.com/pt/moedas/ronin/eur" TargetMode="External"/><Relationship Id="rId932" Type="http://schemas.openxmlformats.org/officeDocument/2006/relationships/hyperlink" Target="https://www.coingecko.com/pt/candy/partners-getting-started" TargetMode="External"/><Relationship Id="rId1148" Type="http://schemas.openxmlformats.org/officeDocument/2006/relationships/hyperlink" Target="https://etherscan.io/token/0x7d1afa7b718fb893db30a3abc0cfc608aacfebb0" TargetMode="External"/><Relationship Id="rId1355" Type="http://schemas.openxmlformats.org/officeDocument/2006/relationships/hyperlink" Target="https://br.beincrypto.com/dogecoin-pepe-optimism-e-mais-5-criptomoedas-para-ficar-de-olho-hoje/" TargetMode="External"/><Relationship Id="rId1562" Type="http://schemas.openxmlformats.org/officeDocument/2006/relationships/hyperlink" Target="https://www.coingecko.com/pt/moedas/degen-base" TargetMode="External"/><Relationship Id="rId2406" Type="http://schemas.openxmlformats.org/officeDocument/2006/relationships/hyperlink" Target="https://www.google.com/url?q=https://economia.uol.com.br/cotacoes/&amp;sa=U&amp;ved=2ahUKEwj_2bOd7u6FAxXSpZUCHUfnDMEQFnoECAcQAg&amp;usg=AOvVaw3T4AMF5MQ6BH73FtS373Q6" TargetMode="External"/><Relationship Id="rId2613" Type="http://schemas.openxmlformats.org/officeDocument/2006/relationships/hyperlink" Target="https://lido.fi/static/Lido:Ethereum-Liquid-Staking.pdf" TargetMode="External"/><Relationship Id="rId1008" Type="http://schemas.openxmlformats.org/officeDocument/2006/relationships/hyperlink" Target="https://www.coingecko.com/pt/c%C3%A2mbios/bitget" TargetMode="External"/><Relationship Id="rId1215" Type="http://schemas.openxmlformats.org/officeDocument/2006/relationships/hyperlink" Target="https://www.coingecko.com/pt/moedas/bittorrent" TargetMode="External"/><Relationship Id="rId1422" Type="http://schemas.openxmlformats.org/officeDocument/2006/relationships/hyperlink" Target="https://support.coingecko.com/" TargetMode="External"/><Relationship Id="rId1867" Type="http://schemas.openxmlformats.org/officeDocument/2006/relationships/hyperlink" Target="https://www.coingecko.com/pt/moedas/pepe" TargetMode="External"/><Relationship Id="rId61" Type="http://schemas.openxmlformats.org/officeDocument/2006/relationships/hyperlink" Target="https://www.bybit.com/trade/spot/BTC/USDT/?affiliate_id=9763" TargetMode="External"/><Relationship Id="rId1727" Type="http://schemas.openxmlformats.org/officeDocument/2006/relationships/hyperlink" Target="https://www.coingecko.com/pt/moedas/polygon" TargetMode="External"/><Relationship Id="rId1934" Type="http://schemas.openxmlformats.org/officeDocument/2006/relationships/hyperlink" Target="https://www.coingecko.com/pt/api" TargetMode="External"/><Relationship Id="rId19" Type="http://schemas.openxmlformats.org/officeDocument/2006/relationships/hyperlink" Target="https://www.coingecko.com/learn/what-is-fully-diluted-valuation-fdv-in-crypto" TargetMode="External"/><Relationship Id="rId2196" Type="http://schemas.openxmlformats.org/officeDocument/2006/relationships/hyperlink" Target="https://www.coingecko.com/pt/cryptocurrency-heatmap" TargetMode="External"/><Relationship Id="rId168" Type="http://schemas.openxmlformats.org/officeDocument/2006/relationships/hyperlink" Target="https://www.coingecko.com/pt/candy" TargetMode="External"/><Relationship Id="rId375" Type="http://schemas.openxmlformats.org/officeDocument/2006/relationships/hyperlink" Target="https://www.coingecko.com/pt/c%C3%A2mbios/bybit_spot" TargetMode="External"/><Relationship Id="rId582" Type="http://schemas.openxmlformats.org/officeDocument/2006/relationships/hyperlink" Target="https://www.coingecko.com/pt/moedas/usdc" TargetMode="External"/><Relationship Id="rId2056" Type="http://schemas.openxmlformats.org/officeDocument/2006/relationships/hyperlink" Target="https://hackenproof.com/coingecko/coingecko" TargetMode="External"/><Relationship Id="rId2263" Type="http://schemas.openxmlformats.org/officeDocument/2006/relationships/hyperlink" Target="https://discord.com/invite/shibatoken" TargetMode="External"/><Relationship Id="rId2470" Type="http://schemas.openxmlformats.org/officeDocument/2006/relationships/hyperlink" Target="https://coinmarketcap.com/pt-br/currencies/unus-sed-leo/" TargetMode="External"/><Relationship Id="rId3" Type="http://schemas.openxmlformats.org/officeDocument/2006/relationships/hyperlink" Target="https://www.coingecko.com/pt/global-charts" TargetMode="External"/><Relationship Id="rId235" Type="http://schemas.openxmlformats.org/officeDocument/2006/relationships/hyperlink" Target="https://br.beincrypto.com/gary-gensler-misled-congress-ethereum/" TargetMode="External"/><Relationship Id="rId442" Type="http://schemas.openxmlformats.org/officeDocument/2006/relationships/hyperlink" Target="https://www.coingecko.com/pt/moedas/polygon" TargetMode="External"/><Relationship Id="rId887" Type="http://schemas.openxmlformats.org/officeDocument/2006/relationships/hyperlink" Target="https://www.coingecko.com/pt/moedas/enjin-coin" TargetMode="External"/><Relationship Id="rId1072" Type="http://schemas.openxmlformats.org/officeDocument/2006/relationships/hyperlink" Target="https://www.coingecko.com/pt/moedas/ethereum" TargetMode="External"/><Relationship Id="rId2123" Type="http://schemas.openxmlformats.org/officeDocument/2006/relationships/hyperlink" Target="https://www.coingecko.com/pt/c%C3%A2mbios/pionex" TargetMode="External"/><Relationship Id="rId2330" Type="http://schemas.openxmlformats.org/officeDocument/2006/relationships/hyperlink" Target="https://www.coingecko.com/pt/moedas/woofwork-io" TargetMode="External"/><Relationship Id="rId2568" Type="http://schemas.openxmlformats.org/officeDocument/2006/relationships/hyperlink" Target="https://coinmarketcap.com/pt-br/terms/" TargetMode="External"/><Relationship Id="rId2775" Type="http://schemas.openxmlformats.org/officeDocument/2006/relationships/hyperlink" Target="https://gcko.io/vptresd" TargetMode="External"/><Relationship Id="rId302" Type="http://schemas.openxmlformats.org/officeDocument/2006/relationships/hyperlink" Target="https://www.coingecko.com/pt/branding" TargetMode="External"/><Relationship Id="rId747" Type="http://schemas.openxmlformats.org/officeDocument/2006/relationships/hyperlink" Target="https://www.coingecko.com/pt/moedas/dione" TargetMode="External"/><Relationship Id="rId954" Type="http://schemas.openxmlformats.org/officeDocument/2006/relationships/hyperlink" Target="https://www.tiktok.com/@coingeckotv" TargetMode="External"/><Relationship Id="rId1377" Type="http://schemas.openxmlformats.org/officeDocument/2006/relationships/hyperlink" Target="https://www.coingecko.com/pt/moedas/maker" TargetMode="External"/><Relationship Id="rId1584" Type="http://schemas.openxmlformats.org/officeDocument/2006/relationships/hyperlink" Target="https://careers.coingecko.com/" TargetMode="External"/><Relationship Id="rId1791" Type="http://schemas.openxmlformats.org/officeDocument/2006/relationships/hyperlink" Target="https://twitter.com/Stacks" TargetMode="External"/><Relationship Id="rId2428" Type="http://schemas.openxmlformats.org/officeDocument/2006/relationships/hyperlink" Target="https://www.google.com/url?q=https://accounts.google.com/ServiceLogin%3Fcontinue%3Dhttps://www.google.com/search%253Fclient%253Dfirefox-b-d%2526q%253Ddollar%26hl%3Dpt-BR&amp;opi=89978449&amp;sa=U&amp;ved=0ahUKEwj_2bOd7u6FAxXSpZUCHUfnDMEQxs8CCEc&amp;usg=AOvVaw2Ihr8aS4e0uyzVYql-ThGq" TargetMode="External"/><Relationship Id="rId2635" Type="http://schemas.openxmlformats.org/officeDocument/2006/relationships/hyperlink" Target="https://www.coingecko.com/en/exchanges/lbank" TargetMode="External"/><Relationship Id="rId83" Type="http://schemas.openxmlformats.org/officeDocument/2006/relationships/hyperlink" Target="https://www.coingecko.com/pt/moedas/bitcoin/brl" TargetMode="External"/><Relationship Id="rId607" Type="http://schemas.openxmlformats.org/officeDocument/2006/relationships/hyperlink" Target="https://www.coingecko.com/pt/moedas/degen-base" TargetMode="External"/><Relationship Id="rId814" Type="http://schemas.openxmlformats.org/officeDocument/2006/relationships/hyperlink" Target="https://www.coingecko.com/pt/candy" TargetMode="External"/><Relationship Id="rId1237" Type="http://schemas.openxmlformats.org/officeDocument/2006/relationships/hyperlink" Target="https://www.coingecko.com/pt/moedas/ethereum" TargetMode="External"/><Relationship Id="rId1444" Type="http://schemas.openxmlformats.org/officeDocument/2006/relationships/hyperlink" Target="https://www.coingecko.com/pt/isen%C3%A7%C3%A3o_de_responsabilidade" TargetMode="External"/><Relationship Id="rId1651" Type="http://schemas.openxmlformats.org/officeDocument/2006/relationships/hyperlink" Target="https://www.coingecko.com/pt/c%C3%A2mbios/weex" TargetMode="External"/><Relationship Id="rId1889" Type="http://schemas.openxmlformats.org/officeDocument/2006/relationships/hyperlink" Target="https://www.coingecko.com/pt/news" TargetMode="External"/><Relationship Id="rId2702" Type="http://schemas.openxmlformats.org/officeDocument/2006/relationships/hyperlink" Target="https://www.coingecko.com/en/coins/jito" TargetMode="External"/><Relationship Id="rId1304" Type="http://schemas.openxmlformats.org/officeDocument/2006/relationships/hyperlink" Target="https://www.coingecko.com/pt/metodologia" TargetMode="External"/><Relationship Id="rId1511" Type="http://schemas.openxmlformats.org/officeDocument/2006/relationships/hyperlink" Target="https://www.cryptopolitan.com/pt/pike-finance-atingiu-1-6-milhao-no-segundo-dia-de-hack/" TargetMode="External"/><Relationship Id="rId1749" Type="http://schemas.openxmlformats.org/officeDocument/2006/relationships/hyperlink" Target="https://www.coingecko.com/pt/ad_policy" TargetMode="External"/><Relationship Id="rId1956" Type="http://schemas.openxmlformats.org/officeDocument/2006/relationships/hyperlink" Target="https://www.coingecko.com/pt/c%C3%A2mbios/binance" TargetMode="External"/><Relationship Id="rId1609" Type="http://schemas.openxmlformats.org/officeDocument/2006/relationships/hyperlink" Target="https://coingecko.app.link/lTInCXLGz4" TargetMode="External"/><Relationship Id="rId1816" Type="http://schemas.openxmlformats.org/officeDocument/2006/relationships/hyperlink" Target="https://www.coingecko.com/pt/c%C3%A2mbios/binance" TargetMode="External"/><Relationship Id="rId10" Type="http://schemas.openxmlformats.org/officeDocument/2006/relationships/hyperlink" Target="https://www.coingecko.com/pt/candy" TargetMode="External"/><Relationship Id="rId397" Type="http://schemas.openxmlformats.org/officeDocument/2006/relationships/hyperlink" Target="https://www.coingecko.com/pt/moedas/solana/eur" TargetMode="External"/><Relationship Id="rId2078" Type="http://schemas.openxmlformats.org/officeDocument/2006/relationships/hyperlink" Target="https://coingecko.app.link/lTInCXLGz4" TargetMode="External"/><Relationship Id="rId2285" Type="http://schemas.openxmlformats.org/officeDocument/2006/relationships/hyperlink" Target="https://www.coingecko.com/pt/c%C3%A2mbios/weex" TargetMode="External"/><Relationship Id="rId2492" Type="http://schemas.openxmlformats.org/officeDocument/2006/relationships/hyperlink" Target="https://coinmarketcap.com/pt-br/currencies/synthetix/" TargetMode="External"/><Relationship Id="rId257" Type="http://schemas.openxmlformats.org/officeDocument/2006/relationships/hyperlink" Target="https://www.coingecko.com/pt/moedas/solana" TargetMode="External"/><Relationship Id="rId464" Type="http://schemas.openxmlformats.org/officeDocument/2006/relationships/hyperlink" Target="https://www.coingecko.com/pt/privacidade" TargetMode="External"/><Relationship Id="rId1094" Type="http://schemas.openxmlformats.org/officeDocument/2006/relationships/hyperlink" Target="https://www.coingecko.com/pt/candy/partners-getting-started" TargetMode="External"/><Relationship Id="rId2145" Type="http://schemas.openxmlformats.org/officeDocument/2006/relationships/hyperlink" Target="https://www.coingecko.com/pt/moedas/dogwifhat/eur" TargetMode="External"/><Relationship Id="rId2797" Type="http://schemas.openxmlformats.org/officeDocument/2006/relationships/queryTable" Target="../queryTables/queryTable18.xml"/><Relationship Id="rId117" Type="http://schemas.openxmlformats.org/officeDocument/2006/relationships/hyperlink" Target="https://www.coingecko.com/pt/moedas/degen-base" TargetMode="External"/><Relationship Id="rId671" Type="http://schemas.openxmlformats.org/officeDocument/2006/relationships/hyperlink" Target="https://www.geckoterminal.com/ronin/tokens/0xe514d9deb7966c8be0ca922de8a064264ea6bcd4?utm_source=coingecko&amp;utm_medium=referral&amp;utm_campaign=livechart-btn" TargetMode="External"/><Relationship Id="rId769" Type="http://schemas.openxmlformats.org/officeDocument/2006/relationships/hyperlink" Target="https://www.coingecko.com/pt/moedas/dymension" TargetMode="External"/><Relationship Id="rId976" Type="http://schemas.openxmlformats.org/officeDocument/2006/relationships/hyperlink" Target="https://www.coingecko.com/pt/metodologia" TargetMode="External"/><Relationship Id="rId1399" Type="http://schemas.openxmlformats.org/officeDocument/2006/relationships/hyperlink" Target="https://www.coingecko.com/pt/moedas/ethereum" TargetMode="External"/><Relationship Id="rId2352" Type="http://schemas.openxmlformats.org/officeDocument/2006/relationships/hyperlink" Target="https://www.coingecko.com/pt/moedas/wormhole" TargetMode="External"/><Relationship Id="rId2657" Type="http://schemas.openxmlformats.org/officeDocument/2006/relationships/hyperlink" Target="https://beincrypto.com/altcoin-holders-are-losing-money/" TargetMode="External"/><Relationship Id="rId324" Type="http://schemas.openxmlformats.org/officeDocument/2006/relationships/hyperlink" Target="https://coingecko.app.link/lTInCXLGz4" TargetMode="External"/><Relationship Id="rId531" Type="http://schemas.openxmlformats.org/officeDocument/2006/relationships/hyperlink" Target="https://www.coingecko.com/pt/c%C3%A2mbios/gate-io" TargetMode="External"/><Relationship Id="rId629" Type="http://schemas.openxmlformats.org/officeDocument/2006/relationships/hyperlink" Target="https://www.coingecko.com/pt/api" TargetMode="External"/><Relationship Id="rId1161" Type="http://schemas.openxmlformats.org/officeDocument/2006/relationships/hyperlink" Target="https://crypto.com/exchange/trade/spot/MATIC_USD" TargetMode="External"/><Relationship Id="rId1259" Type="http://schemas.openxmlformats.org/officeDocument/2006/relationships/hyperlink" Target="https://gcko.io/coingeckoads" TargetMode="External"/><Relationship Id="rId1466" Type="http://schemas.openxmlformats.org/officeDocument/2006/relationships/hyperlink" Target="https://www.coingecko.com/pt/metodologia" TargetMode="External"/><Relationship Id="rId2005" Type="http://schemas.openxmlformats.org/officeDocument/2006/relationships/hyperlink" Target="https://www.coingecko.com/pt/moedas/grok-2" TargetMode="External"/><Relationship Id="rId2212" Type="http://schemas.openxmlformats.org/officeDocument/2006/relationships/hyperlink" Target="https://www.coingecko.com/pt/privacidade" TargetMode="External"/><Relationship Id="rId836" Type="http://schemas.openxmlformats.org/officeDocument/2006/relationships/hyperlink" Target="https://www.coingecko.com/pt/categories/ethereum-ecosystem" TargetMode="External"/><Relationship Id="rId1021" Type="http://schemas.openxmlformats.org/officeDocument/2006/relationships/hyperlink" Target="https://www.coingecko.com/pt/c%C3%A2mbios/htx" TargetMode="External"/><Relationship Id="rId1119" Type="http://schemas.openxmlformats.org/officeDocument/2006/relationships/hyperlink" Target="https://www.coingecko.com/pt" TargetMode="External"/><Relationship Id="rId1673" Type="http://schemas.openxmlformats.org/officeDocument/2006/relationships/hyperlink" Target="https://www.deepcoin.com/en/Spot?currentId=RNDR&amp;iu=9166912" TargetMode="External"/><Relationship Id="rId1880" Type="http://schemas.openxmlformats.org/officeDocument/2006/relationships/hyperlink" Target="https://www.coingecko.com/pt/moedas/wormhole" TargetMode="External"/><Relationship Id="rId1978" Type="http://schemas.openxmlformats.org/officeDocument/2006/relationships/hyperlink" Target="https://www.coingecko.com/pt/c%C3%A2mbios/okx" TargetMode="External"/><Relationship Id="rId2517" Type="http://schemas.openxmlformats.org/officeDocument/2006/relationships/hyperlink" Target="https://coinmarketcap.com/pt-br/currencies/vps-ai/" TargetMode="External"/><Relationship Id="rId2724" Type="http://schemas.openxmlformats.org/officeDocument/2006/relationships/hyperlink" Target="https://www.coingecko.com/en/coins/ethereum" TargetMode="External"/><Relationship Id="rId903" Type="http://schemas.openxmlformats.org/officeDocument/2006/relationships/hyperlink" Target="https://www.coingecko.com/pt/moedas/pepe" TargetMode="External"/><Relationship Id="rId1326" Type="http://schemas.openxmlformats.org/officeDocument/2006/relationships/hyperlink" Target="https://www.coingecko.com/pt/c%C3%A2mbios/mexc" TargetMode="External"/><Relationship Id="rId1533" Type="http://schemas.openxmlformats.org/officeDocument/2006/relationships/hyperlink" Target="https://www.coingecko.com/pt/moedas/starknet" TargetMode="External"/><Relationship Id="rId1740" Type="http://schemas.openxmlformats.org/officeDocument/2006/relationships/hyperlink" Target="https://www.coingecko.com/pt/sobre" TargetMode="External"/><Relationship Id="rId32" Type="http://schemas.openxmlformats.org/officeDocument/2006/relationships/hyperlink" Target="https://github.com/bitcoin" TargetMode="External"/><Relationship Id="rId1600" Type="http://schemas.openxmlformats.org/officeDocument/2006/relationships/hyperlink" Target="https://www.youtube.com/channel/UC-OTgwOAI7KmP0eDAtqN3Ow?sub_confirmation=1" TargetMode="External"/><Relationship Id="rId1838" Type="http://schemas.openxmlformats.org/officeDocument/2006/relationships/hyperlink" Target="https://www.coingecko.com/pt/moedas/stacks/usd" TargetMode="External"/><Relationship Id="rId181" Type="http://schemas.openxmlformats.org/officeDocument/2006/relationships/hyperlink" Target="https://www.coingecko.com/pt/metodologia" TargetMode="External"/><Relationship Id="rId1905" Type="http://schemas.openxmlformats.org/officeDocument/2006/relationships/hyperlink" Target="https://www.coingecko.com/pt/isen%C3%A7%C3%A3o_de_responsabilidade" TargetMode="External"/><Relationship Id="rId279" Type="http://schemas.openxmlformats.org/officeDocument/2006/relationships/hyperlink" Target="https://www.coingecko.com/pt/moedas/pepe" TargetMode="External"/><Relationship Id="rId486" Type="http://schemas.openxmlformats.org/officeDocument/2006/relationships/hyperlink" Target="https://www.coingecko.com/pt/candy" TargetMode="External"/><Relationship Id="rId693" Type="http://schemas.openxmlformats.org/officeDocument/2006/relationships/hyperlink" Target="https://www.binance.com/en/trade/RONIN_USDT?ref=37754157" TargetMode="External"/><Relationship Id="rId2167" Type="http://schemas.openxmlformats.org/officeDocument/2006/relationships/hyperlink" Target="https://www.coingecko.com/pt/moedas/dione" TargetMode="External"/><Relationship Id="rId2374" Type="http://schemas.openxmlformats.org/officeDocument/2006/relationships/hyperlink" Target="https://www.coingecko.com/pt/sobre" TargetMode="External"/><Relationship Id="rId2581" Type="http://schemas.openxmlformats.org/officeDocument/2006/relationships/hyperlink" Target="https://t.me/CoinMarketCapAnnouncements" TargetMode="External"/><Relationship Id="rId139" Type="http://schemas.openxmlformats.org/officeDocument/2006/relationships/hyperlink" Target="https://www.coingecko.com/pt/faq" TargetMode="External"/><Relationship Id="rId346" Type="http://schemas.openxmlformats.org/officeDocument/2006/relationships/hyperlink" Target="https://t.me/solana" TargetMode="External"/><Relationship Id="rId553" Type="http://schemas.openxmlformats.org/officeDocument/2006/relationships/hyperlink" Target="https://www.coingecko.com/pt/c%C3%A2mbios/binance" TargetMode="External"/><Relationship Id="rId760" Type="http://schemas.openxmlformats.org/officeDocument/2006/relationships/hyperlink" Target="https://www.coingecko.com/pt/moedas/wormhole" TargetMode="External"/><Relationship Id="rId998" Type="http://schemas.openxmlformats.org/officeDocument/2006/relationships/hyperlink" Target="https://www.mexc.com/exchange/GALA_USDT?inviteCode=1498J" TargetMode="External"/><Relationship Id="rId1183" Type="http://schemas.openxmlformats.org/officeDocument/2006/relationships/hyperlink" Target="https://www.coingecko.com/pt/c%C3%A2mbios/crypto_com" TargetMode="External"/><Relationship Id="rId1390" Type="http://schemas.openxmlformats.org/officeDocument/2006/relationships/hyperlink" Target="https://www.coingecko.com/pt/moedas/bitcoin" TargetMode="External"/><Relationship Id="rId2027" Type="http://schemas.openxmlformats.org/officeDocument/2006/relationships/hyperlink" Target="https://www.coingecko.com/pt/moedas/pixels" TargetMode="External"/><Relationship Id="rId2234" Type="http://schemas.openxmlformats.org/officeDocument/2006/relationships/hyperlink" Target="https://www.coingecko.com/pt/candy" TargetMode="External"/><Relationship Id="rId2441" Type="http://schemas.openxmlformats.org/officeDocument/2006/relationships/hyperlink" Target="https://coinmarketcap.com/pt-br/" TargetMode="External"/><Relationship Id="rId2679" Type="http://schemas.openxmlformats.org/officeDocument/2006/relationships/hyperlink" Target="https://www.coingecko.com/research/publications/ethereum-staking-statistics" TargetMode="External"/><Relationship Id="rId206" Type="http://schemas.openxmlformats.org/officeDocument/2006/relationships/hyperlink" Target="https://www.coingecko.com/pt/c%C3%A2mbios/toobit" TargetMode="External"/><Relationship Id="rId413" Type="http://schemas.openxmlformats.org/officeDocument/2006/relationships/hyperlink" Target="https://www.coingecko.com/pt/moedas/dogwifhat" TargetMode="External"/><Relationship Id="rId858" Type="http://schemas.openxmlformats.org/officeDocument/2006/relationships/hyperlink" Target="https://www.coingecko.com/pt/c%C3%A2mbios/slex" TargetMode="External"/><Relationship Id="rId1043" Type="http://schemas.openxmlformats.org/officeDocument/2006/relationships/hyperlink" Target="https://www.coingecko.com/pt/moedas/portal" TargetMode="External"/><Relationship Id="rId1488" Type="http://schemas.openxmlformats.org/officeDocument/2006/relationships/hyperlink" Target="https://www.coingecko.com/pt/c%C3%A2mbios/digifinex" TargetMode="External"/><Relationship Id="rId1695" Type="http://schemas.openxmlformats.org/officeDocument/2006/relationships/hyperlink" Target="https://www.coingecko.com/pt/moedas/decentraland" TargetMode="External"/><Relationship Id="rId2539" Type="http://schemas.openxmlformats.org/officeDocument/2006/relationships/hyperlink" Target="https://coinmarketcap.com/pt-br/currencies/dogecoin/" TargetMode="External"/><Relationship Id="rId2746" Type="http://schemas.openxmlformats.org/officeDocument/2006/relationships/hyperlink" Target="https://www.coingecko.com/en/api" TargetMode="External"/><Relationship Id="rId620" Type="http://schemas.openxmlformats.org/officeDocument/2006/relationships/hyperlink" Target="https://www.coingecko.com/pt/moedas/pendle" TargetMode="External"/><Relationship Id="rId718" Type="http://schemas.openxmlformats.org/officeDocument/2006/relationships/hyperlink" Target="https://www.criptofacil.com/ronin-e-sky-mavis-recebem-mais-um-jogo-na-rede-propria/" TargetMode="External"/><Relationship Id="rId925" Type="http://schemas.openxmlformats.org/officeDocument/2006/relationships/hyperlink" Target="https://www.coingecko.com/pt" TargetMode="External"/><Relationship Id="rId1250" Type="http://schemas.openxmlformats.org/officeDocument/2006/relationships/hyperlink" Target="https://www.coingecko.com/pt/moedas/pendle" TargetMode="External"/><Relationship Id="rId1348" Type="http://schemas.openxmlformats.org/officeDocument/2006/relationships/hyperlink" Target="https://www.coingecko.com/pt/c%C3%A2mbios/bitrue" TargetMode="External"/><Relationship Id="rId1555" Type="http://schemas.openxmlformats.org/officeDocument/2006/relationships/hyperlink" Target="https://www.coingecko.com/pt/moedas/pepe" TargetMode="External"/><Relationship Id="rId1762" Type="http://schemas.openxmlformats.org/officeDocument/2006/relationships/hyperlink" Target="https://www.coingecko.com/pt/c%C3%A2mbios" TargetMode="External"/><Relationship Id="rId2301" Type="http://schemas.openxmlformats.org/officeDocument/2006/relationships/hyperlink" Target="https://www.criptofacil.com/previsao-de-preco-das-3-principais-memecoins-dogecoin-shiba-inu-e-bonk/" TargetMode="External"/><Relationship Id="rId2606" Type="http://schemas.openxmlformats.org/officeDocument/2006/relationships/hyperlink" Target="https://www.coingecko.com/learn/what-is-fully-diluted-valuation-fdv-in-crypto" TargetMode="External"/><Relationship Id="rId1110" Type="http://schemas.openxmlformats.org/officeDocument/2006/relationships/hyperlink" Target="https://t.me/coingeckonews" TargetMode="External"/><Relationship Id="rId1208" Type="http://schemas.openxmlformats.org/officeDocument/2006/relationships/hyperlink" Target="https://www.coingecko.com/pt/moedas/injective" TargetMode="External"/><Relationship Id="rId1415" Type="http://schemas.openxmlformats.org/officeDocument/2006/relationships/hyperlink" Target="https://www.coingecko.com/pt/news" TargetMode="External"/><Relationship Id="rId54" Type="http://schemas.openxmlformats.org/officeDocument/2006/relationships/hyperlink" Target="https://www.coingecko.com/pt/c%C3%A2mbios/binance" TargetMode="External"/><Relationship Id="rId1622" Type="http://schemas.openxmlformats.org/officeDocument/2006/relationships/hyperlink" Target="https://www.coingecko.com/learn/what-is-fully-diluted-valuation-fdv-in-crypto" TargetMode="External"/><Relationship Id="rId1927" Type="http://schemas.openxmlformats.org/officeDocument/2006/relationships/hyperlink" Target="https://www.coingecko.com/pt/candy" TargetMode="External"/><Relationship Id="rId2091" Type="http://schemas.openxmlformats.org/officeDocument/2006/relationships/hyperlink" Target="https://www.coingecko.com/pt" TargetMode="External"/><Relationship Id="rId2189" Type="http://schemas.openxmlformats.org/officeDocument/2006/relationships/hyperlink" Target="https://www.coingecko.com/pt/moedas/ondo" TargetMode="External"/><Relationship Id="rId270" Type="http://schemas.openxmlformats.org/officeDocument/2006/relationships/hyperlink" Target="https://www.coingecko.com/pt/moedas/ethereum" TargetMode="External"/><Relationship Id="rId2396" Type="http://schemas.openxmlformats.org/officeDocument/2006/relationships/hyperlink" Target="https://www.google.com/search?q=dollar&amp;client=firefox-b-d&amp;sca_esv=8f14c8c94b33adc6&amp;sca_upv=1&amp;ie=UTF-8&amp;tbm=nws&amp;source=lnms&amp;sa=X&amp;ved=0ahUKEwj_2bOd7u6FAxXSpZUCHUfnDMEQ_AUIBSgB" TargetMode="External"/><Relationship Id="rId130" Type="http://schemas.openxmlformats.org/officeDocument/2006/relationships/hyperlink" Target="https://www.coingecko.com/pt/news" TargetMode="External"/><Relationship Id="rId368" Type="http://schemas.openxmlformats.org/officeDocument/2006/relationships/hyperlink" Target="https://www.digifinex.com/en-ww/trade/USDT/SOL" TargetMode="External"/><Relationship Id="rId575" Type="http://schemas.openxmlformats.org/officeDocument/2006/relationships/hyperlink" Target="https://www.coingecko.com/pt/moedas/chainlink/usd" TargetMode="External"/><Relationship Id="rId782" Type="http://schemas.openxmlformats.org/officeDocument/2006/relationships/hyperlink" Target="https://hackenproof.com/coingecko/coingecko" TargetMode="External"/><Relationship Id="rId2049" Type="http://schemas.openxmlformats.org/officeDocument/2006/relationships/hyperlink" Target="https://www.coingecko.com/pt/public-companies-bitcoin" TargetMode="External"/><Relationship Id="rId2256" Type="http://schemas.openxmlformats.org/officeDocument/2006/relationships/hyperlink" Target="https://etherscan.io/token/0x95ad61b0a150d79219dcf64e1e6cc01f0b64c4ce?a=0x8B3192f5eEBD8579568A2Ed41E6FEB402f93f73F" TargetMode="External"/><Relationship Id="rId2463" Type="http://schemas.openxmlformats.org/officeDocument/2006/relationships/hyperlink" Target="https://coinmarketcap.com/pt-br/currencies/ethereum/" TargetMode="External"/><Relationship Id="rId2670" Type="http://schemas.openxmlformats.org/officeDocument/2006/relationships/hyperlink" Target="https://www.coingecko.com/learn/what-is-blast-crypto-l2-optimistic-rollup" TargetMode="External"/><Relationship Id="rId228" Type="http://schemas.openxmlformats.org/officeDocument/2006/relationships/hyperlink" Target="https://www.criptofacil.com/uniswap-domina-entre-as-layer-2-com-37-do-volume-de-negociacoes/" TargetMode="External"/><Relationship Id="rId435" Type="http://schemas.openxmlformats.org/officeDocument/2006/relationships/hyperlink" Target="https://www.coingecko.com/pt/moedas/pepe" TargetMode="External"/><Relationship Id="rId642" Type="http://schemas.openxmlformats.org/officeDocument/2006/relationships/hyperlink" Target="https://www.coingecko.com/pt/isen%C3%A7%C3%A3o_de_responsabilidade" TargetMode="External"/><Relationship Id="rId1065" Type="http://schemas.openxmlformats.org/officeDocument/2006/relationships/hyperlink" Target="https://www.coingecko.com/pt/moedas/pixels" TargetMode="External"/><Relationship Id="rId1272" Type="http://schemas.openxmlformats.org/officeDocument/2006/relationships/hyperlink" Target="https://www.coingecko.com/pt/privacidade" TargetMode="External"/><Relationship Id="rId2116" Type="http://schemas.openxmlformats.org/officeDocument/2006/relationships/hyperlink" Target="https://bingx.com/en-us/spot/WIFUSDT?ch=cgk_organic" TargetMode="External"/><Relationship Id="rId2323" Type="http://schemas.openxmlformats.org/officeDocument/2006/relationships/hyperlink" Target="https://www.coingecko.com/pt/moedas/doge-killer" TargetMode="External"/><Relationship Id="rId2530" Type="http://schemas.openxmlformats.org/officeDocument/2006/relationships/hyperlink" Target="https://coinmarketcap.com/pt-br/currencies/super-trump-io/" TargetMode="External"/><Relationship Id="rId2768" Type="http://schemas.openxmlformats.org/officeDocument/2006/relationships/hyperlink" Target="https://discord.gg/EhrkaCH" TargetMode="External"/><Relationship Id="rId502" Type="http://schemas.openxmlformats.org/officeDocument/2006/relationships/hyperlink" Target="https://etherscan.io/token/0x514910771af9ca656af840dff83e8264ecf986ca?a=0xa42D0A18B834F52e41bEDdEaA2940165db3DA9a3" TargetMode="External"/><Relationship Id="rId947" Type="http://schemas.openxmlformats.org/officeDocument/2006/relationships/hyperlink" Target="https://t.me/coingecko" TargetMode="External"/><Relationship Id="rId1132" Type="http://schemas.openxmlformats.org/officeDocument/2006/relationships/hyperlink" Target="https://www.coingecko.com/pt/metodologia" TargetMode="External"/><Relationship Id="rId1577" Type="http://schemas.openxmlformats.org/officeDocument/2006/relationships/hyperlink" Target="https://www.coingecko.com/request" TargetMode="External"/><Relationship Id="rId1784" Type="http://schemas.openxmlformats.org/officeDocument/2006/relationships/hyperlink" Target="https://forms.gle/ULNnnCGCEAimK9cJ7" TargetMode="External"/><Relationship Id="rId1991" Type="http://schemas.openxmlformats.org/officeDocument/2006/relationships/hyperlink" Target="https://br.beincrypto.com/dogecoin-pepe-optimism-e-mais-5-criptomoedas-para-ficar-de-olho-hoje/" TargetMode="External"/><Relationship Id="rId2628" Type="http://schemas.openxmlformats.org/officeDocument/2006/relationships/hyperlink" Target="https://www.coingecko.com/en/exchanges/mexc" TargetMode="External"/><Relationship Id="rId76" Type="http://schemas.openxmlformats.org/officeDocument/2006/relationships/hyperlink" Target="https://portaldobitcoin.uol.com.br/governo-dos-eua-esta-investigando-jack-dorsey-por-negocios-com-bitcoin/" TargetMode="External"/><Relationship Id="rId807" Type="http://schemas.openxmlformats.org/officeDocument/2006/relationships/hyperlink" Target="https://www.coingecko.com/pt/global-charts" TargetMode="External"/><Relationship Id="rId1437" Type="http://schemas.openxmlformats.org/officeDocument/2006/relationships/hyperlink" Target="https://t.me/coingeckonews" TargetMode="External"/><Relationship Id="rId1644" Type="http://schemas.openxmlformats.org/officeDocument/2006/relationships/hyperlink" Target="https://www.coingecko.com/pt/c%C3%A2mbios/gate-io" TargetMode="External"/><Relationship Id="rId1851" Type="http://schemas.openxmlformats.org/officeDocument/2006/relationships/hyperlink" Target="https://www.coingecko.com/pt/moedas/bitcoin" TargetMode="External"/><Relationship Id="rId1504" Type="http://schemas.openxmlformats.org/officeDocument/2006/relationships/hyperlink" Target="https://www.orangex.com/spot/ARB-USDT-SPOT" TargetMode="External"/><Relationship Id="rId1711" Type="http://schemas.openxmlformats.org/officeDocument/2006/relationships/hyperlink" Target="https://www.coingecko.com/pt/moedas/pepe" TargetMode="External"/><Relationship Id="rId1949" Type="http://schemas.openxmlformats.org/officeDocument/2006/relationships/hyperlink" Target="https://twitter.com/search?q=$DOGE" TargetMode="External"/><Relationship Id="rId292" Type="http://schemas.openxmlformats.org/officeDocument/2006/relationships/hyperlink" Target="https://www.coingecko.com/request" TargetMode="External"/><Relationship Id="rId1809" Type="http://schemas.openxmlformats.org/officeDocument/2006/relationships/hyperlink" Target="https://www.coingecko.com/pt/c%C3%A2mbios/digifinex" TargetMode="External"/><Relationship Id="rId597" Type="http://schemas.openxmlformats.org/officeDocument/2006/relationships/hyperlink" Target="https://www.coingecko.com/pt/moedas/solana" TargetMode="External"/><Relationship Id="rId2180" Type="http://schemas.openxmlformats.org/officeDocument/2006/relationships/hyperlink" Target="https://www.coingecko.com/pt/moedas/pixels" TargetMode="External"/><Relationship Id="rId2278" Type="http://schemas.openxmlformats.org/officeDocument/2006/relationships/hyperlink" Target="https://www.coingecko.com/pt/c%C3%A2mbios/mexc" TargetMode="External"/><Relationship Id="rId2485" Type="http://schemas.openxmlformats.org/officeDocument/2006/relationships/hyperlink" Target="https://coinmarketcap.com/pt-br/currencies/maker/" TargetMode="External"/><Relationship Id="rId152" Type="http://schemas.openxmlformats.org/officeDocument/2006/relationships/hyperlink" Target="https://t.me/coingeckonews" TargetMode="External"/><Relationship Id="rId457" Type="http://schemas.openxmlformats.org/officeDocument/2006/relationships/hyperlink" Target="https://careers.coingecko.com/" TargetMode="External"/><Relationship Id="rId1087" Type="http://schemas.openxmlformats.org/officeDocument/2006/relationships/hyperlink" Target="https://www.coingecko.com/pt" TargetMode="External"/><Relationship Id="rId1294" Type="http://schemas.openxmlformats.org/officeDocument/2006/relationships/hyperlink" Target="https://www.coingecko.com/pt/candy" TargetMode="External"/><Relationship Id="rId2040" Type="http://schemas.openxmlformats.org/officeDocument/2006/relationships/hyperlink" Target="https://www.coingecko.com/pt/moedas/aerodrome-finance" TargetMode="External"/><Relationship Id="rId2138" Type="http://schemas.openxmlformats.org/officeDocument/2006/relationships/hyperlink" Target="https://br.beincrypto.com/altcoins-para-ficar-de-olho-em-maio/" TargetMode="External"/><Relationship Id="rId2692" Type="http://schemas.openxmlformats.org/officeDocument/2006/relationships/hyperlink" Target="https://www.coingecko.com/en/coins/lido-dao/gbp" TargetMode="External"/><Relationship Id="rId664" Type="http://schemas.openxmlformats.org/officeDocument/2006/relationships/hyperlink" Target="https://www.coingecko.com/pt/candy" TargetMode="External"/><Relationship Id="rId871" Type="http://schemas.openxmlformats.org/officeDocument/2006/relationships/hyperlink" Target="https://www.criptofacil.com/immutable-programa-de-recompensas-oferece-us-50-mil-para-jogadores/" TargetMode="External"/><Relationship Id="rId969" Type="http://schemas.openxmlformats.org/officeDocument/2006/relationships/hyperlink" Target="https://www.coingecko.com/pt" TargetMode="External"/><Relationship Id="rId1599" Type="http://schemas.openxmlformats.org/officeDocument/2006/relationships/hyperlink" Target="https://www.facebook.com/coingecko" TargetMode="External"/><Relationship Id="rId2345" Type="http://schemas.openxmlformats.org/officeDocument/2006/relationships/hyperlink" Target="https://www.coingecko.com/pt/moedas/pepe" TargetMode="External"/><Relationship Id="rId2552" Type="http://schemas.openxmlformats.org/officeDocument/2006/relationships/hyperlink" Target="https://coinmarketcap.com/pt-br/currencies/bitcoin/" TargetMode="External"/><Relationship Id="rId317" Type="http://schemas.openxmlformats.org/officeDocument/2006/relationships/hyperlink" Target="https://www.coingecko.com/pt/isen%C3%A7%C3%A3o_de_responsabilidade" TargetMode="External"/><Relationship Id="rId524" Type="http://schemas.openxmlformats.org/officeDocument/2006/relationships/hyperlink" Target="https://twitter.com/chainlink" TargetMode="External"/><Relationship Id="rId731" Type="http://schemas.openxmlformats.org/officeDocument/2006/relationships/hyperlink" Target="https://www.coingecko.com/pt/moedas/meter-governance" TargetMode="External"/><Relationship Id="rId1154" Type="http://schemas.openxmlformats.org/officeDocument/2006/relationships/hyperlink" Target="https://twitter.com/search?q=$MATIC" TargetMode="External"/><Relationship Id="rId1361" Type="http://schemas.openxmlformats.org/officeDocument/2006/relationships/hyperlink" Target="https://br.beincrypto.com/altcoins-formaram-fundo-e-estao-prontas-para-bull-run/" TargetMode="External"/><Relationship Id="rId1459" Type="http://schemas.openxmlformats.org/officeDocument/2006/relationships/hyperlink" Target="https://www.coingecko.com/pt/metodologia" TargetMode="External"/><Relationship Id="rId2205" Type="http://schemas.openxmlformats.org/officeDocument/2006/relationships/hyperlink" Target="https://careers.coingecko.com/" TargetMode="External"/><Relationship Id="rId2412" Type="http://schemas.openxmlformats.org/officeDocument/2006/relationships/hyperlink" Target="https://www.google.com/search?client=firefox-b-d&amp;sca_esv=8f14c8c94b33adc6&amp;sca_upv=1&amp;ie=UTF-8&amp;q=d%C3%B3lar+real&amp;sa=X&amp;ved=2ahUKEwj_2bOd7u6FAxXSpZUCHUfnDMEQ1QJ6BAgAEAI" TargetMode="External"/><Relationship Id="rId98" Type="http://schemas.openxmlformats.org/officeDocument/2006/relationships/hyperlink" Target="https://www.coingecko.com/pt/moedas/cardano" TargetMode="External"/><Relationship Id="rId829" Type="http://schemas.openxmlformats.org/officeDocument/2006/relationships/hyperlink" Target="https://imx.community/" TargetMode="External"/><Relationship Id="rId1014" Type="http://schemas.openxmlformats.org/officeDocument/2006/relationships/hyperlink" Target="https://www.coingecko.com/pt/c%C3%A2mbios/crypto_com" TargetMode="External"/><Relationship Id="rId1221" Type="http://schemas.openxmlformats.org/officeDocument/2006/relationships/hyperlink" Target="https://www.coingecko.com/pt/moedas/axie-infinity" TargetMode="External"/><Relationship Id="rId1666" Type="http://schemas.openxmlformats.org/officeDocument/2006/relationships/hyperlink" Target="https://www.coingecko.com/pt/c%C3%A2mbios/bingx" TargetMode="External"/><Relationship Id="rId1873" Type="http://schemas.openxmlformats.org/officeDocument/2006/relationships/hyperlink" Target="https://www.coingecko.com/pt/moedas/bitcoin" TargetMode="External"/><Relationship Id="rId2717" Type="http://schemas.openxmlformats.org/officeDocument/2006/relationships/hyperlink" Target="https://www.coingecko.com/en/coins/dione" TargetMode="External"/><Relationship Id="rId1319" Type="http://schemas.openxmlformats.org/officeDocument/2006/relationships/hyperlink" Target="https://www.coingecko.com/pt/categories/paradigm-portfolio" TargetMode="External"/><Relationship Id="rId1526" Type="http://schemas.openxmlformats.org/officeDocument/2006/relationships/hyperlink" Target="https://www.coingecko.com/pt/moedas/arbitrum/brl" TargetMode="External"/><Relationship Id="rId1733" Type="http://schemas.openxmlformats.org/officeDocument/2006/relationships/hyperlink" Target="https://www.coingecko.com/pt/api" TargetMode="External"/><Relationship Id="rId1940" Type="http://schemas.openxmlformats.org/officeDocument/2006/relationships/hyperlink" Target="https://www.coingecko.com/pt/metodologia" TargetMode="External"/><Relationship Id="rId25" Type="http://schemas.openxmlformats.org/officeDocument/2006/relationships/hyperlink" Target="https://bitcoin.org/bitcoin.pdf" TargetMode="External"/><Relationship Id="rId1800" Type="http://schemas.openxmlformats.org/officeDocument/2006/relationships/hyperlink" Target="https://www.coingecko.com/pt/c%C3%A2mbios/gate-io" TargetMode="External"/><Relationship Id="rId174" Type="http://schemas.openxmlformats.org/officeDocument/2006/relationships/hyperlink" Target="https://www.coingecko.com/pt/metodologia" TargetMode="External"/><Relationship Id="rId381" Type="http://schemas.openxmlformats.org/officeDocument/2006/relationships/hyperlink" Target="https://br.beincrypto.com/fundacao-fantom-memecoin-promove-seguranca-etica/" TargetMode="External"/><Relationship Id="rId2062" Type="http://schemas.openxmlformats.org/officeDocument/2006/relationships/hyperlink" Target="https://www.coingecko.com/pt/branding" TargetMode="External"/><Relationship Id="rId241" Type="http://schemas.openxmlformats.org/officeDocument/2006/relationships/hyperlink" Target="https://www.coingecko.com/pt/moedas/ethereum/brl" TargetMode="External"/><Relationship Id="rId479" Type="http://schemas.openxmlformats.org/officeDocument/2006/relationships/hyperlink" Target="https://www.coingecko.com/pt/global-charts" TargetMode="External"/><Relationship Id="rId686" Type="http://schemas.openxmlformats.org/officeDocument/2006/relationships/hyperlink" Target="https://www.coingecko.com/pt/categories/ronin-ecosystem" TargetMode="External"/><Relationship Id="rId893" Type="http://schemas.openxmlformats.org/officeDocument/2006/relationships/hyperlink" Target="https://www.coingecko.com/pt/moedas/wax" TargetMode="External"/><Relationship Id="rId2367" Type="http://schemas.openxmlformats.org/officeDocument/2006/relationships/hyperlink" Target="https://www.coingecko.com/pt/api" TargetMode="External"/><Relationship Id="rId2574" Type="http://schemas.openxmlformats.org/officeDocument/2006/relationships/hyperlink" Target="https://coinmarketcap.com/jobs/" TargetMode="External"/><Relationship Id="rId2781" Type="http://schemas.openxmlformats.org/officeDocument/2006/relationships/queryTable" Target="../queryTables/queryTable2.xml"/><Relationship Id="rId339" Type="http://schemas.openxmlformats.org/officeDocument/2006/relationships/hyperlink" Target="https://www.coingecko.com/pt/metodologia" TargetMode="External"/><Relationship Id="rId546" Type="http://schemas.openxmlformats.org/officeDocument/2006/relationships/hyperlink" Target="https://www.coingecko.com/pt/c%C3%A2mbios/whitebit" TargetMode="External"/><Relationship Id="rId753" Type="http://schemas.openxmlformats.org/officeDocument/2006/relationships/hyperlink" Target="https://www.coingecko.com/pt/moedas/bitcoin" TargetMode="External"/><Relationship Id="rId1176" Type="http://schemas.openxmlformats.org/officeDocument/2006/relationships/hyperlink" Target="https://azbit.com/exchange/MATIC_USDT?referralCode=OH5QDS1?referralCode=OH5QDS1" TargetMode="External"/><Relationship Id="rId1383" Type="http://schemas.openxmlformats.org/officeDocument/2006/relationships/hyperlink" Target="https://www.coingecko.com/pt/moedas/ribbon-finance" TargetMode="External"/><Relationship Id="rId2227" Type="http://schemas.openxmlformats.org/officeDocument/2006/relationships/hyperlink" Target="https://www.coingecko.com/pt/global-charts" TargetMode="External"/><Relationship Id="rId2434" Type="http://schemas.openxmlformats.org/officeDocument/2006/relationships/hyperlink" Target="https://coinmarketcap.com/pt-br/charts/" TargetMode="External"/><Relationship Id="rId101" Type="http://schemas.openxmlformats.org/officeDocument/2006/relationships/hyperlink" Target="https://www.coingecko.com/pt/moedas/solana" TargetMode="External"/><Relationship Id="rId406" Type="http://schemas.openxmlformats.org/officeDocument/2006/relationships/hyperlink" Target="https://www.coingecko.com/pt/moedas/chainlink" TargetMode="External"/><Relationship Id="rId960" Type="http://schemas.openxmlformats.org/officeDocument/2006/relationships/hyperlink" Target="https://www.coingecko.com/pt/global-charts" TargetMode="External"/><Relationship Id="rId1036" Type="http://schemas.openxmlformats.org/officeDocument/2006/relationships/hyperlink" Target="https://www.coingecko.com/pt/moedas/gala/usd" TargetMode="External"/><Relationship Id="rId1243" Type="http://schemas.openxmlformats.org/officeDocument/2006/relationships/hyperlink" Target="https://www.coingecko.com/pt/moedas/degen-base" TargetMode="External"/><Relationship Id="rId1590" Type="http://schemas.openxmlformats.org/officeDocument/2006/relationships/hyperlink" Target="https://www.coingecko.com/pt/termos" TargetMode="External"/><Relationship Id="rId1688" Type="http://schemas.openxmlformats.org/officeDocument/2006/relationships/hyperlink" Target="https://www.coingecko.com/pt/moedas/axie-infinity" TargetMode="External"/><Relationship Id="rId1895" Type="http://schemas.openxmlformats.org/officeDocument/2006/relationships/hyperlink" Target="https://www.coingecko.com/pt/candy/partners-getting-started" TargetMode="External"/><Relationship Id="rId2641" Type="http://schemas.openxmlformats.org/officeDocument/2006/relationships/hyperlink" Target="https://www.coingecko.com/en/exchanges/binance" TargetMode="External"/><Relationship Id="rId2739" Type="http://schemas.openxmlformats.org/officeDocument/2006/relationships/hyperlink" Target="https://www.coingecko.com/en/coins/ronin" TargetMode="External"/><Relationship Id="rId613" Type="http://schemas.openxmlformats.org/officeDocument/2006/relationships/hyperlink" Target="https://www.coingecko.com/pt/moedas/ethereum" TargetMode="External"/><Relationship Id="rId820" Type="http://schemas.openxmlformats.org/officeDocument/2006/relationships/hyperlink" Target="https://www.coingecko.com/pt/api" TargetMode="External"/><Relationship Id="rId918" Type="http://schemas.openxmlformats.org/officeDocument/2006/relationships/hyperlink" Target="https://www.coingecko.com/pt/moedas/wormhole" TargetMode="External"/><Relationship Id="rId1450" Type="http://schemas.openxmlformats.org/officeDocument/2006/relationships/hyperlink" Target="https://www.coingecko.com/pt/premium/pricing" TargetMode="External"/><Relationship Id="rId1548" Type="http://schemas.openxmlformats.org/officeDocument/2006/relationships/hyperlink" Target="https://www.coingecko.com/pt/moedas/bitcoin" TargetMode="External"/><Relationship Id="rId1755" Type="http://schemas.openxmlformats.org/officeDocument/2006/relationships/hyperlink" Target="https://discord.gg/EhrkaCH" TargetMode="External"/><Relationship Id="rId2501" Type="http://schemas.openxmlformats.org/officeDocument/2006/relationships/hyperlink" Target="https://coinmarketcap.com/pt-br/currencies/x2y2/" TargetMode="External"/><Relationship Id="rId1103" Type="http://schemas.openxmlformats.org/officeDocument/2006/relationships/hyperlink" Target="https://www.coingecko.com/pt/metodologia" TargetMode="External"/><Relationship Id="rId1310" Type="http://schemas.openxmlformats.org/officeDocument/2006/relationships/hyperlink" Target="https://optimistic.etherscan.io/token/0x4200000000000000000000000000000000000042" TargetMode="External"/><Relationship Id="rId1408" Type="http://schemas.openxmlformats.org/officeDocument/2006/relationships/hyperlink" Target="https://www.coingecko.com/pt/moedas/ronin" TargetMode="External"/><Relationship Id="rId1962" Type="http://schemas.openxmlformats.org/officeDocument/2006/relationships/hyperlink" Target="https://www.coingecko.com/pt/c%C3%A2mbios/kraken" TargetMode="External"/><Relationship Id="rId47" Type="http://schemas.openxmlformats.org/officeDocument/2006/relationships/hyperlink" Target="https://www.coingecko.com/pt/c%C3%A2mbios/gate-io" TargetMode="External"/><Relationship Id="rId1615" Type="http://schemas.openxmlformats.org/officeDocument/2006/relationships/hyperlink" Target="https://gcko.io/search-survey" TargetMode="External"/><Relationship Id="rId1822" Type="http://schemas.openxmlformats.org/officeDocument/2006/relationships/hyperlink" Target="https://www.coingecko.com/pt/c%C3%A2mbios/coinbase-exchange" TargetMode="External"/><Relationship Id="rId196" Type="http://schemas.openxmlformats.org/officeDocument/2006/relationships/hyperlink" Target="https://www.coingecko.com/pt/c%C3%A2mbios/gate-io" TargetMode="External"/><Relationship Id="rId2084" Type="http://schemas.openxmlformats.org/officeDocument/2006/relationships/hyperlink" Target="https://coingecko.app.link/lTInCXLGz4" TargetMode="External"/><Relationship Id="rId2291" Type="http://schemas.openxmlformats.org/officeDocument/2006/relationships/hyperlink" Target="https://www.coingecko.com/pt/c%C3%A2mbios/coinbase-exchange" TargetMode="External"/><Relationship Id="rId263" Type="http://schemas.openxmlformats.org/officeDocument/2006/relationships/hyperlink" Target="https://www.coingecko.com/pt/moedas/pixels" TargetMode="External"/><Relationship Id="rId470" Type="http://schemas.openxmlformats.org/officeDocument/2006/relationships/hyperlink" Target="https://www.reddit.com/r/coingecko/" TargetMode="External"/><Relationship Id="rId2151" Type="http://schemas.openxmlformats.org/officeDocument/2006/relationships/hyperlink" Target="https://www.coingecko.com/pt/moedas/book-of-meme" TargetMode="External"/><Relationship Id="rId2389" Type="http://schemas.openxmlformats.org/officeDocument/2006/relationships/hyperlink" Target="https://discord.gg/EhrkaCH" TargetMode="External"/><Relationship Id="rId2596" Type="http://schemas.openxmlformats.org/officeDocument/2006/relationships/hyperlink" Target="https://www.coingecko.com/en/candy" TargetMode="External"/><Relationship Id="rId123" Type="http://schemas.openxmlformats.org/officeDocument/2006/relationships/hyperlink" Target="https://www.coingecko.com/pt/moedas/dymension" TargetMode="External"/><Relationship Id="rId330" Type="http://schemas.openxmlformats.org/officeDocument/2006/relationships/hyperlink" Target="https://gcko.io/search-survey" TargetMode="External"/><Relationship Id="rId568" Type="http://schemas.openxmlformats.org/officeDocument/2006/relationships/hyperlink" Target="https://www.cryptopolitan.com/pt/chainlink-vrf-v25-lancado-com-melhorias/" TargetMode="External"/><Relationship Id="rId775" Type="http://schemas.openxmlformats.org/officeDocument/2006/relationships/hyperlink" Target="https://www.coingecko.com/pt/public-companies-bitcoin" TargetMode="External"/><Relationship Id="rId982" Type="http://schemas.openxmlformats.org/officeDocument/2006/relationships/hyperlink" Target="https://etherscan.io/token/0xd1d2Eb1B1e90B638588728b4130137D262C87cae" TargetMode="External"/><Relationship Id="rId1198" Type="http://schemas.openxmlformats.org/officeDocument/2006/relationships/hyperlink" Target="https://www.cryptopolitan.com/pt/investidores-polygon-matic-e-ripple-xrp-recorrem-ao-etfswap-etfs-para-obter-um-enorme-retorno-sobre-o-investimento-de-100x/" TargetMode="External"/><Relationship Id="rId2011" Type="http://schemas.openxmlformats.org/officeDocument/2006/relationships/hyperlink" Target="https://www.coingecko.com/pt/moedas/byte" TargetMode="External"/><Relationship Id="rId2249" Type="http://schemas.openxmlformats.org/officeDocument/2006/relationships/hyperlink" Target="https://etherscan.io/token/0x95ad61b0a150d79219dcf64e1e6cc01f0b64c4ce?a=0x9813037ee2218799597d83d4a5b6f3b6778218d9" TargetMode="External"/><Relationship Id="rId2456" Type="http://schemas.openxmlformats.org/officeDocument/2006/relationships/hyperlink" Target="https://coinmarketcap.com/affiliate-disclosure/" TargetMode="External"/><Relationship Id="rId2663" Type="http://schemas.openxmlformats.org/officeDocument/2006/relationships/hyperlink" Target="https://coingape.com/markets/2-crypto-to-buy-to-complete-1-portfolio-in-may/" TargetMode="External"/><Relationship Id="rId428" Type="http://schemas.openxmlformats.org/officeDocument/2006/relationships/hyperlink" Target="https://www.coingecko.com/pt/moedas/degen-base" TargetMode="External"/><Relationship Id="rId635" Type="http://schemas.openxmlformats.org/officeDocument/2006/relationships/hyperlink" Target="https://www.coingecko.com/pt/faq" TargetMode="External"/><Relationship Id="rId842" Type="http://schemas.openxmlformats.org/officeDocument/2006/relationships/hyperlink" Target="https://www.orangex.com/spot/IMX-USDT-SPOT" TargetMode="External"/><Relationship Id="rId1058" Type="http://schemas.openxmlformats.org/officeDocument/2006/relationships/hyperlink" Target="https://www.coingecko.com/pt/moedas/solana" TargetMode="External"/><Relationship Id="rId1265" Type="http://schemas.openxmlformats.org/officeDocument/2006/relationships/hyperlink" Target="https://careers.coingecko.com/" TargetMode="External"/><Relationship Id="rId1472" Type="http://schemas.openxmlformats.org/officeDocument/2006/relationships/hyperlink" Target="https://twitter.com/arbitrum" TargetMode="External"/><Relationship Id="rId2109" Type="http://schemas.openxmlformats.org/officeDocument/2006/relationships/hyperlink" Target="https://www.coingecko.com/pt/c%C3%A2mbios/binance" TargetMode="External"/><Relationship Id="rId2316" Type="http://schemas.openxmlformats.org/officeDocument/2006/relationships/hyperlink" Target="https://www.coingecko.com/pt/moedas/shiba-inu/brl" TargetMode="External"/><Relationship Id="rId2523" Type="http://schemas.openxmlformats.org/officeDocument/2006/relationships/hyperlink" Target="https://coinmarketcap.com/pt-br/currencies/catamoto-cat/" TargetMode="External"/><Relationship Id="rId2730" Type="http://schemas.openxmlformats.org/officeDocument/2006/relationships/hyperlink" Target="https://www.coingecko.com/en/coins/pepe" TargetMode="External"/><Relationship Id="rId702" Type="http://schemas.openxmlformats.org/officeDocument/2006/relationships/hyperlink" Target="https://www.digifinex.com/en-ww/trade/USDT/RON" TargetMode="External"/><Relationship Id="rId1125" Type="http://schemas.openxmlformats.org/officeDocument/2006/relationships/hyperlink" Target="https://www.geckoterminal.com/?utm_source=coingecko&amp;utm_medium=referral&amp;utm_campaign=desktop_navigation" TargetMode="External"/><Relationship Id="rId1332" Type="http://schemas.openxmlformats.org/officeDocument/2006/relationships/hyperlink" Target="https://www.coingecko.com/pt/c%C3%A2mbios/orangex" TargetMode="External"/><Relationship Id="rId1777" Type="http://schemas.openxmlformats.org/officeDocument/2006/relationships/hyperlink" Target="https://www.coingecko.com/pt/metodologia" TargetMode="External"/><Relationship Id="rId1984" Type="http://schemas.openxmlformats.org/officeDocument/2006/relationships/hyperlink" Target="https://www.criptofacil.com/previsao-de-preco-das-3-principais-memecoins-dogecoin-shiba-inu-e-bonk/" TargetMode="External"/><Relationship Id="rId69" Type="http://schemas.openxmlformats.org/officeDocument/2006/relationships/hyperlink" Target="https://www.cryptopolitan.com/pt/ultima-correcao-do-bitcoin-etf-freia-a-demanda/" TargetMode="External"/><Relationship Id="rId1637" Type="http://schemas.openxmlformats.org/officeDocument/2006/relationships/hyperlink" Target="https://rendernetwork.medium.com/" TargetMode="External"/><Relationship Id="rId1844" Type="http://schemas.openxmlformats.org/officeDocument/2006/relationships/hyperlink" Target="https://www.coingecko.com/pt/moedas/elastos" TargetMode="External"/><Relationship Id="rId1704" Type="http://schemas.openxmlformats.org/officeDocument/2006/relationships/hyperlink" Target="https://www.coingecko.com/pt/moedas/dione" TargetMode="External"/><Relationship Id="rId285" Type="http://schemas.openxmlformats.org/officeDocument/2006/relationships/hyperlink" Target="https://www.coingecko.com/pt/moedas/bittensor" TargetMode="External"/><Relationship Id="rId1911" Type="http://schemas.openxmlformats.org/officeDocument/2006/relationships/hyperlink" Target="https://t.me/coingeckonews" TargetMode="External"/><Relationship Id="rId492" Type="http://schemas.openxmlformats.org/officeDocument/2006/relationships/hyperlink" Target="https://www.coingecko.com/pt/api" TargetMode="External"/><Relationship Id="rId797" Type="http://schemas.openxmlformats.org/officeDocument/2006/relationships/hyperlink" Target="https://www.instagram.com/coingecko/" TargetMode="External"/><Relationship Id="rId2173" Type="http://schemas.openxmlformats.org/officeDocument/2006/relationships/hyperlink" Target="https://www.coingecko.com/pt/moedas/bitcoin" TargetMode="External"/><Relationship Id="rId2380" Type="http://schemas.openxmlformats.org/officeDocument/2006/relationships/hyperlink" Target="https://www.coingecko.com/pt/isen%C3%A7%C3%A3o_de_responsabilidade" TargetMode="External"/><Relationship Id="rId2478" Type="http://schemas.openxmlformats.org/officeDocument/2006/relationships/hyperlink" Target="https://coinmarketcap.com/pt-br/currencies/bitget-token-new/" TargetMode="External"/><Relationship Id="rId145" Type="http://schemas.openxmlformats.org/officeDocument/2006/relationships/hyperlink" Target="https://www.coingecko.com/pt/metodologia" TargetMode="External"/><Relationship Id="rId352" Type="http://schemas.openxmlformats.org/officeDocument/2006/relationships/hyperlink" Target="https://www.coingecko.com/pt/c%C3%A2mbios/binance" TargetMode="External"/><Relationship Id="rId1287" Type="http://schemas.openxmlformats.org/officeDocument/2006/relationships/hyperlink" Target="https://www.coingecko.com/pt/global-charts" TargetMode="External"/><Relationship Id="rId2033" Type="http://schemas.openxmlformats.org/officeDocument/2006/relationships/hyperlink" Target="https://www.coingecko.com/pt/moedas/bitcoin" TargetMode="External"/><Relationship Id="rId2240" Type="http://schemas.openxmlformats.org/officeDocument/2006/relationships/hyperlink" Target="https://www.coingecko.com/pt/api" TargetMode="External"/><Relationship Id="rId2685" Type="http://schemas.openxmlformats.org/officeDocument/2006/relationships/hyperlink" Target="https://www.coingecko.com/en/coins/lido-dao/usd" TargetMode="External"/><Relationship Id="rId212" Type="http://schemas.openxmlformats.org/officeDocument/2006/relationships/hyperlink" Target="https://www.coingecko.com/pt/c%C3%A2mbios/kraken" TargetMode="External"/><Relationship Id="rId657" Type="http://schemas.openxmlformats.org/officeDocument/2006/relationships/hyperlink" Target="https://www.coingecko.com/pt" TargetMode="External"/><Relationship Id="rId864" Type="http://schemas.openxmlformats.org/officeDocument/2006/relationships/hyperlink" Target="https://www.coingecko.com/pt/c%C3%A2mbios/weex" TargetMode="External"/><Relationship Id="rId1494" Type="http://schemas.openxmlformats.org/officeDocument/2006/relationships/hyperlink" Target="https://www.coingecko.com/pt/c%C3%A2mbios/bitunix" TargetMode="External"/><Relationship Id="rId1799" Type="http://schemas.openxmlformats.org/officeDocument/2006/relationships/hyperlink" Target="https://www.coingecko.com/pt/categories/infrastructure" TargetMode="External"/><Relationship Id="rId2100" Type="http://schemas.openxmlformats.org/officeDocument/2006/relationships/hyperlink" Target="https://forms.gle/ULNnnCGCEAimK9cJ7" TargetMode="External"/><Relationship Id="rId2338" Type="http://schemas.openxmlformats.org/officeDocument/2006/relationships/hyperlink" Target="https://www.coingecko.com/pt/moedas/dione" TargetMode="External"/><Relationship Id="rId2545" Type="http://schemas.openxmlformats.org/officeDocument/2006/relationships/hyperlink" Target="https://coinmarketcap.com/pt-br/currencies/cardano/" TargetMode="External"/><Relationship Id="rId2752" Type="http://schemas.openxmlformats.org/officeDocument/2006/relationships/hyperlink" Target="https://www.coingecko.com/en/faq" TargetMode="External"/><Relationship Id="rId517" Type="http://schemas.openxmlformats.org/officeDocument/2006/relationships/hyperlink" Target="https://etherscan.io/token/0x514910771af9ca656af840dff83e8264ecf986ca?a=0x4a87ecE3eFffCb012fbE491AA028032e07B6F6cF" TargetMode="External"/><Relationship Id="rId724" Type="http://schemas.openxmlformats.org/officeDocument/2006/relationships/hyperlink" Target="https://www.coingecko.com/pt/moedas/ronin/eur" TargetMode="External"/><Relationship Id="rId931" Type="http://schemas.openxmlformats.org/officeDocument/2006/relationships/hyperlink" Target="https://gcko.io/coingeckoads" TargetMode="External"/><Relationship Id="rId1147" Type="http://schemas.openxmlformats.org/officeDocument/2006/relationships/hyperlink" Target="https://blog.polygon.technology/" TargetMode="External"/><Relationship Id="rId1354" Type="http://schemas.openxmlformats.org/officeDocument/2006/relationships/hyperlink" Target="https://br.beincrypto.com/dogecoin-pepe-optimism-e-mais-5-criptomoedas-para-ficar-de-olho-hoje/" TargetMode="External"/><Relationship Id="rId1561" Type="http://schemas.openxmlformats.org/officeDocument/2006/relationships/hyperlink" Target="https://www.coingecko.com/pt/moedas/degen-base" TargetMode="External"/><Relationship Id="rId2405" Type="http://schemas.openxmlformats.org/officeDocument/2006/relationships/hyperlink" Target="https://www.google.com/url?q=https://brasilescola.uol.com.br/economia/dolar.htm&amp;sa=U&amp;ved=2ahUKEwj_2bOd7u6FAxXSpZUCHUfnDMEQFnoECAMQAg&amp;usg=AOvVaw2nmC6GQlMOt8zBdg82Ro4G" TargetMode="External"/><Relationship Id="rId2612" Type="http://schemas.openxmlformats.org/officeDocument/2006/relationships/hyperlink" Target="https://stake.lido.fi/" TargetMode="External"/><Relationship Id="rId60" Type="http://schemas.openxmlformats.org/officeDocument/2006/relationships/hyperlink" Target="https://www.coingecko.com/pt/c%C3%A2mbios/bybit_spot" TargetMode="External"/><Relationship Id="rId1007" Type="http://schemas.openxmlformats.org/officeDocument/2006/relationships/hyperlink" Target="https://www.tokocrypto.com/trade/GALAUSDT" TargetMode="External"/><Relationship Id="rId1214" Type="http://schemas.openxmlformats.org/officeDocument/2006/relationships/hyperlink" Target="https://www.coingecko.com/pt/moedas/bittorrent" TargetMode="External"/><Relationship Id="rId1421" Type="http://schemas.openxmlformats.org/officeDocument/2006/relationships/hyperlink" Target="https://www.coingecko.com/pt/candy/partners-getting-started" TargetMode="External"/><Relationship Id="rId1659" Type="http://schemas.openxmlformats.org/officeDocument/2006/relationships/hyperlink" Target="https://www.coingecko.com/pt/c%C3%A2mbios/mexc" TargetMode="External"/><Relationship Id="rId1866" Type="http://schemas.openxmlformats.org/officeDocument/2006/relationships/hyperlink" Target="https://www.coingecko.com/pt/moedas/pixels" TargetMode="External"/><Relationship Id="rId1519" Type="http://schemas.openxmlformats.org/officeDocument/2006/relationships/hyperlink" Target="https://www.cryptopolitan.com/pt/hackerleak-milhoes-do-protocolo-de-rendimento/" TargetMode="External"/><Relationship Id="rId1726" Type="http://schemas.openxmlformats.org/officeDocument/2006/relationships/hyperlink" Target="https://www.coingecko.com/pt/moedas/polygon" TargetMode="External"/><Relationship Id="rId1933" Type="http://schemas.openxmlformats.org/officeDocument/2006/relationships/hyperlink" Target="https://www.coingecko.com/pt/metodologia" TargetMode="External"/><Relationship Id="rId18" Type="http://schemas.openxmlformats.org/officeDocument/2006/relationships/hyperlink" Target="https://www.coingecko.com/learn/what-is-fully-diluted-valuation-fdv-in-crypto" TargetMode="External"/><Relationship Id="rId2195" Type="http://schemas.openxmlformats.org/officeDocument/2006/relationships/hyperlink" Target="https://www.coingecko.com/pt/public-companies-bitcoin" TargetMode="External"/><Relationship Id="rId167" Type="http://schemas.openxmlformats.org/officeDocument/2006/relationships/hyperlink" Target="https://www.geckoterminal.com/?utm_source=coingecko&amp;utm_medium=referral&amp;utm_campaign=desktop_navigation" TargetMode="External"/><Relationship Id="rId374" Type="http://schemas.openxmlformats.org/officeDocument/2006/relationships/hyperlink" Target="https://www.coinbase.com/advanced-trade/spot/SOL-USD" TargetMode="External"/><Relationship Id="rId581" Type="http://schemas.openxmlformats.org/officeDocument/2006/relationships/hyperlink" Target="https://www.coingecko.com/pt/moedas/usdc" TargetMode="External"/><Relationship Id="rId2055" Type="http://schemas.openxmlformats.org/officeDocument/2006/relationships/hyperlink" Target="https://support.coingecko.com/" TargetMode="External"/><Relationship Id="rId2262" Type="http://schemas.openxmlformats.org/officeDocument/2006/relationships/hyperlink" Target="https://t.me/ShibaInu_Dogecoinkiller" TargetMode="External"/><Relationship Id="rId234" Type="http://schemas.openxmlformats.org/officeDocument/2006/relationships/hyperlink" Target="https://br.beincrypto.com/gary-gensler-misled-congress-ethereum/" TargetMode="External"/><Relationship Id="rId679" Type="http://schemas.openxmlformats.org/officeDocument/2006/relationships/hyperlink" Target="https://forms.gle/ULNnnCGCEAimK9cJ7" TargetMode="External"/><Relationship Id="rId886" Type="http://schemas.openxmlformats.org/officeDocument/2006/relationships/hyperlink" Target="https://www.coingecko.com/pt/moedas/enjin-coin" TargetMode="External"/><Relationship Id="rId2567" Type="http://schemas.openxmlformats.org/officeDocument/2006/relationships/hyperlink" Target="https://coinmarketcap.com/pt-br/about/" TargetMode="External"/><Relationship Id="rId2774" Type="http://schemas.openxmlformats.org/officeDocument/2006/relationships/hyperlink" Target="https://gcko.io/n97p1v2" TargetMode="External"/><Relationship Id="rId2" Type="http://schemas.openxmlformats.org/officeDocument/2006/relationships/hyperlink" Target="https://www.coingecko.com/pt/c%C3%A2mbios" TargetMode="External"/><Relationship Id="rId441" Type="http://schemas.openxmlformats.org/officeDocument/2006/relationships/hyperlink" Target="https://www.coingecko.com/pt/moedas/bittensor" TargetMode="External"/><Relationship Id="rId539" Type="http://schemas.openxmlformats.org/officeDocument/2006/relationships/hyperlink" Target="https://www.hotcoin.com/currencyExchange/link_usdt" TargetMode="External"/><Relationship Id="rId746" Type="http://schemas.openxmlformats.org/officeDocument/2006/relationships/hyperlink" Target="https://www.coingecko.com/pt/moedas/dione" TargetMode="External"/><Relationship Id="rId1071" Type="http://schemas.openxmlformats.org/officeDocument/2006/relationships/hyperlink" Target="https://www.coingecko.com/pt/moedas/pepe" TargetMode="External"/><Relationship Id="rId1169" Type="http://schemas.openxmlformats.org/officeDocument/2006/relationships/hyperlink" Target="https://www.coingecko.com/pt/c%C3%A2mbios/binance" TargetMode="External"/><Relationship Id="rId1376" Type="http://schemas.openxmlformats.org/officeDocument/2006/relationships/hyperlink" Target="https://www.coingecko.com/pt/moedas/maker" TargetMode="External"/><Relationship Id="rId1583" Type="http://schemas.openxmlformats.org/officeDocument/2006/relationships/hyperlink" Target="https://www.coingecko.com/pt/sobre" TargetMode="External"/><Relationship Id="rId2122" Type="http://schemas.openxmlformats.org/officeDocument/2006/relationships/hyperlink" Target="https://whitebit.com/trade/WIF_USDT?referral=21d28793-2c37-4ad5-ad65-ec354740a197" TargetMode="External"/><Relationship Id="rId2427" Type="http://schemas.openxmlformats.org/officeDocument/2006/relationships/hyperlink" Target="https://www.google.com/url?q=https://support.google.com/websearch%3Fp%3Dws_settings_location%26hl%3Dpt-BR&amp;opi=89978449&amp;sa=U&amp;ved=0ahUKEwj_2bOd7u6FAxXSpZUCHUfnDMEQty4IRg&amp;usg=AOvVaw3hFNM3cEeIHHckCOjhaMKD" TargetMode="External"/><Relationship Id="rId301" Type="http://schemas.openxmlformats.org/officeDocument/2006/relationships/hyperlink" Target="https://blog.coingecko.com/" TargetMode="External"/><Relationship Id="rId953" Type="http://schemas.openxmlformats.org/officeDocument/2006/relationships/hyperlink" Target="https://www.youtube.com/channel/UC-OTgwOAI7KmP0eDAtqN3Ow?sub_confirmation=1" TargetMode="External"/><Relationship Id="rId1029" Type="http://schemas.openxmlformats.org/officeDocument/2006/relationships/hyperlink" Target="https://hpg.com.br/threshold-criptomoeda-projeto-onde-comprar-vai-subir-em-2024.html" TargetMode="External"/><Relationship Id="rId1236" Type="http://schemas.openxmlformats.org/officeDocument/2006/relationships/hyperlink" Target="https://www.coingecko.com/pt/moedas/ethereum" TargetMode="External"/><Relationship Id="rId1790" Type="http://schemas.openxmlformats.org/officeDocument/2006/relationships/hyperlink" Target="https://gcko.io/ledger" TargetMode="External"/><Relationship Id="rId1888" Type="http://schemas.openxmlformats.org/officeDocument/2006/relationships/hyperlink" Target="https://www.coingecko.com/pt" TargetMode="External"/><Relationship Id="rId2634" Type="http://schemas.openxmlformats.org/officeDocument/2006/relationships/hyperlink" Target="https://www.coingecko.com/en/exchanges/lbank" TargetMode="External"/><Relationship Id="rId82" Type="http://schemas.openxmlformats.org/officeDocument/2006/relationships/hyperlink" Target="https://www.coingecko.com/pt/moedas/bitcoin/brl" TargetMode="External"/><Relationship Id="rId606" Type="http://schemas.openxmlformats.org/officeDocument/2006/relationships/hyperlink" Target="https://www.coingecko.com/pt/moedas/pepe" TargetMode="External"/><Relationship Id="rId813" Type="http://schemas.openxmlformats.org/officeDocument/2006/relationships/hyperlink" Target="https://www.coingecko.com/pt/candy" TargetMode="External"/><Relationship Id="rId1443" Type="http://schemas.openxmlformats.org/officeDocument/2006/relationships/hyperlink" Target="https://www.tiktok.com/@coingeckotv" TargetMode="External"/><Relationship Id="rId1650" Type="http://schemas.openxmlformats.org/officeDocument/2006/relationships/hyperlink" Target="https://www.coingecko.com/pt/c%C3%A2mbios/weex" TargetMode="External"/><Relationship Id="rId1748" Type="http://schemas.openxmlformats.org/officeDocument/2006/relationships/hyperlink" Target="https://www.coingecko.com/pt/privacidade" TargetMode="External"/><Relationship Id="rId2701" Type="http://schemas.openxmlformats.org/officeDocument/2006/relationships/hyperlink" Target="https://www.coingecko.com/en/coins/jito" TargetMode="External"/><Relationship Id="rId1303" Type="http://schemas.openxmlformats.org/officeDocument/2006/relationships/hyperlink" Target="https://www.coingecko.com/learn/what-is-fully-diluted-valuation-fdv-in-crypto" TargetMode="External"/><Relationship Id="rId1510" Type="http://schemas.openxmlformats.org/officeDocument/2006/relationships/hyperlink" Target="https://www.cryptopolitan.com/pt/pike-finance-atingiu-1-6-milhao-no-segundo-dia-de-hack/" TargetMode="External"/><Relationship Id="rId1955" Type="http://schemas.openxmlformats.org/officeDocument/2006/relationships/hyperlink" Target="https://exchange.pointpay.io/trade-classic/DOGE_USDCreferral/40d2c818-a4e9-4834-bcda-c4f11a1b243d" TargetMode="External"/><Relationship Id="rId1608" Type="http://schemas.openxmlformats.org/officeDocument/2006/relationships/hyperlink" Target="https://www.coingecko.com/pt/premium/pricing" TargetMode="External"/><Relationship Id="rId1815" Type="http://schemas.openxmlformats.org/officeDocument/2006/relationships/hyperlink" Target="https://www.coingecko.com/pt/c%C3%A2mbios/binance" TargetMode="External"/><Relationship Id="rId189" Type="http://schemas.openxmlformats.org/officeDocument/2006/relationships/hyperlink" Target="https://github.com/ethereum" TargetMode="External"/><Relationship Id="rId396" Type="http://schemas.openxmlformats.org/officeDocument/2006/relationships/hyperlink" Target="https://www.coingecko.com/pt/moedas/solana/eur" TargetMode="External"/><Relationship Id="rId2077" Type="http://schemas.openxmlformats.org/officeDocument/2006/relationships/hyperlink" Target="https://www.coingecko.com/pt/isen%C3%A7%C3%A3o_de_responsabilidade" TargetMode="External"/><Relationship Id="rId2284" Type="http://schemas.openxmlformats.org/officeDocument/2006/relationships/hyperlink" Target="https://www.coingecko.com/pt/c%C3%A2mbios/weex" TargetMode="External"/><Relationship Id="rId2491" Type="http://schemas.openxmlformats.org/officeDocument/2006/relationships/hyperlink" Target="https://coinmarketcap.com/pt-br/currencies/synthetix/" TargetMode="External"/><Relationship Id="rId256" Type="http://schemas.openxmlformats.org/officeDocument/2006/relationships/hyperlink" Target="https://www.coingecko.com/pt/moedas/arbitrum" TargetMode="External"/><Relationship Id="rId463" Type="http://schemas.openxmlformats.org/officeDocument/2006/relationships/hyperlink" Target="https://www.coingecko.com/pt/termos" TargetMode="External"/><Relationship Id="rId670" Type="http://schemas.openxmlformats.org/officeDocument/2006/relationships/hyperlink" Target="https://www.coingecko.com/pt/metodologia" TargetMode="External"/><Relationship Id="rId1093" Type="http://schemas.openxmlformats.org/officeDocument/2006/relationships/hyperlink" Target="https://gcko.io/coingeckoads" TargetMode="External"/><Relationship Id="rId2144" Type="http://schemas.openxmlformats.org/officeDocument/2006/relationships/hyperlink" Target="https://www.coingecko.com/pt/moedas/dogwifhat/eur" TargetMode="External"/><Relationship Id="rId2351" Type="http://schemas.openxmlformats.org/officeDocument/2006/relationships/hyperlink" Target="https://www.coingecko.com/pt/moedas/wormhole" TargetMode="External"/><Relationship Id="rId2589" Type="http://schemas.openxmlformats.org/officeDocument/2006/relationships/hyperlink" Target="https://www.coingecko.com/en/global-charts" TargetMode="External"/><Relationship Id="rId2796" Type="http://schemas.openxmlformats.org/officeDocument/2006/relationships/queryTable" Target="../queryTables/queryTable17.xml"/><Relationship Id="rId116" Type="http://schemas.openxmlformats.org/officeDocument/2006/relationships/hyperlink" Target="https://www.coingecko.com/pt/moedas/wormhole" TargetMode="External"/><Relationship Id="rId323" Type="http://schemas.openxmlformats.org/officeDocument/2006/relationships/hyperlink" Target="https://www.coingecko.com/pt/premium/pricing" TargetMode="External"/><Relationship Id="rId530" Type="http://schemas.openxmlformats.org/officeDocument/2006/relationships/hyperlink" Target="https://www.coingecko.com/learn/complete-beginners-guide-to-metamask" TargetMode="External"/><Relationship Id="rId768" Type="http://schemas.openxmlformats.org/officeDocument/2006/relationships/hyperlink" Target="https://www.coingecko.com/pt/moedas/dymension" TargetMode="External"/><Relationship Id="rId975" Type="http://schemas.openxmlformats.org/officeDocument/2006/relationships/hyperlink" Target="https://www.coingecko.com/learn/what-is-fully-diluted-valuation-fdv-in-crypto" TargetMode="External"/><Relationship Id="rId1160" Type="http://schemas.openxmlformats.org/officeDocument/2006/relationships/hyperlink" Target="https://www.coingecko.com/pt/c%C3%A2mbios/crypto_com" TargetMode="External"/><Relationship Id="rId1398" Type="http://schemas.openxmlformats.org/officeDocument/2006/relationships/hyperlink" Target="https://www.coingecko.com/pt/moedas/pepe" TargetMode="External"/><Relationship Id="rId2004" Type="http://schemas.openxmlformats.org/officeDocument/2006/relationships/hyperlink" Target="https://www.coingecko.com/pt/moedas/dogelon-mars" TargetMode="External"/><Relationship Id="rId2211" Type="http://schemas.openxmlformats.org/officeDocument/2006/relationships/hyperlink" Target="https://www.coingecko.com/pt/termos" TargetMode="External"/><Relationship Id="rId2449" Type="http://schemas.openxmlformats.org/officeDocument/2006/relationships/hyperlink" Target="https://twitter.com/pepecoineth" TargetMode="External"/><Relationship Id="rId2656" Type="http://schemas.openxmlformats.org/officeDocument/2006/relationships/hyperlink" Target="https://beincrypto.com/altcoin-holders-are-losing-money/" TargetMode="External"/><Relationship Id="rId628" Type="http://schemas.openxmlformats.org/officeDocument/2006/relationships/hyperlink" Target="https://www.coingecko.com/pt/cryptocurrency-heatmap" TargetMode="External"/><Relationship Id="rId835" Type="http://schemas.openxmlformats.org/officeDocument/2006/relationships/hyperlink" Target="https://twitter.com/search?q=$IMX" TargetMode="External"/><Relationship Id="rId1258" Type="http://schemas.openxmlformats.org/officeDocument/2006/relationships/hyperlink" Target="https://www.coingecko.com/request" TargetMode="External"/><Relationship Id="rId1465" Type="http://schemas.openxmlformats.org/officeDocument/2006/relationships/hyperlink" Target="https://www.coingecko.com/pt/metodologia" TargetMode="External"/><Relationship Id="rId1672" Type="http://schemas.openxmlformats.org/officeDocument/2006/relationships/hyperlink" Target="https://www.coingecko.com/pt/c%C3%A2mbios/deepcoin" TargetMode="External"/><Relationship Id="rId2309" Type="http://schemas.openxmlformats.org/officeDocument/2006/relationships/hyperlink" Target="https://www.criptofacil.com/rally-das-memecoins-pode-trazer-de-volta-bonk-e-shiba-inu-investidores-esperam-capitalizar-com-a-pre-venda-do-token-recq/" TargetMode="External"/><Relationship Id="rId2516" Type="http://schemas.openxmlformats.org/officeDocument/2006/relationships/hyperlink" Target="https://coinmarketcap.com/pt-br/currencies/deepmind-ai/" TargetMode="External"/><Relationship Id="rId2723" Type="http://schemas.openxmlformats.org/officeDocument/2006/relationships/hyperlink" Target="https://www.coingecko.com/en/coins/degen-base" TargetMode="External"/><Relationship Id="rId1020" Type="http://schemas.openxmlformats.org/officeDocument/2006/relationships/hyperlink" Target="https://www.coingecko.com/pt/c%C3%A2mbios/htx" TargetMode="External"/><Relationship Id="rId1118" Type="http://schemas.openxmlformats.org/officeDocument/2006/relationships/hyperlink" Target="https://coingecko.app.link/lTInCXLGz4" TargetMode="External"/><Relationship Id="rId1325" Type="http://schemas.openxmlformats.org/officeDocument/2006/relationships/hyperlink" Target="https://www.digifinex.com/en-ww/trade/USDT/OP" TargetMode="External"/><Relationship Id="rId1532" Type="http://schemas.openxmlformats.org/officeDocument/2006/relationships/hyperlink" Target="https://www.coingecko.com/pt/moedas/optimism" TargetMode="External"/><Relationship Id="rId1977" Type="http://schemas.openxmlformats.org/officeDocument/2006/relationships/hyperlink" Target="https://www.coingecko.com/pt/c%C3%A2mbios/okx" TargetMode="External"/><Relationship Id="rId902" Type="http://schemas.openxmlformats.org/officeDocument/2006/relationships/hyperlink" Target="https://www.coingecko.com/pt/moedas/pepe" TargetMode="External"/><Relationship Id="rId1837" Type="http://schemas.openxmlformats.org/officeDocument/2006/relationships/hyperlink" Target="https://www.coingecko.com/pt/moedas/stacks/usd" TargetMode="External"/><Relationship Id="rId31" Type="http://schemas.openxmlformats.org/officeDocument/2006/relationships/hyperlink" Target="https://twitter.com/search?q=$BTC" TargetMode="External"/><Relationship Id="rId2099" Type="http://schemas.openxmlformats.org/officeDocument/2006/relationships/hyperlink" Target="https://www.coingecko.com/pt/metodologia" TargetMode="External"/><Relationship Id="rId180" Type="http://schemas.openxmlformats.org/officeDocument/2006/relationships/hyperlink" Target="https://www.coingecko.com/pt/metodologia" TargetMode="External"/><Relationship Id="rId278" Type="http://schemas.openxmlformats.org/officeDocument/2006/relationships/hyperlink" Target="https://www.coingecko.com/pt/moedas/pepe" TargetMode="External"/><Relationship Id="rId1904" Type="http://schemas.openxmlformats.org/officeDocument/2006/relationships/hyperlink" Target="https://www.coingecko.com/pt/metodologia" TargetMode="External"/><Relationship Id="rId485" Type="http://schemas.openxmlformats.org/officeDocument/2006/relationships/hyperlink" Target="https://www.coingecko.com/pt/candy" TargetMode="External"/><Relationship Id="rId692" Type="http://schemas.openxmlformats.org/officeDocument/2006/relationships/hyperlink" Target="https://www.coingecko.com/pt/c%C3%A2mbios/binance" TargetMode="External"/><Relationship Id="rId2166" Type="http://schemas.openxmlformats.org/officeDocument/2006/relationships/hyperlink" Target="https://www.coingecko.com/pt/moedas/dione" TargetMode="External"/><Relationship Id="rId2373" Type="http://schemas.openxmlformats.org/officeDocument/2006/relationships/hyperlink" Target="https://www.coingecko.com/pt/faq" TargetMode="External"/><Relationship Id="rId2580" Type="http://schemas.openxmlformats.org/officeDocument/2006/relationships/hyperlink" Target="https://coinmarketcap.com/community/profile/CoinMarketCap/" TargetMode="External"/><Relationship Id="rId138" Type="http://schemas.openxmlformats.org/officeDocument/2006/relationships/hyperlink" Target="https://hackenproof.com/coingecko/coingecko" TargetMode="External"/><Relationship Id="rId345" Type="http://schemas.openxmlformats.org/officeDocument/2006/relationships/hyperlink" Target="https://twitter.com/nusa_finance" TargetMode="External"/><Relationship Id="rId552" Type="http://schemas.openxmlformats.org/officeDocument/2006/relationships/hyperlink" Target="https://www.coingecko.com/pt/c%C3%A2mbios/binance" TargetMode="External"/><Relationship Id="rId997" Type="http://schemas.openxmlformats.org/officeDocument/2006/relationships/hyperlink" Target="https://www.coingecko.com/pt/c%C3%A2mbios/mexc" TargetMode="External"/><Relationship Id="rId1182" Type="http://schemas.openxmlformats.org/officeDocument/2006/relationships/hyperlink" Target="https://www.bybit.com/trade/spot/MATIC/USDT/?affiliate_id=9763" TargetMode="External"/><Relationship Id="rId2026" Type="http://schemas.openxmlformats.org/officeDocument/2006/relationships/hyperlink" Target="https://www.coingecko.com/pt/moedas/pixels" TargetMode="External"/><Relationship Id="rId2233" Type="http://schemas.openxmlformats.org/officeDocument/2006/relationships/hyperlink" Target="https://www.coingecko.com/pt/candy" TargetMode="External"/><Relationship Id="rId2440" Type="http://schemas.openxmlformats.org/officeDocument/2006/relationships/hyperlink" Target="https://coinmarketcap.com/community/pt-br/" TargetMode="External"/><Relationship Id="rId2678" Type="http://schemas.openxmlformats.org/officeDocument/2006/relationships/hyperlink" Target="https://www.coingecko.com/research/publications/ethereum-staking-statistics" TargetMode="External"/><Relationship Id="rId205" Type="http://schemas.openxmlformats.org/officeDocument/2006/relationships/hyperlink" Target="https://www.coingecko.com/pt/c%C3%A2mbios/toobit" TargetMode="External"/><Relationship Id="rId412" Type="http://schemas.openxmlformats.org/officeDocument/2006/relationships/hyperlink" Target="https://www.coingecko.com/pt/moedas/dogwifhat" TargetMode="External"/><Relationship Id="rId857" Type="http://schemas.openxmlformats.org/officeDocument/2006/relationships/hyperlink" Target="https://www.biconomy.com/exchange/IMX_USDT" TargetMode="External"/><Relationship Id="rId1042" Type="http://schemas.openxmlformats.org/officeDocument/2006/relationships/hyperlink" Target="https://www.coingecko.com/pt/moedas/portal" TargetMode="External"/><Relationship Id="rId1487" Type="http://schemas.openxmlformats.org/officeDocument/2006/relationships/hyperlink" Target="https://www.coingecko.com/pt/c%C3%A2mbios/digifinex" TargetMode="External"/><Relationship Id="rId1694" Type="http://schemas.openxmlformats.org/officeDocument/2006/relationships/hyperlink" Target="https://www.coingecko.com/pt/moedas/decentraland" TargetMode="External"/><Relationship Id="rId2300" Type="http://schemas.openxmlformats.org/officeDocument/2006/relationships/hyperlink" Target="https://www.criptofacil.com/previsao-de-preco-das-3-principais-memecoins-dogecoin-shiba-inu-e-bonk/" TargetMode="External"/><Relationship Id="rId2538" Type="http://schemas.openxmlformats.org/officeDocument/2006/relationships/hyperlink" Target="https://coinmarketcap.com/pt-br/currencies/xrp/" TargetMode="External"/><Relationship Id="rId2745" Type="http://schemas.openxmlformats.org/officeDocument/2006/relationships/hyperlink" Target="https://www.coingecko.com/en/cryptocurrency-heatmap" TargetMode="External"/><Relationship Id="rId717" Type="http://schemas.openxmlformats.org/officeDocument/2006/relationships/hyperlink" Target="https://x.woo.network/spot" TargetMode="External"/><Relationship Id="rId924" Type="http://schemas.openxmlformats.org/officeDocument/2006/relationships/hyperlink" Target="https://www.coingecko.com/pt/moedas/jupiter" TargetMode="External"/><Relationship Id="rId1347" Type="http://schemas.openxmlformats.org/officeDocument/2006/relationships/hyperlink" Target="https://www.coingecko.com/pt/c%C3%A2mbios/bitrue" TargetMode="External"/><Relationship Id="rId1554" Type="http://schemas.openxmlformats.org/officeDocument/2006/relationships/hyperlink" Target="https://www.coingecko.com/pt/moedas/pepe" TargetMode="External"/><Relationship Id="rId1761" Type="http://schemas.openxmlformats.org/officeDocument/2006/relationships/hyperlink" Target="https://www.coingecko.com/pt" TargetMode="External"/><Relationship Id="rId1999" Type="http://schemas.openxmlformats.org/officeDocument/2006/relationships/hyperlink" Target="https://www.coingecko.com/pt/moedas/dogecoin/eur" TargetMode="External"/><Relationship Id="rId2605" Type="http://schemas.openxmlformats.org/officeDocument/2006/relationships/hyperlink" Target="https://www.coingecko.com/learn/what-is-fully-diluted-valuation-fdv-in-crypto" TargetMode="External"/><Relationship Id="rId53" Type="http://schemas.openxmlformats.org/officeDocument/2006/relationships/hyperlink" Target="https://www.coingecko.com/pt/c%C3%A2mbios/binance" TargetMode="External"/><Relationship Id="rId1207" Type="http://schemas.openxmlformats.org/officeDocument/2006/relationships/hyperlink" Target="https://www.coingecko.com/pt/moedas/polygon/brl" TargetMode="External"/><Relationship Id="rId1414" Type="http://schemas.openxmlformats.org/officeDocument/2006/relationships/hyperlink" Target="https://www.coingecko.com/pt" TargetMode="External"/><Relationship Id="rId1621" Type="http://schemas.openxmlformats.org/officeDocument/2006/relationships/hyperlink" Target="https://www.coingecko.com/learn/what-is-fully-diluted-valuation-fdv-in-crypto" TargetMode="External"/><Relationship Id="rId1859" Type="http://schemas.openxmlformats.org/officeDocument/2006/relationships/hyperlink" Target="https://www.coingecko.com/pt/moedas/solana" TargetMode="External"/><Relationship Id="rId1719" Type="http://schemas.openxmlformats.org/officeDocument/2006/relationships/hyperlink" Target="https://www.coingecko.com/pt/moedas/wormhole" TargetMode="External"/><Relationship Id="rId1926" Type="http://schemas.openxmlformats.org/officeDocument/2006/relationships/hyperlink" Target="https://www.geckoterminal.com/?utm_source=coingecko&amp;utm_medium=referral&amp;utm_campaign=desktop_navigation" TargetMode="External"/><Relationship Id="rId2090" Type="http://schemas.openxmlformats.org/officeDocument/2006/relationships/hyperlink" Target="https://gcko.io/search-survey" TargetMode="External"/><Relationship Id="rId2188" Type="http://schemas.openxmlformats.org/officeDocument/2006/relationships/hyperlink" Target="https://www.coingecko.com/pt/moedas/ondo" TargetMode="External"/><Relationship Id="rId2395" Type="http://schemas.openxmlformats.org/officeDocument/2006/relationships/hyperlink" Target="https://www.google.com/?client=firefox-b-d&amp;sca_esv=8f14c8c94b33adc6&amp;sca_upv=1&amp;output=search&amp;ie=UTF-8&amp;sa=X&amp;ved=0ahUKEwj_2bOd7u6FAxXSpZUCHUfnDMEQPAgC" TargetMode="External"/><Relationship Id="rId367" Type="http://schemas.openxmlformats.org/officeDocument/2006/relationships/hyperlink" Target="https://www.coingecko.com/pt/c%C3%A2mbios/digifinex" TargetMode="External"/><Relationship Id="rId574" Type="http://schemas.openxmlformats.org/officeDocument/2006/relationships/hyperlink" Target="https://www.coingecko.com/pt/moedas/chainlink/usd" TargetMode="External"/><Relationship Id="rId2048" Type="http://schemas.openxmlformats.org/officeDocument/2006/relationships/hyperlink" Target="https://www.coingecko.com/pt/news" TargetMode="External"/><Relationship Id="rId2255" Type="http://schemas.openxmlformats.org/officeDocument/2006/relationships/hyperlink" Target="https://etherscan.io/token/0x95ad61b0a150d79219dcf64e1e6cc01f0b64c4ce?a=0x27C70Cd1946795B66be9d954418546998b546634" TargetMode="External"/><Relationship Id="rId227" Type="http://schemas.openxmlformats.org/officeDocument/2006/relationships/hyperlink" Target="https://www.criptofacil.com/uniswap-domina-entre-as-layer-2-com-37-do-volume-de-negociacoes/" TargetMode="External"/><Relationship Id="rId781" Type="http://schemas.openxmlformats.org/officeDocument/2006/relationships/hyperlink" Target="https://support.coingecko.com/" TargetMode="External"/><Relationship Id="rId879" Type="http://schemas.openxmlformats.org/officeDocument/2006/relationships/hyperlink" Target="https://www.coingecko.com/pt/moedas/immutable-x/brl" TargetMode="External"/><Relationship Id="rId2462" Type="http://schemas.openxmlformats.org/officeDocument/2006/relationships/hyperlink" Target="https://coinmarketcap.com/pt-br/currencies/ethereum/" TargetMode="External"/><Relationship Id="rId2767" Type="http://schemas.openxmlformats.org/officeDocument/2006/relationships/hyperlink" Target="https://www.reddit.com/r/coingecko/" TargetMode="External"/><Relationship Id="rId434" Type="http://schemas.openxmlformats.org/officeDocument/2006/relationships/hyperlink" Target="https://www.coingecko.com/pt/moedas/pepe" TargetMode="External"/><Relationship Id="rId641" Type="http://schemas.openxmlformats.org/officeDocument/2006/relationships/hyperlink" Target="https://www.coingecko.com/pt/metodologia" TargetMode="External"/><Relationship Id="rId739" Type="http://schemas.openxmlformats.org/officeDocument/2006/relationships/hyperlink" Target="https://www.coingecko.com/pt/moedas/bitcoin" TargetMode="External"/><Relationship Id="rId1064" Type="http://schemas.openxmlformats.org/officeDocument/2006/relationships/hyperlink" Target="https://www.coingecko.com/pt/moedas/pixels" TargetMode="External"/><Relationship Id="rId1271" Type="http://schemas.openxmlformats.org/officeDocument/2006/relationships/hyperlink" Target="https://www.coingecko.com/pt/termos" TargetMode="External"/><Relationship Id="rId1369" Type="http://schemas.openxmlformats.org/officeDocument/2006/relationships/hyperlink" Target="https://www.coingecko.com/pt/moedas/uniswap" TargetMode="External"/><Relationship Id="rId1576" Type="http://schemas.openxmlformats.org/officeDocument/2006/relationships/hyperlink" Target="https://www.coingecko.com/pt/api" TargetMode="External"/><Relationship Id="rId2115" Type="http://schemas.openxmlformats.org/officeDocument/2006/relationships/hyperlink" Target="https://www.coingecko.com/pt/c%C3%A2mbios/bingx" TargetMode="External"/><Relationship Id="rId2322" Type="http://schemas.openxmlformats.org/officeDocument/2006/relationships/hyperlink" Target="https://www.coingecko.com/pt/moedas/doge-killer" TargetMode="External"/><Relationship Id="rId501" Type="http://schemas.openxmlformats.org/officeDocument/2006/relationships/hyperlink" Target="https://etherscan.io/token/0x514910771af9ca656af840dff83e8264ecf986ca?a=0xe0b66bFc7344a80152BfeC954942E2926A6FcA80" TargetMode="External"/><Relationship Id="rId946" Type="http://schemas.openxmlformats.org/officeDocument/2006/relationships/hyperlink" Target="https://twitter.com/coingecko" TargetMode="External"/><Relationship Id="rId1131" Type="http://schemas.openxmlformats.org/officeDocument/2006/relationships/hyperlink" Target="https://www.coingecko.com/pt" TargetMode="External"/><Relationship Id="rId1229" Type="http://schemas.openxmlformats.org/officeDocument/2006/relationships/hyperlink" Target="https://www.coingecko.com/pt/moedas/pixels" TargetMode="External"/><Relationship Id="rId1783" Type="http://schemas.openxmlformats.org/officeDocument/2006/relationships/hyperlink" Target="https://stacks-node-api.mainnet.stacks.co/extended/v1/stx_supply" TargetMode="External"/><Relationship Id="rId1990" Type="http://schemas.openxmlformats.org/officeDocument/2006/relationships/hyperlink" Target="https://br.beincrypto.com/dogecoin-pepe-optimism-e-mais-5-criptomoedas-para-ficar-de-olho-hoje/" TargetMode="External"/><Relationship Id="rId2627" Type="http://schemas.openxmlformats.org/officeDocument/2006/relationships/hyperlink" Target="https://exchange.pointpay.io/trade-classic/LDO_USDTreferral/40d2c818-a4e9-4834-bcda-c4f11a1b243d" TargetMode="External"/><Relationship Id="rId75" Type="http://schemas.openxmlformats.org/officeDocument/2006/relationships/hyperlink" Target="https://portaldobitcoin.uol.com.br/governo-dos-eua-esta-investigando-jack-dorsey-por-negocios-com-bitcoin/" TargetMode="External"/><Relationship Id="rId806" Type="http://schemas.openxmlformats.org/officeDocument/2006/relationships/hyperlink" Target="https://www.coingecko.com/pt/c%C3%A2mbios" TargetMode="External"/><Relationship Id="rId1436" Type="http://schemas.openxmlformats.org/officeDocument/2006/relationships/hyperlink" Target="https://t.me/coingecko" TargetMode="External"/><Relationship Id="rId1643" Type="http://schemas.openxmlformats.org/officeDocument/2006/relationships/hyperlink" Target="https://www.coingecko.com/learn/complete-beginners-guide-to-metamask" TargetMode="External"/><Relationship Id="rId1850" Type="http://schemas.openxmlformats.org/officeDocument/2006/relationships/hyperlink" Target="https://www.coingecko.com/pt/moedas/bitcoin" TargetMode="External"/><Relationship Id="rId1503" Type="http://schemas.openxmlformats.org/officeDocument/2006/relationships/hyperlink" Target="https://www.coingecko.com/pt/c%C3%A2mbios/orangex" TargetMode="External"/><Relationship Id="rId1710" Type="http://schemas.openxmlformats.org/officeDocument/2006/relationships/hyperlink" Target="https://www.coingecko.com/pt/moedas/bitcoin" TargetMode="External"/><Relationship Id="rId1948" Type="http://schemas.openxmlformats.org/officeDocument/2006/relationships/hyperlink" Target="https://bitcointalk.org/index.php?topic=361813.0" TargetMode="External"/><Relationship Id="rId291" Type="http://schemas.openxmlformats.org/officeDocument/2006/relationships/hyperlink" Target="https://www.coingecko.com/pt/api" TargetMode="External"/><Relationship Id="rId1808" Type="http://schemas.openxmlformats.org/officeDocument/2006/relationships/hyperlink" Target="https://bingx.com/en-us/spot/STXUSDT?ch=cgk_organic" TargetMode="External"/><Relationship Id="rId151" Type="http://schemas.openxmlformats.org/officeDocument/2006/relationships/hyperlink" Target="https://t.me/coingecko" TargetMode="External"/><Relationship Id="rId389" Type="http://schemas.openxmlformats.org/officeDocument/2006/relationships/hyperlink" Target="https://br.beincrypto.com/dogecoin-solana-xrp-interesse-cai/" TargetMode="External"/><Relationship Id="rId596" Type="http://schemas.openxmlformats.org/officeDocument/2006/relationships/hyperlink" Target="https://www.coingecko.com/pt/moedas/solana" TargetMode="External"/><Relationship Id="rId2277" Type="http://schemas.openxmlformats.org/officeDocument/2006/relationships/hyperlink" Target="https://www.bitvenus.me/exchange/SHIB/USDT?register/vh2osI" TargetMode="External"/><Relationship Id="rId2484" Type="http://schemas.openxmlformats.org/officeDocument/2006/relationships/hyperlink" Target="https://coinmarketcap.com/pt-br/currencies/ondo-finance/" TargetMode="External"/><Relationship Id="rId2691" Type="http://schemas.openxmlformats.org/officeDocument/2006/relationships/hyperlink" Target="https://www.coingecko.com/en/coins/lido-dao/gbp" TargetMode="External"/><Relationship Id="rId249" Type="http://schemas.openxmlformats.org/officeDocument/2006/relationships/hyperlink" Target="https://www.coingecko.com/pt/moedas/polygon" TargetMode="External"/><Relationship Id="rId456" Type="http://schemas.openxmlformats.org/officeDocument/2006/relationships/hyperlink" Target="https://www.coingecko.com/pt/sobre" TargetMode="External"/><Relationship Id="rId663" Type="http://schemas.openxmlformats.org/officeDocument/2006/relationships/hyperlink" Target="https://www.geckoterminal.com/?utm_source=coingecko&amp;utm_medium=referral&amp;utm_campaign=desktop_navigation" TargetMode="External"/><Relationship Id="rId870" Type="http://schemas.openxmlformats.org/officeDocument/2006/relationships/hyperlink" Target="https://www.criptofacil.com/immutable-programa-de-recompensas-oferece-us-50-mil-para-jogadores/" TargetMode="External"/><Relationship Id="rId1086" Type="http://schemas.openxmlformats.org/officeDocument/2006/relationships/hyperlink" Target="https://www.coingecko.com/pt/moedas/bittensor" TargetMode="External"/><Relationship Id="rId1293" Type="http://schemas.openxmlformats.org/officeDocument/2006/relationships/hyperlink" Target="https://www.coingecko.com/pt/candy" TargetMode="External"/><Relationship Id="rId2137" Type="http://schemas.openxmlformats.org/officeDocument/2006/relationships/hyperlink" Target="https://www.kucoin.com/trade/WIF-USDT?rcode=e21sNJ" TargetMode="External"/><Relationship Id="rId2344" Type="http://schemas.openxmlformats.org/officeDocument/2006/relationships/hyperlink" Target="https://www.coingecko.com/pt/moedas/bitcoin" TargetMode="External"/><Relationship Id="rId2551" Type="http://schemas.openxmlformats.org/officeDocument/2006/relationships/hyperlink" Target="https://coinmarketcap.com/pt-br/currencies/bitcoin/" TargetMode="External"/><Relationship Id="rId2789" Type="http://schemas.openxmlformats.org/officeDocument/2006/relationships/queryTable" Target="../queryTables/queryTable10.xml"/><Relationship Id="rId109" Type="http://schemas.openxmlformats.org/officeDocument/2006/relationships/hyperlink" Target="https://www.coingecko.com/pt/moedas/bitcoin" TargetMode="External"/><Relationship Id="rId316" Type="http://schemas.openxmlformats.org/officeDocument/2006/relationships/hyperlink" Target="https://www.tiktok.com/@coingeckotv" TargetMode="External"/><Relationship Id="rId523" Type="http://schemas.openxmlformats.org/officeDocument/2006/relationships/hyperlink" Target="https://gemwallet.com/" TargetMode="External"/><Relationship Id="rId968" Type="http://schemas.openxmlformats.org/officeDocument/2006/relationships/hyperlink" Target="https://gcko.io/search-survey" TargetMode="External"/><Relationship Id="rId1153" Type="http://schemas.openxmlformats.org/officeDocument/2006/relationships/hyperlink" Target="https://t.me/PolygonAnnouncements" TargetMode="External"/><Relationship Id="rId1598" Type="http://schemas.openxmlformats.org/officeDocument/2006/relationships/hyperlink" Target="https://discord.gg/EhrkaCH" TargetMode="External"/><Relationship Id="rId2204" Type="http://schemas.openxmlformats.org/officeDocument/2006/relationships/hyperlink" Target="https://www.coingecko.com/pt/sobre" TargetMode="External"/><Relationship Id="rId2649" Type="http://schemas.openxmlformats.org/officeDocument/2006/relationships/hyperlink" Target="https://www.coingecko.com/en/exchanges/okx" TargetMode="External"/><Relationship Id="rId97" Type="http://schemas.openxmlformats.org/officeDocument/2006/relationships/hyperlink" Target="https://www.coingecko.com/pt/moedas/cardano" TargetMode="External"/><Relationship Id="rId730" Type="http://schemas.openxmlformats.org/officeDocument/2006/relationships/hyperlink" Target="https://www.coingecko.com/pt/moedas/gnosis" TargetMode="External"/><Relationship Id="rId828" Type="http://schemas.openxmlformats.org/officeDocument/2006/relationships/hyperlink" Target="https://forms.gle/ULNnnCGCEAimK9cJ7" TargetMode="External"/><Relationship Id="rId1013" Type="http://schemas.openxmlformats.org/officeDocument/2006/relationships/hyperlink" Target="https://crypto.com/exchange/trade/spot/GALA_USDT" TargetMode="External"/><Relationship Id="rId1360" Type="http://schemas.openxmlformats.org/officeDocument/2006/relationships/hyperlink" Target="https://br.beincrypto.com/altcoins-formaram-fundo-e-estao-prontas-para-bull-run/" TargetMode="External"/><Relationship Id="rId1458" Type="http://schemas.openxmlformats.org/officeDocument/2006/relationships/hyperlink" Target="https://www.coingecko.com/pt" TargetMode="External"/><Relationship Id="rId1665" Type="http://schemas.openxmlformats.org/officeDocument/2006/relationships/hyperlink" Target="https://www.coingecko.com/pt/c%C3%A2mbios/bingx" TargetMode="External"/><Relationship Id="rId1872" Type="http://schemas.openxmlformats.org/officeDocument/2006/relationships/hyperlink" Target="https://www.coingecko.com/pt/moedas/degen-base" TargetMode="External"/><Relationship Id="rId2411" Type="http://schemas.openxmlformats.org/officeDocument/2006/relationships/hyperlink" Target="https://www.google.com/search?client=firefox-b-d&amp;sca_esv=8f14c8c94b33adc6&amp;sca_upv=1&amp;ie=UTF-8&amp;q=dollar+hoje" TargetMode="External"/><Relationship Id="rId2509" Type="http://schemas.openxmlformats.org/officeDocument/2006/relationships/hyperlink" Target="https://coinmarketcap.com/pt-br/currencies/niza-global/" TargetMode="External"/><Relationship Id="rId2716" Type="http://schemas.openxmlformats.org/officeDocument/2006/relationships/hyperlink" Target="https://www.coingecko.com/en/coins/dione" TargetMode="External"/><Relationship Id="rId1220" Type="http://schemas.openxmlformats.org/officeDocument/2006/relationships/hyperlink" Target="https://www.coingecko.com/pt/moedas/axie-infinity" TargetMode="External"/><Relationship Id="rId1318" Type="http://schemas.openxmlformats.org/officeDocument/2006/relationships/hyperlink" Target="https://www.coingecko.com/pt/categories/layer-2" TargetMode="External"/><Relationship Id="rId1525" Type="http://schemas.openxmlformats.org/officeDocument/2006/relationships/hyperlink" Target="https://www.coingecko.com/pt/moedas/arbitrum/brl" TargetMode="External"/><Relationship Id="rId1732" Type="http://schemas.openxmlformats.org/officeDocument/2006/relationships/hyperlink" Target="https://www.coingecko.com/pt/cryptocurrency-heatmap" TargetMode="External"/><Relationship Id="rId24" Type="http://schemas.openxmlformats.org/officeDocument/2006/relationships/hyperlink" Target="https://www.bitcoin.org/" TargetMode="External"/><Relationship Id="rId2299" Type="http://schemas.openxmlformats.org/officeDocument/2006/relationships/hyperlink" Target="https://www.criptofacil.com/previsao-de-preco-das-3-principais-memecoins-dogecoin-shiba-inu-e-bonk/" TargetMode="External"/><Relationship Id="rId173" Type="http://schemas.openxmlformats.org/officeDocument/2006/relationships/hyperlink" Target="https://www.coingecko.com/pt" TargetMode="External"/><Relationship Id="rId380" Type="http://schemas.openxmlformats.org/officeDocument/2006/relationships/hyperlink" Target="https://www.okx.com/trade-spot/sol-usdt?channelid=1902090" TargetMode="External"/><Relationship Id="rId2061" Type="http://schemas.openxmlformats.org/officeDocument/2006/relationships/hyperlink" Target="https://blog.coingecko.com/" TargetMode="External"/><Relationship Id="rId240" Type="http://schemas.openxmlformats.org/officeDocument/2006/relationships/hyperlink" Target="https://www.coingecko.com/pt/moedas/ethereum/brl" TargetMode="External"/><Relationship Id="rId478" Type="http://schemas.openxmlformats.org/officeDocument/2006/relationships/hyperlink" Target="https://www.coingecko.com/pt/c%C3%A2mbios" TargetMode="External"/><Relationship Id="rId685" Type="http://schemas.openxmlformats.org/officeDocument/2006/relationships/hyperlink" Target="https://twitter.com/search?q=$RON" TargetMode="External"/><Relationship Id="rId892" Type="http://schemas.openxmlformats.org/officeDocument/2006/relationships/hyperlink" Target="https://www.coingecko.com/pt/moedas/wax" TargetMode="External"/><Relationship Id="rId2159" Type="http://schemas.openxmlformats.org/officeDocument/2006/relationships/hyperlink" Target="https://www.coingecko.com/pt/moedas/mew" TargetMode="External"/><Relationship Id="rId2366" Type="http://schemas.openxmlformats.org/officeDocument/2006/relationships/hyperlink" Target="https://www.coingecko.com/pt/cryptocurrency-heatmap" TargetMode="External"/><Relationship Id="rId2573" Type="http://schemas.openxmlformats.org/officeDocument/2006/relationships/hyperlink" Target="https://coinmarketcap.com/pt-br/methodology/" TargetMode="External"/><Relationship Id="rId2780" Type="http://schemas.openxmlformats.org/officeDocument/2006/relationships/queryTable" Target="../queryTables/queryTable1.xml"/><Relationship Id="rId100" Type="http://schemas.openxmlformats.org/officeDocument/2006/relationships/hyperlink" Target="https://www.coingecko.com/pt/moedas/solana" TargetMode="External"/><Relationship Id="rId338" Type="http://schemas.openxmlformats.org/officeDocument/2006/relationships/hyperlink" Target="https://www.coingecko.com/pt/metodologia" TargetMode="External"/><Relationship Id="rId545" Type="http://schemas.openxmlformats.org/officeDocument/2006/relationships/hyperlink" Target="https://www.bitvenus.me/exchange/LINK/USDT?register/vh2osI" TargetMode="External"/><Relationship Id="rId752" Type="http://schemas.openxmlformats.org/officeDocument/2006/relationships/hyperlink" Target="https://www.coingecko.com/pt/moedas/bitcoin" TargetMode="External"/><Relationship Id="rId1175" Type="http://schemas.openxmlformats.org/officeDocument/2006/relationships/hyperlink" Target="https://www.coingecko.com/pt/c%C3%A2mbios/azbit" TargetMode="External"/><Relationship Id="rId1382" Type="http://schemas.openxmlformats.org/officeDocument/2006/relationships/hyperlink" Target="https://www.coingecko.com/pt/moedas/ribbon-finance" TargetMode="External"/><Relationship Id="rId2019" Type="http://schemas.openxmlformats.org/officeDocument/2006/relationships/hyperlink" Target="https://www.coingecko.com/pt/moedas/solana" TargetMode="External"/><Relationship Id="rId2226" Type="http://schemas.openxmlformats.org/officeDocument/2006/relationships/hyperlink" Target="https://www.coingecko.com/pt/c%C3%A2mbios" TargetMode="External"/><Relationship Id="rId2433" Type="http://schemas.openxmlformats.org/officeDocument/2006/relationships/hyperlink" Target="https://coinmarketcap.com/pt-br/rankings/exchanges/" TargetMode="External"/><Relationship Id="rId2640" Type="http://schemas.openxmlformats.org/officeDocument/2006/relationships/hyperlink" Target="https://www.coingecko.com/en/exchanges/binance" TargetMode="External"/><Relationship Id="rId405" Type="http://schemas.openxmlformats.org/officeDocument/2006/relationships/hyperlink" Target="https://www.coingecko.com/pt/moedas/usdc" TargetMode="External"/><Relationship Id="rId612" Type="http://schemas.openxmlformats.org/officeDocument/2006/relationships/hyperlink" Target="https://www.coingecko.com/pt/moedas/bitcoin" TargetMode="External"/><Relationship Id="rId1035" Type="http://schemas.openxmlformats.org/officeDocument/2006/relationships/hyperlink" Target="https://hpg.com.br/hbtc-huobi-btc-criptomoeda-projeto-onde-comprar-vai-subir-em-2024.html" TargetMode="External"/><Relationship Id="rId1242" Type="http://schemas.openxmlformats.org/officeDocument/2006/relationships/hyperlink" Target="https://www.coingecko.com/pt/moedas/degen-base" TargetMode="External"/><Relationship Id="rId1687" Type="http://schemas.openxmlformats.org/officeDocument/2006/relationships/hyperlink" Target="https://www.coingecko.com/pt/moedas/axie-infinity" TargetMode="External"/><Relationship Id="rId1894" Type="http://schemas.openxmlformats.org/officeDocument/2006/relationships/hyperlink" Target="https://gcko.io/coingeckoads" TargetMode="External"/><Relationship Id="rId2500" Type="http://schemas.openxmlformats.org/officeDocument/2006/relationships/hyperlink" Target="https://coinmarketcap.com/pt-br/currencies/olympus/" TargetMode="External"/><Relationship Id="rId2738" Type="http://schemas.openxmlformats.org/officeDocument/2006/relationships/hyperlink" Target="https://www.coingecko.com/en/coins/pendle" TargetMode="External"/><Relationship Id="rId917" Type="http://schemas.openxmlformats.org/officeDocument/2006/relationships/hyperlink" Target="https://www.coingecko.com/pt/moedas/wormhole" TargetMode="External"/><Relationship Id="rId1102" Type="http://schemas.openxmlformats.org/officeDocument/2006/relationships/hyperlink" Target="https://www.coingecko.com/pt/branding" TargetMode="External"/><Relationship Id="rId1547" Type="http://schemas.openxmlformats.org/officeDocument/2006/relationships/hyperlink" Target="https://www.coingecko.com/pt/moedas/dione" TargetMode="External"/><Relationship Id="rId1754" Type="http://schemas.openxmlformats.org/officeDocument/2006/relationships/hyperlink" Target="https://www.reddit.com/r/coingecko/" TargetMode="External"/><Relationship Id="rId1961" Type="http://schemas.openxmlformats.org/officeDocument/2006/relationships/hyperlink" Target="https://www.digifinex.com/en-ww/trade/USDT/DOGE" TargetMode="External"/><Relationship Id="rId46" Type="http://schemas.openxmlformats.org/officeDocument/2006/relationships/hyperlink" Target="https://www.bitget.com/spot/BTCUSDT?channelCode=42xn&amp;vipCode=sq59&amp;languageType=0" TargetMode="External"/><Relationship Id="rId1407" Type="http://schemas.openxmlformats.org/officeDocument/2006/relationships/hyperlink" Target="https://www.coingecko.com/pt/moedas/aerodrome-finance" TargetMode="External"/><Relationship Id="rId1614" Type="http://schemas.openxmlformats.org/officeDocument/2006/relationships/hyperlink" Target="https://www.coingecko.com/pt/portfolio" TargetMode="External"/><Relationship Id="rId1821" Type="http://schemas.openxmlformats.org/officeDocument/2006/relationships/hyperlink" Target="https://www.coingecko.com/pt/c%C3%A2mbios/coinbase-exchange" TargetMode="External"/><Relationship Id="rId195" Type="http://schemas.openxmlformats.org/officeDocument/2006/relationships/hyperlink" Target="https://www.binance.com/en/trade/ETH_USDT?ref=37754157" TargetMode="External"/><Relationship Id="rId1919" Type="http://schemas.openxmlformats.org/officeDocument/2006/relationships/hyperlink" Target="https://coingecko.app.link/lTInCXLGz4" TargetMode="External"/><Relationship Id="rId2083" Type="http://schemas.openxmlformats.org/officeDocument/2006/relationships/hyperlink" Target="https://www.coingecko.com/pt/premium/pricing" TargetMode="External"/><Relationship Id="rId2290" Type="http://schemas.openxmlformats.org/officeDocument/2006/relationships/hyperlink" Target="https://www.coingecko.com/pt/c%C3%A2mbios/coinbase-exchange" TargetMode="External"/><Relationship Id="rId2388" Type="http://schemas.openxmlformats.org/officeDocument/2006/relationships/hyperlink" Target="https://www.reddit.com/r/coingecko/" TargetMode="External"/><Relationship Id="rId2595" Type="http://schemas.openxmlformats.org/officeDocument/2006/relationships/hyperlink" Target="https://www.coingecko.com/en/candy" TargetMode="External"/><Relationship Id="rId262" Type="http://schemas.openxmlformats.org/officeDocument/2006/relationships/hyperlink" Target="https://www.coingecko.com/pt/moedas/dione" TargetMode="External"/><Relationship Id="rId567" Type="http://schemas.openxmlformats.org/officeDocument/2006/relationships/hyperlink" Target="https://br.beincrypto.com/altcoins-formaram-fundo-e-estao-prontas-para-bull-run/" TargetMode="External"/><Relationship Id="rId1197" Type="http://schemas.openxmlformats.org/officeDocument/2006/relationships/hyperlink" Target="https://www.cryptopolitan.com/pt/investidores-polygon-matic-e-ripple-xrp-recorrem-ao-etfswap-etfs-para-obter-um-enorme-retorno-sobre-o-investimento-de-100x/" TargetMode="External"/><Relationship Id="rId2150" Type="http://schemas.openxmlformats.org/officeDocument/2006/relationships/hyperlink" Target="https://www.coingecko.com/pt/moedas/bonk" TargetMode="External"/><Relationship Id="rId2248" Type="http://schemas.openxmlformats.org/officeDocument/2006/relationships/hyperlink" Target="https://etherscan.io/token/0x95ad61b0a150d79219dcf64e1e6cc01f0b64c4ce?a=0x556219c84974ada96e9382e041bac26398d9e214" TargetMode="External"/><Relationship Id="rId122" Type="http://schemas.openxmlformats.org/officeDocument/2006/relationships/hyperlink" Target="https://www.coingecko.com/pt/moedas/pepe" TargetMode="External"/><Relationship Id="rId774" Type="http://schemas.openxmlformats.org/officeDocument/2006/relationships/hyperlink" Target="https://www.coingecko.com/pt/news" TargetMode="External"/><Relationship Id="rId981" Type="http://schemas.openxmlformats.org/officeDocument/2006/relationships/hyperlink" Target="https://news.gala.com/" TargetMode="External"/><Relationship Id="rId1057" Type="http://schemas.openxmlformats.org/officeDocument/2006/relationships/hyperlink" Target="https://www.coingecko.com/pt/moedas/solana" TargetMode="External"/><Relationship Id="rId2010" Type="http://schemas.openxmlformats.org/officeDocument/2006/relationships/hyperlink" Target="https://www.coingecko.com/pt/moedas/optimus-ai" TargetMode="External"/><Relationship Id="rId2455" Type="http://schemas.openxmlformats.org/officeDocument/2006/relationships/hyperlink" Target="https://support.coinmarketcap.com/hc/en-us/articles/16945563933723-CMC-Priority-CMCP-for-page-updates" TargetMode="External"/><Relationship Id="rId2662" Type="http://schemas.openxmlformats.org/officeDocument/2006/relationships/hyperlink" Target="https://coingape.com/markets/2-crypto-to-buy-to-complete-1-portfolio-in-may/" TargetMode="External"/><Relationship Id="rId427" Type="http://schemas.openxmlformats.org/officeDocument/2006/relationships/hyperlink" Target="https://www.coingecko.com/pt/moedas/degen-base" TargetMode="External"/><Relationship Id="rId634" Type="http://schemas.openxmlformats.org/officeDocument/2006/relationships/hyperlink" Target="https://hackenproof.com/coingecko/coingecko" TargetMode="External"/><Relationship Id="rId841" Type="http://schemas.openxmlformats.org/officeDocument/2006/relationships/hyperlink" Target="https://www.coingecko.com/pt/c%C3%A2mbios/orangex" TargetMode="External"/><Relationship Id="rId1264" Type="http://schemas.openxmlformats.org/officeDocument/2006/relationships/hyperlink" Target="https://www.coingecko.com/pt/sobre" TargetMode="External"/><Relationship Id="rId1471" Type="http://schemas.openxmlformats.org/officeDocument/2006/relationships/hyperlink" Target="https://gemwallet.com/" TargetMode="External"/><Relationship Id="rId1569" Type="http://schemas.openxmlformats.org/officeDocument/2006/relationships/hyperlink" Target="https://www.coingecko.com/pt/moedas/wormhole" TargetMode="External"/><Relationship Id="rId2108" Type="http://schemas.openxmlformats.org/officeDocument/2006/relationships/hyperlink" Target="https://www.coingecko.com/pt/c%C3%A2mbios/binance" TargetMode="External"/><Relationship Id="rId2315" Type="http://schemas.openxmlformats.org/officeDocument/2006/relationships/hyperlink" Target="https://www.coingecko.com/pt/moedas/shiba-inu/eur" TargetMode="External"/><Relationship Id="rId2522" Type="http://schemas.openxmlformats.org/officeDocument/2006/relationships/hyperlink" Target="https://coinmarketcap.com/pt-br/currencies/waves/" TargetMode="External"/><Relationship Id="rId701" Type="http://schemas.openxmlformats.org/officeDocument/2006/relationships/hyperlink" Target="https://www.coingecko.com/pt/c%C3%A2mbios/digifinex" TargetMode="External"/><Relationship Id="rId939" Type="http://schemas.openxmlformats.org/officeDocument/2006/relationships/hyperlink" Target="https://blog.coingecko.com/" TargetMode="External"/><Relationship Id="rId1124" Type="http://schemas.openxmlformats.org/officeDocument/2006/relationships/hyperlink" Target="https://coingecko.app.link/lTInCXLGz4" TargetMode="External"/><Relationship Id="rId1331" Type="http://schemas.openxmlformats.org/officeDocument/2006/relationships/hyperlink" Target="https://www.binance.com/en/trade/OP_USDT?ref=37754157" TargetMode="External"/><Relationship Id="rId1776" Type="http://schemas.openxmlformats.org/officeDocument/2006/relationships/hyperlink" Target="https://www.tradingview.com/?aff_id=132489" TargetMode="External"/><Relationship Id="rId1983" Type="http://schemas.openxmlformats.org/officeDocument/2006/relationships/hyperlink" Target="https://www.criptofacil.com/previsao-de-preco-das-3-principais-memecoins-dogecoin-shiba-inu-e-bonk/" TargetMode="External"/><Relationship Id="rId68" Type="http://schemas.openxmlformats.org/officeDocument/2006/relationships/hyperlink" Target="https://portaldobitcoin.uol.com.br/microstrategy-cria-id-descentralizada-na-blockchain-do-bitcoin/" TargetMode="External"/><Relationship Id="rId1429" Type="http://schemas.openxmlformats.org/officeDocument/2006/relationships/hyperlink" Target="https://www.coingecko.com/pt/branding" TargetMode="External"/><Relationship Id="rId1636" Type="http://schemas.openxmlformats.org/officeDocument/2006/relationships/hyperlink" Target="https://discord.gg/rendernetwork" TargetMode="External"/><Relationship Id="rId1843" Type="http://schemas.openxmlformats.org/officeDocument/2006/relationships/hyperlink" Target="https://www.coingecko.com/pt/moedas/elastos" TargetMode="External"/><Relationship Id="rId1703" Type="http://schemas.openxmlformats.org/officeDocument/2006/relationships/hyperlink" Target="https://www.coingecko.com/pt/moedas/dione" TargetMode="External"/><Relationship Id="rId1910" Type="http://schemas.openxmlformats.org/officeDocument/2006/relationships/hyperlink" Target="https://t.me/coingecko" TargetMode="External"/><Relationship Id="rId284" Type="http://schemas.openxmlformats.org/officeDocument/2006/relationships/hyperlink" Target="https://www.coingecko.com/pt/moedas/bittensor" TargetMode="External"/><Relationship Id="rId491" Type="http://schemas.openxmlformats.org/officeDocument/2006/relationships/hyperlink" Target="https://www.geckoterminal.com/eth/tokens/0x514910771af9ca656af840dff83e8264ecf986ca?utm_source=coingecko&amp;utm_medium=referral&amp;utm_campaign=livechart-btn" TargetMode="External"/><Relationship Id="rId2172" Type="http://schemas.openxmlformats.org/officeDocument/2006/relationships/hyperlink" Target="https://www.coingecko.com/pt/moedas/bitcoin" TargetMode="External"/><Relationship Id="rId144" Type="http://schemas.openxmlformats.org/officeDocument/2006/relationships/hyperlink" Target="https://www.coingecko.com/pt/branding" TargetMode="External"/><Relationship Id="rId589" Type="http://schemas.openxmlformats.org/officeDocument/2006/relationships/hyperlink" Target="https://www.coingecko.com/pt/moedas/akash-network" TargetMode="External"/><Relationship Id="rId796" Type="http://schemas.openxmlformats.org/officeDocument/2006/relationships/hyperlink" Target="https://t.me/coingeckonews" TargetMode="External"/><Relationship Id="rId2477" Type="http://schemas.openxmlformats.org/officeDocument/2006/relationships/hyperlink" Target="https://coinmarketcap.com/pt-br/currencies/bitget-token-new/" TargetMode="External"/><Relationship Id="rId2684" Type="http://schemas.openxmlformats.org/officeDocument/2006/relationships/hyperlink" Target="https://www.coingecko.com/learn/what-is-liquid-staking-liquid-staked-derivatives-you-need-to-know" TargetMode="External"/><Relationship Id="rId351" Type="http://schemas.openxmlformats.org/officeDocument/2006/relationships/hyperlink" Target="https://www.coingecko.com/pt/c%C3%A2mbios/binance" TargetMode="External"/><Relationship Id="rId449" Type="http://schemas.openxmlformats.org/officeDocument/2006/relationships/hyperlink" Target="https://www.coingecko.com/pt/api" TargetMode="External"/><Relationship Id="rId656" Type="http://schemas.openxmlformats.org/officeDocument/2006/relationships/hyperlink" Target="https://coingecko.app.link/lTInCXLGz4" TargetMode="External"/><Relationship Id="rId863" Type="http://schemas.openxmlformats.org/officeDocument/2006/relationships/hyperlink" Target="https://www.xt.com/en/trade/imx_usdt?ref=ZHOJUG5" TargetMode="External"/><Relationship Id="rId1079" Type="http://schemas.openxmlformats.org/officeDocument/2006/relationships/hyperlink" Target="https://www.coingecko.com/pt/moedas/jupiter" TargetMode="External"/><Relationship Id="rId1286" Type="http://schemas.openxmlformats.org/officeDocument/2006/relationships/hyperlink" Target="https://www.coingecko.com/pt/c%C3%A2mbios" TargetMode="External"/><Relationship Id="rId1493" Type="http://schemas.openxmlformats.org/officeDocument/2006/relationships/hyperlink" Target="https://www.coingecko.com/pt/c%C3%A2mbios/bitunix" TargetMode="External"/><Relationship Id="rId2032" Type="http://schemas.openxmlformats.org/officeDocument/2006/relationships/hyperlink" Target="https://www.coingecko.com/pt/moedas/bitcoin" TargetMode="External"/><Relationship Id="rId2337" Type="http://schemas.openxmlformats.org/officeDocument/2006/relationships/hyperlink" Target="https://www.coingecko.com/pt/moedas/dione" TargetMode="External"/><Relationship Id="rId2544" Type="http://schemas.openxmlformats.org/officeDocument/2006/relationships/hyperlink" Target="https://coinmarketcap.com/pt-br/currencies/cardano/" TargetMode="External"/><Relationship Id="rId211" Type="http://schemas.openxmlformats.org/officeDocument/2006/relationships/hyperlink" Target="https://www.coingecko.com/pt/c%C3%A2mbios/kraken" TargetMode="External"/><Relationship Id="rId309" Type="http://schemas.openxmlformats.org/officeDocument/2006/relationships/hyperlink" Target="https://t.me/coingecko" TargetMode="External"/><Relationship Id="rId516" Type="http://schemas.openxmlformats.org/officeDocument/2006/relationships/hyperlink" Target="https://etherscan.io/token/0x514910771af9ca656af840dff83e8264ecf986ca?a=0x55b0ba1994d68C2AB0C01C3332eC9473de296137" TargetMode="External"/><Relationship Id="rId1146" Type="http://schemas.openxmlformats.org/officeDocument/2006/relationships/hyperlink" Target="https://polygon.technology/" TargetMode="External"/><Relationship Id="rId1798" Type="http://schemas.openxmlformats.org/officeDocument/2006/relationships/hyperlink" Target="https://www.coingecko.com/pt/categories/stacks-ecosystem" TargetMode="External"/><Relationship Id="rId2751" Type="http://schemas.openxmlformats.org/officeDocument/2006/relationships/hyperlink" Target="https://hackenproof.com/coingecko/coingecko" TargetMode="External"/><Relationship Id="rId723" Type="http://schemas.openxmlformats.org/officeDocument/2006/relationships/hyperlink" Target="https://www.coingecko.com/pt/moedas/ronin/usd" TargetMode="External"/><Relationship Id="rId930" Type="http://schemas.openxmlformats.org/officeDocument/2006/relationships/hyperlink" Target="https://www.coingecko.com/request" TargetMode="External"/><Relationship Id="rId1006" Type="http://schemas.openxmlformats.org/officeDocument/2006/relationships/hyperlink" Target="https://www.coingecko.com/pt/c%C3%A2mbios/tokocrypto" TargetMode="External"/><Relationship Id="rId1353" Type="http://schemas.openxmlformats.org/officeDocument/2006/relationships/hyperlink" Target="https://www.criptofacil.com/token-da-optimism-dispara-apos-revelacao-entenda/" TargetMode="External"/><Relationship Id="rId1560" Type="http://schemas.openxmlformats.org/officeDocument/2006/relationships/hyperlink" Target="https://www.coingecko.com/pt/moedas/degen-base" TargetMode="External"/><Relationship Id="rId1658" Type="http://schemas.openxmlformats.org/officeDocument/2006/relationships/hyperlink" Target="https://www.orangex.com/spot/RNDR-USDT-SPOT" TargetMode="External"/><Relationship Id="rId1865" Type="http://schemas.openxmlformats.org/officeDocument/2006/relationships/hyperlink" Target="https://www.coingecko.com/pt/moedas/pixels" TargetMode="External"/><Relationship Id="rId2404" Type="http://schemas.openxmlformats.org/officeDocument/2006/relationships/hyperlink" Target="https://www.google.com/url?q=https://br.investing.com/currencies/usd-brl&amp;sa=U&amp;ved=2ahUKEwj_2bOd7u6FAxXSpZUCHUfnDMEQFnoECAgQAg&amp;usg=AOvVaw2LbLtloxWlAtKnPjZeYVY2" TargetMode="External"/><Relationship Id="rId2611" Type="http://schemas.openxmlformats.org/officeDocument/2006/relationships/hyperlink" Target="https://forms.gle/ULNnnCGCEAimK9cJ7" TargetMode="External"/><Relationship Id="rId2709" Type="http://schemas.openxmlformats.org/officeDocument/2006/relationships/hyperlink" Target="https://www.coingecko.com/en/coins/stride" TargetMode="External"/><Relationship Id="rId1213" Type="http://schemas.openxmlformats.org/officeDocument/2006/relationships/hyperlink" Target="https://www.coingecko.com/pt/moedas/fetch-ai" TargetMode="External"/><Relationship Id="rId1420" Type="http://schemas.openxmlformats.org/officeDocument/2006/relationships/hyperlink" Target="https://gcko.io/coingeckoads" TargetMode="External"/><Relationship Id="rId1518" Type="http://schemas.openxmlformats.org/officeDocument/2006/relationships/hyperlink" Target="https://www.cryptopolitan.com/pt/hackerleak-milhoes-do-protocolo-de-rendimento/" TargetMode="External"/><Relationship Id="rId1725" Type="http://schemas.openxmlformats.org/officeDocument/2006/relationships/hyperlink" Target="https://www.coingecko.com/pt/moedas/bittensor" TargetMode="External"/><Relationship Id="rId1932" Type="http://schemas.openxmlformats.org/officeDocument/2006/relationships/hyperlink" Target="https://www.coingecko.com/pt" TargetMode="External"/><Relationship Id="rId17" Type="http://schemas.openxmlformats.org/officeDocument/2006/relationships/hyperlink" Target="https://www.coingecko.com/pt/metodologia" TargetMode="External"/><Relationship Id="rId2194" Type="http://schemas.openxmlformats.org/officeDocument/2006/relationships/hyperlink" Target="https://www.coingecko.com/pt/news" TargetMode="External"/><Relationship Id="rId166" Type="http://schemas.openxmlformats.org/officeDocument/2006/relationships/hyperlink" Target="https://coingecko.app.link/lTInCXLGz4" TargetMode="External"/><Relationship Id="rId373" Type="http://schemas.openxmlformats.org/officeDocument/2006/relationships/hyperlink" Target="https://www.coingecko.com/pt/c%C3%A2mbios/coinbase-exchange" TargetMode="External"/><Relationship Id="rId580" Type="http://schemas.openxmlformats.org/officeDocument/2006/relationships/hyperlink" Target="https://www.coingecko.com/pt/moedas/usdc" TargetMode="External"/><Relationship Id="rId2054" Type="http://schemas.openxmlformats.org/officeDocument/2006/relationships/hyperlink" Target="https://www.coingecko.com/pt/candy/partners-getting-started" TargetMode="External"/><Relationship Id="rId2261" Type="http://schemas.openxmlformats.org/officeDocument/2006/relationships/hyperlink" Target="https://twitter.com/Shibtoken" TargetMode="External"/><Relationship Id="rId2499" Type="http://schemas.openxmlformats.org/officeDocument/2006/relationships/hyperlink" Target="https://coinmarketcap.com/pt-br/currencies/olympus/" TargetMode="External"/><Relationship Id="rId1" Type="http://schemas.openxmlformats.org/officeDocument/2006/relationships/hyperlink" Target="https://www.coingecko.com/pt" TargetMode="External"/><Relationship Id="rId233" Type="http://schemas.openxmlformats.org/officeDocument/2006/relationships/hyperlink" Target="https://br.beincrypto.com/gary-gensler-misled-congress-ethereum/" TargetMode="External"/><Relationship Id="rId440" Type="http://schemas.openxmlformats.org/officeDocument/2006/relationships/hyperlink" Target="https://www.coingecko.com/pt/moedas/bittensor" TargetMode="External"/><Relationship Id="rId678" Type="http://schemas.openxmlformats.org/officeDocument/2006/relationships/hyperlink" Target="https://skynet-api.roninchain.com/ronin/supplies/query?q=circulatingSupply" TargetMode="External"/><Relationship Id="rId885" Type="http://schemas.openxmlformats.org/officeDocument/2006/relationships/hyperlink" Target="https://www.coingecko.com/pt/moedas/ronin" TargetMode="External"/><Relationship Id="rId1070" Type="http://schemas.openxmlformats.org/officeDocument/2006/relationships/hyperlink" Target="https://www.coingecko.com/pt/moedas/pepe" TargetMode="External"/><Relationship Id="rId2121" Type="http://schemas.openxmlformats.org/officeDocument/2006/relationships/hyperlink" Target="https://www.coingecko.com/pt/c%C3%A2mbios/whitebit" TargetMode="External"/><Relationship Id="rId2359" Type="http://schemas.openxmlformats.org/officeDocument/2006/relationships/hyperlink" Target="https://www.coingecko.com/pt/moedas/bittensor" TargetMode="External"/><Relationship Id="rId2566" Type="http://schemas.openxmlformats.org/officeDocument/2006/relationships/hyperlink" Target="https://coinmarketcap.com/events/advertise/" TargetMode="External"/><Relationship Id="rId2773" Type="http://schemas.openxmlformats.org/officeDocument/2006/relationships/hyperlink" Target="https://coingecko.app.link/lTInCXLGz4" TargetMode="External"/><Relationship Id="rId300" Type="http://schemas.openxmlformats.org/officeDocument/2006/relationships/hyperlink" Target="https://careers.coingecko.com/" TargetMode="External"/><Relationship Id="rId538" Type="http://schemas.openxmlformats.org/officeDocument/2006/relationships/hyperlink" Target="https://www.coingecko.com/pt/c%C3%A2mbios/hotcoin-global" TargetMode="External"/><Relationship Id="rId745" Type="http://schemas.openxmlformats.org/officeDocument/2006/relationships/hyperlink" Target="https://www.coingecko.com/pt/moedas/solana" TargetMode="External"/><Relationship Id="rId952" Type="http://schemas.openxmlformats.org/officeDocument/2006/relationships/hyperlink" Target="https://www.facebook.com/coingecko" TargetMode="External"/><Relationship Id="rId1168" Type="http://schemas.openxmlformats.org/officeDocument/2006/relationships/hyperlink" Target="https://www.coingecko.com/pt/c%C3%A2mbios/binance" TargetMode="External"/><Relationship Id="rId1375" Type="http://schemas.openxmlformats.org/officeDocument/2006/relationships/hyperlink" Target="https://www.coingecko.com/pt/moedas/maker" TargetMode="External"/><Relationship Id="rId1582" Type="http://schemas.openxmlformats.org/officeDocument/2006/relationships/hyperlink" Target="https://www.coingecko.com/pt/faq" TargetMode="External"/><Relationship Id="rId2219" Type="http://schemas.openxmlformats.org/officeDocument/2006/relationships/hyperlink" Target="https://discord.gg/EhrkaCH" TargetMode="External"/><Relationship Id="rId2426" Type="http://schemas.openxmlformats.org/officeDocument/2006/relationships/hyperlink" Target="https://www.google.com/search?q=dollar&amp;client=firefox-b-d&amp;sca_esv=8f14c8c94b33adc6&amp;sca_upv=1&amp;ie=UTF-8&amp;ei=pXgzZr_zJNLL1sQPx86ziAw&amp;start=10&amp;sa=N" TargetMode="External"/><Relationship Id="rId2633" Type="http://schemas.openxmlformats.org/officeDocument/2006/relationships/hyperlink" Target="https://www.orangex.com/spot/LDO-USDT-SPOT" TargetMode="External"/><Relationship Id="rId81" Type="http://schemas.openxmlformats.org/officeDocument/2006/relationships/hyperlink" Target="https://www.coingecko.com/pt/moedas/bitcoin/eur" TargetMode="External"/><Relationship Id="rId605" Type="http://schemas.openxmlformats.org/officeDocument/2006/relationships/hyperlink" Target="https://www.coingecko.com/pt/moedas/pepe" TargetMode="External"/><Relationship Id="rId812" Type="http://schemas.openxmlformats.org/officeDocument/2006/relationships/hyperlink" Target="https://www.coingecko.com/pt/candy" TargetMode="External"/><Relationship Id="rId1028" Type="http://schemas.openxmlformats.org/officeDocument/2006/relationships/hyperlink" Target="https://hpg.com.br/threshold-criptomoeda-projeto-onde-comprar-vai-subir-em-2024.html" TargetMode="External"/><Relationship Id="rId1235" Type="http://schemas.openxmlformats.org/officeDocument/2006/relationships/hyperlink" Target="https://www.coingecko.com/pt/moedas/ethereum" TargetMode="External"/><Relationship Id="rId1442" Type="http://schemas.openxmlformats.org/officeDocument/2006/relationships/hyperlink" Target="https://www.youtube.com/channel/UC-OTgwOAI7KmP0eDAtqN3Ow?sub_confirmation=1" TargetMode="External"/><Relationship Id="rId1887" Type="http://schemas.openxmlformats.org/officeDocument/2006/relationships/hyperlink" Target="https://www.coingecko.com/pt/moedas/kaspa" TargetMode="External"/><Relationship Id="rId1302" Type="http://schemas.openxmlformats.org/officeDocument/2006/relationships/hyperlink" Target="https://www.coingecko.com/learn/what-is-fully-diluted-valuation-fdv-in-crypto" TargetMode="External"/><Relationship Id="rId1747" Type="http://schemas.openxmlformats.org/officeDocument/2006/relationships/hyperlink" Target="https://www.coingecko.com/pt/termos" TargetMode="External"/><Relationship Id="rId1954" Type="http://schemas.openxmlformats.org/officeDocument/2006/relationships/hyperlink" Target="https://www.coingecko.com/pt/c%C3%A2mbios/pointpay" TargetMode="External"/><Relationship Id="rId2700" Type="http://schemas.openxmlformats.org/officeDocument/2006/relationships/hyperlink" Target="https://www.coingecko.com/en/coins/jito" TargetMode="External"/><Relationship Id="rId39" Type="http://schemas.openxmlformats.org/officeDocument/2006/relationships/hyperlink" Target="https://www.coingecko.com/pt/c%C3%A2mbios/coinbase-exchange" TargetMode="External"/><Relationship Id="rId1607" Type="http://schemas.openxmlformats.org/officeDocument/2006/relationships/hyperlink" Target="https://www.coingecko.com/pt/global-charts" TargetMode="External"/><Relationship Id="rId1814" Type="http://schemas.openxmlformats.org/officeDocument/2006/relationships/hyperlink" Target="https://www.bitget.com/spot/STXUSDT?channelCode=42xn&amp;vipCode=sq59&amp;languageType=0" TargetMode="External"/><Relationship Id="rId188" Type="http://schemas.openxmlformats.org/officeDocument/2006/relationships/hyperlink" Target="https://twitter.com/search?q=$ETH" TargetMode="External"/><Relationship Id="rId395" Type="http://schemas.openxmlformats.org/officeDocument/2006/relationships/hyperlink" Target="https://www.coingecko.com/pt/moedas/solana/usd" TargetMode="External"/><Relationship Id="rId2076" Type="http://schemas.openxmlformats.org/officeDocument/2006/relationships/hyperlink" Target="https://www.tiktok.com/@coingeckotv" TargetMode="External"/><Relationship Id="rId2283" Type="http://schemas.openxmlformats.org/officeDocument/2006/relationships/hyperlink" Target="https://www.binance.com/en/trade/SHIB_USDT?ref=37754157" TargetMode="External"/><Relationship Id="rId2490" Type="http://schemas.openxmlformats.org/officeDocument/2006/relationships/hyperlink" Target="https://coinmarketcap.com/pt-br/currencies/singularitynet/" TargetMode="External"/><Relationship Id="rId2588" Type="http://schemas.openxmlformats.org/officeDocument/2006/relationships/hyperlink" Target="https://www.coingecko.com/en/exchanges" TargetMode="External"/><Relationship Id="rId255" Type="http://schemas.openxmlformats.org/officeDocument/2006/relationships/hyperlink" Target="https://www.coingecko.com/pt/moedas/arbitrum" TargetMode="External"/><Relationship Id="rId462" Type="http://schemas.openxmlformats.org/officeDocument/2006/relationships/hyperlink" Target="https://www.coingecko.com/pt/isen%C3%A7%C3%A3o_de_responsabilidade" TargetMode="External"/><Relationship Id="rId1092" Type="http://schemas.openxmlformats.org/officeDocument/2006/relationships/hyperlink" Target="https://www.coingecko.com/request" TargetMode="External"/><Relationship Id="rId1397" Type="http://schemas.openxmlformats.org/officeDocument/2006/relationships/hyperlink" Target="https://www.coingecko.com/pt/moedas/pepe" TargetMode="External"/><Relationship Id="rId2143" Type="http://schemas.openxmlformats.org/officeDocument/2006/relationships/hyperlink" Target="https://www.coingecko.com/pt/moedas/dogwifhat/usd" TargetMode="External"/><Relationship Id="rId2350" Type="http://schemas.openxmlformats.org/officeDocument/2006/relationships/hyperlink" Target="https://www.coingecko.com/pt/moedas/degen-base" TargetMode="External"/><Relationship Id="rId2795" Type="http://schemas.openxmlformats.org/officeDocument/2006/relationships/queryTable" Target="../queryTables/queryTable16.xml"/><Relationship Id="rId115" Type="http://schemas.openxmlformats.org/officeDocument/2006/relationships/hyperlink" Target="https://www.coingecko.com/pt/moedas/wormhole" TargetMode="External"/><Relationship Id="rId322" Type="http://schemas.openxmlformats.org/officeDocument/2006/relationships/hyperlink" Target="https://www.coingecko.com/pt/global-charts" TargetMode="External"/><Relationship Id="rId767" Type="http://schemas.openxmlformats.org/officeDocument/2006/relationships/hyperlink" Target="https://www.coingecko.com/pt/moedas/dymension" TargetMode="External"/><Relationship Id="rId974" Type="http://schemas.openxmlformats.org/officeDocument/2006/relationships/hyperlink" Target="https://www.coingecko.com/learn/what-is-fully-diluted-valuation-fdv-in-crypto" TargetMode="External"/><Relationship Id="rId2003" Type="http://schemas.openxmlformats.org/officeDocument/2006/relationships/hyperlink" Target="https://www.coingecko.com/pt/moedas/dogelon-mars" TargetMode="External"/><Relationship Id="rId2210" Type="http://schemas.openxmlformats.org/officeDocument/2006/relationships/hyperlink" Target="https://www.coingecko.com/pt/isen%C3%A7%C3%A3o_de_responsabilidade" TargetMode="External"/><Relationship Id="rId2448" Type="http://schemas.openxmlformats.org/officeDocument/2006/relationships/hyperlink" Target="https://www.pepe.vip/" TargetMode="External"/><Relationship Id="rId2655" Type="http://schemas.openxmlformats.org/officeDocument/2006/relationships/hyperlink" Target="https://beincrypto.com/altcoin-holders-are-losing-money/" TargetMode="External"/><Relationship Id="rId627" Type="http://schemas.openxmlformats.org/officeDocument/2006/relationships/hyperlink" Target="https://www.coingecko.com/pt/public-companies-bitcoin" TargetMode="External"/><Relationship Id="rId834" Type="http://schemas.openxmlformats.org/officeDocument/2006/relationships/hyperlink" Target="https://discord.com/channels/765480457256042496/765871633990287390" TargetMode="External"/><Relationship Id="rId1257" Type="http://schemas.openxmlformats.org/officeDocument/2006/relationships/hyperlink" Target="https://www.coingecko.com/pt/api" TargetMode="External"/><Relationship Id="rId1464" Type="http://schemas.openxmlformats.org/officeDocument/2006/relationships/hyperlink" Target="https://www.coingecko.com/learn/what-is-fully-diluted-valuation-fdv-in-crypto" TargetMode="External"/><Relationship Id="rId1671" Type="http://schemas.openxmlformats.org/officeDocument/2006/relationships/hyperlink" Target="https://www.coingecko.com/pt/c%C3%A2mbios/deepcoin" TargetMode="External"/><Relationship Id="rId2308" Type="http://schemas.openxmlformats.org/officeDocument/2006/relationships/hyperlink" Target="https://br.beincrypto.com/3-criptomoedas-que-as-baleias-estao-comprando-para-ter-lucro-em-maio/" TargetMode="External"/><Relationship Id="rId2515" Type="http://schemas.openxmlformats.org/officeDocument/2006/relationships/hyperlink" Target="https://coinmarketcap.com/pt-br/currencies/deepmind-ai/" TargetMode="External"/><Relationship Id="rId2722" Type="http://schemas.openxmlformats.org/officeDocument/2006/relationships/hyperlink" Target="https://www.coingecko.com/en/coins/degen-base" TargetMode="External"/><Relationship Id="rId901" Type="http://schemas.openxmlformats.org/officeDocument/2006/relationships/hyperlink" Target="https://www.coingecko.com/pt/moedas/pepe" TargetMode="External"/><Relationship Id="rId1117" Type="http://schemas.openxmlformats.org/officeDocument/2006/relationships/hyperlink" Target="https://www.coingecko.com/pt/isen%C3%A7%C3%A3o_de_responsabilidade" TargetMode="External"/><Relationship Id="rId1324" Type="http://schemas.openxmlformats.org/officeDocument/2006/relationships/hyperlink" Target="https://www.coingecko.com/pt/c%C3%A2mbios/digifinex" TargetMode="External"/><Relationship Id="rId1531" Type="http://schemas.openxmlformats.org/officeDocument/2006/relationships/hyperlink" Target="https://www.coingecko.com/pt/moedas/optimism" TargetMode="External"/><Relationship Id="rId1769" Type="http://schemas.openxmlformats.org/officeDocument/2006/relationships/hyperlink" Target="https://www.coingecko.com/pt/candy" TargetMode="External"/><Relationship Id="rId1976" Type="http://schemas.openxmlformats.org/officeDocument/2006/relationships/hyperlink" Target="https://crypto.com/exchange/trade/spot/DOGE_USD" TargetMode="External"/><Relationship Id="rId30" Type="http://schemas.openxmlformats.org/officeDocument/2006/relationships/hyperlink" Target="https://bitcointalk.org/" TargetMode="External"/><Relationship Id="rId1629" Type="http://schemas.openxmlformats.org/officeDocument/2006/relationships/hyperlink" Target="http://renderfoundation.com/whitepaper" TargetMode="External"/><Relationship Id="rId1836" Type="http://schemas.openxmlformats.org/officeDocument/2006/relationships/hyperlink" Target="https://br.beincrypto.com/halving-do-bitcoin-camada-2-desempenho/" TargetMode="External"/><Relationship Id="rId1903" Type="http://schemas.openxmlformats.org/officeDocument/2006/relationships/hyperlink" Target="https://www.coingecko.com/pt/branding" TargetMode="External"/><Relationship Id="rId2098" Type="http://schemas.openxmlformats.org/officeDocument/2006/relationships/hyperlink" Target="https://www.coingecko.com/pt/metodologia" TargetMode="External"/><Relationship Id="rId277" Type="http://schemas.openxmlformats.org/officeDocument/2006/relationships/hyperlink" Target="https://www.coingecko.com/pt/moedas/degen-base" TargetMode="External"/><Relationship Id="rId484" Type="http://schemas.openxmlformats.org/officeDocument/2006/relationships/hyperlink" Target="https://www.coingecko.com/pt/candy" TargetMode="External"/><Relationship Id="rId2165" Type="http://schemas.openxmlformats.org/officeDocument/2006/relationships/hyperlink" Target="https://www.coingecko.com/pt/moedas/solana" TargetMode="External"/><Relationship Id="rId137" Type="http://schemas.openxmlformats.org/officeDocument/2006/relationships/hyperlink" Target="https://support.coingecko.com/" TargetMode="External"/><Relationship Id="rId344" Type="http://schemas.openxmlformats.org/officeDocument/2006/relationships/hyperlink" Target="https://gcko.io/ledger" TargetMode="External"/><Relationship Id="rId691" Type="http://schemas.openxmlformats.org/officeDocument/2006/relationships/hyperlink" Target="https://www.coingecko.com/pt/c%C3%A2mbios/binance" TargetMode="External"/><Relationship Id="rId789" Type="http://schemas.openxmlformats.org/officeDocument/2006/relationships/hyperlink" Target="https://www.coingecko.com/pt/metodologia" TargetMode="External"/><Relationship Id="rId996" Type="http://schemas.openxmlformats.org/officeDocument/2006/relationships/hyperlink" Target="https://www.coingecko.com/pt/c%C3%A2mbios/mexc" TargetMode="External"/><Relationship Id="rId2025" Type="http://schemas.openxmlformats.org/officeDocument/2006/relationships/hyperlink" Target="https://www.coingecko.com/pt/moedas/ethereum" TargetMode="External"/><Relationship Id="rId2372" Type="http://schemas.openxmlformats.org/officeDocument/2006/relationships/hyperlink" Target="https://hackenproof.com/coingecko/coingecko" TargetMode="External"/><Relationship Id="rId2677" Type="http://schemas.openxmlformats.org/officeDocument/2006/relationships/hyperlink" Target="https://www.coingecko.com/research/publications/ethereum-staking-statistics" TargetMode="External"/><Relationship Id="rId551" Type="http://schemas.openxmlformats.org/officeDocument/2006/relationships/hyperlink" Target="https://www.mexc.com/exchange/LINK_USDT?inviteCode=1498J" TargetMode="External"/><Relationship Id="rId649" Type="http://schemas.openxmlformats.org/officeDocument/2006/relationships/hyperlink" Target="https://www.instagram.com/coingecko/" TargetMode="External"/><Relationship Id="rId856" Type="http://schemas.openxmlformats.org/officeDocument/2006/relationships/hyperlink" Target="https://www.coingecko.com/pt/c%C3%A2mbios/biconomy" TargetMode="External"/><Relationship Id="rId1181" Type="http://schemas.openxmlformats.org/officeDocument/2006/relationships/hyperlink" Target="https://www.coingecko.com/pt/c%C3%A2mbios/bybit_spot" TargetMode="External"/><Relationship Id="rId1279" Type="http://schemas.openxmlformats.org/officeDocument/2006/relationships/hyperlink" Target="https://discord.gg/EhrkaCH" TargetMode="External"/><Relationship Id="rId1486" Type="http://schemas.openxmlformats.org/officeDocument/2006/relationships/hyperlink" Target="https://www.binance.com/en/trade/ARB_USDT?ref=37754157" TargetMode="External"/><Relationship Id="rId2232" Type="http://schemas.openxmlformats.org/officeDocument/2006/relationships/hyperlink" Target="https://www.coingecko.com/pt/candy" TargetMode="External"/><Relationship Id="rId2537" Type="http://schemas.openxmlformats.org/officeDocument/2006/relationships/hyperlink" Target="https://coinmarketcap.com/pt-br/currencies/xrp/" TargetMode="External"/><Relationship Id="rId204" Type="http://schemas.openxmlformats.org/officeDocument/2006/relationships/hyperlink" Target="https://www.okx.com/trade-spot/beth-eth?channelid=1902090" TargetMode="External"/><Relationship Id="rId411" Type="http://schemas.openxmlformats.org/officeDocument/2006/relationships/hyperlink" Target="https://www.coingecko.com/pt/moedas/render" TargetMode="External"/><Relationship Id="rId509" Type="http://schemas.openxmlformats.org/officeDocument/2006/relationships/hyperlink" Target="https://etherscan.io/token/0x514910771af9ca656af840dff83e8264ecf986ca?a=0x35a5dc3FD1210Fe7173aDD3C01144Cf1693B5E45" TargetMode="External"/><Relationship Id="rId1041" Type="http://schemas.openxmlformats.org/officeDocument/2006/relationships/hyperlink" Target="https://www.coingecko.com/pt/moedas/gala/brl" TargetMode="External"/><Relationship Id="rId1139" Type="http://schemas.openxmlformats.org/officeDocument/2006/relationships/hyperlink" Target="https://defillama.com/" TargetMode="External"/><Relationship Id="rId1346" Type="http://schemas.openxmlformats.org/officeDocument/2006/relationships/hyperlink" Target="https://bingx.com/en-us/spot/OPUSDT?ch=cgk_organic" TargetMode="External"/><Relationship Id="rId1693" Type="http://schemas.openxmlformats.org/officeDocument/2006/relationships/hyperlink" Target="https://www.coingecko.com/pt/moedas/decentraland" TargetMode="External"/><Relationship Id="rId1998" Type="http://schemas.openxmlformats.org/officeDocument/2006/relationships/hyperlink" Target="https://www.coingecko.com/pt/moedas/dogecoin/eur" TargetMode="External"/><Relationship Id="rId2744" Type="http://schemas.openxmlformats.org/officeDocument/2006/relationships/hyperlink" Target="https://www.coingecko.com/en/public-companies-bitcoin" TargetMode="External"/><Relationship Id="rId716" Type="http://schemas.openxmlformats.org/officeDocument/2006/relationships/hyperlink" Target="https://www.coingecko.com/pt/c%C3%A2mbios/woo-network" TargetMode="External"/><Relationship Id="rId923" Type="http://schemas.openxmlformats.org/officeDocument/2006/relationships/hyperlink" Target="https://www.coingecko.com/pt/moedas/jupiter" TargetMode="External"/><Relationship Id="rId1553" Type="http://schemas.openxmlformats.org/officeDocument/2006/relationships/hyperlink" Target="https://www.coingecko.com/pt/moedas/pixels" TargetMode="External"/><Relationship Id="rId1760" Type="http://schemas.openxmlformats.org/officeDocument/2006/relationships/hyperlink" Target="https://coingecko.app.link/lTInCXLGz4" TargetMode="External"/><Relationship Id="rId1858" Type="http://schemas.openxmlformats.org/officeDocument/2006/relationships/hyperlink" Target="https://www.coingecko.com/pt/moedas/solana" TargetMode="External"/><Relationship Id="rId2604" Type="http://schemas.openxmlformats.org/officeDocument/2006/relationships/hyperlink" Target="https://www.coingecko.com/en/methodology" TargetMode="External"/><Relationship Id="rId52" Type="http://schemas.openxmlformats.org/officeDocument/2006/relationships/hyperlink" Target="https://www.okx.com/trade-spot/btc-usdt?channelid=1902090" TargetMode="External"/><Relationship Id="rId1206" Type="http://schemas.openxmlformats.org/officeDocument/2006/relationships/hyperlink" Target="https://www.coingecko.com/pt/moedas/polygon/brl" TargetMode="External"/><Relationship Id="rId1413" Type="http://schemas.openxmlformats.org/officeDocument/2006/relationships/hyperlink" Target="https://www.coingecko.com/pt/moedas/wormhole" TargetMode="External"/><Relationship Id="rId1620" Type="http://schemas.openxmlformats.org/officeDocument/2006/relationships/hyperlink" Target="https://www.coingecko.com/pt/metodologia" TargetMode="External"/><Relationship Id="rId1718" Type="http://schemas.openxmlformats.org/officeDocument/2006/relationships/hyperlink" Target="https://www.coingecko.com/pt/moedas/wormhole" TargetMode="External"/><Relationship Id="rId1925" Type="http://schemas.openxmlformats.org/officeDocument/2006/relationships/hyperlink" Target="https://coingecko.app.link/lTInCXLGz4" TargetMode="External"/><Relationship Id="rId299" Type="http://schemas.openxmlformats.org/officeDocument/2006/relationships/hyperlink" Target="https://careers.coingecko.com/" TargetMode="External"/><Relationship Id="rId2187" Type="http://schemas.openxmlformats.org/officeDocument/2006/relationships/hyperlink" Target="https://www.coingecko.com/pt/moedas/ondo" TargetMode="External"/><Relationship Id="rId2394" Type="http://schemas.openxmlformats.org/officeDocument/2006/relationships/hyperlink" Target="https://coingecko.app.link/lTInCXLGz4" TargetMode="External"/><Relationship Id="rId159" Type="http://schemas.openxmlformats.org/officeDocument/2006/relationships/hyperlink" Target="https://www.coingecko.com/pt/isen%C3%A7%C3%A3o_de_responsabilidade" TargetMode="External"/><Relationship Id="rId366" Type="http://schemas.openxmlformats.org/officeDocument/2006/relationships/hyperlink" Target="https://www.coingecko.com/pt/c%C3%A2mbios/digifinex" TargetMode="External"/><Relationship Id="rId573" Type="http://schemas.openxmlformats.org/officeDocument/2006/relationships/hyperlink" Target="https://www.criptofacil.com/fundos-de-criptomoedas-registram-maiores-saidas-desde-marco/" TargetMode="External"/><Relationship Id="rId780" Type="http://schemas.openxmlformats.org/officeDocument/2006/relationships/hyperlink" Target="https://www.coingecko.com/pt/candy/partners-getting-started" TargetMode="External"/><Relationship Id="rId2047" Type="http://schemas.openxmlformats.org/officeDocument/2006/relationships/hyperlink" Target="https://www.coingecko.com/pt" TargetMode="External"/><Relationship Id="rId2254" Type="http://schemas.openxmlformats.org/officeDocument/2006/relationships/hyperlink" Target="https://etherscan.io/token/0x95ad61b0a150d79219dcf64e1e6cc01f0b64c4ce?a=0xf7A0383750feF5AbaCe57cc4C9ff98e3790202b3" TargetMode="External"/><Relationship Id="rId2461" Type="http://schemas.openxmlformats.org/officeDocument/2006/relationships/hyperlink" Target="https://coinmarketcap.com/alexandria/article/9-funniest-memecoin-names" TargetMode="External"/><Relationship Id="rId2699" Type="http://schemas.openxmlformats.org/officeDocument/2006/relationships/hyperlink" Target="https://www.coingecko.com/en/coins/ankr-network" TargetMode="External"/><Relationship Id="rId226" Type="http://schemas.openxmlformats.org/officeDocument/2006/relationships/hyperlink" Target="https://br.beincrypto.com/dydx-chain-token/" TargetMode="External"/><Relationship Id="rId433" Type="http://schemas.openxmlformats.org/officeDocument/2006/relationships/hyperlink" Target="https://www.coingecko.com/pt/moedas/pepe" TargetMode="External"/><Relationship Id="rId878" Type="http://schemas.openxmlformats.org/officeDocument/2006/relationships/hyperlink" Target="https://www.coingecko.com/pt/moedas/immutable-x/brl" TargetMode="External"/><Relationship Id="rId1063" Type="http://schemas.openxmlformats.org/officeDocument/2006/relationships/hyperlink" Target="https://www.coingecko.com/pt/moedas/pixels" TargetMode="External"/><Relationship Id="rId1270" Type="http://schemas.openxmlformats.org/officeDocument/2006/relationships/hyperlink" Target="https://www.coingecko.com/pt/isen%C3%A7%C3%A3o_de_responsabilidade" TargetMode="External"/><Relationship Id="rId2114" Type="http://schemas.openxmlformats.org/officeDocument/2006/relationships/hyperlink" Target="https://www.coingecko.com/pt/c%C3%A2mbios/bingx" TargetMode="External"/><Relationship Id="rId2559" Type="http://schemas.openxmlformats.org/officeDocument/2006/relationships/hyperlink" Target="https://coinmarketcap.com/pt-br/currencies/pepe/" TargetMode="External"/><Relationship Id="rId2766" Type="http://schemas.openxmlformats.org/officeDocument/2006/relationships/hyperlink" Target="https://www.instagram.com/coingecko/" TargetMode="External"/><Relationship Id="rId640" Type="http://schemas.openxmlformats.org/officeDocument/2006/relationships/hyperlink" Target="https://www.coingecko.com/pt/branding" TargetMode="External"/><Relationship Id="rId738" Type="http://schemas.openxmlformats.org/officeDocument/2006/relationships/hyperlink" Target="https://www.coingecko.com/pt/moedas/bitcoin" TargetMode="External"/><Relationship Id="rId945" Type="http://schemas.openxmlformats.org/officeDocument/2006/relationships/hyperlink" Target="https://www.coingecko.com/pt/ad_policy" TargetMode="External"/><Relationship Id="rId1368" Type="http://schemas.openxmlformats.org/officeDocument/2006/relationships/hyperlink" Target="https://www.coingecko.com/pt/moedas/optimism/brl" TargetMode="External"/><Relationship Id="rId1575" Type="http://schemas.openxmlformats.org/officeDocument/2006/relationships/hyperlink" Target="https://www.coingecko.com/pt/cryptocurrency-heatmap" TargetMode="External"/><Relationship Id="rId1782" Type="http://schemas.openxmlformats.org/officeDocument/2006/relationships/hyperlink" Target="https://www.coingecko.com/pt/metodologia" TargetMode="External"/><Relationship Id="rId2321" Type="http://schemas.openxmlformats.org/officeDocument/2006/relationships/hyperlink" Target="https://www.coingecko.com/pt/moedas/doge-killer" TargetMode="External"/><Relationship Id="rId2419" Type="http://schemas.openxmlformats.org/officeDocument/2006/relationships/hyperlink" Target="https://www.google.com/search?client=firefox-b-d&amp;sca_esv=8f14c8c94b33adc6&amp;sca_upv=1&amp;ie=UTF-8&amp;q=dollar+to+real" TargetMode="External"/><Relationship Id="rId2626" Type="http://schemas.openxmlformats.org/officeDocument/2006/relationships/hyperlink" Target="https://www.coingecko.com/en/exchanges/pointpay" TargetMode="External"/><Relationship Id="rId74" Type="http://schemas.openxmlformats.org/officeDocument/2006/relationships/hyperlink" Target="https://www.cryptopolitan.com/pt/blackrock-bitcoin-etf-marca-primeira-saida/" TargetMode="External"/><Relationship Id="rId500" Type="http://schemas.openxmlformats.org/officeDocument/2006/relationships/hyperlink" Target="https://etherscan.io/token/0x514910771af9ca656af840dff83e8264ecf986ca?a=0x5A8e77bC30948cc9A51aE4E042d96e145648BB4C" TargetMode="External"/><Relationship Id="rId805" Type="http://schemas.openxmlformats.org/officeDocument/2006/relationships/hyperlink" Target="https://www.coingecko.com/pt" TargetMode="External"/><Relationship Id="rId1130" Type="http://schemas.openxmlformats.org/officeDocument/2006/relationships/hyperlink" Target="https://gcko.io/search-survey" TargetMode="External"/><Relationship Id="rId1228" Type="http://schemas.openxmlformats.org/officeDocument/2006/relationships/hyperlink" Target="https://www.coingecko.com/pt/moedas/dione" TargetMode="External"/><Relationship Id="rId1435" Type="http://schemas.openxmlformats.org/officeDocument/2006/relationships/hyperlink" Target="https://twitter.com/coingecko" TargetMode="External"/><Relationship Id="rId1642" Type="http://schemas.openxmlformats.org/officeDocument/2006/relationships/hyperlink" Target="https://www.coingecko.com/pt/categories/artificial-intelligence" TargetMode="External"/><Relationship Id="rId1947" Type="http://schemas.openxmlformats.org/officeDocument/2006/relationships/hyperlink" Target="https://www.facebook.com/738700972824847" TargetMode="External"/><Relationship Id="rId1502" Type="http://schemas.openxmlformats.org/officeDocument/2006/relationships/hyperlink" Target="https://www.coingecko.com/pt/c%C3%A2mbios/orangex" TargetMode="External"/><Relationship Id="rId1807" Type="http://schemas.openxmlformats.org/officeDocument/2006/relationships/hyperlink" Target="https://www.coingecko.com/pt/c%C3%A2mbios/bingx" TargetMode="External"/><Relationship Id="rId290" Type="http://schemas.openxmlformats.org/officeDocument/2006/relationships/hyperlink" Target="https://www.coingecko.com/pt/cryptocurrency-heatmap" TargetMode="External"/><Relationship Id="rId388" Type="http://schemas.openxmlformats.org/officeDocument/2006/relationships/hyperlink" Target="https://br.beincrypto.com/dogecoin-solana-xrp-interesse-cai/" TargetMode="External"/><Relationship Id="rId2069" Type="http://schemas.openxmlformats.org/officeDocument/2006/relationships/hyperlink" Target="https://t.me/coingecko" TargetMode="External"/><Relationship Id="rId150" Type="http://schemas.openxmlformats.org/officeDocument/2006/relationships/hyperlink" Target="https://twitter.com/coingecko" TargetMode="External"/><Relationship Id="rId595" Type="http://schemas.openxmlformats.org/officeDocument/2006/relationships/hyperlink" Target="https://www.coingecko.com/pt/moedas/solana" TargetMode="External"/><Relationship Id="rId2276" Type="http://schemas.openxmlformats.org/officeDocument/2006/relationships/hyperlink" Target="https://www.coingecko.com/pt/c%C3%A2mbios/bitvenus-spot" TargetMode="External"/><Relationship Id="rId2483" Type="http://schemas.openxmlformats.org/officeDocument/2006/relationships/hyperlink" Target="https://coinmarketcap.com/pt-br/currencies/ondo-finance/" TargetMode="External"/><Relationship Id="rId2690" Type="http://schemas.openxmlformats.org/officeDocument/2006/relationships/hyperlink" Target="https://www.coingecko.com/en/coins/lido-dao/aud" TargetMode="External"/><Relationship Id="rId248" Type="http://schemas.openxmlformats.org/officeDocument/2006/relationships/hyperlink" Target="https://www.coingecko.com/pt/moedas/polygon" TargetMode="External"/><Relationship Id="rId455" Type="http://schemas.openxmlformats.org/officeDocument/2006/relationships/hyperlink" Target="https://www.coingecko.com/pt/faq" TargetMode="External"/><Relationship Id="rId662" Type="http://schemas.openxmlformats.org/officeDocument/2006/relationships/hyperlink" Target="https://coingecko.app.link/lTInCXLGz4" TargetMode="External"/><Relationship Id="rId1085" Type="http://schemas.openxmlformats.org/officeDocument/2006/relationships/hyperlink" Target="https://www.coingecko.com/pt/moedas/bittensor" TargetMode="External"/><Relationship Id="rId1292" Type="http://schemas.openxmlformats.org/officeDocument/2006/relationships/hyperlink" Target="https://www.coingecko.com/pt/candy" TargetMode="External"/><Relationship Id="rId2136" Type="http://schemas.openxmlformats.org/officeDocument/2006/relationships/hyperlink" Target="https://www.coingecko.com/pt/c%C3%A2mbios/kucoin" TargetMode="External"/><Relationship Id="rId2343" Type="http://schemas.openxmlformats.org/officeDocument/2006/relationships/hyperlink" Target="https://www.coingecko.com/pt/moedas/bitcoin" TargetMode="External"/><Relationship Id="rId2550" Type="http://schemas.openxmlformats.org/officeDocument/2006/relationships/hyperlink" Target="https://coinmarketcap.com/pt-br/currencies/pepe/pepe/brl/" TargetMode="External"/><Relationship Id="rId2788" Type="http://schemas.openxmlformats.org/officeDocument/2006/relationships/queryTable" Target="../queryTables/queryTable9.xml"/><Relationship Id="rId108" Type="http://schemas.openxmlformats.org/officeDocument/2006/relationships/hyperlink" Target="https://www.coingecko.com/pt/moedas/bitcoin" TargetMode="External"/><Relationship Id="rId315" Type="http://schemas.openxmlformats.org/officeDocument/2006/relationships/hyperlink" Target="https://www.youtube.com/channel/UC-OTgwOAI7KmP0eDAtqN3Ow?sub_confirmation=1" TargetMode="External"/><Relationship Id="rId522" Type="http://schemas.openxmlformats.org/officeDocument/2006/relationships/hyperlink" Target="https://gcko.io/ledger" TargetMode="External"/><Relationship Id="rId967" Type="http://schemas.openxmlformats.org/officeDocument/2006/relationships/hyperlink" Target="https://www.coingecko.com/pt/portfolio" TargetMode="External"/><Relationship Id="rId1152" Type="http://schemas.openxmlformats.org/officeDocument/2006/relationships/hyperlink" Target="https://discord.com/invite/XvpHAxZ" TargetMode="External"/><Relationship Id="rId1597" Type="http://schemas.openxmlformats.org/officeDocument/2006/relationships/hyperlink" Target="https://www.reddit.com/r/coingecko/" TargetMode="External"/><Relationship Id="rId2203" Type="http://schemas.openxmlformats.org/officeDocument/2006/relationships/hyperlink" Target="https://www.coingecko.com/pt/faq" TargetMode="External"/><Relationship Id="rId2410" Type="http://schemas.openxmlformats.org/officeDocument/2006/relationships/hyperlink" Target="https://www.google.com/search?client=firefox-b-d&amp;sca_esv=8f14c8c94b33adc6&amp;sca_upv=1&amp;ie=UTF-8&amp;q=dollar+hoje&amp;sa=X&amp;ved=2ahUKEwj_2bOd7u6FAxXSpZUCHUfnDMEQ1QJ6BAgAEAE" TargetMode="External"/><Relationship Id="rId2648" Type="http://schemas.openxmlformats.org/officeDocument/2006/relationships/hyperlink" Target="https://www.bitget.com/spot/LDOUSDT?channelCode=42xn&amp;vipCode=sq59&amp;languageType=0" TargetMode="External"/><Relationship Id="rId96" Type="http://schemas.openxmlformats.org/officeDocument/2006/relationships/hyperlink" Target="https://www.coingecko.com/pt/moedas/cardano" TargetMode="External"/><Relationship Id="rId827" Type="http://schemas.openxmlformats.org/officeDocument/2006/relationships/hyperlink" Target="https://etherscan.io/token/0xf57e7e7c23978c3caec3c3548e3d615c346e79ff?a=0x9cCC2CfC1dA5c2623b9ad74DCF01765eae273539" TargetMode="External"/><Relationship Id="rId1012" Type="http://schemas.openxmlformats.org/officeDocument/2006/relationships/hyperlink" Target="https://www.coingecko.com/pt/c%C3%A2mbios/crypto_com" TargetMode="External"/><Relationship Id="rId1457" Type="http://schemas.openxmlformats.org/officeDocument/2006/relationships/hyperlink" Target="https://gcko.io/search-survey" TargetMode="External"/><Relationship Id="rId1664" Type="http://schemas.openxmlformats.org/officeDocument/2006/relationships/hyperlink" Target="https://www.coinbase.com/advanced-trade/spot/RNDR-USD" TargetMode="External"/><Relationship Id="rId1871" Type="http://schemas.openxmlformats.org/officeDocument/2006/relationships/hyperlink" Target="https://www.coingecko.com/pt/moedas/degen-base" TargetMode="External"/><Relationship Id="rId2508" Type="http://schemas.openxmlformats.org/officeDocument/2006/relationships/hyperlink" Target="https://coinmarketcap.com/pt-br/currencies/artrade/" TargetMode="External"/><Relationship Id="rId2715" Type="http://schemas.openxmlformats.org/officeDocument/2006/relationships/hyperlink" Target="https://www.coingecko.com/en/coins/dione" TargetMode="External"/><Relationship Id="rId1317" Type="http://schemas.openxmlformats.org/officeDocument/2006/relationships/hyperlink" Target="https://www.coingecko.com/pt/categories/optimism-ecosystem" TargetMode="External"/><Relationship Id="rId1524" Type="http://schemas.openxmlformats.org/officeDocument/2006/relationships/hyperlink" Target="https://www.coingecko.com/pt/moedas/arbitrum/eur" TargetMode="External"/><Relationship Id="rId1731" Type="http://schemas.openxmlformats.org/officeDocument/2006/relationships/hyperlink" Target="https://www.coingecko.com/pt/public-companies-bitcoin" TargetMode="External"/><Relationship Id="rId1969" Type="http://schemas.openxmlformats.org/officeDocument/2006/relationships/hyperlink" Target="https://www.coingecko.com/pt/c%C3%A2mbios/whitebit" TargetMode="External"/><Relationship Id="rId23" Type="http://schemas.openxmlformats.org/officeDocument/2006/relationships/hyperlink" Target="https://forms.gle/ULNnnCGCEAimK9cJ7" TargetMode="External"/><Relationship Id="rId1829" Type="http://schemas.openxmlformats.org/officeDocument/2006/relationships/hyperlink" Target="https://www.okx.com/trade-spot/stx-usdt?channelid=1902090" TargetMode="External"/><Relationship Id="rId2298" Type="http://schemas.openxmlformats.org/officeDocument/2006/relationships/hyperlink" Target="https://www.pionex.com/en/trade/SHIB_USDT/Bot?r=04SCvbiCErH" TargetMode="External"/><Relationship Id="rId172" Type="http://schemas.openxmlformats.org/officeDocument/2006/relationships/hyperlink" Target="https://gcko.io/search-survey" TargetMode="External"/><Relationship Id="rId477" Type="http://schemas.openxmlformats.org/officeDocument/2006/relationships/hyperlink" Target="https://www.coingecko.com/pt" TargetMode="External"/><Relationship Id="rId684" Type="http://schemas.openxmlformats.org/officeDocument/2006/relationships/hyperlink" Target="https://discord.gg/roninnetwork" TargetMode="External"/><Relationship Id="rId2060" Type="http://schemas.openxmlformats.org/officeDocument/2006/relationships/hyperlink" Target="https://careers.coingecko.com/" TargetMode="External"/><Relationship Id="rId2158" Type="http://schemas.openxmlformats.org/officeDocument/2006/relationships/hyperlink" Target="https://www.coingecko.com/pt/moedas/mew" TargetMode="External"/><Relationship Id="rId2365" Type="http://schemas.openxmlformats.org/officeDocument/2006/relationships/hyperlink" Target="https://www.coingecko.com/pt/public-companies-bitcoin" TargetMode="External"/><Relationship Id="rId337" Type="http://schemas.openxmlformats.org/officeDocument/2006/relationships/hyperlink" Target="https://www.coingecko.com/learn/what-is-fully-diluted-valuation-fdv-in-crypto" TargetMode="External"/><Relationship Id="rId891" Type="http://schemas.openxmlformats.org/officeDocument/2006/relationships/hyperlink" Target="https://www.coingecko.com/pt/moedas/skale" TargetMode="External"/><Relationship Id="rId989" Type="http://schemas.openxmlformats.org/officeDocument/2006/relationships/hyperlink" Target="https://github.com/GalaChain" TargetMode="External"/><Relationship Id="rId2018" Type="http://schemas.openxmlformats.org/officeDocument/2006/relationships/hyperlink" Target="https://www.coingecko.com/pt/moedas/solana" TargetMode="External"/><Relationship Id="rId2572" Type="http://schemas.openxmlformats.org/officeDocument/2006/relationships/hyperlink" Target="https://coinmarketcap.com/pt-br/disclaimer/" TargetMode="External"/><Relationship Id="rId544" Type="http://schemas.openxmlformats.org/officeDocument/2006/relationships/hyperlink" Target="https://www.coingecko.com/pt/c%C3%A2mbios/bitvenus-spot" TargetMode="External"/><Relationship Id="rId751" Type="http://schemas.openxmlformats.org/officeDocument/2006/relationships/hyperlink" Target="https://www.coingecko.com/pt/moedas/pixels" TargetMode="External"/><Relationship Id="rId849" Type="http://schemas.openxmlformats.org/officeDocument/2006/relationships/hyperlink" Target="https://www.coingecko.com/pt/c%C3%A2mbios/mexc" TargetMode="External"/><Relationship Id="rId1174" Type="http://schemas.openxmlformats.org/officeDocument/2006/relationships/hyperlink" Target="https://www.coingecko.com/pt/c%C3%A2mbios/azbit" TargetMode="External"/><Relationship Id="rId1381" Type="http://schemas.openxmlformats.org/officeDocument/2006/relationships/hyperlink" Target="https://www.coingecko.com/pt/moedas/ribbon-finance" TargetMode="External"/><Relationship Id="rId1479" Type="http://schemas.openxmlformats.org/officeDocument/2006/relationships/hyperlink" Target="https://www.coingecko.com/pt/c%C3%A2mbios/gate-io" TargetMode="External"/><Relationship Id="rId1686" Type="http://schemas.openxmlformats.org/officeDocument/2006/relationships/hyperlink" Target="https://www.coingecko.com/pt/moedas/floki" TargetMode="External"/><Relationship Id="rId2225" Type="http://schemas.openxmlformats.org/officeDocument/2006/relationships/hyperlink" Target="https://www.coingecko.com/pt" TargetMode="External"/><Relationship Id="rId2432" Type="http://schemas.openxmlformats.org/officeDocument/2006/relationships/hyperlink" Target="https://coinmarketcap.com/pt-br/" TargetMode="External"/><Relationship Id="rId404" Type="http://schemas.openxmlformats.org/officeDocument/2006/relationships/hyperlink" Target="https://www.coingecko.com/pt/moedas/usdc" TargetMode="External"/><Relationship Id="rId611" Type="http://schemas.openxmlformats.org/officeDocument/2006/relationships/hyperlink" Target="https://www.coingecko.com/pt/moedas/bitcoin" TargetMode="External"/><Relationship Id="rId1034" Type="http://schemas.openxmlformats.org/officeDocument/2006/relationships/hyperlink" Target="https://hpg.com.br/hbtc-huobi-btc-criptomoeda-projeto-onde-comprar-vai-subir-em-2024.html" TargetMode="External"/><Relationship Id="rId1241" Type="http://schemas.openxmlformats.org/officeDocument/2006/relationships/hyperlink" Target="https://www.coingecko.com/pt/moedas/degen-base" TargetMode="External"/><Relationship Id="rId1339" Type="http://schemas.openxmlformats.org/officeDocument/2006/relationships/hyperlink" Target="https://www.coingecko.com/pt/c%C3%A2mbios/okx" TargetMode="External"/><Relationship Id="rId1893" Type="http://schemas.openxmlformats.org/officeDocument/2006/relationships/hyperlink" Target="https://www.coingecko.com/request" TargetMode="External"/><Relationship Id="rId2737" Type="http://schemas.openxmlformats.org/officeDocument/2006/relationships/hyperlink" Target="https://www.coingecko.com/en/coins/pendle" TargetMode="External"/><Relationship Id="rId709" Type="http://schemas.openxmlformats.org/officeDocument/2006/relationships/hyperlink" Target="https://www.coingecko.com/pt/c%C3%A2mbios/katana" TargetMode="External"/><Relationship Id="rId916" Type="http://schemas.openxmlformats.org/officeDocument/2006/relationships/hyperlink" Target="https://www.coingecko.com/pt/moedas/wormhole" TargetMode="External"/><Relationship Id="rId1101" Type="http://schemas.openxmlformats.org/officeDocument/2006/relationships/hyperlink" Target="https://blog.coingecko.com/" TargetMode="External"/><Relationship Id="rId1546" Type="http://schemas.openxmlformats.org/officeDocument/2006/relationships/hyperlink" Target="https://www.coingecko.com/pt/moedas/dione" TargetMode="External"/><Relationship Id="rId1753" Type="http://schemas.openxmlformats.org/officeDocument/2006/relationships/hyperlink" Target="https://www.instagram.com/coingecko/" TargetMode="External"/><Relationship Id="rId1960" Type="http://schemas.openxmlformats.org/officeDocument/2006/relationships/hyperlink" Target="https://www.coingecko.com/pt/c%C3%A2mbios/digifinex" TargetMode="External"/><Relationship Id="rId45" Type="http://schemas.openxmlformats.org/officeDocument/2006/relationships/hyperlink" Target="https://www.coingecko.com/pt/c%C3%A2mbios/bitget" TargetMode="External"/><Relationship Id="rId1406" Type="http://schemas.openxmlformats.org/officeDocument/2006/relationships/hyperlink" Target="https://www.coingecko.com/pt/moedas/aerodrome-finance" TargetMode="External"/><Relationship Id="rId1613" Type="http://schemas.openxmlformats.org/officeDocument/2006/relationships/hyperlink" Target="https://www.coingecko.com/pt/candy" TargetMode="External"/><Relationship Id="rId1820" Type="http://schemas.openxmlformats.org/officeDocument/2006/relationships/hyperlink" Target="https://www.mexc.com/exchange/STX_USDT?inviteCode=1498J" TargetMode="External"/><Relationship Id="rId194" Type="http://schemas.openxmlformats.org/officeDocument/2006/relationships/hyperlink" Target="https://www.coingecko.com/pt/c%C3%A2mbios/binance" TargetMode="External"/><Relationship Id="rId1918" Type="http://schemas.openxmlformats.org/officeDocument/2006/relationships/hyperlink" Target="https://www.coingecko.com/pt/isen%C3%A7%C3%A3o_de_responsabilidade" TargetMode="External"/><Relationship Id="rId2082" Type="http://schemas.openxmlformats.org/officeDocument/2006/relationships/hyperlink" Target="https://www.coingecko.com/pt/global-charts" TargetMode="External"/><Relationship Id="rId261" Type="http://schemas.openxmlformats.org/officeDocument/2006/relationships/hyperlink" Target="https://www.coingecko.com/pt/moedas/dione" TargetMode="External"/><Relationship Id="rId499" Type="http://schemas.openxmlformats.org/officeDocument/2006/relationships/hyperlink" Target="https://etherscan.io/token/0x514910771af9ca656af840dff83e8264ecf986ca?a=0xe0362f7445e3203a496f6f8b3d51cbb413b69be2" TargetMode="External"/><Relationship Id="rId2387" Type="http://schemas.openxmlformats.org/officeDocument/2006/relationships/hyperlink" Target="https://www.instagram.com/coingecko/" TargetMode="External"/><Relationship Id="rId2594" Type="http://schemas.openxmlformats.org/officeDocument/2006/relationships/hyperlink" Target="https://www.coingecko.com/en/candy" TargetMode="External"/><Relationship Id="rId359" Type="http://schemas.openxmlformats.org/officeDocument/2006/relationships/hyperlink" Target="https://gate.io/trade/SOL_USDT?ref=3018394" TargetMode="External"/><Relationship Id="rId566" Type="http://schemas.openxmlformats.org/officeDocument/2006/relationships/hyperlink" Target="https://br.beincrypto.com/altcoins-formaram-fundo-e-estao-prontas-para-bull-run/" TargetMode="External"/><Relationship Id="rId773" Type="http://schemas.openxmlformats.org/officeDocument/2006/relationships/hyperlink" Target="https://www.coingecko.com/pt" TargetMode="External"/><Relationship Id="rId1196" Type="http://schemas.openxmlformats.org/officeDocument/2006/relationships/hyperlink" Target="https://www.cryptopolitan.com/pt/investidores-polygon-matic-e-ripple-xrp-recorrem-ao-etfswap-etfs-para-obter-um-enorme-retorno-sobre-o-investimento-de-100x/" TargetMode="External"/><Relationship Id="rId2247" Type="http://schemas.openxmlformats.org/officeDocument/2006/relationships/hyperlink" Target="https://etherscan.io/token/0x95ad61b0a150d79219dcf64e1e6cc01f0b64c4ce?a=0x000000000000000000000000000000000000dead" TargetMode="External"/><Relationship Id="rId2454" Type="http://schemas.openxmlformats.org/officeDocument/2006/relationships/hyperlink" Target="https://coinmarketcap.com/pt-br/view/memes/" TargetMode="External"/><Relationship Id="rId121" Type="http://schemas.openxmlformats.org/officeDocument/2006/relationships/hyperlink" Target="https://www.coingecko.com/pt/moedas/pepe" TargetMode="External"/><Relationship Id="rId219" Type="http://schemas.openxmlformats.org/officeDocument/2006/relationships/hyperlink" Target="https://www.coinbase.com/advanced-trade/spot/ETH-USD" TargetMode="External"/><Relationship Id="rId426" Type="http://schemas.openxmlformats.org/officeDocument/2006/relationships/hyperlink" Target="https://www.coingecko.com/pt/moedas/ethereum" TargetMode="External"/><Relationship Id="rId633" Type="http://schemas.openxmlformats.org/officeDocument/2006/relationships/hyperlink" Target="https://support.coingecko.com/" TargetMode="External"/><Relationship Id="rId980" Type="http://schemas.openxmlformats.org/officeDocument/2006/relationships/hyperlink" Target="https://gala.com/" TargetMode="External"/><Relationship Id="rId1056" Type="http://schemas.openxmlformats.org/officeDocument/2006/relationships/hyperlink" Target="https://www.coingecko.com/pt/moedas/vulcan-forged" TargetMode="External"/><Relationship Id="rId1263" Type="http://schemas.openxmlformats.org/officeDocument/2006/relationships/hyperlink" Target="https://www.coingecko.com/pt/faq" TargetMode="External"/><Relationship Id="rId2107" Type="http://schemas.openxmlformats.org/officeDocument/2006/relationships/hyperlink" Target="https://www.coingecko.com/pt/categories/meme-token" TargetMode="External"/><Relationship Id="rId2314" Type="http://schemas.openxmlformats.org/officeDocument/2006/relationships/hyperlink" Target="https://www.coingecko.com/pt/moedas/shiba-inu/eur" TargetMode="External"/><Relationship Id="rId2661" Type="http://schemas.openxmlformats.org/officeDocument/2006/relationships/hyperlink" Target="https://www.coingabbar.com/en/crypto-currency-news/crypto-prices-today-30-april-btc-crash-after-hong-kong-etfs" TargetMode="External"/><Relationship Id="rId2759" Type="http://schemas.openxmlformats.org/officeDocument/2006/relationships/hyperlink" Target="https://www.coingecko.com/en/disclaimer" TargetMode="External"/><Relationship Id="rId840" Type="http://schemas.openxmlformats.org/officeDocument/2006/relationships/hyperlink" Target="https://www.coingecko.com/pt/c%C3%A2mbios/orangex" TargetMode="External"/><Relationship Id="rId938" Type="http://schemas.openxmlformats.org/officeDocument/2006/relationships/hyperlink" Target="https://careers.coingecko.com/" TargetMode="External"/><Relationship Id="rId1470" Type="http://schemas.openxmlformats.org/officeDocument/2006/relationships/hyperlink" Target="https://arbiscan.io/token/0x912ce59144191c1204e64559fe8253a0e49e6548" TargetMode="External"/><Relationship Id="rId1568" Type="http://schemas.openxmlformats.org/officeDocument/2006/relationships/hyperlink" Target="https://www.coingecko.com/pt/moedas/ronin" TargetMode="External"/><Relationship Id="rId1775" Type="http://schemas.openxmlformats.org/officeDocument/2006/relationships/hyperlink" Target="https://www.coingecko.com/pt/api" TargetMode="External"/><Relationship Id="rId2521" Type="http://schemas.openxmlformats.org/officeDocument/2006/relationships/hyperlink" Target="https://coinmarketcap.com/pt-br/currencies/waves/" TargetMode="External"/><Relationship Id="rId2619" Type="http://schemas.openxmlformats.org/officeDocument/2006/relationships/hyperlink" Target="https://discord.com/invite/vgdPfhZ" TargetMode="External"/><Relationship Id="rId67" Type="http://schemas.openxmlformats.org/officeDocument/2006/relationships/hyperlink" Target="https://portaldobitcoin.uol.com.br/microstrategy-cria-id-descentralizada-na-blockchain-do-bitcoin/" TargetMode="External"/><Relationship Id="rId700" Type="http://schemas.openxmlformats.org/officeDocument/2006/relationships/hyperlink" Target="https://www.coingecko.com/pt/c%C3%A2mbios/digifinex" TargetMode="External"/><Relationship Id="rId1123" Type="http://schemas.openxmlformats.org/officeDocument/2006/relationships/hyperlink" Target="https://www.coingecko.com/pt/premium/pricing" TargetMode="External"/><Relationship Id="rId1330" Type="http://schemas.openxmlformats.org/officeDocument/2006/relationships/hyperlink" Target="https://www.coingecko.com/pt/c%C3%A2mbios/binance" TargetMode="External"/><Relationship Id="rId1428" Type="http://schemas.openxmlformats.org/officeDocument/2006/relationships/hyperlink" Target="https://blog.coingecko.com/" TargetMode="External"/><Relationship Id="rId1635" Type="http://schemas.openxmlformats.org/officeDocument/2006/relationships/hyperlink" Target="https://t.me/rendernetwork" TargetMode="External"/><Relationship Id="rId1982" Type="http://schemas.openxmlformats.org/officeDocument/2006/relationships/hyperlink" Target="https://www.bitget.com/spot/DOGEUSDT?channelCode=42xn&amp;vipCode=sq59&amp;languageType=0" TargetMode="External"/><Relationship Id="rId1842" Type="http://schemas.openxmlformats.org/officeDocument/2006/relationships/hyperlink" Target="https://www.coingecko.com/pt/moedas/stacks/brl" TargetMode="External"/><Relationship Id="rId1702" Type="http://schemas.openxmlformats.org/officeDocument/2006/relationships/hyperlink" Target="https://www.coingecko.com/pt/moedas/dione" TargetMode="External"/><Relationship Id="rId283" Type="http://schemas.openxmlformats.org/officeDocument/2006/relationships/hyperlink" Target="https://www.coingecko.com/pt/moedas/dymension" TargetMode="External"/><Relationship Id="rId490" Type="http://schemas.openxmlformats.org/officeDocument/2006/relationships/hyperlink" Target="https://www.coingecko.com/pt/metodologia" TargetMode="External"/><Relationship Id="rId2171" Type="http://schemas.openxmlformats.org/officeDocument/2006/relationships/hyperlink" Target="https://www.coingecko.com/pt/moedas/ethereum" TargetMode="External"/><Relationship Id="rId143" Type="http://schemas.openxmlformats.org/officeDocument/2006/relationships/hyperlink" Target="https://blog.coingecko.com/" TargetMode="External"/><Relationship Id="rId350" Type="http://schemas.openxmlformats.org/officeDocument/2006/relationships/hyperlink" Target="https://www.coingecko.com/pt/categories/smart-contract-platform" TargetMode="External"/><Relationship Id="rId588" Type="http://schemas.openxmlformats.org/officeDocument/2006/relationships/hyperlink" Target="https://www.coingecko.com/pt/moedas/fetch-ai" TargetMode="External"/><Relationship Id="rId795" Type="http://schemas.openxmlformats.org/officeDocument/2006/relationships/hyperlink" Target="https://t.me/coingecko" TargetMode="External"/><Relationship Id="rId2031" Type="http://schemas.openxmlformats.org/officeDocument/2006/relationships/hyperlink" Target="https://www.coingecko.com/pt/moedas/pepe" TargetMode="External"/><Relationship Id="rId2269" Type="http://schemas.openxmlformats.org/officeDocument/2006/relationships/hyperlink" Target="https://www.coingecko.com/pt/c%C3%A2mbios/gate-io" TargetMode="External"/><Relationship Id="rId2476" Type="http://schemas.openxmlformats.org/officeDocument/2006/relationships/hyperlink" Target="https://coinmarketcap.com/pt-br/currencies/axie-infinity/" TargetMode="External"/><Relationship Id="rId2683" Type="http://schemas.openxmlformats.org/officeDocument/2006/relationships/hyperlink" Target="https://www.coingecko.com/learn/what-is-liquid-staking-liquid-staked-derivatives-you-need-to-know" TargetMode="External"/><Relationship Id="rId9" Type="http://schemas.openxmlformats.org/officeDocument/2006/relationships/hyperlink" Target="https://www.coingecko.com/pt/candy" TargetMode="External"/><Relationship Id="rId210" Type="http://schemas.openxmlformats.org/officeDocument/2006/relationships/hyperlink" Target="https://www.huobi.com/en-us/exchange/eth_usdt?invite_code=d8c53" TargetMode="External"/><Relationship Id="rId448" Type="http://schemas.openxmlformats.org/officeDocument/2006/relationships/hyperlink" Target="https://www.coingecko.com/pt/cryptocurrency-heatmap" TargetMode="External"/><Relationship Id="rId655" Type="http://schemas.openxmlformats.org/officeDocument/2006/relationships/hyperlink" Target="https://www.coingecko.com/pt/isen%C3%A7%C3%A3o_de_responsabilidade" TargetMode="External"/><Relationship Id="rId862" Type="http://schemas.openxmlformats.org/officeDocument/2006/relationships/hyperlink" Target="https://www.coingecko.com/pt/c%C3%A2mbios/xt" TargetMode="External"/><Relationship Id="rId1078" Type="http://schemas.openxmlformats.org/officeDocument/2006/relationships/hyperlink" Target="https://www.coingecko.com/pt/moedas/jupiter" TargetMode="External"/><Relationship Id="rId1285" Type="http://schemas.openxmlformats.org/officeDocument/2006/relationships/hyperlink" Target="https://www.coingecko.com/pt" TargetMode="External"/><Relationship Id="rId1492" Type="http://schemas.openxmlformats.org/officeDocument/2006/relationships/hyperlink" Target="https://www.bitvenus.me/exchange/ARB/USDT?register/vh2osI" TargetMode="External"/><Relationship Id="rId2129" Type="http://schemas.openxmlformats.org/officeDocument/2006/relationships/hyperlink" Target="https://www.coingecko.com/pt/c%C3%A2mbios/bit2me" TargetMode="External"/><Relationship Id="rId2336" Type="http://schemas.openxmlformats.org/officeDocument/2006/relationships/hyperlink" Target="https://www.coingecko.com/pt/moedas/dione" TargetMode="External"/><Relationship Id="rId2543" Type="http://schemas.openxmlformats.org/officeDocument/2006/relationships/hyperlink" Target="https://coinmarketcap.com/pt-br/currencies/cardano/" TargetMode="External"/><Relationship Id="rId2750" Type="http://schemas.openxmlformats.org/officeDocument/2006/relationships/hyperlink" Target="https://support.coingecko.com/" TargetMode="External"/><Relationship Id="rId308" Type="http://schemas.openxmlformats.org/officeDocument/2006/relationships/hyperlink" Target="https://twitter.com/coingecko" TargetMode="External"/><Relationship Id="rId515" Type="http://schemas.openxmlformats.org/officeDocument/2006/relationships/hyperlink" Target="https://etherscan.io/token/0x514910771af9ca656af840dff83e8264ecf986ca?a=0x157235A3cc6011d9C26A010875c2550246aAbcCA" TargetMode="External"/><Relationship Id="rId722" Type="http://schemas.openxmlformats.org/officeDocument/2006/relationships/hyperlink" Target="https://www.coingecko.com/pt/moedas/ronin/usd" TargetMode="External"/><Relationship Id="rId1145" Type="http://schemas.openxmlformats.org/officeDocument/2006/relationships/hyperlink" Target="https://forms.gle/ULNnnCGCEAimK9cJ7" TargetMode="External"/><Relationship Id="rId1352" Type="http://schemas.openxmlformats.org/officeDocument/2006/relationships/hyperlink" Target="https://www.criptofacil.com/token-da-optimism-dispara-apos-revelacao-entenda/" TargetMode="External"/><Relationship Id="rId1797" Type="http://schemas.openxmlformats.org/officeDocument/2006/relationships/hyperlink" Target="https://github.com/stacks-network" TargetMode="External"/><Relationship Id="rId2403" Type="http://schemas.openxmlformats.org/officeDocument/2006/relationships/hyperlink" Target="https://www.google.com/url?q=https://pt.wikipedia.org/wiki/D%25C3%25B3lar_dos_Estados_Unidos&amp;sa=U&amp;ved=2ahUKEwj_2bOd7u6FAxXSpZUCHUfnDMEQFnoECAUQAg&amp;usg=AOvVaw1hk3aIgNbRXOYaT-uDGBoH" TargetMode="External"/><Relationship Id="rId89" Type="http://schemas.openxmlformats.org/officeDocument/2006/relationships/hyperlink" Target="https://www.coingecko.com/pt/moedas/bnb" TargetMode="External"/><Relationship Id="rId1005" Type="http://schemas.openxmlformats.org/officeDocument/2006/relationships/hyperlink" Target="https://www.coingecko.com/pt/c%C3%A2mbios/tokocrypto" TargetMode="External"/><Relationship Id="rId1212" Type="http://schemas.openxmlformats.org/officeDocument/2006/relationships/hyperlink" Target="https://www.coingecko.com/pt/moedas/fetch-ai" TargetMode="External"/><Relationship Id="rId1657" Type="http://schemas.openxmlformats.org/officeDocument/2006/relationships/hyperlink" Target="https://www.coingecko.com/pt/c%C3%A2mbios/orangex" TargetMode="External"/><Relationship Id="rId1864" Type="http://schemas.openxmlformats.org/officeDocument/2006/relationships/hyperlink" Target="https://www.coingecko.com/pt/moedas/pixels" TargetMode="External"/><Relationship Id="rId2610" Type="http://schemas.openxmlformats.org/officeDocument/2006/relationships/hyperlink" Target="https://circ-supply.lido.fi/v1/plain/ldo" TargetMode="External"/><Relationship Id="rId2708" Type="http://schemas.openxmlformats.org/officeDocument/2006/relationships/hyperlink" Target="https://www.coingecko.com/en/coins/frax-share" TargetMode="External"/><Relationship Id="rId1517" Type="http://schemas.openxmlformats.org/officeDocument/2006/relationships/hyperlink" Target="https://www.cryptopolitan.com/pt/essas-4-altcoins-sao-as-favoritas-para-as-baleias-criptograficas-obterem-ganhos-garantidos/" TargetMode="External"/><Relationship Id="rId1724" Type="http://schemas.openxmlformats.org/officeDocument/2006/relationships/hyperlink" Target="https://www.coingecko.com/pt/moedas/bittensor" TargetMode="External"/><Relationship Id="rId16" Type="http://schemas.openxmlformats.org/officeDocument/2006/relationships/hyperlink" Target="https://www.tradingview.com/?aff_id=132489" TargetMode="External"/><Relationship Id="rId1931" Type="http://schemas.openxmlformats.org/officeDocument/2006/relationships/hyperlink" Target="https://gcko.io/search-survey" TargetMode="External"/><Relationship Id="rId2193" Type="http://schemas.openxmlformats.org/officeDocument/2006/relationships/hyperlink" Target="https://www.coingecko.com/pt" TargetMode="External"/><Relationship Id="rId2498" Type="http://schemas.openxmlformats.org/officeDocument/2006/relationships/hyperlink" Target="https://coinmarketcap.com/pt-br/currencies/the-kermit/" TargetMode="External"/><Relationship Id="rId165" Type="http://schemas.openxmlformats.org/officeDocument/2006/relationships/hyperlink" Target="https://www.coingecko.com/pt/premium/pricing" TargetMode="External"/><Relationship Id="rId372" Type="http://schemas.openxmlformats.org/officeDocument/2006/relationships/hyperlink" Target="https://www.coingecko.com/pt/c%C3%A2mbios/coinbase-exchange" TargetMode="External"/><Relationship Id="rId677" Type="http://schemas.openxmlformats.org/officeDocument/2006/relationships/hyperlink" Target="https://www.coingecko.com/pt/metodologia" TargetMode="External"/><Relationship Id="rId2053" Type="http://schemas.openxmlformats.org/officeDocument/2006/relationships/hyperlink" Target="https://gcko.io/coingeckoads" TargetMode="External"/><Relationship Id="rId2260" Type="http://schemas.openxmlformats.org/officeDocument/2006/relationships/hyperlink" Target="https://etherscan.io/token/0x95ad61b0a150d79219dcf64e1e6cc01f0b64c4ce" TargetMode="External"/><Relationship Id="rId2358" Type="http://schemas.openxmlformats.org/officeDocument/2006/relationships/hyperlink" Target="https://www.coingecko.com/pt/moedas/bittensor" TargetMode="External"/><Relationship Id="rId232" Type="http://schemas.openxmlformats.org/officeDocument/2006/relationships/hyperlink" Target="https://www.criptofacil.com/previsao-de-preco-das-3-principais-memecoins-dogecoin-shiba-inu-e-bonk/" TargetMode="External"/><Relationship Id="rId884" Type="http://schemas.openxmlformats.org/officeDocument/2006/relationships/hyperlink" Target="https://www.coingecko.com/pt/moedas/ronin" TargetMode="External"/><Relationship Id="rId2120" Type="http://schemas.openxmlformats.org/officeDocument/2006/relationships/hyperlink" Target="https://www.coingecko.com/pt/c%C3%A2mbios/whitebit" TargetMode="External"/><Relationship Id="rId2565" Type="http://schemas.openxmlformats.org/officeDocument/2006/relationships/hyperlink" Target="https://coinmarketcap.com/pt-br/sitemap/cryptocurrencies/" TargetMode="External"/><Relationship Id="rId2772" Type="http://schemas.openxmlformats.org/officeDocument/2006/relationships/hyperlink" Target="https://www.coingecko.com/en/disclaimer" TargetMode="External"/><Relationship Id="rId537" Type="http://schemas.openxmlformats.org/officeDocument/2006/relationships/hyperlink" Target="https://www.coingecko.com/pt/c%C3%A2mbios/hotcoin-global" TargetMode="External"/><Relationship Id="rId744" Type="http://schemas.openxmlformats.org/officeDocument/2006/relationships/hyperlink" Target="https://www.coingecko.com/pt/moedas/solana" TargetMode="External"/><Relationship Id="rId951" Type="http://schemas.openxmlformats.org/officeDocument/2006/relationships/hyperlink" Target="https://discord.gg/EhrkaCH" TargetMode="External"/><Relationship Id="rId1167" Type="http://schemas.openxmlformats.org/officeDocument/2006/relationships/hyperlink" Target="https://www.orangex.com/spot/MATIC-USDT-SPOT" TargetMode="External"/><Relationship Id="rId1374" Type="http://schemas.openxmlformats.org/officeDocument/2006/relationships/hyperlink" Target="https://www.coingecko.com/pt/moedas/cosmos-hub" TargetMode="External"/><Relationship Id="rId1581" Type="http://schemas.openxmlformats.org/officeDocument/2006/relationships/hyperlink" Target="https://hackenproof.com/coingecko/coingecko" TargetMode="External"/><Relationship Id="rId1679" Type="http://schemas.openxmlformats.org/officeDocument/2006/relationships/hyperlink" Target="https://www.coingecko.com/pt/moedas/render/usd" TargetMode="External"/><Relationship Id="rId2218" Type="http://schemas.openxmlformats.org/officeDocument/2006/relationships/hyperlink" Target="https://www.reddit.com/r/coingecko/" TargetMode="External"/><Relationship Id="rId2425" Type="http://schemas.openxmlformats.org/officeDocument/2006/relationships/hyperlink" Target="https://www.google.com/search?client=firefox-b-d&amp;sca_esv=8f14c8c94b33adc6&amp;sca_upv=1&amp;ie=UTF-8&amp;q=euro+hoje" TargetMode="External"/><Relationship Id="rId2632" Type="http://schemas.openxmlformats.org/officeDocument/2006/relationships/hyperlink" Target="https://www.coingecko.com/en/exchanges/orangex" TargetMode="External"/><Relationship Id="rId80" Type="http://schemas.openxmlformats.org/officeDocument/2006/relationships/hyperlink" Target="https://www.coingecko.com/pt/moedas/bitcoin/eur" TargetMode="External"/><Relationship Id="rId604" Type="http://schemas.openxmlformats.org/officeDocument/2006/relationships/hyperlink" Target="https://www.coingecko.com/pt/moedas/pepe" TargetMode="External"/><Relationship Id="rId811" Type="http://schemas.openxmlformats.org/officeDocument/2006/relationships/hyperlink" Target="https://www.geckoterminal.com/?utm_source=coingecko&amp;utm_medium=referral&amp;utm_campaign=desktop_navigation" TargetMode="External"/><Relationship Id="rId1027" Type="http://schemas.openxmlformats.org/officeDocument/2006/relationships/hyperlink" Target="https://hpg.com.br/threshold-criptomoeda-projeto-onde-comprar-vai-subir-em-2024.html" TargetMode="External"/><Relationship Id="rId1234" Type="http://schemas.openxmlformats.org/officeDocument/2006/relationships/hyperlink" Target="https://www.coingecko.com/pt/moedas/bitcoin" TargetMode="External"/><Relationship Id="rId1441" Type="http://schemas.openxmlformats.org/officeDocument/2006/relationships/hyperlink" Target="https://www.facebook.com/coingecko" TargetMode="External"/><Relationship Id="rId1886" Type="http://schemas.openxmlformats.org/officeDocument/2006/relationships/hyperlink" Target="https://www.coingecko.com/pt/moedas/kaspa" TargetMode="External"/><Relationship Id="rId909" Type="http://schemas.openxmlformats.org/officeDocument/2006/relationships/hyperlink" Target="https://www.coingecko.com/pt/moedas/bitcoin" TargetMode="External"/><Relationship Id="rId1301" Type="http://schemas.openxmlformats.org/officeDocument/2006/relationships/hyperlink" Target="https://www.coingecko.com/pt/metodologia" TargetMode="External"/><Relationship Id="rId1539" Type="http://schemas.openxmlformats.org/officeDocument/2006/relationships/hyperlink" Target="https://www.coingecko.com/pt/moedas/skale" TargetMode="External"/><Relationship Id="rId1746" Type="http://schemas.openxmlformats.org/officeDocument/2006/relationships/hyperlink" Target="https://www.coingecko.com/pt/isen%C3%A7%C3%A3o_de_responsabilidade" TargetMode="External"/><Relationship Id="rId1953" Type="http://schemas.openxmlformats.org/officeDocument/2006/relationships/hyperlink" Target="https://www.coingecko.com/pt/c%C3%A2mbios/pointpay" TargetMode="External"/><Relationship Id="rId38" Type="http://schemas.openxmlformats.org/officeDocument/2006/relationships/hyperlink" Target="https://www.coingecko.com/pt/c%C3%A2mbios/coinbase-exchange" TargetMode="External"/><Relationship Id="rId1606" Type="http://schemas.openxmlformats.org/officeDocument/2006/relationships/hyperlink" Target="https://www.coingecko.com/pt/global-charts" TargetMode="External"/><Relationship Id="rId1813" Type="http://schemas.openxmlformats.org/officeDocument/2006/relationships/hyperlink" Target="https://www.coingecko.com/pt/c%C3%A2mbios/bitget" TargetMode="External"/><Relationship Id="rId187" Type="http://schemas.openxmlformats.org/officeDocument/2006/relationships/hyperlink" Target="https://twitter.com/ethereum" TargetMode="External"/><Relationship Id="rId394" Type="http://schemas.openxmlformats.org/officeDocument/2006/relationships/hyperlink" Target="https://www.coingecko.com/pt/moedas/solana/usd" TargetMode="External"/><Relationship Id="rId2075" Type="http://schemas.openxmlformats.org/officeDocument/2006/relationships/hyperlink" Target="https://www.youtube.com/channel/UC-OTgwOAI7KmP0eDAtqN3Ow?sub_confirmation=1" TargetMode="External"/><Relationship Id="rId2282" Type="http://schemas.openxmlformats.org/officeDocument/2006/relationships/hyperlink" Target="https://www.coingecko.com/pt/c%C3%A2mbios/binance" TargetMode="External"/><Relationship Id="rId254" Type="http://schemas.openxmlformats.org/officeDocument/2006/relationships/hyperlink" Target="https://www.coingecko.com/pt/moedas/arbitrum" TargetMode="External"/><Relationship Id="rId699" Type="http://schemas.openxmlformats.org/officeDocument/2006/relationships/hyperlink" Target="https://www.geckoterminal.com/ronin/pools/0x2ecb08f87f075b5769fe543d0e52e40140575ea7?utm_source=coingecko&amp;utm_medium=referral&amp;utm_campaign=livechart" TargetMode="External"/><Relationship Id="rId1091" Type="http://schemas.openxmlformats.org/officeDocument/2006/relationships/hyperlink" Target="https://www.coingecko.com/pt/api" TargetMode="External"/><Relationship Id="rId2587" Type="http://schemas.openxmlformats.org/officeDocument/2006/relationships/hyperlink" Target="https://www.coingecko.com/" TargetMode="External"/><Relationship Id="rId2794" Type="http://schemas.openxmlformats.org/officeDocument/2006/relationships/queryTable" Target="../queryTables/queryTable15.xml"/><Relationship Id="rId114" Type="http://schemas.openxmlformats.org/officeDocument/2006/relationships/hyperlink" Target="https://www.coingecko.com/pt/moedas/wormhole" TargetMode="External"/><Relationship Id="rId461" Type="http://schemas.openxmlformats.org/officeDocument/2006/relationships/hyperlink" Target="https://www.coingecko.com/pt/metodologia" TargetMode="External"/><Relationship Id="rId559" Type="http://schemas.openxmlformats.org/officeDocument/2006/relationships/hyperlink" Target="https://www.coingecko.com/pt/c%C3%A2mbios/crypto_com" TargetMode="External"/><Relationship Id="rId766" Type="http://schemas.openxmlformats.org/officeDocument/2006/relationships/hyperlink" Target="https://www.coingecko.com/pt/moedas/pepe" TargetMode="External"/><Relationship Id="rId1189" Type="http://schemas.openxmlformats.org/officeDocument/2006/relationships/hyperlink" Target="https://br.beincrypto.com/solana-dogwifhat-helium-e-mais-5-criptomoedas-para-ficar-de-olho-hoje/" TargetMode="External"/><Relationship Id="rId1396" Type="http://schemas.openxmlformats.org/officeDocument/2006/relationships/hyperlink" Target="https://www.coingecko.com/pt/moedas/pepe" TargetMode="External"/><Relationship Id="rId2142" Type="http://schemas.openxmlformats.org/officeDocument/2006/relationships/hyperlink" Target="https://www.coingecko.com/pt/moedas/dogwifhat/usd" TargetMode="External"/><Relationship Id="rId2447" Type="http://schemas.openxmlformats.org/officeDocument/2006/relationships/hyperlink" Target="https://etherscan.io/token/0x6982508145454ce325ddbe47a25d4ec3d2311933" TargetMode="External"/><Relationship Id="rId321" Type="http://schemas.openxmlformats.org/officeDocument/2006/relationships/hyperlink" Target="https://www.coingecko.com/pt/global-charts" TargetMode="External"/><Relationship Id="rId419" Type="http://schemas.openxmlformats.org/officeDocument/2006/relationships/hyperlink" Target="https://www.coingecko.com/pt/moedas/dione" TargetMode="External"/><Relationship Id="rId626" Type="http://schemas.openxmlformats.org/officeDocument/2006/relationships/hyperlink" Target="https://www.coingecko.com/pt/news" TargetMode="External"/><Relationship Id="rId973" Type="http://schemas.openxmlformats.org/officeDocument/2006/relationships/hyperlink" Target="https://www.coingecko.com/pt/metodologia" TargetMode="External"/><Relationship Id="rId1049" Type="http://schemas.openxmlformats.org/officeDocument/2006/relationships/hyperlink" Target="https://www.coingecko.com/pt/moedas/myria" TargetMode="External"/><Relationship Id="rId1256" Type="http://schemas.openxmlformats.org/officeDocument/2006/relationships/hyperlink" Target="https://www.coingecko.com/pt/cryptocurrency-heatmap" TargetMode="External"/><Relationship Id="rId2002" Type="http://schemas.openxmlformats.org/officeDocument/2006/relationships/hyperlink" Target="https://www.coingecko.com/pt/moedas/dogelon-mars" TargetMode="External"/><Relationship Id="rId2307" Type="http://schemas.openxmlformats.org/officeDocument/2006/relationships/hyperlink" Target="https://br.beincrypto.com/3-criptomoedas-que-as-baleias-estao-comprando-para-ter-lucro-em-maio/" TargetMode="External"/><Relationship Id="rId2654" Type="http://schemas.openxmlformats.org/officeDocument/2006/relationships/hyperlink" Target="https://pro.kraken.com/app/trade/LDO-USD?c/2223866/1766749/10583" TargetMode="External"/><Relationship Id="rId833" Type="http://schemas.openxmlformats.org/officeDocument/2006/relationships/hyperlink" Target="https://t.me/immutablex" TargetMode="External"/><Relationship Id="rId1116" Type="http://schemas.openxmlformats.org/officeDocument/2006/relationships/hyperlink" Target="https://www.tiktok.com/@coingeckotv" TargetMode="External"/><Relationship Id="rId1463" Type="http://schemas.openxmlformats.org/officeDocument/2006/relationships/hyperlink" Target="https://www.coingecko.com/learn/what-is-fully-diluted-valuation-fdv-in-crypto" TargetMode="External"/><Relationship Id="rId1670" Type="http://schemas.openxmlformats.org/officeDocument/2006/relationships/hyperlink" Target="https://www.kucoin.com/trade/RNDR-USDT?rcode=e21sNJ" TargetMode="External"/><Relationship Id="rId1768" Type="http://schemas.openxmlformats.org/officeDocument/2006/relationships/hyperlink" Target="https://www.coingecko.com/pt/candy" TargetMode="External"/><Relationship Id="rId2514" Type="http://schemas.openxmlformats.org/officeDocument/2006/relationships/hyperlink" Target="https://coinmarketcap.com/pt-br/currencies/baby-bonk-coin/" TargetMode="External"/><Relationship Id="rId2721" Type="http://schemas.openxmlformats.org/officeDocument/2006/relationships/hyperlink" Target="https://www.coingecko.com/en/coins/degen-base" TargetMode="External"/><Relationship Id="rId900" Type="http://schemas.openxmlformats.org/officeDocument/2006/relationships/hyperlink" Target="https://www.coingecko.com/pt/moedas/dione" TargetMode="External"/><Relationship Id="rId1323" Type="http://schemas.openxmlformats.org/officeDocument/2006/relationships/hyperlink" Target="https://www.coingecko.com/pt/c%C3%A2mbios/digifinex" TargetMode="External"/><Relationship Id="rId1530" Type="http://schemas.openxmlformats.org/officeDocument/2006/relationships/hyperlink" Target="https://www.coingecko.com/pt/moedas/optimism" TargetMode="External"/><Relationship Id="rId1628" Type="http://schemas.openxmlformats.org/officeDocument/2006/relationships/hyperlink" Target="http://rendernetwork.com/" TargetMode="External"/><Relationship Id="rId1975" Type="http://schemas.openxmlformats.org/officeDocument/2006/relationships/hyperlink" Target="https://www.coingecko.com/pt/c%C3%A2mbios/crypto_com" TargetMode="External"/><Relationship Id="rId1835" Type="http://schemas.openxmlformats.org/officeDocument/2006/relationships/hyperlink" Target="https://br.beincrypto.com/halving-do-bitcoin-camada-2-desempenho/" TargetMode="External"/><Relationship Id="rId1902" Type="http://schemas.openxmlformats.org/officeDocument/2006/relationships/hyperlink" Target="https://blog.coingecko.com/" TargetMode="External"/><Relationship Id="rId2097" Type="http://schemas.openxmlformats.org/officeDocument/2006/relationships/hyperlink" Target="https://www.coingecko.com/learn/what-is-fully-diluted-valuation-fdv-in-crypto" TargetMode="External"/><Relationship Id="rId276" Type="http://schemas.openxmlformats.org/officeDocument/2006/relationships/hyperlink" Target="https://www.coingecko.com/pt/moedas/degen-base" TargetMode="External"/><Relationship Id="rId483" Type="http://schemas.openxmlformats.org/officeDocument/2006/relationships/hyperlink" Target="https://www.geckoterminal.com/?utm_source=coingecko&amp;utm_medium=referral&amp;utm_campaign=desktop_navigation" TargetMode="External"/><Relationship Id="rId690" Type="http://schemas.openxmlformats.org/officeDocument/2006/relationships/hyperlink" Target="https://www.bitget.com/spot/RONUSDT?channelCode=42xn&amp;vipCode=sq59&amp;languageType=0" TargetMode="External"/><Relationship Id="rId2164" Type="http://schemas.openxmlformats.org/officeDocument/2006/relationships/hyperlink" Target="https://www.coingecko.com/pt/moedas/solana" TargetMode="External"/><Relationship Id="rId2371" Type="http://schemas.openxmlformats.org/officeDocument/2006/relationships/hyperlink" Target="https://support.coingecko.com/" TargetMode="External"/><Relationship Id="rId136" Type="http://schemas.openxmlformats.org/officeDocument/2006/relationships/hyperlink" Target="https://www.coingecko.com/pt/candy/partners-getting-started" TargetMode="External"/><Relationship Id="rId343" Type="http://schemas.openxmlformats.org/officeDocument/2006/relationships/hyperlink" Target="https://solscan.io/" TargetMode="External"/><Relationship Id="rId550" Type="http://schemas.openxmlformats.org/officeDocument/2006/relationships/hyperlink" Target="https://www.coingecko.com/pt/c%C3%A2mbios/mexc" TargetMode="External"/><Relationship Id="rId788" Type="http://schemas.openxmlformats.org/officeDocument/2006/relationships/hyperlink" Target="https://www.coingecko.com/pt/branding" TargetMode="External"/><Relationship Id="rId995" Type="http://schemas.openxmlformats.org/officeDocument/2006/relationships/hyperlink" Target="https://gate.io/trade/GALA_USDT?ref=3018394" TargetMode="External"/><Relationship Id="rId1180" Type="http://schemas.openxmlformats.org/officeDocument/2006/relationships/hyperlink" Target="https://www.coingecko.com/pt/c%C3%A2mbios/bybit_spot" TargetMode="External"/><Relationship Id="rId2024" Type="http://schemas.openxmlformats.org/officeDocument/2006/relationships/hyperlink" Target="https://www.coingecko.com/pt/moedas/ethereum" TargetMode="External"/><Relationship Id="rId2231" Type="http://schemas.openxmlformats.org/officeDocument/2006/relationships/hyperlink" Target="https://www.geckoterminal.com/?utm_source=coingecko&amp;utm_medium=referral&amp;utm_campaign=desktop_navigation" TargetMode="External"/><Relationship Id="rId2469" Type="http://schemas.openxmlformats.org/officeDocument/2006/relationships/hyperlink" Target="https://coinmarketcap.com/pt-br/currencies/unus-sed-leo/" TargetMode="External"/><Relationship Id="rId2676" Type="http://schemas.openxmlformats.org/officeDocument/2006/relationships/hyperlink" Target="https://www.coingecko.com/learn/defi-blue-chips" TargetMode="External"/><Relationship Id="rId203" Type="http://schemas.openxmlformats.org/officeDocument/2006/relationships/hyperlink" Target="https://www.coingecko.com/pt/c%C3%A2mbios/okx" TargetMode="External"/><Relationship Id="rId648" Type="http://schemas.openxmlformats.org/officeDocument/2006/relationships/hyperlink" Target="https://t.me/coingeckonews" TargetMode="External"/><Relationship Id="rId855" Type="http://schemas.openxmlformats.org/officeDocument/2006/relationships/hyperlink" Target="https://www.coingecko.com/pt/c%C3%A2mbios/biconomy" TargetMode="External"/><Relationship Id="rId1040" Type="http://schemas.openxmlformats.org/officeDocument/2006/relationships/hyperlink" Target="https://www.coingecko.com/pt/moedas/gala/brl" TargetMode="External"/><Relationship Id="rId1278" Type="http://schemas.openxmlformats.org/officeDocument/2006/relationships/hyperlink" Target="https://www.reddit.com/r/coingecko/" TargetMode="External"/><Relationship Id="rId1485" Type="http://schemas.openxmlformats.org/officeDocument/2006/relationships/hyperlink" Target="https://www.coingecko.com/pt/c%C3%A2mbios/binance" TargetMode="External"/><Relationship Id="rId1692" Type="http://schemas.openxmlformats.org/officeDocument/2006/relationships/hyperlink" Target="https://www.coingecko.com/pt/moedas/the-sandbox" TargetMode="External"/><Relationship Id="rId2329" Type="http://schemas.openxmlformats.org/officeDocument/2006/relationships/hyperlink" Target="https://www.coingecko.com/pt/moedas/xfund" TargetMode="External"/><Relationship Id="rId2536" Type="http://schemas.openxmlformats.org/officeDocument/2006/relationships/hyperlink" Target="https://coinmarketcap.com/pt-br/currencies/shiba-inu/" TargetMode="External"/><Relationship Id="rId2743" Type="http://schemas.openxmlformats.org/officeDocument/2006/relationships/hyperlink" Target="https://www.coingecko.com/en/news" TargetMode="External"/><Relationship Id="rId410" Type="http://schemas.openxmlformats.org/officeDocument/2006/relationships/hyperlink" Target="https://www.coingecko.com/pt/moedas/render" TargetMode="External"/><Relationship Id="rId508" Type="http://schemas.openxmlformats.org/officeDocument/2006/relationships/hyperlink" Target="https://etherscan.io/token/0x514910771af9ca656af840dff83e8264ecf986ca?a=0xD48133C96C5FE8d41D0cbD598F65bf4548941e27" TargetMode="External"/><Relationship Id="rId715" Type="http://schemas.openxmlformats.org/officeDocument/2006/relationships/hyperlink" Target="https://www.coingecko.com/pt/c%C3%A2mbios/woo-network" TargetMode="External"/><Relationship Id="rId922" Type="http://schemas.openxmlformats.org/officeDocument/2006/relationships/hyperlink" Target="https://www.coingecko.com/pt/moedas/jupiter" TargetMode="External"/><Relationship Id="rId1138" Type="http://schemas.openxmlformats.org/officeDocument/2006/relationships/hyperlink" Target="https://www.coingecko.com/pt/metodologia" TargetMode="External"/><Relationship Id="rId1345" Type="http://schemas.openxmlformats.org/officeDocument/2006/relationships/hyperlink" Target="https://www.coingecko.com/pt/c%C3%A2mbios/bingx" TargetMode="External"/><Relationship Id="rId1552" Type="http://schemas.openxmlformats.org/officeDocument/2006/relationships/hyperlink" Target="https://www.coingecko.com/pt/moedas/pixels" TargetMode="External"/><Relationship Id="rId1997" Type="http://schemas.openxmlformats.org/officeDocument/2006/relationships/hyperlink" Target="https://www.coingecko.com/pt/moedas/dogecoin/usd" TargetMode="External"/><Relationship Id="rId2603" Type="http://schemas.openxmlformats.org/officeDocument/2006/relationships/hyperlink" Target="https://www.coingecko.com/en/api" TargetMode="External"/><Relationship Id="rId1205" Type="http://schemas.openxmlformats.org/officeDocument/2006/relationships/hyperlink" Target="https://www.coingecko.com/pt/moedas/polygon/eur" TargetMode="External"/><Relationship Id="rId1857" Type="http://schemas.openxmlformats.org/officeDocument/2006/relationships/hyperlink" Target="https://www.coingecko.com/pt/moedas/bitcoin-cash" TargetMode="External"/><Relationship Id="rId51" Type="http://schemas.openxmlformats.org/officeDocument/2006/relationships/hyperlink" Target="https://www.coingecko.com/pt/c%C3%A2mbios/okx" TargetMode="External"/><Relationship Id="rId1412" Type="http://schemas.openxmlformats.org/officeDocument/2006/relationships/hyperlink" Target="https://www.coingecko.com/pt/moedas/wormhole" TargetMode="External"/><Relationship Id="rId1717" Type="http://schemas.openxmlformats.org/officeDocument/2006/relationships/hyperlink" Target="https://www.coingecko.com/pt/moedas/wormhole" TargetMode="External"/><Relationship Id="rId1924" Type="http://schemas.openxmlformats.org/officeDocument/2006/relationships/hyperlink" Target="https://www.coingecko.com/pt/premium/pricing" TargetMode="External"/><Relationship Id="rId298" Type="http://schemas.openxmlformats.org/officeDocument/2006/relationships/hyperlink" Target="https://www.coingecko.com/pt/sobre" TargetMode="External"/><Relationship Id="rId158" Type="http://schemas.openxmlformats.org/officeDocument/2006/relationships/hyperlink" Target="https://www.tiktok.com/@coingeckotv" TargetMode="External"/><Relationship Id="rId2186" Type="http://schemas.openxmlformats.org/officeDocument/2006/relationships/hyperlink" Target="https://www.coingecko.com/pt/moedas/degen-base" TargetMode="External"/><Relationship Id="rId2393" Type="http://schemas.openxmlformats.org/officeDocument/2006/relationships/hyperlink" Target="https://www.coingecko.com/pt/isen%C3%A7%C3%A3o_de_responsabilidade" TargetMode="External"/><Relationship Id="rId2698" Type="http://schemas.openxmlformats.org/officeDocument/2006/relationships/hyperlink" Target="https://www.coingecko.com/en/coins/ankr-network" TargetMode="External"/><Relationship Id="rId365" Type="http://schemas.openxmlformats.org/officeDocument/2006/relationships/hyperlink" Target="https://www.weex.com/trade/sol_usdt" TargetMode="External"/><Relationship Id="rId572" Type="http://schemas.openxmlformats.org/officeDocument/2006/relationships/hyperlink" Target="https://www.criptofacil.com/fundos-de-criptomoedas-registram-maiores-saidas-desde-marco/" TargetMode="External"/><Relationship Id="rId2046" Type="http://schemas.openxmlformats.org/officeDocument/2006/relationships/hyperlink" Target="https://www.coingecko.com/pt/moedas/ondo" TargetMode="External"/><Relationship Id="rId2253" Type="http://schemas.openxmlformats.org/officeDocument/2006/relationships/hyperlink" Target="https://etherscan.io/token/0x95ad61b0a150d79219dcf64e1e6cc01f0b64c4ce?a=0xdead000000000000000042069420694206942069" TargetMode="External"/><Relationship Id="rId2460" Type="http://schemas.openxmlformats.org/officeDocument/2006/relationships/hyperlink" Target="https://coinmarketcap.com/alexandria/glossary/memecoin" TargetMode="External"/><Relationship Id="rId225" Type="http://schemas.openxmlformats.org/officeDocument/2006/relationships/hyperlink" Target="https://br.beincrypto.com/dydx-chain-token/" TargetMode="External"/><Relationship Id="rId432" Type="http://schemas.openxmlformats.org/officeDocument/2006/relationships/hyperlink" Target="https://www.coingecko.com/pt/moedas/bitcoin" TargetMode="External"/><Relationship Id="rId877" Type="http://schemas.openxmlformats.org/officeDocument/2006/relationships/hyperlink" Target="https://www.coingecko.com/pt/moedas/immutable-x/eur" TargetMode="External"/><Relationship Id="rId1062" Type="http://schemas.openxmlformats.org/officeDocument/2006/relationships/hyperlink" Target="https://www.coingecko.com/pt/moedas/dione" TargetMode="External"/><Relationship Id="rId2113" Type="http://schemas.openxmlformats.org/officeDocument/2006/relationships/hyperlink" Target="https://www.tokocrypto.com/trade/WIFUSDT" TargetMode="External"/><Relationship Id="rId2320" Type="http://schemas.openxmlformats.org/officeDocument/2006/relationships/hyperlink" Target="https://www.coingecko.com/pt/moedas/bone-shibaswap" TargetMode="External"/><Relationship Id="rId2558" Type="http://schemas.openxmlformats.org/officeDocument/2006/relationships/hyperlink" Target="https://coinmarketcap.com/pt-br/tokens/" TargetMode="External"/><Relationship Id="rId2765" Type="http://schemas.openxmlformats.org/officeDocument/2006/relationships/hyperlink" Target="https://t.me/coingeckonews" TargetMode="External"/><Relationship Id="rId737" Type="http://schemas.openxmlformats.org/officeDocument/2006/relationships/hyperlink" Target="https://www.coingecko.com/pt/moedas/bitcoin" TargetMode="External"/><Relationship Id="rId944" Type="http://schemas.openxmlformats.org/officeDocument/2006/relationships/hyperlink" Target="https://www.coingecko.com/pt/privacidade" TargetMode="External"/><Relationship Id="rId1367" Type="http://schemas.openxmlformats.org/officeDocument/2006/relationships/hyperlink" Target="https://www.coingecko.com/pt/moedas/optimism/brl" TargetMode="External"/><Relationship Id="rId1574" Type="http://schemas.openxmlformats.org/officeDocument/2006/relationships/hyperlink" Target="https://www.coingecko.com/pt/public-companies-bitcoin" TargetMode="External"/><Relationship Id="rId1781" Type="http://schemas.openxmlformats.org/officeDocument/2006/relationships/hyperlink" Target="https://defillama.com/" TargetMode="External"/><Relationship Id="rId2418" Type="http://schemas.openxmlformats.org/officeDocument/2006/relationships/hyperlink" Target="https://www.google.com/search?client=firefox-b-d&amp;sca_esv=8f14c8c94b33adc6&amp;sca_upv=1&amp;ie=UTF-8&amp;q=dollar+to+real&amp;sa=X&amp;ved=2ahUKEwj_2bOd7u6FAxXSpZUCHUfnDMEQ1QJ6BAgAEAU" TargetMode="External"/><Relationship Id="rId2625" Type="http://schemas.openxmlformats.org/officeDocument/2006/relationships/hyperlink" Target="https://www.coingecko.com/en/exchanges/pointpay" TargetMode="External"/><Relationship Id="rId73" Type="http://schemas.openxmlformats.org/officeDocument/2006/relationships/hyperlink" Target="https://www.cryptopolitan.com/pt/blackrock-bitcoin-etf-marca-primeira-saida/" TargetMode="External"/><Relationship Id="rId804" Type="http://schemas.openxmlformats.org/officeDocument/2006/relationships/hyperlink" Target="https://coingecko.app.link/lTInCXLGz4" TargetMode="External"/><Relationship Id="rId1227" Type="http://schemas.openxmlformats.org/officeDocument/2006/relationships/hyperlink" Target="https://www.coingecko.com/pt/moedas/dione" TargetMode="External"/><Relationship Id="rId1434" Type="http://schemas.openxmlformats.org/officeDocument/2006/relationships/hyperlink" Target="https://www.coingecko.com/pt/ad_policy" TargetMode="External"/><Relationship Id="rId1641" Type="http://schemas.openxmlformats.org/officeDocument/2006/relationships/hyperlink" Target="https://www.coingecko.com/pt/categories/ethereum-ecosystem" TargetMode="External"/><Relationship Id="rId1879" Type="http://schemas.openxmlformats.org/officeDocument/2006/relationships/hyperlink" Target="https://www.coingecko.com/pt/moedas/wormhole" TargetMode="External"/><Relationship Id="rId1501" Type="http://schemas.openxmlformats.org/officeDocument/2006/relationships/hyperlink" Target="https://www.mexc.com/exchange/ARB_USDT?inviteCode=1498J" TargetMode="External"/><Relationship Id="rId1739" Type="http://schemas.openxmlformats.org/officeDocument/2006/relationships/hyperlink" Target="https://www.coingecko.com/pt/faq" TargetMode="External"/><Relationship Id="rId1946" Type="http://schemas.openxmlformats.org/officeDocument/2006/relationships/hyperlink" Target="https://twitter.com/dogecoin" TargetMode="External"/><Relationship Id="rId1806" Type="http://schemas.openxmlformats.org/officeDocument/2006/relationships/hyperlink" Target="https://www.coingecko.com/pt/c%C3%A2mbios/bingx" TargetMode="External"/><Relationship Id="rId387" Type="http://schemas.openxmlformats.org/officeDocument/2006/relationships/hyperlink" Target="https://br.beincrypto.com/receita-federal-imposto-emprestimo-cripto/" TargetMode="External"/><Relationship Id="rId594" Type="http://schemas.openxmlformats.org/officeDocument/2006/relationships/hyperlink" Target="https://www.coingecko.com/pt/moedas/axelar" TargetMode="External"/><Relationship Id="rId2068" Type="http://schemas.openxmlformats.org/officeDocument/2006/relationships/hyperlink" Target="https://twitter.com/coingecko" TargetMode="External"/><Relationship Id="rId2275" Type="http://schemas.openxmlformats.org/officeDocument/2006/relationships/hyperlink" Target="https://www.coingecko.com/pt/c%C3%A2mbios/bitvenus-spot" TargetMode="External"/><Relationship Id="rId247" Type="http://schemas.openxmlformats.org/officeDocument/2006/relationships/hyperlink" Target="https://www.coingecko.com/pt/moedas/near" TargetMode="External"/><Relationship Id="rId899" Type="http://schemas.openxmlformats.org/officeDocument/2006/relationships/hyperlink" Target="https://www.coingecko.com/pt/moedas/dione" TargetMode="External"/><Relationship Id="rId1084" Type="http://schemas.openxmlformats.org/officeDocument/2006/relationships/hyperlink" Target="https://www.coingecko.com/pt/moedas/bittensor" TargetMode="External"/><Relationship Id="rId2482" Type="http://schemas.openxmlformats.org/officeDocument/2006/relationships/hyperlink" Target="https://coinmarketcap.com/pt-br/currencies/render/" TargetMode="External"/><Relationship Id="rId2787" Type="http://schemas.openxmlformats.org/officeDocument/2006/relationships/queryTable" Target="../queryTables/queryTable8.xml"/><Relationship Id="rId107" Type="http://schemas.openxmlformats.org/officeDocument/2006/relationships/hyperlink" Target="https://www.coingecko.com/pt/moedas/pixels" TargetMode="External"/><Relationship Id="rId454" Type="http://schemas.openxmlformats.org/officeDocument/2006/relationships/hyperlink" Target="https://hackenproof.com/coingecko/coingecko" TargetMode="External"/><Relationship Id="rId661" Type="http://schemas.openxmlformats.org/officeDocument/2006/relationships/hyperlink" Target="https://www.coingecko.com/pt/premium/pricing" TargetMode="External"/><Relationship Id="rId759" Type="http://schemas.openxmlformats.org/officeDocument/2006/relationships/hyperlink" Target="https://www.coingecko.com/pt/moedas/wormhole" TargetMode="External"/><Relationship Id="rId966" Type="http://schemas.openxmlformats.org/officeDocument/2006/relationships/hyperlink" Target="https://www.coingecko.com/pt/candy" TargetMode="External"/><Relationship Id="rId1291" Type="http://schemas.openxmlformats.org/officeDocument/2006/relationships/hyperlink" Target="https://www.geckoterminal.com/?utm_source=coingecko&amp;utm_medium=referral&amp;utm_campaign=desktop_navigation" TargetMode="External"/><Relationship Id="rId1389" Type="http://schemas.openxmlformats.org/officeDocument/2006/relationships/hyperlink" Target="https://www.coingecko.com/pt/moedas/dione" TargetMode="External"/><Relationship Id="rId1596" Type="http://schemas.openxmlformats.org/officeDocument/2006/relationships/hyperlink" Target="https://www.instagram.com/coingecko/" TargetMode="External"/><Relationship Id="rId2135" Type="http://schemas.openxmlformats.org/officeDocument/2006/relationships/hyperlink" Target="https://www.coingecko.com/pt/c%C3%A2mbios/kucoin" TargetMode="External"/><Relationship Id="rId2342" Type="http://schemas.openxmlformats.org/officeDocument/2006/relationships/hyperlink" Target="https://www.coingecko.com/pt/moedas/bitcoin" TargetMode="External"/><Relationship Id="rId2647" Type="http://schemas.openxmlformats.org/officeDocument/2006/relationships/hyperlink" Target="https://www.coingecko.com/en/exchanges/bitget" TargetMode="External"/><Relationship Id="rId314" Type="http://schemas.openxmlformats.org/officeDocument/2006/relationships/hyperlink" Target="https://www.facebook.com/coingecko" TargetMode="External"/><Relationship Id="rId521" Type="http://schemas.openxmlformats.org/officeDocument/2006/relationships/hyperlink" Target="https://etherscan.io/token/0x514910771af9ca656af840dff83e8264ecf986ca" TargetMode="External"/><Relationship Id="rId619" Type="http://schemas.openxmlformats.org/officeDocument/2006/relationships/hyperlink" Target="https://www.coingecko.com/pt/moedas/pendle" TargetMode="External"/><Relationship Id="rId1151" Type="http://schemas.openxmlformats.org/officeDocument/2006/relationships/hyperlink" Target="https://t.me/polygonofficial" TargetMode="External"/><Relationship Id="rId1249" Type="http://schemas.openxmlformats.org/officeDocument/2006/relationships/hyperlink" Target="https://www.coingecko.com/pt/moedas/pepe" TargetMode="External"/><Relationship Id="rId2202" Type="http://schemas.openxmlformats.org/officeDocument/2006/relationships/hyperlink" Target="https://hackenproof.com/coingecko/coingecko" TargetMode="External"/><Relationship Id="rId95" Type="http://schemas.openxmlformats.org/officeDocument/2006/relationships/hyperlink" Target="https://www.coingecko.com/pt/moedas/toncoin" TargetMode="External"/><Relationship Id="rId826" Type="http://schemas.openxmlformats.org/officeDocument/2006/relationships/hyperlink" Target="https://etherscan.io/token/0xf57e7e7c23978c3caec3c3548e3d615c346e79ff?a=0x237343C10705ae7605850977503E25a8C12851e6" TargetMode="External"/><Relationship Id="rId1011" Type="http://schemas.openxmlformats.org/officeDocument/2006/relationships/hyperlink" Target="https://www.coingecko.com/pt/c%C3%A2mbios/crypto_com" TargetMode="External"/><Relationship Id="rId1109" Type="http://schemas.openxmlformats.org/officeDocument/2006/relationships/hyperlink" Target="https://t.me/coingecko" TargetMode="External"/><Relationship Id="rId1456" Type="http://schemas.openxmlformats.org/officeDocument/2006/relationships/hyperlink" Target="https://www.coingecko.com/pt/portfolio" TargetMode="External"/><Relationship Id="rId1663" Type="http://schemas.openxmlformats.org/officeDocument/2006/relationships/hyperlink" Target="https://www.coingecko.com/pt/c%C3%A2mbios/coinbase-exchange" TargetMode="External"/><Relationship Id="rId1870" Type="http://schemas.openxmlformats.org/officeDocument/2006/relationships/hyperlink" Target="https://www.coingecko.com/pt/moedas/degen-base" TargetMode="External"/><Relationship Id="rId1968" Type="http://schemas.openxmlformats.org/officeDocument/2006/relationships/hyperlink" Target="https://www.coingecko.com/pt/c%C3%A2mbios/whitebit" TargetMode="External"/><Relationship Id="rId2507" Type="http://schemas.openxmlformats.org/officeDocument/2006/relationships/hyperlink" Target="https://coinmarketcap.com/pt-br/currencies/artrade/" TargetMode="External"/><Relationship Id="rId2714" Type="http://schemas.openxmlformats.org/officeDocument/2006/relationships/hyperlink" Target="https://www.coingecko.com/en/coins/solana" TargetMode="External"/><Relationship Id="rId1316" Type="http://schemas.openxmlformats.org/officeDocument/2006/relationships/hyperlink" Target="https://twitter.com/search?q=$OP" TargetMode="External"/><Relationship Id="rId1523" Type="http://schemas.openxmlformats.org/officeDocument/2006/relationships/hyperlink" Target="https://www.coingecko.com/pt/moedas/arbitrum/eur" TargetMode="External"/><Relationship Id="rId1730" Type="http://schemas.openxmlformats.org/officeDocument/2006/relationships/hyperlink" Target="https://www.coingecko.com/pt/news" TargetMode="External"/><Relationship Id="rId22" Type="http://schemas.openxmlformats.org/officeDocument/2006/relationships/hyperlink" Target="https://blockchain.info/q/totalbc" TargetMode="External"/><Relationship Id="rId1828" Type="http://schemas.openxmlformats.org/officeDocument/2006/relationships/hyperlink" Target="https://www.coingecko.com/pt/c%C3%A2mbios/okx" TargetMode="External"/><Relationship Id="rId171" Type="http://schemas.openxmlformats.org/officeDocument/2006/relationships/hyperlink" Target="https://www.coingecko.com/pt/portfolio" TargetMode="External"/><Relationship Id="rId2297" Type="http://schemas.openxmlformats.org/officeDocument/2006/relationships/hyperlink" Target="https://www.coingecko.com/pt/c%C3%A2mbios/pionex" TargetMode="External"/><Relationship Id="rId269" Type="http://schemas.openxmlformats.org/officeDocument/2006/relationships/hyperlink" Target="https://www.coingecko.com/pt/moedas/ethereum" TargetMode="External"/><Relationship Id="rId476" Type="http://schemas.openxmlformats.org/officeDocument/2006/relationships/hyperlink" Target="https://coingecko.app.link/lTInCXLGz4" TargetMode="External"/><Relationship Id="rId683" Type="http://schemas.openxmlformats.org/officeDocument/2006/relationships/hyperlink" Target="https://twitter.com/Ronin_Network" TargetMode="External"/><Relationship Id="rId890" Type="http://schemas.openxmlformats.org/officeDocument/2006/relationships/hyperlink" Target="https://www.coingecko.com/pt/moedas/skale" TargetMode="External"/><Relationship Id="rId2157" Type="http://schemas.openxmlformats.org/officeDocument/2006/relationships/hyperlink" Target="https://www.coingecko.com/pt/moedas/mew" TargetMode="External"/><Relationship Id="rId2364" Type="http://schemas.openxmlformats.org/officeDocument/2006/relationships/hyperlink" Target="https://www.coingecko.com/pt/news" TargetMode="External"/><Relationship Id="rId2571" Type="http://schemas.openxmlformats.org/officeDocument/2006/relationships/hyperlink" Target="https://support.coinmarketcap.com/hc/en-us/articles/4412939497755/" TargetMode="External"/><Relationship Id="rId129" Type="http://schemas.openxmlformats.org/officeDocument/2006/relationships/hyperlink" Target="https://www.coingecko.com/pt" TargetMode="External"/><Relationship Id="rId336" Type="http://schemas.openxmlformats.org/officeDocument/2006/relationships/hyperlink" Target="https://www.coingecko.com/learn/what-is-fully-diluted-valuation-fdv-in-crypto" TargetMode="External"/><Relationship Id="rId543" Type="http://schemas.openxmlformats.org/officeDocument/2006/relationships/hyperlink" Target="https://www.coingecko.com/pt/c%C3%A2mbios/bitvenus-spot" TargetMode="External"/><Relationship Id="rId988" Type="http://schemas.openxmlformats.org/officeDocument/2006/relationships/hyperlink" Target="https://twitter.com/search?q=$GALA" TargetMode="External"/><Relationship Id="rId1173" Type="http://schemas.openxmlformats.org/officeDocument/2006/relationships/hyperlink" Target="https://www.bitvenus.me/exchange/MATIC/USDT?register/vh2osI" TargetMode="External"/><Relationship Id="rId1380" Type="http://schemas.openxmlformats.org/officeDocument/2006/relationships/hyperlink" Target="https://www.coingecko.com/pt/moedas/lido-dao" TargetMode="External"/><Relationship Id="rId2017" Type="http://schemas.openxmlformats.org/officeDocument/2006/relationships/hyperlink" Target="https://www.coingecko.com/pt/moedas/solana" TargetMode="External"/><Relationship Id="rId2224" Type="http://schemas.openxmlformats.org/officeDocument/2006/relationships/hyperlink" Target="https://coingecko.app.link/lTInCXLGz4" TargetMode="External"/><Relationship Id="rId2669" Type="http://schemas.openxmlformats.org/officeDocument/2006/relationships/hyperlink" Target="https://www.coingecko.com/learn/what-is-blast-crypto-l2-optimistic-rollup" TargetMode="External"/><Relationship Id="rId403" Type="http://schemas.openxmlformats.org/officeDocument/2006/relationships/hyperlink" Target="https://www.coingecko.com/pt/moedas/usdc" TargetMode="External"/><Relationship Id="rId750" Type="http://schemas.openxmlformats.org/officeDocument/2006/relationships/hyperlink" Target="https://www.coingecko.com/pt/moedas/pixels" TargetMode="External"/><Relationship Id="rId848" Type="http://schemas.openxmlformats.org/officeDocument/2006/relationships/hyperlink" Target="https://www.digifinex.com/en-ww/trade/USDT/IMX" TargetMode="External"/><Relationship Id="rId1033" Type="http://schemas.openxmlformats.org/officeDocument/2006/relationships/hyperlink" Target="https://hpg.com.br/hbtc-huobi-btc-criptomoeda-projeto-onde-comprar-vai-subir-em-2024.html" TargetMode="External"/><Relationship Id="rId1478" Type="http://schemas.openxmlformats.org/officeDocument/2006/relationships/hyperlink" Target="https://www.coingecko.com/pt/c%C3%A2mbios/gate-io" TargetMode="External"/><Relationship Id="rId1685" Type="http://schemas.openxmlformats.org/officeDocument/2006/relationships/hyperlink" Target="https://www.coingecko.com/pt/moedas/floki" TargetMode="External"/><Relationship Id="rId1892" Type="http://schemas.openxmlformats.org/officeDocument/2006/relationships/hyperlink" Target="https://www.coingecko.com/pt/api" TargetMode="External"/><Relationship Id="rId2431" Type="http://schemas.openxmlformats.org/officeDocument/2006/relationships/hyperlink" Target="https://www.google.com/intl/pt-BR_br/policies/terms/" TargetMode="External"/><Relationship Id="rId2529" Type="http://schemas.openxmlformats.org/officeDocument/2006/relationships/hyperlink" Target="https://coinmarketcap.com/pt-br/currencies/super-trump-io/" TargetMode="External"/><Relationship Id="rId2736" Type="http://schemas.openxmlformats.org/officeDocument/2006/relationships/hyperlink" Target="https://www.coingecko.com/en/coins/pendle" TargetMode="External"/><Relationship Id="rId610" Type="http://schemas.openxmlformats.org/officeDocument/2006/relationships/hyperlink" Target="https://www.coingecko.com/pt/moedas/bitcoin" TargetMode="External"/><Relationship Id="rId708" Type="http://schemas.openxmlformats.org/officeDocument/2006/relationships/hyperlink" Target="https://bingx.com/en-us/spot/RONUSDT?ch=cgk_organic" TargetMode="External"/><Relationship Id="rId915" Type="http://schemas.openxmlformats.org/officeDocument/2006/relationships/hyperlink" Target="https://www.coingecko.com/pt/moedas/degen-base" TargetMode="External"/><Relationship Id="rId1240" Type="http://schemas.openxmlformats.org/officeDocument/2006/relationships/hyperlink" Target="https://www.coingecko.com/pt/moedas/wormhole" TargetMode="External"/><Relationship Id="rId1338" Type="http://schemas.openxmlformats.org/officeDocument/2006/relationships/hyperlink" Target="https://www.coingecko.com/pt/c%C3%A2mbios/okx" TargetMode="External"/><Relationship Id="rId1545" Type="http://schemas.openxmlformats.org/officeDocument/2006/relationships/hyperlink" Target="https://www.coingecko.com/pt/moedas/dione" TargetMode="External"/><Relationship Id="rId1100" Type="http://schemas.openxmlformats.org/officeDocument/2006/relationships/hyperlink" Target="https://careers.coingecko.com/" TargetMode="External"/><Relationship Id="rId1405" Type="http://schemas.openxmlformats.org/officeDocument/2006/relationships/hyperlink" Target="https://www.coingecko.com/pt/moedas/aerodrome-finance" TargetMode="External"/><Relationship Id="rId1752" Type="http://schemas.openxmlformats.org/officeDocument/2006/relationships/hyperlink" Target="https://t.me/coingeckonews" TargetMode="External"/><Relationship Id="rId44" Type="http://schemas.openxmlformats.org/officeDocument/2006/relationships/hyperlink" Target="https://www.coingecko.com/pt/c%C3%A2mbios/bitget" TargetMode="External"/><Relationship Id="rId1612" Type="http://schemas.openxmlformats.org/officeDocument/2006/relationships/hyperlink" Target="https://www.coingecko.com/pt/candy" TargetMode="External"/><Relationship Id="rId1917" Type="http://schemas.openxmlformats.org/officeDocument/2006/relationships/hyperlink" Target="https://www.tiktok.com/@coingeckotv" TargetMode="External"/><Relationship Id="rId193" Type="http://schemas.openxmlformats.org/officeDocument/2006/relationships/hyperlink" Target="https://www.coingecko.com/pt/c%C3%A2mbios/binance" TargetMode="External"/><Relationship Id="rId498" Type="http://schemas.openxmlformats.org/officeDocument/2006/relationships/hyperlink" Target="https://etherscan.io/token/0x514910771af9ca656af840dff83e8264ecf986ca?a=0x98c63b7b319dfbdf3d811530f2ab9dfe4983af9d" TargetMode="External"/><Relationship Id="rId2081" Type="http://schemas.openxmlformats.org/officeDocument/2006/relationships/hyperlink" Target="https://www.coingecko.com/pt/global-charts" TargetMode="External"/><Relationship Id="rId2179" Type="http://schemas.openxmlformats.org/officeDocument/2006/relationships/hyperlink" Target="https://www.coingecko.com/pt/moedas/pixels" TargetMode="External"/><Relationship Id="rId260" Type="http://schemas.openxmlformats.org/officeDocument/2006/relationships/hyperlink" Target="https://www.coingecko.com/pt/moedas/dione" TargetMode="External"/><Relationship Id="rId2386" Type="http://schemas.openxmlformats.org/officeDocument/2006/relationships/hyperlink" Target="https://t.me/coingeckonews" TargetMode="External"/><Relationship Id="rId2593" Type="http://schemas.openxmlformats.org/officeDocument/2006/relationships/hyperlink" Target="https://www.geckoterminal.com/?utm_source=coingecko&amp;utm_medium=referral&amp;utm_campaign=desktop_navigation" TargetMode="External"/><Relationship Id="rId120" Type="http://schemas.openxmlformats.org/officeDocument/2006/relationships/hyperlink" Target="https://www.coingecko.com/pt/moedas/pepe" TargetMode="External"/><Relationship Id="rId358" Type="http://schemas.openxmlformats.org/officeDocument/2006/relationships/hyperlink" Target="https://www.coingecko.com/pt/c%C3%A2mbios/gate-io" TargetMode="External"/><Relationship Id="rId565" Type="http://schemas.openxmlformats.org/officeDocument/2006/relationships/hyperlink" Target="https://br.beincrypto.com/altcoins-formaram-fundo-e-estao-prontas-para-bull-run/" TargetMode="External"/><Relationship Id="rId772" Type="http://schemas.openxmlformats.org/officeDocument/2006/relationships/hyperlink" Target="https://www.coingecko.com/pt/moedas/bittensor" TargetMode="External"/><Relationship Id="rId1195" Type="http://schemas.openxmlformats.org/officeDocument/2006/relationships/hyperlink" Target="https://br.beincrypto.com/altcoins-formaram-fundo-e-estao-prontas-para-bull-run/" TargetMode="External"/><Relationship Id="rId2039" Type="http://schemas.openxmlformats.org/officeDocument/2006/relationships/hyperlink" Target="https://www.coingecko.com/pt/moedas/aerodrome-finance" TargetMode="External"/><Relationship Id="rId2246" Type="http://schemas.openxmlformats.org/officeDocument/2006/relationships/hyperlink" Target="https://etherscan.io/token/0x95ad61b0a150d79219dcf64e1e6cc01f0b64c4ce?a=0x0000000000000000000000000000000000000000" TargetMode="External"/><Relationship Id="rId2453" Type="http://schemas.openxmlformats.org/officeDocument/2006/relationships/hyperlink" Target="https://coinmarketcap.com/pt-br/currencies/pepe/historical-data/" TargetMode="External"/><Relationship Id="rId2660" Type="http://schemas.openxmlformats.org/officeDocument/2006/relationships/hyperlink" Target="https://www.coingabbar.com/en/crypto-currency-news/crypto-prices-today-30-april-btc-crash-after-hong-kong-etfs" TargetMode="External"/><Relationship Id="rId218" Type="http://schemas.openxmlformats.org/officeDocument/2006/relationships/hyperlink" Target="https://www.coingecko.com/pt/c%C3%A2mbios/coinbase-exchange" TargetMode="External"/><Relationship Id="rId425" Type="http://schemas.openxmlformats.org/officeDocument/2006/relationships/hyperlink" Target="https://www.coingecko.com/pt/moedas/ethereum" TargetMode="External"/><Relationship Id="rId632" Type="http://schemas.openxmlformats.org/officeDocument/2006/relationships/hyperlink" Target="https://www.coingecko.com/pt/candy/partners-getting-started" TargetMode="External"/><Relationship Id="rId1055" Type="http://schemas.openxmlformats.org/officeDocument/2006/relationships/hyperlink" Target="https://www.coingecko.com/pt/moedas/vulcan-forged" TargetMode="External"/><Relationship Id="rId1262" Type="http://schemas.openxmlformats.org/officeDocument/2006/relationships/hyperlink" Target="https://hackenproof.com/coingecko/coingecko" TargetMode="External"/><Relationship Id="rId2106" Type="http://schemas.openxmlformats.org/officeDocument/2006/relationships/hyperlink" Target="https://www.coingecko.com/pt/categories/solana-ecosystem" TargetMode="External"/><Relationship Id="rId2313" Type="http://schemas.openxmlformats.org/officeDocument/2006/relationships/hyperlink" Target="https://www.coingecko.com/pt/moedas/shiba-inu/usd" TargetMode="External"/><Relationship Id="rId2520" Type="http://schemas.openxmlformats.org/officeDocument/2006/relationships/hyperlink" Target="https://coinmarketcap.com/pt-br/currencies/iota/" TargetMode="External"/><Relationship Id="rId2758" Type="http://schemas.openxmlformats.org/officeDocument/2006/relationships/hyperlink" Target="https://www.coingecko.com/en/methodology" TargetMode="External"/><Relationship Id="rId937" Type="http://schemas.openxmlformats.org/officeDocument/2006/relationships/hyperlink" Target="https://careers.coingecko.com/" TargetMode="External"/><Relationship Id="rId1122" Type="http://schemas.openxmlformats.org/officeDocument/2006/relationships/hyperlink" Target="https://www.coingecko.com/pt/global-charts" TargetMode="External"/><Relationship Id="rId1567" Type="http://schemas.openxmlformats.org/officeDocument/2006/relationships/hyperlink" Target="https://www.coingecko.com/pt/moedas/ronin" TargetMode="External"/><Relationship Id="rId1774" Type="http://schemas.openxmlformats.org/officeDocument/2006/relationships/hyperlink" Target="https://www.coingecko.com/pt/metodologia" TargetMode="External"/><Relationship Id="rId1981" Type="http://schemas.openxmlformats.org/officeDocument/2006/relationships/hyperlink" Target="https://www.coingecko.com/pt/c%C3%A2mbios/bitget" TargetMode="External"/><Relationship Id="rId2618" Type="http://schemas.openxmlformats.org/officeDocument/2006/relationships/hyperlink" Target="https://snapshot.org/" TargetMode="External"/><Relationship Id="rId66" Type="http://schemas.openxmlformats.org/officeDocument/2006/relationships/hyperlink" Target="https://portaldobitcoin.uol.com.br/microstrategy-cria-id-descentralizada-na-blockchain-do-bitcoin/" TargetMode="External"/><Relationship Id="rId1427" Type="http://schemas.openxmlformats.org/officeDocument/2006/relationships/hyperlink" Target="https://careers.coingecko.com/" TargetMode="External"/><Relationship Id="rId1634" Type="http://schemas.openxmlformats.org/officeDocument/2006/relationships/hyperlink" Target="https://www.facebook.com/8520586012" TargetMode="External"/><Relationship Id="rId1841" Type="http://schemas.openxmlformats.org/officeDocument/2006/relationships/hyperlink" Target="https://www.coingecko.com/pt/moedas/stacks/brl" TargetMode="External"/><Relationship Id="rId1939" Type="http://schemas.openxmlformats.org/officeDocument/2006/relationships/hyperlink" Target="https://www.coingecko.com/pt/metodologia" TargetMode="External"/><Relationship Id="rId1701" Type="http://schemas.openxmlformats.org/officeDocument/2006/relationships/hyperlink" Target="https://www.coingecko.com/pt/moedas/solana" TargetMode="External"/><Relationship Id="rId282" Type="http://schemas.openxmlformats.org/officeDocument/2006/relationships/hyperlink" Target="https://www.coingecko.com/pt/moedas/dymension" TargetMode="External"/><Relationship Id="rId587" Type="http://schemas.openxmlformats.org/officeDocument/2006/relationships/hyperlink" Target="https://www.coingecko.com/pt/moedas/fetch-ai" TargetMode="External"/><Relationship Id="rId2170" Type="http://schemas.openxmlformats.org/officeDocument/2006/relationships/hyperlink" Target="https://www.coingecko.com/pt/moedas/ethereum" TargetMode="External"/><Relationship Id="rId2268" Type="http://schemas.openxmlformats.org/officeDocument/2006/relationships/hyperlink" Target="https://www.coingecko.com/learn/complete-beginners-guide-to-metamask" TargetMode="External"/><Relationship Id="rId8" Type="http://schemas.openxmlformats.org/officeDocument/2006/relationships/hyperlink" Target="https://www.coingecko.com/pt/candy" TargetMode="External"/><Relationship Id="rId142" Type="http://schemas.openxmlformats.org/officeDocument/2006/relationships/hyperlink" Target="https://careers.coingecko.com/" TargetMode="External"/><Relationship Id="rId447" Type="http://schemas.openxmlformats.org/officeDocument/2006/relationships/hyperlink" Target="https://www.coingecko.com/pt/public-companies-bitcoin" TargetMode="External"/><Relationship Id="rId794" Type="http://schemas.openxmlformats.org/officeDocument/2006/relationships/hyperlink" Target="https://twitter.com/coingecko" TargetMode="External"/><Relationship Id="rId1077" Type="http://schemas.openxmlformats.org/officeDocument/2006/relationships/hyperlink" Target="https://www.coingecko.com/pt/moedas/degen-base" TargetMode="External"/><Relationship Id="rId2030" Type="http://schemas.openxmlformats.org/officeDocument/2006/relationships/hyperlink" Target="https://www.coingecko.com/pt/moedas/pepe" TargetMode="External"/><Relationship Id="rId2128" Type="http://schemas.openxmlformats.org/officeDocument/2006/relationships/hyperlink" Target="https://www.digifinex.com/en-ww/trade/USDT/WIF" TargetMode="External"/><Relationship Id="rId2475" Type="http://schemas.openxmlformats.org/officeDocument/2006/relationships/hyperlink" Target="https://coinmarketcap.com/pt-br/currencies/axie-infinity/" TargetMode="External"/><Relationship Id="rId2682" Type="http://schemas.openxmlformats.org/officeDocument/2006/relationships/hyperlink" Target="https://www.coingecko.com/learn/what-is-liquid-staking-liquid-staked-derivatives-you-need-to-know" TargetMode="External"/><Relationship Id="rId654" Type="http://schemas.openxmlformats.org/officeDocument/2006/relationships/hyperlink" Target="https://www.tiktok.com/@coingeckotv" TargetMode="External"/><Relationship Id="rId861" Type="http://schemas.openxmlformats.org/officeDocument/2006/relationships/hyperlink" Target="https://www.coingecko.com/pt/c%C3%A2mbios/xt" TargetMode="External"/><Relationship Id="rId959" Type="http://schemas.openxmlformats.org/officeDocument/2006/relationships/hyperlink" Target="https://www.coingecko.com/pt/global-charts" TargetMode="External"/><Relationship Id="rId1284" Type="http://schemas.openxmlformats.org/officeDocument/2006/relationships/hyperlink" Target="https://coingecko.app.link/lTInCXLGz4" TargetMode="External"/><Relationship Id="rId1491" Type="http://schemas.openxmlformats.org/officeDocument/2006/relationships/hyperlink" Target="https://www.coingecko.com/pt/c%C3%A2mbios/bitvenus-spot" TargetMode="External"/><Relationship Id="rId1589" Type="http://schemas.openxmlformats.org/officeDocument/2006/relationships/hyperlink" Target="https://www.coingecko.com/pt/isen%C3%A7%C3%A3o_de_responsabilidade" TargetMode="External"/><Relationship Id="rId2335" Type="http://schemas.openxmlformats.org/officeDocument/2006/relationships/hyperlink" Target="https://www.coingecko.com/pt/moedas/solana" TargetMode="External"/><Relationship Id="rId2542" Type="http://schemas.openxmlformats.org/officeDocument/2006/relationships/hyperlink" Target="https://coinmarketcap.com/pt-br/currencies/hedera/" TargetMode="External"/><Relationship Id="rId307" Type="http://schemas.openxmlformats.org/officeDocument/2006/relationships/hyperlink" Target="https://www.coingecko.com/pt/ad_policy" TargetMode="External"/><Relationship Id="rId514" Type="http://schemas.openxmlformats.org/officeDocument/2006/relationships/hyperlink" Target="https://etherscan.io/token/0x514910771af9ca656af840dff83e8264ecf986ca?a=0x8652Fb672253607c0061677bDCaFb77a324DE081" TargetMode="External"/><Relationship Id="rId721" Type="http://schemas.openxmlformats.org/officeDocument/2006/relationships/hyperlink" Target="https://www.criptofacil.com/ronin-e-sky-mavis-recebem-mais-um-jogo-na-rede-propria/" TargetMode="External"/><Relationship Id="rId1144" Type="http://schemas.openxmlformats.org/officeDocument/2006/relationships/hyperlink" Target="https://etherscan.io/token/0x7d1afa7b718fb893db30a3abc0cfc608aacfebb0?a=0x29e7DF7b6A1B2b07b731457f499E1696c60E2C4e" TargetMode="External"/><Relationship Id="rId1351" Type="http://schemas.openxmlformats.org/officeDocument/2006/relationships/hyperlink" Target="https://www.criptofacil.com/token-da-optimism-dispara-apos-revelacao-entenda/" TargetMode="External"/><Relationship Id="rId1449" Type="http://schemas.openxmlformats.org/officeDocument/2006/relationships/hyperlink" Target="https://www.coingecko.com/pt/global-charts" TargetMode="External"/><Relationship Id="rId1796" Type="http://schemas.openxmlformats.org/officeDocument/2006/relationships/hyperlink" Target="https://twitter.com/search?q=$STX" TargetMode="External"/><Relationship Id="rId2402" Type="http://schemas.openxmlformats.org/officeDocument/2006/relationships/hyperlink" Target="https://www.google.com/url?q=https://www.remessaonline.com.br/cotacao/cotacao-dolar&amp;sa=U&amp;ved=2ahUKEwj_2bOd7u6FAxXSpZUCHUfnDMEQFnoECAkQAg&amp;usg=AOvVaw3I9Ar6EqVXAhivHdQA_ASW" TargetMode="External"/><Relationship Id="rId88" Type="http://schemas.openxmlformats.org/officeDocument/2006/relationships/hyperlink" Target="https://www.coingecko.com/pt/moedas/bnb" TargetMode="External"/><Relationship Id="rId819" Type="http://schemas.openxmlformats.org/officeDocument/2006/relationships/hyperlink" Target="https://www.geckoterminal.com/eth/tokens/0xf57e7e7c23978c3caec3c3548e3d615c346e79ff?utm_source=coingecko&amp;utm_medium=referral&amp;utm_campaign=livechart-btn" TargetMode="External"/><Relationship Id="rId1004" Type="http://schemas.openxmlformats.org/officeDocument/2006/relationships/hyperlink" Target="https://www.binance.com/en/trade/GALA_USDT?ref=37754157" TargetMode="External"/><Relationship Id="rId1211" Type="http://schemas.openxmlformats.org/officeDocument/2006/relationships/hyperlink" Target="https://www.coingecko.com/pt/moedas/fetch-ai" TargetMode="External"/><Relationship Id="rId1656" Type="http://schemas.openxmlformats.org/officeDocument/2006/relationships/hyperlink" Target="https://www.coingecko.com/pt/c%C3%A2mbios/orangex" TargetMode="External"/><Relationship Id="rId1863" Type="http://schemas.openxmlformats.org/officeDocument/2006/relationships/hyperlink" Target="https://www.coingecko.com/pt/moedas/dione" TargetMode="External"/><Relationship Id="rId2707" Type="http://schemas.openxmlformats.org/officeDocument/2006/relationships/hyperlink" Target="https://www.coingecko.com/en/coins/frax-share" TargetMode="External"/><Relationship Id="rId1309" Type="http://schemas.openxmlformats.org/officeDocument/2006/relationships/hyperlink" Target="https://optimism.mirror.xyz/" TargetMode="External"/><Relationship Id="rId1516" Type="http://schemas.openxmlformats.org/officeDocument/2006/relationships/hyperlink" Target="https://www.cryptopolitan.com/pt/essas-4-altcoins-sao-as-favoritas-para-as-baleias-criptograficas-obterem-ganhos-garantidos/" TargetMode="External"/><Relationship Id="rId1723" Type="http://schemas.openxmlformats.org/officeDocument/2006/relationships/hyperlink" Target="https://www.coingecko.com/pt/moedas/bittensor" TargetMode="External"/><Relationship Id="rId1930" Type="http://schemas.openxmlformats.org/officeDocument/2006/relationships/hyperlink" Target="https://www.coingecko.com/pt/portfolio" TargetMode="External"/><Relationship Id="rId15" Type="http://schemas.openxmlformats.org/officeDocument/2006/relationships/hyperlink" Target="https://www.coingecko.com/pt/api" TargetMode="External"/><Relationship Id="rId2192" Type="http://schemas.openxmlformats.org/officeDocument/2006/relationships/hyperlink" Target="https://www.coingecko.com/pt/moedas/ethena" TargetMode="External"/><Relationship Id="rId164" Type="http://schemas.openxmlformats.org/officeDocument/2006/relationships/hyperlink" Target="https://www.coingecko.com/pt/global-charts" TargetMode="External"/><Relationship Id="rId371" Type="http://schemas.openxmlformats.org/officeDocument/2006/relationships/hyperlink" Target="https://pro.kraken.com/app/trade/SOL-USD?c/2223866/1766749/10583" TargetMode="External"/><Relationship Id="rId2052" Type="http://schemas.openxmlformats.org/officeDocument/2006/relationships/hyperlink" Target="https://www.coingecko.com/request" TargetMode="External"/><Relationship Id="rId2497" Type="http://schemas.openxmlformats.org/officeDocument/2006/relationships/hyperlink" Target="https://coinmarketcap.com/pt-br/currencies/the-kermit/" TargetMode="External"/><Relationship Id="rId469" Type="http://schemas.openxmlformats.org/officeDocument/2006/relationships/hyperlink" Target="https://www.instagram.com/coingecko/" TargetMode="External"/><Relationship Id="rId676" Type="http://schemas.openxmlformats.org/officeDocument/2006/relationships/hyperlink" Target="https://www.coingecko.com/pt/metodologia" TargetMode="External"/><Relationship Id="rId883" Type="http://schemas.openxmlformats.org/officeDocument/2006/relationships/hyperlink" Target="https://www.coingecko.com/pt/moedas/ronin" TargetMode="External"/><Relationship Id="rId1099" Type="http://schemas.openxmlformats.org/officeDocument/2006/relationships/hyperlink" Target="https://careers.coingecko.com/" TargetMode="External"/><Relationship Id="rId2357" Type="http://schemas.openxmlformats.org/officeDocument/2006/relationships/hyperlink" Target="https://www.coingecko.com/pt/moedas/bittensor" TargetMode="External"/><Relationship Id="rId2564" Type="http://schemas.openxmlformats.org/officeDocument/2006/relationships/hyperlink" Target="https://coinmarketcap.com/pt-br/doodles/" TargetMode="External"/><Relationship Id="rId231" Type="http://schemas.openxmlformats.org/officeDocument/2006/relationships/hyperlink" Target="https://www.criptofacil.com/previsao-de-preco-das-3-principais-memecoins-dogecoin-shiba-inu-e-bonk/" TargetMode="External"/><Relationship Id="rId329" Type="http://schemas.openxmlformats.org/officeDocument/2006/relationships/hyperlink" Target="https://www.coingecko.com/pt/portfolio" TargetMode="External"/><Relationship Id="rId536" Type="http://schemas.openxmlformats.org/officeDocument/2006/relationships/hyperlink" Target="https://c-patex.com/exchange/LINK/USDT?referral/5ebe4bf1-ca5f-4b0b-8760-e696e9bca870" TargetMode="External"/><Relationship Id="rId1166" Type="http://schemas.openxmlformats.org/officeDocument/2006/relationships/hyperlink" Target="https://www.coingecko.com/pt/c%C3%A2mbios/orangex" TargetMode="External"/><Relationship Id="rId1373" Type="http://schemas.openxmlformats.org/officeDocument/2006/relationships/hyperlink" Target="https://www.coingecko.com/pt/moedas/cosmos-hub" TargetMode="External"/><Relationship Id="rId2217" Type="http://schemas.openxmlformats.org/officeDocument/2006/relationships/hyperlink" Target="https://www.instagram.com/coingecko/" TargetMode="External"/><Relationship Id="rId2771" Type="http://schemas.openxmlformats.org/officeDocument/2006/relationships/hyperlink" Target="https://www.tiktok.com/@coingeckotv" TargetMode="External"/><Relationship Id="rId743" Type="http://schemas.openxmlformats.org/officeDocument/2006/relationships/hyperlink" Target="https://www.coingecko.com/pt/moedas/solana" TargetMode="External"/><Relationship Id="rId950" Type="http://schemas.openxmlformats.org/officeDocument/2006/relationships/hyperlink" Target="https://www.reddit.com/r/coingecko/" TargetMode="External"/><Relationship Id="rId1026" Type="http://schemas.openxmlformats.org/officeDocument/2006/relationships/hyperlink" Target="https://hpg.com.br/brise-bitgert-criptomoeda-projeto-onde-comprar-vai-subir-em-2024.html" TargetMode="External"/><Relationship Id="rId1580" Type="http://schemas.openxmlformats.org/officeDocument/2006/relationships/hyperlink" Target="https://support.coingecko.com/" TargetMode="External"/><Relationship Id="rId1678" Type="http://schemas.openxmlformats.org/officeDocument/2006/relationships/hyperlink" Target="https://www.coingecko.com/pt/moedas/render/usd" TargetMode="External"/><Relationship Id="rId1885" Type="http://schemas.openxmlformats.org/officeDocument/2006/relationships/hyperlink" Target="https://www.coingecko.com/pt/moedas/kaspa" TargetMode="External"/><Relationship Id="rId2424" Type="http://schemas.openxmlformats.org/officeDocument/2006/relationships/hyperlink" Target="https://www.google.com/search?client=firefox-b-d&amp;sca_esv=8f14c8c94b33adc6&amp;sca_upv=1&amp;ie=UTF-8&amp;q=euro+hoje&amp;sa=X&amp;ved=2ahUKEwj_2bOd7u6FAxXSpZUCHUfnDMEQ1QJ6BAgAEAg" TargetMode="External"/><Relationship Id="rId2631" Type="http://schemas.openxmlformats.org/officeDocument/2006/relationships/hyperlink" Target="https://www.coingecko.com/en/exchanges/orangex" TargetMode="External"/><Relationship Id="rId2729" Type="http://schemas.openxmlformats.org/officeDocument/2006/relationships/hyperlink" Target="https://www.coingecko.com/en/coins/bitcoin" TargetMode="External"/><Relationship Id="rId603" Type="http://schemas.openxmlformats.org/officeDocument/2006/relationships/hyperlink" Target="https://www.coingecko.com/pt/moedas/pixels" TargetMode="External"/><Relationship Id="rId810" Type="http://schemas.openxmlformats.org/officeDocument/2006/relationships/hyperlink" Target="https://coingecko.app.link/lTInCXLGz4" TargetMode="External"/><Relationship Id="rId908" Type="http://schemas.openxmlformats.org/officeDocument/2006/relationships/hyperlink" Target="https://www.coingecko.com/pt/moedas/bitcoin" TargetMode="External"/><Relationship Id="rId1233" Type="http://schemas.openxmlformats.org/officeDocument/2006/relationships/hyperlink" Target="https://www.coingecko.com/pt/moedas/bitcoin" TargetMode="External"/><Relationship Id="rId1440" Type="http://schemas.openxmlformats.org/officeDocument/2006/relationships/hyperlink" Target="https://discord.gg/EhrkaCH" TargetMode="External"/><Relationship Id="rId1538" Type="http://schemas.openxmlformats.org/officeDocument/2006/relationships/hyperlink" Target="https://www.coingecko.com/pt/moedas/manta-network" TargetMode="External"/><Relationship Id="rId1300" Type="http://schemas.openxmlformats.org/officeDocument/2006/relationships/hyperlink" Target="https://www.coingecko.com/pt/api" TargetMode="External"/><Relationship Id="rId1745" Type="http://schemas.openxmlformats.org/officeDocument/2006/relationships/hyperlink" Target="https://www.coingecko.com/pt/metodologia" TargetMode="External"/><Relationship Id="rId1952" Type="http://schemas.openxmlformats.org/officeDocument/2006/relationships/hyperlink" Target="https://www.coingecko.com/pt/categories/cryptocurrency" TargetMode="External"/><Relationship Id="rId37" Type="http://schemas.openxmlformats.org/officeDocument/2006/relationships/hyperlink" Target="https://www.binance.com/en/trade/BTC_USDT?ref=37754157" TargetMode="External"/><Relationship Id="rId1605" Type="http://schemas.openxmlformats.org/officeDocument/2006/relationships/hyperlink" Target="https://www.coingecko.com/pt/c%C3%A2mbios" TargetMode="External"/><Relationship Id="rId1812" Type="http://schemas.openxmlformats.org/officeDocument/2006/relationships/hyperlink" Target="https://www.coingecko.com/pt/c%C3%A2mbios/bitget" TargetMode="External"/><Relationship Id="rId186" Type="http://schemas.openxmlformats.org/officeDocument/2006/relationships/hyperlink" Target="https://gcko.io/ledger" TargetMode="External"/><Relationship Id="rId393" Type="http://schemas.openxmlformats.org/officeDocument/2006/relationships/hyperlink" Target="https://br.beincrypto.com/cripto-investidores-vendem-em-maio-e-vao-embora/" TargetMode="External"/><Relationship Id="rId2074" Type="http://schemas.openxmlformats.org/officeDocument/2006/relationships/hyperlink" Target="https://www.facebook.com/coingecko" TargetMode="External"/><Relationship Id="rId2281" Type="http://schemas.openxmlformats.org/officeDocument/2006/relationships/hyperlink" Target="https://www.coingecko.com/pt/c%C3%A2mbios/binance" TargetMode="External"/><Relationship Id="rId253" Type="http://schemas.openxmlformats.org/officeDocument/2006/relationships/hyperlink" Target="https://www.coingecko.com/pt/moedas/render" TargetMode="External"/><Relationship Id="rId460" Type="http://schemas.openxmlformats.org/officeDocument/2006/relationships/hyperlink" Target="https://www.coingecko.com/pt/branding" TargetMode="External"/><Relationship Id="rId698" Type="http://schemas.openxmlformats.org/officeDocument/2006/relationships/hyperlink" Target="https://www.coingecko.com/pt/c%C3%A2mbios/katana" TargetMode="External"/><Relationship Id="rId1090" Type="http://schemas.openxmlformats.org/officeDocument/2006/relationships/hyperlink" Target="https://www.coingecko.com/pt/cryptocurrency-heatmap" TargetMode="External"/><Relationship Id="rId2141" Type="http://schemas.openxmlformats.org/officeDocument/2006/relationships/hyperlink" Target="https://br.beincrypto.com/altcoins-para-ficar-de-olho-em-maio/" TargetMode="External"/><Relationship Id="rId2379" Type="http://schemas.openxmlformats.org/officeDocument/2006/relationships/hyperlink" Target="https://www.coingecko.com/pt/metodologia" TargetMode="External"/><Relationship Id="rId2586" Type="http://schemas.openxmlformats.org/officeDocument/2006/relationships/hyperlink" Target="https://bit.ly/2024-Q1-Report" TargetMode="External"/><Relationship Id="rId2793" Type="http://schemas.openxmlformats.org/officeDocument/2006/relationships/queryTable" Target="../queryTables/queryTable14.xml"/><Relationship Id="rId113" Type="http://schemas.openxmlformats.org/officeDocument/2006/relationships/hyperlink" Target="https://www.coingecko.com/pt/moedas/ethereum" TargetMode="External"/><Relationship Id="rId320" Type="http://schemas.openxmlformats.org/officeDocument/2006/relationships/hyperlink" Target="https://www.coingecko.com/pt/c%C3%A2mbios" TargetMode="External"/><Relationship Id="rId558" Type="http://schemas.openxmlformats.org/officeDocument/2006/relationships/hyperlink" Target="https://www.coingecko.com/pt/c%C3%A2mbios/crypto_com" TargetMode="External"/><Relationship Id="rId765" Type="http://schemas.openxmlformats.org/officeDocument/2006/relationships/hyperlink" Target="https://www.coingecko.com/pt/moedas/pepe" TargetMode="External"/><Relationship Id="rId972" Type="http://schemas.openxmlformats.org/officeDocument/2006/relationships/hyperlink" Target="https://www.coingecko.com/pt/api" TargetMode="External"/><Relationship Id="rId1188" Type="http://schemas.openxmlformats.org/officeDocument/2006/relationships/hyperlink" Target="https://www.bitget.com/spot/MATICUSDT?channelCode=42xn&amp;vipCode=sq59&amp;languageType=0" TargetMode="External"/><Relationship Id="rId1395" Type="http://schemas.openxmlformats.org/officeDocument/2006/relationships/hyperlink" Target="https://www.coingecko.com/pt/moedas/pixels" TargetMode="External"/><Relationship Id="rId2001" Type="http://schemas.openxmlformats.org/officeDocument/2006/relationships/hyperlink" Target="https://www.coingecko.com/pt/moedas/dogecoin/brl" TargetMode="External"/><Relationship Id="rId2239" Type="http://schemas.openxmlformats.org/officeDocument/2006/relationships/hyperlink" Target="https://www.geckoterminal.com/eth/tokens/0x95ad61b0a150d79219dcf64e1e6cc01f0b64c4ce?utm_source=coingecko&amp;utm_medium=referral&amp;utm_campaign=livechart-btn" TargetMode="External"/><Relationship Id="rId2446" Type="http://schemas.openxmlformats.org/officeDocument/2006/relationships/hyperlink" Target="https://coinmarketcap.com/pt-br/charts/" TargetMode="External"/><Relationship Id="rId2653" Type="http://schemas.openxmlformats.org/officeDocument/2006/relationships/hyperlink" Target="https://www.coingecko.com/en/exchanges/kraken" TargetMode="External"/><Relationship Id="rId418" Type="http://schemas.openxmlformats.org/officeDocument/2006/relationships/hyperlink" Target="https://www.coingecko.com/pt/moedas/dione" TargetMode="External"/><Relationship Id="rId625" Type="http://schemas.openxmlformats.org/officeDocument/2006/relationships/hyperlink" Target="https://www.coingecko.com/pt" TargetMode="External"/><Relationship Id="rId832" Type="http://schemas.openxmlformats.org/officeDocument/2006/relationships/hyperlink" Target="https://twitter.com/Immutable" TargetMode="External"/><Relationship Id="rId1048" Type="http://schemas.openxmlformats.org/officeDocument/2006/relationships/hyperlink" Target="https://www.coingecko.com/pt/moedas/myria" TargetMode="External"/><Relationship Id="rId1255" Type="http://schemas.openxmlformats.org/officeDocument/2006/relationships/hyperlink" Target="https://www.coingecko.com/pt/public-companies-bitcoin" TargetMode="External"/><Relationship Id="rId1462" Type="http://schemas.openxmlformats.org/officeDocument/2006/relationships/hyperlink" Target="https://www.coingecko.com/pt/metodologia" TargetMode="External"/><Relationship Id="rId2306" Type="http://schemas.openxmlformats.org/officeDocument/2006/relationships/hyperlink" Target="https://br.beincrypto.com/3-criptomoedas-que-as-baleias-estao-comprando-para-ter-lucro-em-maio/" TargetMode="External"/><Relationship Id="rId2513" Type="http://schemas.openxmlformats.org/officeDocument/2006/relationships/hyperlink" Target="https://coinmarketcap.com/pt-br/currencies/baby-bonk-coin/" TargetMode="External"/><Relationship Id="rId1115" Type="http://schemas.openxmlformats.org/officeDocument/2006/relationships/hyperlink" Target="https://www.youtube.com/channel/UC-OTgwOAI7KmP0eDAtqN3Ow?sub_confirmation=1" TargetMode="External"/><Relationship Id="rId1322" Type="http://schemas.openxmlformats.org/officeDocument/2006/relationships/hyperlink" Target="https://gate.io/trade/OP_USDT?ref=3018394" TargetMode="External"/><Relationship Id="rId1767" Type="http://schemas.openxmlformats.org/officeDocument/2006/relationships/hyperlink" Target="https://www.geckoterminal.com/?utm_source=coingecko&amp;utm_medium=referral&amp;utm_campaign=desktop_navigation" TargetMode="External"/><Relationship Id="rId1974" Type="http://schemas.openxmlformats.org/officeDocument/2006/relationships/hyperlink" Target="https://www.coingecko.com/pt/c%C3%A2mbios/crypto_com" TargetMode="External"/><Relationship Id="rId2720" Type="http://schemas.openxmlformats.org/officeDocument/2006/relationships/hyperlink" Target="https://www.coingecko.com/en/coins/pixels" TargetMode="External"/><Relationship Id="rId59" Type="http://schemas.openxmlformats.org/officeDocument/2006/relationships/hyperlink" Target="https://www.coingecko.com/pt/c%C3%A2mbios/bybit_spot" TargetMode="External"/><Relationship Id="rId1627" Type="http://schemas.openxmlformats.org/officeDocument/2006/relationships/hyperlink" Target="http://renderfoundation.com/" TargetMode="External"/><Relationship Id="rId1834" Type="http://schemas.openxmlformats.org/officeDocument/2006/relationships/hyperlink" Target="https://br.beincrypto.com/halving-do-bitcoin-camada-2-desempenho/" TargetMode="External"/><Relationship Id="rId2096" Type="http://schemas.openxmlformats.org/officeDocument/2006/relationships/hyperlink" Target="https://www.coingecko.com/learn/what-is-fully-diluted-valuation-fdv-in-crypto" TargetMode="External"/><Relationship Id="rId1901" Type="http://schemas.openxmlformats.org/officeDocument/2006/relationships/hyperlink" Target="https://careers.coingecko.com/" TargetMode="External"/><Relationship Id="rId275" Type="http://schemas.openxmlformats.org/officeDocument/2006/relationships/hyperlink" Target="https://www.coingecko.com/pt/moedas/degen-base" TargetMode="External"/><Relationship Id="rId482" Type="http://schemas.openxmlformats.org/officeDocument/2006/relationships/hyperlink" Target="https://coingecko.app.link/lTInCXLGz4" TargetMode="External"/><Relationship Id="rId2163" Type="http://schemas.openxmlformats.org/officeDocument/2006/relationships/hyperlink" Target="https://www.coingecko.com/pt/moedas/solana" TargetMode="External"/><Relationship Id="rId2370" Type="http://schemas.openxmlformats.org/officeDocument/2006/relationships/hyperlink" Target="https://www.coingecko.com/pt/candy/partners-getting-started" TargetMode="External"/><Relationship Id="rId135" Type="http://schemas.openxmlformats.org/officeDocument/2006/relationships/hyperlink" Target="https://gcko.io/coingeckoads" TargetMode="External"/><Relationship Id="rId342" Type="http://schemas.openxmlformats.org/officeDocument/2006/relationships/hyperlink" Target="https://solana.com/" TargetMode="External"/><Relationship Id="rId787" Type="http://schemas.openxmlformats.org/officeDocument/2006/relationships/hyperlink" Target="https://blog.coingecko.com/" TargetMode="External"/><Relationship Id="rId994" Type="http://schemas.openxmlformats.org/officeDocument/2006/relationships/hyperlink" Target="https://www.coingecko.com/pt/c%C3%A2mbios/gate-io" TargetMode="External"/><Relationship Id="rId2023" Type="http://schemas.openxmlformats.org/officeDocument/2006/relationships/hyperlink" Target="https://www.coingecko.com/pt/moedas/ethereum" TargetMode="External"/><Relationship Id="rId2230" Type="http://schemas.openxmlformats.org/officeDocument/2006/relationships/hyperlink" Target="https://coingecko.app.link/lTInCXLGz4" TargetMode="External"/><Relationship Id="rId2468" Type="http://schemas.openxmlformats.org/officeDocument/2006/relationships/hyperlink" Target="https://coinmarketcap.com/pt-br/currencies/chainlink/" TargetMode="External"/><Relationship Id="rId2675" Type="http://schemas.openxmlformats.org/officeDocument/2006/relationships/hyperlink" Target="https://www.coingecko.com/learn/defi-blue-chips" TargetMode="External"/><Relationship Id="rId202" Type="http://schemas.openxmlformats.org/officeDocument/2006/relationships/hyperlink" Target="https://www.coingecko.com/pt/c%C3%A2mbios/okx" TargetMode="External"/><Relationship Id="rId647" Type="http://schemas.openxmlformats.org/officeDocument/2006/relationships/hyperlink" Target="https://t.me/coingecko" TargetMode="External"/><Relationship Id="rId854" Type="http://schemas.openxmlformats.org/officeDocument/2006/relationships/hyperlink" Target="https://bingx.com/en-us/spot/IMXUSDT?ch=cgk_organic" TargetMode="External"/><Relationship Id="rId1277" Type="http://schemas.openxmlformats.org/officeDocument/2006/relationships/hyperlink" Target="https://www.instagram.com/coingecko/" TargetMode="External"/><Relationship Id="rId1484" Type="http://schemas.openxmlformats.org/officeDocument/2006/relationships/hyperlink" Target="https://www.coingecko.com/pt/c%C3%A2mbios/binance" TargetMode="External"/><Relationship Id="rId1691" Type="http://schemas.openxmlformats.org/officeDocument/2006/relationships/hyperlink" Target="https://www.coingecko.com/pt/moedas/the-sandbox" TargetMode="External"/><Relationship Id="rId2328" Type="http://schemas.openxmlformats.org/officeDocument/2006/relationships/hyperlink" Target="https://www.coingecko.com/pt/moedas/xfund" TargetMode="External"/><Relationship Id="rId2535" Type="http://schemas.openxmlformats.org/officeDocument/2006/relationships/hyperlink" Target="https://coinmarketcap.com/pt-br/currencies/shiba-inu/" TargetMode="External"/><Relationship Id="rId2742" Type="http://schemas.openxmlformats.org/officeDocument/2006/relationships/hyperlink" Target="https://www.coingecko.com/" TargetMode="External"/><Relationship Id="rId507" Type="http://schemas.openxmlformats.org/officeDocument/2006/relationships/hyperlink" Target="https://etherscan.io/token/0x514910771af9ca656af840dff83e8264ecf986ca?a=0x9c17f630DBde24eECe8fd248fAA2E51f690FF79B" TargetMode="External"/><Relationship Id="rId714" Type="http://schemas.openxmlformats.org/officeDocument/2006/relationships/hyperlink" Target="https://www.geckoterminal.com/ronin/pools/0x4f7687affc10857fccd0938ecda0947de7ad3812?utm_source=coingecko&amp;utm_medium=referral&amp;utm_campaign=livechart" TargetMode="External"/><Relationship Id="rId921" Type="http://schemas.openxmlformats.org/officeDocument/2006/relationships/hyperlink" Target="https://www.coingecko.com/pt/moedas/ronin" TargetMode="External"/><Relationship Id="rId1137" Type="http://schemas.openxmlformats.org/officeDocument/2006/relationships/hyperlink" Target="https://www.coingecko.com/learn/what-is-fully-diluted-valuation-fdv-in-crypto" TargetMode="External"/><Relationship Id="rId1344" Type="http://schemas.openxmlformats.org/officeDocument/2006/relationships/hyperlink" Target="https://www.coingecko.com/pt/c%C3%A2mbios/bingx" TargetMode="External"/><Relationship Id="rId1551" Type="http://schemas.openxmlformats.org/officeDocument/2006/relationships/hyperlink" Target="https://www.coingecko.com/pt/moedas/pixels" TargetMode="External"/><Relationship Id="rId1789" Type="http://schemas.openxmlformats.org/officeDocument/2006/relationships/hyperlink" Target="https://stxtools.io/)" TargetMode="External"/><Relationship Id="rId1996" Type="http://schemas.openxmlformats.org/officeDocument/2006/relationships/hyperlink" Target="https://www.coingecko.com/pt/moedas/dogecoin/usd" TargetMode="External"/><Relationship Id="rId2602" Type="http://schemas.openxmlformats.org/officeDocument/2006/relationships/hyperlink" Target="https://www.geckoterminal.com/eth/tokens/0x5a98fcbea516cf06857215779fd812ca3bef1b32?utm_source=coingecko&amp;utm_medium=referral&amp;utm_campaign=livechart-btn" TargetMode="External"/><Relationship Id="rId50" Type="http://schemas.openxmlformats.org/officeDocument/2006/relationships/hyperlink" Target="https://www.coingecko.com/pt/c%C3%A2mbios/okx" TargetMode="External"/><Relationship Id="rId1204" Type="http://schemas.openxmlformats.org/officeDocument/2006/relationships/hyperlink" Target="https://www.coingecko.com/pt/moedas/polygon/eur" TargetMode="External"/><Relationship Id="rId1411" Type="http://schemas.openxmlformats.org/officeDocument/2006/relationships/hyperlink" Target="https://www.coingecko.com/pt/moedas/wormhole" TargetMode="External"/><Relationship Id="rId1649" Type="http://schemas.openxmlformats.org/officeDocument/2006/relationships/hyperlink" Target="https://www.binance.com/en/trade/RNDR_USDT?ref=37754157" TargetMode="External"/><Relationship Id="rId1856" Type="http://schemas.openxmlformats.org/officeDocument/2006/relationships/hyperlink" Target="https://www.coingecko.com/pt/moedas/bitcoin-cash" TargetMode="External"/><Relationship Id="rId1509" Type="http://schemas.openxmlformats.org/officeDocument/2006/relationships/hyperlink" Target="https://www.cryptopolitan.com/pt/pike-finance-atingiu-1-6-milhao-no-segundo-dia-de-hack/" TargetMode="External"/><Relationship Id="rId1716" Type="http://schemas.openxmlformats.org/officeDocument/2006/relationships/hyperlink" Target="https://www.coingecko.com/pt/moedas/degen-base" TargetMode="External"/><Relationship Id="rId1923" Type="http://schemas.openxmlformats.org/officeDocument/2006/relationships/hyperlink" Target="https://www.coingecko.com/pt/global-charts" TargetMode="External"/><Relationship Id="rId297" Type="http://schemas.openxmlformats.org/officeDocument/2006/relationships/hyperlink" Target="https://www.coingecko.com/pt/faq" TargetMode="External"/><Relationship Id="rId2185" Type="http://schemas.openxmlformats.org/officeDocument/2006/relationships/hyperlink" Target="https://www.coingecko.com/pt/moedas/degen-base" TargetMode="External"/><Relationship Id="rId2392" Type="http://schemas.openxmlformats.org/officeDocument/2006/relationships/hyperlink" Target="https://www.tiktok.com/@coingeckotv" TargetMode="External"/><Relationship Id="rId157" Type="http://schemas.openxmlformats.org/officeDocument/2006/relationships/hyperlink" Target="https://www.youtube.com/channel/UC-OTgwOAI7KmP0eDAtqN3Ow?sub_confirmation=1" TargetMode="External"/><Relationship Id="rId364" Type="http://schemas.openxmlformats.org/officeDocument/2006/relationships/hyperlink" Target="https://www.coingecko.com/pt/c%C3%A2mbios/weex" TargetMode="External"/><Relationship Id="rId2045" Type="http://schemas.openxmlformats.org/officeDocument/2006/relationships/hyperlink" Target="https://www.coingecko.com/pt/moedas/ondo" TargetMode="External"/><Relationship Id="rId2697" Type="http://schemas.openxmlformats.org/officeDocument/2006/relationships/hyperlink" Target="https://www.coingecko.com/en/coins/ankr-network" TargetMode="External"/><Relationship Id="rId571" Type="http://schemas.openxmlformats.org/officeDocument/2006/relationships/hyperlink" Target="https://www.criptofacil.com/fundos-de-criptomoedas-registram-maiores-saidas-desde-marco/" TargetMode="External"/><Relationship Id="rId669" Type="http://schemas.openxmlformats.org/officeDocument/2006/relationships/hyperlink" Target="https://www.coingecko.com/pt" TargetMode="External"/><Relationship Id="rId876" Type="http://schemas.openxmlformats.org/officeDocument/2006/relationships/hyperlink" Target="https://www.coingecko.com/pt/moedas/immutable-x/eur" TargetMode="External"/><Relationship Id="rId1299" Type="http://schemas.openxmlformats.org/officeDocument/2006/relationships/hyperlink" Target="https://www.geckoterminal.com/optimism/tokens/0x4200000000000000000000000000000000000042?utm_source=coingecko&amp;utm_medium=referral&amp;utm_campaign=livechart-btn" TargetMode="External"/><Relationship Id="rId2252" Type="http://schemas.openxmlformats.org/officeDocument/2006/relationships/hyperlink" Target="https://etherscan.io/token/0x95ad61b0a150d79219dcf64e1e6cc01f0b64c4ce?a=0x95aD61b0a150d79219dCF64E1E6Cc01f0B64C4cE" TargetMode="External"/><Relationship Id="rId2557" Type="http://schemas.openxmlformats.org/officeDocument/2006/relationships/hyperlink" Target="https://coinmarketcap.com/pt-br/" TargetMode="External"/><Relationship Id="rId224" Type="http://schemas.openxmlformats.org/officeDocument/2006/relationships/hyperlink" Target="https://br.beincrypto.com/dydx-chain-token/" TargetMode="External"/><Relationship Id="rId431" Type="http://schemas.openxmlformats.org/officeDocument/2006/relationships/hyperlink" Target="https://www.coingecko.com/pt/moedas/bitcoin" TargetMode="External"/><Relationship Id="rId529" Type="http://schemas.openxmlformats.org/officeDocument/2006/relationships/hyperlink" Target="https://www.coingecko.com/pt/categories/business-services" TargetMode="External"/><Relationship Id="rId736" Type="http://schemas.openxmlformats.org/officeDocument/2006/relationships/hyperlink" Target="https://www.coingecko.com/pt/moedas/xana" TargetMode="External"/><Relationship Id="rId1061" Type="http://schemas.openxmlformats.org/officeDocument/2006/relationships/hyperlink" Target="https://www.coingecko.com/pt/moedas/dione" TargetMode="External"/><Relationship Id="rId1159" Type="http://schemas.openxmlformats.org/officeDocument/2006/relationships/hyperlink" Target="https://www.coingecko.com/pt/c%C3%A2mbios/crypto_com" TargetMode="External"/><Relationship Id="rId1366" Type="http://schemas.openxmlformats.org/officeDocument/2006/relationships/hyperlink" Target="https://www.coingecko.com/pt/moedas/optimism/eur" TargetMode="External"/><Relationship Id="rId2112" Type="http://schemas.openxmlformats.org/officeDocument/2006/relationships/hyperlink" Target="https://www.coingecko.com/pt/c%C3%A2mbios/tokocrypto" TargetMode="External"/><Relationship Id="rId2417" Type="http://schemas.openxmlformats.org/officeDocument/2006/relationships/hyperlink" Target="https://www.google.com/search?client=firefox-b-d&amp;sca_esv=8f14c8c94b33adc6&amp;sca_upv=1&amp;ie=UTF-8&amp;q=d%C3%B3lar+hoje+turismo" TargetMode="External"/><Relationship Id="rId2764" Type="http://schemas.openxmlformats.org/officeDocument/2006/relationships/hyperlink" Target="https://t.me/coingecko" TargetMode="External"/><Relationship Id="rId943" Type="http://schemas.openxmlformats.org/officeDocument/2006/relationships/hyperlink" Target="https://www.coingecko.com/pt/termos" TargetMode="External"/><Relationship Id="rId1019" Type="http://schemas.openxmlformats.org/officeDocument/2006/relationships/hyperlink" Target="https://www.bybit.com/trade/spot/GALA/USDT/?affiliate_id=9763" TargetMode="External"/><Relationship Id="rId1573" Type="http://schemas.openxmlformats.org/officeDocument/2006/relationships/hyperlink" Target="https://www.coingecko.com/pt/news" TargetMode="External"/><Relationship Id="rId1780" Type="http://schemas.openxmlformats.org/officeDocument/2006/relationships/hyperlink" Target="https://www.coingecko.com/pt/metodologia" TargetMode="External"/><Relationship Id="rId1878" Type="http://schemas.openxmlformats.org/officeDocument/2006/relationships/hyperlink" Target="https://www.coingecko.com/pt/moedas/ethereum" TargetMode="External"/><Relationship Id="rId2624" Type="http://schemas.openxmlformats.org/officeDocument/2006/relationships/hyperlink" Target="https://www.coingecko.com/learn/complete-beginners-guide-to-metamask" TargetMode="External"/><Relationship Id="rId72" Type="http://schemas.openxmlformats.org/officeDocument/2006/relationships/hyperlink" Target="https://www.cryptopolitan.com/pt/blackrock-bitcoin-etf-marca-primeira-saida/" TargetMode="External"/><Relationship Id="rId803" Type="http://schemas.openxmlformats.org/officeDocument/2006/relationships/hyperlink" Target="https://www.coingecko.com/pt/isen%C3%A7%C3%A3o_de_responsabilidade" TargetMode="External"/><Relationship Id="rId1226" Type="http://schemas.openxmlformats.org/officeDocument/2006/relationships/hyperlink" Target="https://www.coingecko.com/pt/moedas/dione" TargetMode="External"/><Relationship Id="rId1433" Type="http://schemas.openxmlformats.org/officeDocument/2006/relationships/hyperlink" Target="https://www.coingecko.com/pt/privacidade" TargetMode="External"/><Relationship Id="rId1640" Type="http://schemas.openxmlformats.org/officeDocument/2006/relationships/hyperlink" Target="https://twitter.com/search?q=$RNDR" TargetMode="External"/><Relationship Id="rId1738" Type="http://schemas.openxmlformats.org/officeDocument/2006/relationships/hyperlink" Target="https://hackenproof.com/coingecko/coingecko" TargetMode="External"/><Relationship Id="rId1500" Type="http://schemas.openxmlformats.org/officeDocument/2006/relationships/hyperlink" Target="https://www.coingecko.com/pt/c%C3%A2mbios/mexc" TargetMode="External"/><Relationship Id="rId1945" Type="http://schemas.openxmlformats.org/officeDocument/2006/relationships/hyperlink" Target="https://gcko.io/ledger" TargetMode="External"/><Relationship Id="rId1805" Type="http://schemas.openxmlformats.org/officeDocument/2006/relationships/hyperlink" Target="https://www.binance.com/en/trade/STX_USDT?ref=37754157" TargetMode="External"/><Relationship Id="rId179" Type="http://schemas.openxmlformats.org/officeDocument/2006/relationships/hyperlink" Target="https://www.coingecko.com/learn/what-is-fully-diluted-valuation-fdv-in-crypto" TargetMode="External"/><Relationship Id="rId386" Type="http://schemas.openxmlformats.org/officeDocument/2006/relationships/hyperlink" Target="https://br.beincrypto.com/receita-federal-imposto-emprestimo-cripto/" TargetMode="External"/><Relationship Id="rId593" Type="http://schemas.openxmlformats.org/officeDocument/2006/relationships/hyperlink" Target="https://www.coingecko.com/pt/moedas/axelar" TargetMode="External"/><Relationship Id="rId2067" Type="http://schemas.openxmlformats.org/officeDocument/2006/relationships/hyperlink" Target="https://www.coingecko.com/pt/ad_policy" TargetMode="External"/><Relationship Id="rId2274" Type="http://schemas.openxmlformats.org/officeDocument/2006/relationships/hyperlink" Target="https://www.bitget.com/spot/SHIBUSDT?channelCode=42xn&amp;vipCode=sq59&amp;languageType=0" TargetMode="External"/><Relationship Id="rId2481" Type="http://schemas.openxmlformats.org/officeDocument/2006/relationships/hyperlink" Target="https://coinmarketcap.com/pt-br/currencies/render/" TargetMode="External"/><Relationship Id="rId246" Type="http://schemas.openxmlformats.org/officeDocument/2006/relationships/hyperlink" Target="https://www.coingecko.com/pt/moedas/near" TargetMode="External"/><Relationship Id="rId453" Type="http://schemas.openxmlformats.org/officeDocument/2006/relationships/hyperlink" Target="https://support.coingecko.com/" TargetMode="External"/><Relationship Id="rId660" Type="http://schemas.openxmlformats.org/officeDocument/2006/relationships/hyperlink" Target="https://www.coingecko.com/pt/global-charts" TargetMode="External"/><Relationship Id="rId898" Type="http://schemas.openxmlformats.org/officeDocument/2006/relationships/hyperlink" Target="https://www.coingecko.com/pt/moedas/dione" TargetMode="External"/><Relationship Id="rId1083" Type="http://schemas.openxmlformats.org/officeDocument/2006/relationships/hyperlink" Target="https://www.coingecko.com/pt/moedas/wormhole" TargetMode="External"/><Relationship Id="rId1290" Type="http://schemas.openxmlformats.org/officeDocument/2006/relationships/hyperlink" Target="https://coingecko.app.link/lTInCXLGz4" TargetMode="External"/><Relationship Id="rId2134" Type="http://schemas.openxmlformats.org/officeDocument/2006/relationships/hyperlink" Target="https://www.orangex.com/spot/WIF-USDT-SPOT" TargetMode="External"/><Relationship Id="rId2341" Type="http://schemas.openxmlformats.org/officeDocument/2006/relationships/hyperlink" Target="https://www.coingecko.com/pt/moedas/pixels" TargetMode="External"/><Relationship Id="rId2579" Type="http://schemas.openxmlformats.org/officeDocument/2006/relationships/hyperlink" Target="https://twitter.com/CoinMarketCap" TargetMode="External"/><Relationship Id="rId2786" Type="http://schemas.openxmlformats.org/officeDocument/2006/relationships/queryTable" Target="../queryTables/queryTable7.xml"/><Relationship Id="rId106" Type="http://schemas.openxmlformats.org/officeDocument/2006/relationships/hyperlink" Target="https://www.coingecko.com/pt/moedas/pixels" TargetMode="External"/><Relationship Id="rId313" Type="http://schemas.openxmlformats.org/officeDocument/2006/relationships/hyperlink" Target="https://discord.gg/EhrkaCH" TargetMode="External"/><Relationship Id="rId758" Type="http://schemas.openxmlformats.org/officeDocument/2006/relationships/hyperlink" Target="https://www.coingecko.com/pt/moedas/wormhole" TargetMode="External"/><Relationship Id="rId965" Type="http://schemas.openxmlformats.org/officeDocument/2006/relationships/hyperlink" Target="https://www.coingecko.com/pt/candy" TargetMode="External"/><Relationship Id="rId1150" Type="http://schemas.openxmlformats.org/officeDocument/2006/relationships/hyperlink" Target="https://twitter.com/0xPolygon" TargetMode="External"/><Relationship Id="rId1388" Type="http://schemas.openxmlformats.org/officeDocument/2006/relationships/hyperlink" Target="https://www.coingecko.com/pt/moedas/dione" TargetMode="External"/><Relationship Id="rId1595" Type="http://schemas.openxmlformats.org/officeDocument/2006/relationships/hyperlink" Target="https://t.me/coingeckonews" TargetMode="External"/><Relationship Id="rId2439" Type="http://schemas.openxmlformats.org/officeDocument/2006/relationships/hyperlink" Target="https://coinmarketcap.com/pt-br/rankings/exchanges/" TargetMode="External"/><Relationship Id="rId2646" Type="http://schemas.openxmlformats.org/officeDocument/2006/relationships/hyperlink" Target="https://www.coingecko.com/en/exchanges/bitget" TargetMode="External"/><Relationship Id="rId94" Type="http://schemas.openxmlformats.org/officeDocument/2006/relationships/hyperlink" Target="https://www.coingecko.com/pt/moedas/toncoin" TargetMode="External"/><Relationship Id="rId520" Type="http://schemas.openxmlformats.org/officeDocument/2006/relationships/hyperlink" Target="https://blog.chain.link/" TargetMode="External"/><Relationship Id="rId618" Type="http://schemas.openxmlformats.org/officeDocument/2006/relationships/hyperlink" Target="https://www.coingecko.com/pt/moedas/wormhole" TargetMode="External"/><Relationship Id="rId825" Type="http://schemas.openxmlformats.org/officeDocument/2006/relationships/hyperlink" Target="https://www.coingecko.com/pt/metodologia" TargetMode="External"/><Relationship Id="rId1248" Type="http://schemas.openxmlformats.org/officeDocument/2006/relationships/hyperlink" Target="https://www.coingecko.com/pt/moedas/pepe" TargetMode="External"/><Relationship Id="rId1455" Type="http://schemas.openxmlformats.org/officeDocument/2006/relationships/hyperlink" Target="https://www.coingecko.com/pt/candy" TargetMode="External"/><Relationship Id="rId1662" Type="http://schemas.openxmlformats.org/officeDocument/2006/relationships/hyperlink" Target="https://www.coingecko.com/pt/c%C3%A2mbios/coinbase-exchange" TargetMode="External"/><Relationship Id="rId2201" Type="http://schemas.openxmlformats.org/officeDocument/2006/relationships/hyperlink" Target="https://support.coingecko.com/" TargetMode="External"/><Relationship Id="rId2506" Type="http://schemas.openxmlformats.org/officeDocument/2006/relationships/hyperlink" Target="https://coinmarketcap.com/pt-br/currencies/node-ai/" TargetMode="External"/><Relationship Id="rId1010" Type="http://schemas.openxmlformats.org/officeDocument/2006/relationships/hyperlink" Target="https://www.bitget.com/spot/GALAUSDT?channelCode=42xn&amp;vipCode=sq59&amp;languageType=0" TargetMode="External"/><Relationship Id="rId1108" Type="http://schemas.openxmlformats.org/officeDocument/2006/relationships/hyperlink" Target="https://twitter.com/coingecko" TargetMode="External"/><Relationship Id="rId1315" Type="http://schemas.openxmlformats.org/officeDocument/2006/relationships/hyperlink" Target="https://discord-gateway.optimism.io/" TargetMode="External"/><Relationship Id="rId1967" Type="http://schemas.openxmlformats.org/officeDocument/2006/relationships/hyperlink" Target="https://gate.io/trade/DOGE_USDT?ref=3018394" TargetMode="External"/><Relationship Id="rId2713" Type="http://schemas.openxmlformats.org/officeDocument/2006/relationships/hyperlink" Target="https://www.coingecko.com/en/coins/solana" TargetMode="External"/><Relationship Id="rId1522" Type="http://schemas.openxmlformats.org/officeDocument/2006/relationships/hyperlink" Target="https://www.coingecko.com/pt/moedas/arbitrum/usd" TargetMode="External"/><Relationship Id="rId21" Type="http://schemas.openxmlformats.org/officeDocument/2006/relationships/hyperlink" Target="https://www.coingecko.com/pt/metodologia" TargetMode="External"/><Relationship Id="rId2089" Type="http://schemas.openxmlformats.org/officeDocument/2006/relationships/hyperlink" Target="https://www.coingecko.com/pt/portfolio" TargetMode="External"/><Relationship Id="rId2296" Type="http://schemas.openxmlformats.org/officeDocument/2006/relationships/hyperlink" Target="https://www.coingecko.com/pt/c%C3%A2mbios/pionex" TargetMode="External"/><Relationship Id="rId268" Type="http://schemas.openxmlformats.org/officeDocument/2006/relationships/hyperlink" Target="https://www.coingecko.com/pt/moedas/bitcoin" TargetMode="External"/><Relationship Id="rId475" Type="http://schemas.openxmlformats.org/officeDocument/2006/relationships/hyperlink" Target="https://www.coingecko.com/pt/isen%C3%A7%C3%A3o_de_responsabilidade" TargetMode="External"/><Relationship Id="rId682" Type="http://schemas.openxmlformats.org/officeDocument/2006/relationships/hyperlink" Target="https://wallet.roninchain.com/" TargetMode="External"/><Relationship Id="rId2156" Type="http://schemas.openxmlformats.org/officeDocument/2006/relationships/hyperlink" Target="https://www.coingecko.com/pt/moedas/popcat" TargetMode="External"/><Relationship Id="rId2363" Type="http://schemas.openxmlformats.org/officeDocument/2006/relationships/hyperlink" Target="https://www.coingecko.com/pt" TargetMode="External"/><Relationship Id="rId2570" Type="http://schemas.openxmlformats.org/officeDocument/2006/relationships/hyperlink" Target="https://coinmarketcap.com/pt-br/cookie-policy/" TargetMode="External"/><Relationship Id="rId128" Type="http://schemas.openxmlformats.org/officeDocument/2006/relationships/hyperlink" Target="https://www.coingecko.com/pt/moedas/bittensor" TargetMode="External"/><Relationship Id="rId335" Type="http://schemas.openxmlformats.org/officeDocument/2006/relationships/hyperlink" Target="https://www.coingecko.com/pt/metodologia" TargetMode="External"/><Relationship Id="rId542" Type="http://schemas.openxmlformats.org/officeDocument/2006/relationships/hyperlink" Target="https://www.lbank.com/trade/link_usdt" TargetMode="External"/><Relationship Id="rId1172" Type="http://schemas.openxmlformats.org/officeDocument/2006/relationships/hyperlink" Target="https://www.coingecko.com/pt/c%C3%A2mbios/bitvenus-spot" TargetMode="External"/><Relationship Id="rId2016" Type="http://schemas.openxmlformats.org/officeDocument/2006/relationships/hyperlink" Target="https://www.coingecko.com/pt/moedas/baby-grok" TargetMode="External"/><Relationship Id="rId2223" Type="http://schemas.openxmlformats.org/officeDocument/2006/relationships/hyperlink" Target="https://www.coingecko.com/pt/isen%C3%A7%C3%A3o_de_responsabilidade" TargetMode="External"/><Relationship Id="rId2430" Type="http://schemas.openxmlformats.org/officeDocument/2006/relationships/hyperlink" Target="https://www.google.com/intl/pt-BR_br/policies/privacy/" TargetMode="External"/><Relationship Id="rId402" Type="http://schemas.openxmlformats.org/officeDocument/2006/relationships/hyperlink" Target="https://www.coingecko.com/pt/moedas/tether" TargetMode="External"/><Relationship Id="rId1032" Type="http://schemas.openxmlformats.org/officeDocument/2006/relationships/hyperlink" Target="https://hpg.com.br/bit-bitdao-criptomoeda-projeto-onde-comprar-vai-subir-em-2024.html" TargetMode="External"/><Relationship Id="rId1989" Type="http://schemas.openxmlformats.org/officeDocument/2006/relationships/hyperlink" Target="https://br.beincrypto.com/dogecoin-solana-xrp-interesse-cai/" TargetMode="External"/><Relationship Id="rId1849" Type="http://schemas.openxmlformats.org/officeDocument/2006/relationships/hyperlink" Target="https://www.coingecko.com/pt/moedas/bitcoin" TargetMode="External"/><Relationship Id="rId192" Type="http://schemas.openxmlformats.org/officeDocument/2006/relationships/hyperlink" Target="https://www.coingecko.com/pt/global-charts" TargetMode="External"/><Relationship Id="rId1709" Type="http://schemas.openxmlformats.org/officeDocument/2006/relationships/hyperlink" Target="https://www.coingecko.com/pt/moedas/bitcoin" TargetMode="External"/><Relationship Id="rId1916" Type="http://schemas.openxmlformats.org/officeDocument/2006/relationships/hyperlink" Target="https://www.youtube.com/channel/UC-OTgwOAI7KmP0eDAtqN3Ow?sub_confirmation=1" TargetMode="External"/><Relationship Id="rId2080" Type="http://schemas.openxmlformats.org/officeDocument/2006/relationships/hyperlink" Target="https://www.coingecko.com/pt/c%C3%A2mbios" TargetMode="External"/><Relationship Id="rId869" Type="http://schemas.openxmlformats.org/officeDocument/2006/relationships/hyperlink" Target="https://whitebit.com/trade/IMX_USDT?referral=21d28793-2c37-4ad5-ad65-ec354740a197" TargetMode="External"/><Relationship Id="rId1499" Type="http://schemas.openxmlformats.org/officeDocument/2006/relationships/hyperlink" Target="https://www.coingecko.com/pt/c%C3%A2mbios/mexc" TargetMode="External"/><Relationship Id="rId729" Type="http://schemas.openxmlformats.org/officeDocument/2006/relationships/hyperlink" Target="https://www.coingecko.com/pt/moedas/gnosis" TargetMode="External"/><Relationship Id="rId1359" Type="http://schemas.openxmlformats.org/officeDocument/2006/relationships/hyperlink" Target="https://br.beincrypto.com/principais-noticias-criptograficas-desta-semana/" TargetMode="External"/><Relationship Id="rId2757" Type="http://schemas.openxmlformats.org/officeDocument/2006/relationships/hyperlink" Target="https://www.coingecko.com/en/branding" TargetMode="External"/><Relationship Id="rId936" Type="http://schemas.openxmlformats.org/officeDocument/2006/relationships/hyperlink" Target="https://www.coingecko.com/pt/sobre" TargetMode="External"/><Relationship Id="rId1219" Type="http://schemas.openxmlformats.org/officeDocument/2006/relationships/hyperlink" Target="https://www.coingecko.com/pt/moedas/multiversx" TargetMode="External"/><Relationship Id="rId1566" Type="http://schemas.openxmlformats.org/officeDocument/2006/relationships/hyperlink" Target="https://www.coingecko.com/pt/moedas/ronin" TargetMode="External"/><Relationship Id="rId1773" Type="http://schemas.openxmlformats.org/officeDocument/2006/relationships/hyperlink" Target="https://www.coingecko.com/pt" TargetMode="External"/><Relationship Id="rId1980" Type="http://schemas.openxmlformats.org/officeDocument/2006/relationships/hyperlink" Target="https://www.coingecko.com/pt/c%C3%A2mbios/bitget" TargetMode="External"/><Relationship Id="rId2617" Type="http://schemas.openxmlformats.org/officeDocument/2006/relationships/hyperlink" Target="https://t.me/lidofinance" TargetMode="External"/><Relationship Id="rId65" Type="http://schemas.openxmlformats.org/officeDocument/2006/relationships/hyperlink" Target="https://portaldobitcoin.uol.com.br/microstrategy-cria-id-descentralizada-na-blockchain-do-bitcoin/" TargetMode="External"/><Relationship Id="rId1426" Type="http://schemas.openxmlformats.org/officeDocument/2006/relationships/hyperlink" Target="https://careers.coingecko.com/" TargetMode="External"/><Relationship Id="rId1633" Type="http://schemas.openxmlformats.org/officeDocument/2006/relationships/hyperlink" Target="https://twitter.com/rendernetwork" TargetMode="External"/><Relationship Id="rId1840" Type="http://schemas.openxmlformats.org/officeDocument/2006/relationships/hyperlink" Target="https://www.coingecko.com/pt/moedas/stacks/eur" TargetMode="External"/><Relationship Id="rId1700" Type="http://schemas.openxmlformats.org/officeDocument/2006/relationships/hyperlink" Target="https://www.coingecko.com/pt/moedas/solana" TargetMode="External"/><Relationship Id="rId379" Type="http://schemas.openxmlformats.org/officeDocument/2006/relationships/hyperlink" Target="https://www.coingecko.com/pt/c%C3%A2mbios/okx" TargetMode="External"/><Relationship Id="rId586" Type="http://schemas.openxmlformats.org/officeDocument/2006/relationships/hyperlink" Target="https://www.coingecko.com/pt/moedas/fetch-ai" TargetMode="External"/><Relationship Id="rId793" Type="http://schemas.openxmlformats.org/officeDocument/2006/relationships/hyperlink" Target="https://www.coingecko.com/pt/ad_policy" TargetMode="External"/><Relationship Id="rId2267" Type="http://schemas.openxmlformats.org/officeDocument/2006/relationships/hyperlink" Target="https://www.coingecko.com/pt/categories/dog-themed-coins" TargetMode="External"/><Relationship Id="rId2474" Type="http://schemas.openxmlformats.org/officeDocument/2006/relationships/hyperlink" Target="https://coinmarketcap.com/pt-br/currencies/immutable-x/" TargetMode="External"/><Relationship Id="rId2681" Type="http://schemas.openxmlformats.org/officeDocument/2006/relationships/hyperlink" Target="https://www.coingecko.com/learn/what-is-liquid-staking-liquid-staked-derivatives-you-need-to-know" TargetMode="External"/><Relationship Id="rId239" Type="http://schemas.openxmlformats.org/officeDocument/2006/relationships/hyperlink" Target="https://www.coingecko.com/pt/moedas/ethereum/eur" TargetMode="External"/><Relationship Id="rId446" Type="http://schemas.openxmlformats.org/officeDocument/2006/relationships/hyperlink" Target="https://www.coingecko.com/pt/news" TargetMode="External"/><Relationship Id="rId653" Type="http://schemas.openxmlformats.org/officeDocument/2006/relationships/hyperlink" Target="https://www.youtube.com/channel/UC-OTgwOAI7KmP0eDAtqN3Ow?sub_confirmation=1" TargetMode="External"/><Relationship Id="rId1076" Type="http://schemas.openxmlformats.org/officeDocument/2006/relationships/hyperlink" Target="https://www.coingecko.com/pt/moedas/degen-base" TargetMode="External"/><Relationship Id="rId1283" Type="http://schemas.openxmlformats.org/officeDocument/2006/relationships/hyperlink" Target="https://www.coingecko.com/pt/isen%C3%A7%C3%A3o_de_responsabilidade" TargetMode="External"/><Relationship Id="rId1490" Type="http://schemas.openxmlformats.org/officeDocument/2006/relationships/hyperlink" Target="https://www.coingecko.com/pt/c%C3%A2mbios/bitvenus-spot" TargetMode="External"/><Relationship Id="rId2127" Type="http://schemas.openxmlformats.org/officeDocument/2006/relationships/hyperlink" Target="https://www.coingecko.com/pt/c%C3%A2mbios/digifinex" TargetMode="External"/><Relationship Id="rId2334" Type="http://schemas.openxmlformats.org/officeDocument/2006/relationships/hyperlink" Target="https://www.coingecko.com/pt/moedas/solana" TargetMode="External"/><Relationship Id="rId306" Type="http://schemas.openxmlformats.org/officeDocument/2006/relationships/hyperlink" Target="https://www.coingecko.com/pt/privacidade" TargetMode="External"/><Relationship Id="rId860" Type="http://schemas.openxmlformats.org/officeDocument/2006/relationships/hyperlink" Target="https://slex.io/trade/imxusdt" TargetMode="External"/><Relationship Id="rId1143" Type="http://schemas.openxmlformats.org/officeDocument/2006/relationships/hyperlink" Target="https://etherscan.io/token/0x7d1afa7b718fb893db30a3abc0cfc608aacfebb0?a=0x50d669f43b484166680ecc3670e4766cdb0945ce" TargetMode="External"/><Relationship Id="rId2541" Type="http://schemas.openxmlformats.org/officeDocument/2006/relationships/hyperlink" Target="https://coinmarketcap.com/pt-br/currencies/hedera/" TargetMode="External"/><Relationship Id="rId513" Type="http://schemas.openxmlformats.org/officeDocument/2006/relationships/hyperlink" Target="https://etherscan.io/token/0x514910771af9ca656af840dff83e8264ecf986ca?a=0x7594Eb0ca0a7f313bEFD59AfE9e95c2201a443e4" TargetMode="External"/><Relationship Id="rId720" Type="http://schemas.openxmlformats.org/officeDocument/2006/relationships/hyperlink" Target="https://www.criptofacil.com/ronin-e-sky-mavis-recebem-mais-um-jogo-na-rede-propria/" TargetMode="External"/><Relationship Id="rId1350" Type="http://schemas.openxmlformats.org/officeDocument/2006/relationships/hyperlink" Target="https://www.criptofacil.com/token-da-optimism-dispara-apos-revelacao-entenda/" TargetMode="External"/><Relationship Id="rId2401" Type="http://schemas.openxmlformats.org/officeDocument/2006/relationships/hyperlink" Target="https://www.google.com/url?q=https://www.melhorcambio.com/dolar-hoje&amp;sa=U&amp;ved=2ahUKEwj_2bOd7u6FAxXSpZUCHUfnDMEQFnoECAoQAg&amp;usg=AOvVaw2H1KxaWKspK0osjyGGffTF" TargetMode="External"/><Relationship Id="rId1003" Type="http://schemas.openxmlformats.org/officeDocument/2006/relationships/hyperlink" Target="https://www.coingecko.com/pt/c%C3%A2mbios/binance" TargetMode="External"/><Relationship Id="rId1210" Type="http://schemas.openxmlformats.org/officeDocument/2006/relationships/hyperlink" Target="https://www.coingecko.com/pt/moedas/injective" TargetMode="External"/><Relationship Id="rId2191" Type="http://schemas.openxmlformats.org/officeDocument/2006/relationships/hyperlink" Target="https://www.coingecko.com/pt/moedas/ethena" TargetMode="External"/><Relationship Id="rId163" Type="http://schemas.openxmlformats.org/officeDocument/2006/relationships/hyperlink" Target="https://www.coingecko.com/pt/global-charts" TargetMode="External"/><Relationship Id="rId370" Type="http://schemas.openxmlformats.org/officeDocument/2006/relationships/hyperlink" Target="https://www.coingecko.com/pt/c%C3%A2mbios/kraken" TargetMode="External"/><Relationship Id="rId2051" Type="http://schemas.openxmlformats.org/officeDocument/2006/relationships/hyperlink" Target="https://www.coingecko.com/pt/api" TargetMode="External"/><Relationship Id="rId230" Type="http://schemas.openxmlformats.org/officeDocument/2006/relationships/hyperlink" Target="https://www.criptofacil.com/previsao-de-preco-das-3-principais-memecoins-dogecoin-shiba-inu-e-bonk/" TargetMode="External"/><Relationship Id="rId1677" Type="http://schemas.openxmlformats.org/officeDocument/2006/relationships/hyperlink" Target="https://br.beincrypto.com/altcoins-para-ficar-de-olho-em-maio/" TargetMode="External"/><Relationship Id="rId1884" Type="http://schemas.openxmlformats.org/officeDocument/2006/relationships/hyperlink" Target="https://www.coingecko.com/pt/moedas/pendle" TargetMode="External"/><Relationship Id="rId2728" Type="http://schemas.openxmlformats.org/officeDocument/2006/relationships/hyperlink" Target="https://www.coingecko.com/en/coins/bitcoin" TargetMode="External"/><Relationship Id="rId907" Type="http://schemas.openxmlformats.org/officeDocument/2006/relationships/hyperlink" Target="https://www.coingecko.com/pt/moedas/bitcoin" TargetMode="External"/><Relationship Id="rId1537" Type="http://schemas.openxmlformats.org/officeDocument/2006/relationships/hyperlink" Target="https://www.coingecko.com/pt/moedas/manta-network" TargetMode="External"/><Relationship Id="rId1744" Type="http://schemas.openxmlformats.org/officeDocument/2006/relationships/hyperlink" Target="https://www.coingecko.com/pt/branding" TargetMode="External"/><Relationship Id="rId1951" Type="http://schemas.openxmlformats.org/officeDocument/2006/relationships/hyperlink" Target="https://www.coingecko.com/pt/categories/binance-smart-chain" TargetMode="External"/><Relationship Id="rId36" Type="http://schemas.openxmlformats.org/officeDocument/2006/relationships/hyperlink" Target="https://www.coingecko.com/pt/c%C3%A2mbios/binance" TargetMode="External"/><Relationship Id="rId1604" Type="http://schemas.openxmlformats.org/officeDocument/2006/relationships/hyperlink" Target="https://www.coingecko.com/pt" TargetMode="External"/><Relationship Id="rId1811" Type="http://schemas.openxmlformats.org/officeDocument/2006/relationships/hyperlink" Target="https://www.digifinex.com/en-ww/trade/USDT/STX" TargetMode="External"/><Relationship Id="rId697" Type="http://schemas.openxmlformats.org/officeDocument/2006/relationships/hyperlink" Target="https://www.coingecko.com/pt/c%C3%A2mbios/katana" TargetMode="External"/><Relationship Id="rId2378" Type="http://schemas.openxmlformats.org/officeDocument/2006/relationships/hyperlink" Target="https://www.coingecko.com/pt/branding" TargetMode="External"/><Relationship Id="rId1187" Type="http://schemas.openxmlformats.org/officeDocument/2006/relationships/hyperlink" Target="https://www.coingecko.com/pt/c%C3%A2mbios/bitget" TargetMode="External"/><Relationship Id="rId2585" Type="http://schemas.openxmlformats.org/officeDocument/2006/relationships/hyperlink" Target="https://www.linkedin.com/company/coinmarketcap/" TargetMode="External"/><Relationship Id="rId2792" Type="http://schemas.openxmlformats.org/officeDocument/2006/relationships/queryTable" Target="../queryTables/queryTable13.xml"/><Relationship Id="rId557" Type="http://schemas.openxmlformats.org/officeDocument/2006/relationships/hyperlink" Target="https://www.coinbase.com/advanced-trade/spot/LINK-USD" TargetMode="External"/><Relationship Id="rId764" Type="http://schemas.openxmlformats.org/officeDocument/2006/relationships/hyperlink" Target="https://www.coingecko.com/pt/moedas/pepe" TargetMode="External"/><Relationship Id="rId971" Type="http://schemas.openxmlformats.org/officeDocument/2006/relationships/hyperlink" Target="https://www.geckoterminal.com/eth/tokens/0xd1d2eb1b1e90b638588728b4130137d262c87cae?utm_source=coingecko&amp;utm_medium=referral&amp;utm_campaign=livechart-btn" TargetMode="External"/><Relationship Id="rId1394" Type="http://schemas.openxmlformats.org/officeDocument/2006/relationships/hyperlink" Target="https://www.coingecko.com/pt/moedas/pixels" TargetMode="External"/><Relationship Id="rId2238" Type="http://schemas.openxmlformats.org/officeDocument/2006/relationships/hyperlink" Target="https://www.coingecko.com/pt/metodologia" TargetMode="External"/><Relationship Id="rId2445" Type="http://schemas.openxmlformats.org/officeDocument/2006/relationships/hyperlink" Target="https://coinmarketcap.com/pt-br/charts/" TargetMode="External"/><Relationship Id="rId2652" Type="http://schemas.openxmlformats.org/officeDocument/2006/relationships/hyperlink" Target="https://www.coingecko.com/en/exchanges/kraken" TargetMode="External"/><Relationship Id="rId417" Type="http://schemas.openxmlformats.org/officeDocument/2006/relationships/hyperlink" Target="https://www.coingecko.com/pt/moedas/solana" TargetMode="External"/><Relationship Id="rId624" Type="http://schemas.openxmlformats.org/officeDocument/2006/relationships/hyperlink" Target="https://www.coingecko.com/pt/moedas/kaspa" TargetMode="External"/><Relationship Id="rId831" Type="http://schemas.openxmlformats.org/officeDocument/2006/relationships/hyperlink" Target="https://ethplorer.io/address/0xf57e7e7c23978c3caec3c3548e3d615c346e79ff" TargetMode="External"/><Relationship Id="rId1047" Type="http://schemas.openxmlformats.org/officeDocument/2006/relationships/hyperlink" Target="https://www.coingecko.com/pt/moedas/hooked-protocol" TargetMode="External"/><Relationship Id="rId1254" Type="http://schemas.openxmlformats.org/officeDocument/2006/relationships/hyperlink" Target="https://www.coingecko.com/pt/news" TargetMode="External"/><Relationship Id="rId1461" Type="http://schemas.openxmlformats.org/officeDocument/2006/relationships/hyperlink" Target="https://www.coingecko.com/pt/api" TargetMode="External"/><Relationship Id="rId2305" Type="http://schemas.openxmlformats.org/officeDocument/2006/relationships/hyperlink" Target="https://br.beincrypto.com/altcoin-season-may-2024-cryptos/" TargetMode="External"/><Relationship Id="rId2512" Type="http://schemas.openxmlformats.org/officeDocument/2006/relationships/hyperlink" Target="https://coinmarketcap.com/pt-br/currencies/catgirl/" TargetMode="External"/><Relationship Id="rId1114" Type="http://schemas.openxmlformats.org/officeDocument/2006/relationships/hyperlink" Target="https://www.facebook.com/coingecko" TargetMode="External"/><Relationship Id="rId1321" Type="http://schemas.openxmlformats.org/officeDocument/2006/relationships/hyperlink" Target="https://www.coingecko.com/pt/c%C3%A2mbios/gate-io" TargetMode="External"/><Relationship Id="rId2095" Type="http://schemas.openxmlformats.org/officeDocument/2006/relationships/hyperlink" Target="https://www.coingecko.com/pt/metodologia" TargetMode="External"/><Relationship Id="rId274" Type="http://schemas.openxmlformats.org/officeDocument/2006/relationships/hyperlink" Target="https://www.coingecko.com/pt/moedas/wormhole" TargetMode="External"/><Relationship Id="rId481" Type="http://schemas.openxmlformats.org/officeDocument/2006/relationships/hyperlink" Target="https://www.coingecko.com/pt/premium/pricing" TargetMode="External"/><Relationship Id="rId2162" Type="http://schemas.openxmlformats.org/officeDocument/2006/relationships/hyperlink" Target="https://www.coingecko.com/pt/moedas/jeo-boden" TargetMode="External"/><Relationship Id="rId134" Type="http://schemas.openxmlformats.org/officeDocument/2006/relationships/hyperlink" Target="https://www.coingecko.com/request" TargetMode="External"/><Relationship Id="rId341" Type="http://schemas.openxmlformats.org/officeDocument/2006/relationships/hyperlink" Target="https://forms.gle/ULNnnCGCEAimK9cJ7" TargetMode="External"/><Relationship Id="rId2022" Type="http://schemas.openxmlformats.org/officeDocument/2006/relationships/hyperlink" Target="https://www.coingecko.com/pt/moedas/dione" TargetMode="External"/><Relationship Id="rId201" Type="http://schemas.openxmlformats.org/officeDocument/2006/relationships/hyperlink" Target="https://www.okx.com/trade-spot/eth-usdt?channelid=1902090" TargetMode="External"/><Relationship Id="rId1788" Type="http://schemas.openxmlformats.org/officeDocument/2006/relationships/hyperlink" Target="https://explorer.stacks.co/" TargetMode="External"/><Relationship Id="rId1995" Type="http://schemas.openxmlformats.org/officeDocument/2006/relationships/hyperlink" Target="https://www.cryptopolitan.com/pt/principais-altcoins-de-baixo-risco-que-tem-potencial-3x-maior-que-dogecoin-doge/" TargetMode="External"/><Relationship Id="rId1648" Type="http://schemas.openxmlformats.org/officeDocument/2006/relationships/hyperlink" Target="https://www.coingecko.com/pt/c%C3%A2mbios/binance" TargetMode="External"/><Relationship Id="rId1508" Type="http://schemas.openxmlformats.org/officeDocument/2006/relationships/hyperlink" Target="https://www.cryptopolitan.com/pt/pike-finance-atingiu-1-6-milhao-no-segundo-dia-de-hack/" TargetMode="External"/><Relationship Id="rId1855" Type="http://schemas.openxmlformats.org/officeDocument/2006/relationships/hyperlink" Target="https://www.coingecko.com/pt/moedas/bitcoin-cash" TargetMode="External"/><Relationship Id="rId1715" Type="http://schemas.openxmlformats.org/officeDocument/2006/relationships/hyperlink" Target="https://www.coingecko.com/pt/moedas/degen-base" TargetMode="External"/><Relationship Id="rId1922" Type="http://schemas.openxmlformats.org/officeDocument/2006/relationships/hyperlink" Target="https://www.coingecko.com/pt/global-charts" TargetMode="External"/><Relationship Id="rId2489" Type="http://schemas.openxmlformats.org/officeDocument/2006/relationships/hyperlink" Target="https://coinmarketcap.com/pt-br/currencies/singularitynet/" TargetMode="External"/><Relationship Id="rId2696" Type="http://schemas.openxmlformats.org/officeDocument/2006/relationships/hyperlink" Target="https://www.coingecko.com/en/coins/lido-dao/php" TargetMode="External"/><Relationship Id="rId668" Type="http://schemas.openxmlformats.org/officeDocument/2006/relationships/hyperlink" Target="https://gcko.io/search-survey" TargetMode="External"/><Relationship Id="rId875" Type="http://schemas.openxmlformats.org/officeDocument/2006/relationships/hyperlink" Target="https://www.coingecko.com/pt/moedas/immutable-x/usd" TargetMode="External"/><Relationship Id="rId1298" Type="http://schemas.openxmlformats.org/officeDocument/2006/relationships/hyperlink" Target="https://www.coingecko.com/pt/metodologia" TargetMode="External"/><Relationship Id="rId2349" Type="http://schemas.openxmlformats.org/officeDocument/2006/relationships/hyperlink" Target="https://www.coingecko.com/pt/moedas/degen-base" TargetMode="External"/><Relationship Id="rId2556" Type="http://schemas.openxmlformats.org/officeDocument/2006/relationships/hyperlink" Target="https://coinmarketcap.com/pt-br/currencies/ethena/" TargetMode="External"/><Relationship Id="rId2763" Type="http://schemas.openxmlformats.org/officeDocument/2006/relationships/hyperlink" Target="https://twitter.com/coingecko" TargetMode="External"/><Relationship Id="rId528" Type="http://schemas.openxmlformats.org/officeDocument/2006/relationships/hyperlink" Target="https://www.coingecko.com/pt/categories/ethereum-ecosystem" TargetMode="External"/><Relationship Id="rId735" Type="http://schemas.openxmlformats.org/officeDocument/2006/relationships/hyperlink" Target="https://www.coingecko.com/pt/moedas/xana" TargetMode="External"/><Relationship Id="rId942" Type="http://schemas.openxmlformats.org/officeDocument/2006/relationships/hyperlink" Target="https://www.coingecko.com/pt/isen%C3%A7%C3%A3o_de_responsabilidade" TargetMode="External"/><Relationship Id="rId1158" Type="http://schemas.openxmlformats.org/officeDocument/2006/relationships/hyperlink" Target="https://www.coingecko.com/learn/complete-beginners-guide-to-metamask" TargetMode="External"/><Relationship Id="rId1365" Type="http://schemas.openxmlformats.org/officeDocument/2006/relationships/hyperlink" Target="https://www.coingecko.com/pt/moedas/optimism/eur" TargetMode="External"/><Relationship Id="rId1572" Type="http://schemas.openxmlformats.org/officeDocument/2006/relationships/hyperlink" Target="https://www.coingecko.com/pt" TargetMode="External"/><Relationship Id="rId2209" Type="http://schemas.openxmlformats.org/officeDocument/2006/relationships/hyperlink" Target="https://www.coingecko.com/pt/metodologia" TargetMode="External"/><Relationship Id="rId2416" Type="http://schemas.openxmlformats.org/officeDocument/2006/relationships/hyperlink" Target="https://www.google.com/search?client=firefox-b-d&amp;sca_esv=8f14c8c94b33adc6&amp;sca_upv=1&amp;ie=UTF-8&amp;q=d%C3%B3lar+hoje+turismo&amp;sa=X&amp;ved=2ahUKEwj_2bOd7u6FAxXSpZUCHUfnDMEQ1QJ6BAgAEAQ" TargetMode="External"/><Relationship Id="rId2623" Type="http://schemas.openxmlformats.org/officeDocument/2006/relationships/hyperlink" Target="https://www.coingecko.com/en/categories/infrastructure" TargetMode="External"/><Relationship Id="rId1018" Type="http://schemas.openxmlformats.org/officeDocument/2006/relationships/hyperlink" Target="https://www.coingecko.com/pt/c%C3%A2mbios/bybit_spot" TargetMode="External"/><Relationship Id="rId1225" Type="http://schemas.openxmlformats.org/officeDocument/2006/relationships/hyperlink" Target="https://www.coingecko.com/pt/moedas/solana" TargetMode="External"/><Relationship Id="rId1432" Type="http://schemas.openxmlformats.org/officeDocument/2006/relationships/hyperlink" Target="https://www.coingecko.com/pt/termos" TargetMode="External"/><Relationship Id="rId71" Type="http://schemas.openxmlformats.org/officeDocument/2006/relationships/hyperlink" Target="https://www.cryptopolitan.com/pt/ultima-correcao-do-bitcoin-etf-freia-a-demanda/" TargetMode="External"/><Relationship Id="rId802" Type="http://schemas.openxmlformats.org/officeDocument/2006/relationships/hyperlink" Target="https://www.tiktok.com/@coingeckotv" TargetMode="External"/><Relationship Id="rId178" Type="http://schemas.openxmlformats.org/officeDocument/2006/relationships/hyperlink" Target="https://www.coingecko.com/learn/what-is-fully-diluted-valuation-fdv-in-crypto" TargetMode="External"/><Relationship Id="rId385" Type="http://schemas.openxmlformats.org/officeDocument/2006/relationships/hyperlink" Target="https://br.beincrypto.com/receita-federal-imposto-emprestimo-cripto/" TargetMode="External"/><Relationship Id="rId592" Type="http://schemas.openxmlformats.org/officeDocument/2006/relationships/hyperlink" Target="https://www.coingecko.com/pt/moedas/axelar" TargetMode="External"/><Relationship Id="rId2066" Type="http://schemas.openxmlformats.org/officeDocument/2006/relationships/hyperlink" Target="https://www.coingecko.com/pt/privacidade" TargetMode="External"/><Relationship Id="rId2273" Type="http://schemas.openxmlformats.org/officeDocument/2006/relationships/hyperlink" Target="https://www.coingecko.com/pt/c%C3%A2mbios/bitget" TargetMode="External"/><Relationship Id="rId2480" Type="http://schemas.openxmlformats.org/officeDocument/2006/relationships/hyperlink" Target="https://coinmarketcap.com/pt-br/currencies/the-sandbox/" TargetMode="External"/><Relationship Id="rId245" Type="http://schemas.openxmlformats.org/officeDocument/2006/relationships/hyperlink" Target="https://www.coingecko.com/pt/moedas/near" TargetMode="External"/><Relationship Id="rId452" Type="http://schemas.openxmlformats.org/officeDocument/2006/relationships/hyperlink" Target="https://www.coingecko.com/pt/candy/partners-getting-started" TargetMode="External"/><Relationship Id="rId1082" Type="http://schemas.openxmlformats.org/officeDocument/2006/relationships/hyperlink" Target="https://www.coingecko.com/pt/moedas/wormhole" TargetMode="External"/><Relationship Id="rId2133" Type="http://schemas.openxmlformats.org/officeDocument/2006/relationships/hyperlink" Target="https://www.coingecko.com/pt/c%C3%A2mbios/orangex" TargetMode="External"/><Relationship Id="rId2340" Type="http://schemas.openxmlformats.org/officeDocument/2006/relationships/hyperlink" Target="https://www.coingecko.com/pt/moedas/pixels" TargetMode="External"/><Relationship Id="rId105" Type="http://schemas.openxmlformats.org/officeDocument/2006/relationships/hyperlink" Target="https://www.coingecko.com/pt/moedas/pixels" TargetMode="External"/><Relationship Id="rId312" Type="http://schemas.openxmlformats.org/officeDocument/2006/relationships/hyperlink" Target="https://www.reddit.com/r/coingecko/" TargetMode="External"/><Relationship Id="rId2200" Type="http://schemas.openxmlformats.org/officeDocument/2006/relationships/hyperlink" Target="https://www.coingecko.com/pt/candy/partners-getting-started" TargetMode="External"/><Relationship Id="rId1899" Type="http://schemas.openxmlformats.org/officeDocument/2006/relationships/hyperlink" Target="https://www.coingecko.com/pt/sobre" TargetMode="External"/><Relationship Id="rId1759" Type="http://schemas.openxmlformats.org/officeDocument/2006/relationships/hyperlink" Target="https://www.coingecko.com/pt/isen%C3%A7%C3%A3o_de_responsabilidade" TargetMode="External"/><Relationship Id="rId1966" Type="http://schemas.openxmlformats.org/officeDocument/2006/relationships/hyperlink" Target="https://www.coingecko.com/pt/c%C3%A2mbios/gate-io" TargetMode="External"/><Relationship Id="rId1619" Type="http://schemas.openxmlformats.org/officeDocument/2006/relationships/hyperlink" Target="https://www.coingecko.com/pt/api" TargetMode="External"/><Relationship Id="rId1826" Type="http://schemas.openxmlformats.org/officeDocument/2006/relationships/hyperlink" Target="https://crypto.com/exchange/trade/spot/STX_USD" TargetMode="External"/><Relationship Id="rId779" Type="http://schemas.openxmlformats.org/officeDocument/2006/relationships/hyperlink" Target="https://gcko.io/coingeckoads" TargetMode="External"/><Relationship Id="rId986" Type="http://schemas.openxmlformats.org/officeDocument/2006/relationships/hyperlink" Target="http://galagames.chat/" TargetMode="External"/><Relationship Id="rId2667" Type="http://schemas.openxmlformats.org/officeDocument/2006/relationships/hyperlink" Target="https://coingape.com/markets/lido-dao-price-return-to-yearly-support-may-dip-opportunity/" TargetMode="External"/><Relationship Id="rId639" Type="http://schemas.openxmlformats.org/officeDocument/2006/relationships/hyperlink" Target="https://blog.coingecko.com/" TargetMode="External"/><Relationship Id="rId1269" Type="http://schemas.openxmlformats.org/officeDocument/2006/relationships/hyperlink" Target="https://www.coingecko.com/pt/metodologia" TargetMode="External"/><Relationship Id="rId1476" Type="http://schemas.openxmlformats.org/officeDocument/2006/relationships/hyperlink" Target="https://www.coingecko.com/pt/categories/ethereum-ecosystem" TargetMode="External"/><Relationship Id="rId846" Type="http://schemas.openxmlformats.org/officeDocument/2006/relationships/hyperlink" Target="https://www.coingecko.com/pt/c%C3%A2mbios/digifinex" TargetMode="External"/><Relationship Id="rId1129" Type="http://schemas.openxmlformats.org/officeDocument/2006/relationships/hyperlink" Target="https://www.coingecko.com/pt/portfolio" TargetMode="External"/><Relationship Id="rId1683" Type="http://schemas.openxmlformats.org/officeDocument/2006/relationships/hyperlink" Target="https://www.coingecko.com/pt/moedas/render/brl" TargetMode="External"/><Relationship Id="rId1890" Type="http://schemas.openxmlformats.org/officeDocument/2006/relationships/hyperlink" Target="https://www.coingecko.com/pt/public-companies-bitcoin" TargetMode="External"/><Relationship Id="rId2527" Type="http://schemas.openxmlformats.org/officeDocument/2006/relationships/hyperlink" Target="https://coinmarketcap.com/pt-br/currencies/blackcardcoin/" TargetMode="External"/><Relationship Id="rId2734" Type="http://schemas.openxmlformats.org/officeDocument/2006/relationships/hyperlink" Target="https://www.coingecko.com/en/coins/wormhole" TargetMode="External"/><Relationship Id="rId706" Type="http://schemas.openxmlformats.org/officeDocument/2006/relationships/hyperlink" Target="https://www.coingecko.com/pt/c%C3%A2mbios/bingx" TargetMode="External"/><Relationship Id="rId913" Type="http://schemas.openxmlformats.org/officeDocument/2006/relationships/hyperlink" Target="https://www.coingecko.com/pt/moedas/degen-base" TargetMode="External"/><Relationship Id="rId1336" Type="http://schemas.openxmlformats.org/officeDocument/2006/relationships/hyperlink" Target="https://www.coingecko.com/pt/c%C3%A2mbios/bitvenus-spot" TargetMode="External"/><Relationship Id="rId1543" Type="http://schemas.openxmlformats.org/officeDocument/2006/relationships/hyperlink" Target="https://www.coingecko.com/pt/moedas/solana" TargetMode="External"/><Relationship Id="rId1750" Type="http://schemas.openxmlformats.org/officeDocument/2006/relationships/hyperlink" Target="https://twitter.com/coingecko" TargetMode="External"/><Relationship Id="rId42" Type="http://schemas.openxmlformats.org/officeDocument/2006/relationships/hyperlink" Target="https://www.coingecko.com/pt/c%C3%A2mbios/kraken" TargetMode="External"/><Relationship Id="rId1403" Type="http://schemas.openxmlformats.org/officeDocument/2006/relationships/hyperlink" Target="https://www.coingecko.com/pt/moedas/degen-base" TargetMode="External"/><Relationship Id="rId1610" Type="http://schemas.openxmlformats.org/officeDocument/2006/relationships/hyperlink" Target="https://www.geckoterminal.com/?utm_source=coingecko&amp;utm_medium=referral&amp;utm_campaign=desktop_navigation" TargetMode="External"/><Relationship Id="rId289" Type="http://schemas.openxmlformats.org/officeDocument/2006/relationships/hyperlink" Target="https://www.coingecko.com/pt/public-companies-bitcoin" TargetMode="External"/><Relationship Id="rId496" Type="http://schemas.openxmlformats.org/officeDocument/2006/relationships/hyperlink" Target="https://www.coingecko.com/pt/metodologia" TargetMode="External"/><Relationship Id="rId2177" Type="http://schemas.openxmlformats.org/officeDocument/2006/relationships/hyperlink" Target="https://www.coingecko.com/pt/moedas/pepe" TargetMode="External"/><Relationship Id="rId2384" Type="http://schemas.openxmlformats.org/officeDocument/2006/relationships/hyperlink" Target="https://twitter.com/coingecko" TargetMode="External"/><Relationship Id="rId2591" Type="http://schemas.openxmlformats.org/officeDocument/2006/relationships/hyperlink" Target="https://www.coingecko.com/en/premium/pricing" TargetMode="External"/><Relationship Id="rId149" Type="http://schemas.openxmlformats.org/officeDocument/2006/relationships/hyperlink" Target="https://www.coingecko.com/pt/ad_policy" TargetMode="External"/><Relationship Id="rId356" Type="http://schemas.openxmlformats.org/officeDocument/2006/relationships/hyperlink" Target="https://www.bitvenus.me/exchange/SOL/USDT?register/vh2osI" TargetMode="External"/><Relationship Id="rId563" Type="http://schemas.openxmlformats.org/officeDocument/2006/relationships/hyperlink" Target="https://br.beincrypto.com/adaptador-de-blockchain-para-ativos-tokenizados/" TargetMode="External"/><Relationship Id="rId770" Type="http://schemas.openxmlformats.org/officeDocument/2006/relationships/hyperlink" Target="https://www.coingecko.com/pt/moedas/bittensor" TargetMode="External"/><Relationship Id="rId1193" Type="http://schemas.openxmlformats.org/officeDocument/2006/relationships/hyperlink" Target="https://br.beincrypto.com/altcoins-formaram-fundo-e-estao-prontas-para-bull-run/" TargetMode="External"/><Relationship Id="rId2037" Type="http://schemas.openxmlformats.org/officeDocument/2006/relationships/hyperlink" Target="https://www.coingecko.com/pt/moedas/degen-base" TargetMode="External"/><Relationship Id="rId2244" Type="http://schemas.openxmlformats.org/officeDocument/2006/relationships/hyperlink" Target="https://www.coingecko.com/pt/metodologia" TargetMode="External"/><Relationship Id="rId2451" Type="http://schemas.openxmlformats.org/officeDocument/2006/relationships/hyperlink" Target="https://cmc.certik-skynet.com/redirect?project=pepe" TargetMode="External"/><Relationship Id="rId216" Type="http://schemas.openxmlformats.org/officeDocument/2006/relationships/hyperlink" Target="https://www.mexc.com/exchange/ETH_USDT?inviteCode=1498J" TargetMode="External"/><Relationship Id="rId423" Type="http://schemas.openxmlformats.org/officeDocument/2006/relationships/hyperlink" Target="https://www.coingecko.com/pt/moedas/pixels" TargetMode="External"/><Relationship Id="rId1053" Type="http://schemas.openxmlformats.org/officeDocument/2006/relationships/hyperlink" Target="https://www.coingecko.com/pt/moedas/nakamoto-games" TargetMode="External"/><Relationship Id="rId1260" Type="http://schemas.openxmlformats.org/officeDocument/2006/relationships/hyperlink" Target="https://www.coingecko.com/pt/candy/partners-getting-started" TargetMode="External"/><Relationship Id="rId2104" Type="http://schemas.openxmlformats.org/officeDocument/2006/relationships/hyperlink" Target="https://t.me/dogwifcoin" TargetMode="External"/><Relationship Id="rId630" Type="http://schemas.openxmlformats.org/officeDocument/2006/relationships/hyperlink" Target="https://www.coingecko.com/request" TargetMode="External"/><Relationship Id="rId2311" Type="http://schemas.openxmlformats.org/officeDocument/2006/relationships/hyperlink" Target="https://www.criptofacil.com/rally-das-memecoins-pode-trazer-de-volta-bonk-e-shiba-inu-investidores-esperam-capitalizar-com-a-pre-venda-do-token-recq/" TargetMode="External"/><Relationship Id="rId1120" Type="http://schemas.openxmlformats.org/officeDocument/2006/relationships/hyperlink" Target="https://www.coingecko.com/pt/c%C3%A2mbios" TargetMode="External"/><Relationship Id="rId1937" Type="http://schemas.openxmlformats.org/officeDocument/2006/relationships/hyperlink" Target="https://www.coingecko.com/learn/what-is-fully-diluted-valuation-fdv-in-crypto" TargetMode="External"/><Relationship Id="rId280" Type="http://schemas.openxmlformats.org/officeDocument/2006/relationships/hyperlink" Target="https://www.coingecko.com/pt/moedas/pepe" TargetMode="External"/><Relationship Id="rId140" Type="http://schemas.openxmlformats.org/officeDocument/2006/relationships/hyperlink" Target="https://www.coingecko.com/pt/sobre" TargetMode="External"/><Relationship Id="rId6" Type="http://schemas.openxmlformats.org/officeDocument/2006/relationships/hyperlink" Target="https://coingecko.app.link/lTInCXLGz4" TargetMode="External"/><Relationship Id="rId2778" Type="http://schemas.openxmlformats.org/officeDocument/2006/relationships/hyperlink" Target="https://gcko.io/wxw4jjq" TargetMode="External"/><Relationship Id="rId957" Type="http://schemas.openxmlformats.org/officeDocument/2006/relationships/hyperlink" Target="https://www.coingecko.com/pt" TargetMode="External"/><Relationship Id="rId1587" Type="http://schemas.openxmlformats.org/officeDocument/2006/relationships/hyperlink" Target="https://www.coingecko.com/pt/branding" TargetMode="External"/><Relationship Id="rId1794" Type="http://schemas.openxmlformats.org/officeDocument/2006/relationships/hyperlink" Target="https://www.stacks.co/blog" TargetMode="External"/><Relationship Id="rId2638" Type="http://schemas.openxmlformats.org/officeDocument/2006/relationships/hyperlink" Target="https://www.coingecko.com/en/exchanges/bitunix" TargetMode="External"/><Relationship Id="rId86" Type="http://schemas.openxmlformats.org/officeDocument/2006/relationships/hyperlink" Target="https://www.coingecko.com/pt/moedas/ethereum" TargetMode="External"/><Relationship Id="rId817" Type="http://schemas.openxmlformats.org/officeDocument/2006/relationships/hyperlink" Target="https://www.coingecko.com/pt" TargetMode="External"/><Relationship Id="rId1447" Type="http://schemas.openxmlformats.org/officeDocument/2006/relationships/hyperlink" Target="https://www.coingecko.com/pt/c%C3%A2mbios" TargetMode="External"/><Relationship Id="rId1654" Type="http://schemas.openxmlformats.org/officeDocument/2006/relationships/hyperlink" Target="https://www.coingecko.com/pt/c%C3%A2mbios/bitunix" TargetMode="External"/><Relationship Id="rId1861" Type="http://schemas.openxmlformats.org/officeDocument/2006/relationships/hyperlink" Target="https://www.coingecko.com/pt/moedas/dione" TargetMode="External"/><Relationship Id="rId2705" Type="http://schemas.openxmlformats.org/officeDocument/2006/relationships/hyperlink" Target="https://www.coingecko.com/en/coins/rocket-pool" TargetMode="External"/><Relationship Id="rId1307" Type="http://schemas.openxmlformats.org/officeDocument/2006/relationships/hyperlink" Target="https://forms.gle/ULNnnCGCEAimK9cJ7" TargetMode="External"/><Relationship Id="rId1514" Type="http://schemas.openxmlformats.org/officeDocument/2006/relationships/hyperlink" Target="https://br.beincrypto.com/3-criptomoedas-que-as-baleias-estao-comprando-para-ter-lucro-em-maio/" TargetMode="External"/><Relationship Id="rId1721" Type="http://schemas.openxmlformats.org/officeDocument/2006/relationships/hyperlink" Target="https://www.coingecko.com/pt/moedas/ethereum" TargetMode="External"/><Relationship Id="rId13" Type="http://schemas.openxmlformats.org/officeDocument/2006/relationships/hyperlink" Target="https://www.coingecko.com/pt" TargetMode="External"/><Relationship Id="rId2288" Type="http://schemas.openxmlformats.org/officeDocument/2006/relationships/hyperlink" Target="https://www.coingecko.com/pt/c%C3%A2mbios/biconomy" TargetMode="External"/><Relationship Id="rId2495" Type="http://schemas.openxmlformats.org/officeDocument/2006/relationships/hyperlink" Target="https://coinmarketcap.com/pt-br/currencies/inscribe/" TargetMode="External"/><Relationship Id="rId467" Type="http://schemas.openxmlformats.org/officeDocument/2006/relationships/hyperlink" Target="https://t.me/coingecko" TargetMode="External"/><Relationship Id="rId1097" Type="http://schemas.openxmlformats.org/officeDocument/2006/relationships/hyperlink" Target="https://www.coingecko.com/pt/faq" TargetMode="External"/><Relationship Id="rId2148" Type="http://schemas.openxmlformats.org/officeDocument/2006/relationships/hyperlink" Target="https://www.coingecko.com/pt/moedas/bonk" TargetMode="External"/><Relationship Id="rId674" Type="http://schemas.openxmlformats.org/officeDocument/2006/relationships/hyperlink" Target="https://www.coingecko.com/learn/what-is-fully-diluted-valuation-fdv-in-crypto" TargetMode="External"/><Relationship Id="rId881" Type="http://schemas.openxmlformats.org/officeDocument/2006/relationships/hyperlink" Target="https://www.coingecko.com/pt/moedas/beam-2" TargetMode="External"/><Relationship Id="rId2355" Type="http://schemas.openxmlformats.org/officeDocument/2006/relationships/hyperlink" Target="https://www.coingecko.com/pt/moedas/ethereum" TargetMode="External"/><Relationship Id="rId2562" Type="http://schemas.openxmlformats.org/officeDocument/2006/relationships/hyperlink" Target="https://coinmarketcap.com/api/" TargetMode="External"/><Relationship Id="rId327" Type="http://schemas.openxmlformats.org/officeDocument/2006/relationships/hyperlink" Target="https://www.coingecko.com/pt/candy" TargetMode="External"/><Relationship Id="rId534" Type="http://schemas.openxmlformats.org/officeDocument/2006/relationships/hyperlink" Target="https://www.coingecko.com/pt/c%C3%A2mbios/c-patex" TargetMode="External"/><Relationship Id="rId741" Type="http://schemas.openxmlformats.org/officeDocument/2006/relationships/hyperlink" Target="https://www.coingecko.com/pt/moedas/ethereum" TargetMode="External"/><Relationship Id="rId1164" Type="http://schemas.openxmlformats.org/officeDocument/2006/relationships/hyperlink" Target="https://gate.io/trade/MATIC_USDT?ref=3018394" TargetMode="External"/><Relationship Id="rId1371" Type="http://schemas.openxmlformats.org/officeDocument/2006/relationships/hyperlink" Target="https://www.coingecko.com/pt/moedas/uniswap" TargetMode="External"/><Relationship Id="rId2008" Type="http://schemas.openxmlformats.org/officeDocument/2006/relationships/hyperlink" Target="https://www.coingecko.com/pt/moedas/optimus-ai" TargetMode="External"/><Relationship Id="rId2215" Type="http://schemas.openxmlformats.org/officeDocument/2006/relationships/hyperlink" Target="https://t.me/coingecko" TargetMode="External"/><Relationship Id="rId2422" Type="http://schemas.openxmlformats.org/officeDocument/2006/relationships/hyperlink" Target="https://www.google.com/search?client=firefox-b-d&amp;sca_esv=8f14c8c94b33adc6&amp;sca_upv=1&amp;ie=UTF-8&amp;q=d%C3%B3lar+turismo+hoje+venda&amp;sa=X&amp;ved=2ahUKEwj_2bOd7u6FAxXSpZUCHUfnDMEQ1QJ6BAgAEAc" TargetMode="External"/><Relationship Id="rId601" Type="http://schemas.openxmlformats.org/officeDocument/2006/relationships/hyperlink" Target="https://www.coingecko.com/pt/moedas/pixels" TargetMode="External"/><Relationship Id="rId1024" Type="http://schemas.openxmlformats.org/officeDocument/2006/relationships/hyperlink" Target="https://hpg.com.br/brise-bitgert-criptomoeda-projeto-onde-comprar-vai-subir-em-2024.html" TargetMode="External"/><Relationship Id="rId1231" Type="http://schemas.openxmlformats.org/officeDocument/2006/relationships/hyperlink" Target="https://www.coingecko.com/pt/moedas/pixels" TargetMode="External"/><Relationship Id="rId184" Type="http://schemas.openxmlformats.org/officeDocument/2006/relationships/hyperlink" Target="https://www.ethereum.org/" TargetMode="External"/><Relationship Id="rId391" Type="http://schemas.openxmlformats.org/officeDocument/2006/relationships/hyperlink" Target="https://br.beincrypto.com/cripto-investidores-vendem-em-maio-e-vao-embora/" TargetMode="External"/><Relationship Id="rId1908" Type="http://schemas.openxmlformats.org/officeDocument/2006/relationships/hyperlink" Target="https://www.coingecko.com/pt/ad_policy" TargetMode="External"/><Relationship Id="rId2072" Type="http://schemas.openxmlformats.org/officeDocument/2006/relationships/hyperlink" Target="https://www.reddit.com/r/coingecko/" TargetMode="External"/><Relationship Id="rId251" Type="http://schemas.openxmlformats.org/officeDocument/2006/relationships/hyperlink" Target="https://www.coingecko.com/pt/moedas/render" TargetMode="External"/><Relationship Id="rId111" Type="http://schemas.openxmlformats.org/officeDocument/2006/relationships/hyperlink" Target="https://www.coingecko.com/pt/moedas/ethereum" TargetMode="External"/><Relationship Id="rId1698" Type="http://schemas.openxmlformats.org/officeDocument/2006/relationships/hyperlink" Target="https://www.coingecko.com/pt/moedas/illuvium" TargetMode="External"/><Relationship Id="rId2749" Type="http://schemas.openxmlformats.org/officeDocument/2006/relationships/hyperlink" Target="https://www.coingecko.com/en/candy/partners-getting-started" TargetMode="External"/><Relationship Id="rId928" Type="http://schemas.openxmlformats.org/officeDocument/2006/relationships/hyperlink" Target="https://www.coingecko.com/pt/cryptocurrency-heatmap" TargetMode="External"/><Relationship Id="rId1558" Type="http://schemas.openxmlformats.org/officeDocument/2006/relationships/hyperlink" Target="https://www.coingecko.com/pt/moedas/ethereum" TargetMode="External"/><Relationship Id="rId1765" Type="http://schemas.openxmlformats.org/officeDocument/2006/relationships/hyperlink" Target="https://www.coingecko.com/pt/premium/pricing" TargetMode="External"/><Relationship Id="rId2609" Type="http://schemas.openxmlformats.org/officeDocument/2006/relationships/hyperlink" Target="https://www.coingecko.com/en/methodology" TargetMode="External"/><Relationship Id="rId57" Type="http://schemas.openxmlformats.org/officeDocument/2006/relationships/hyperlink" Target="https://www.coingecko.com/pt/c%C3%A2mbios/mexc" TargetMode="External"/><Relationship Id="rId1418" Type="http://schemas.openxmlformats.org/officeDocument/2006/relationships/hyperlink" Target="https://www.coingecko.com/pt/api" TargetMode="External"/><Relationship Id="rId1972" Type="http://schemas.openxmlformats.org/officeDocument/2006/relationships/hyperlink" Target="https://www.coingecko.com/pt/c%C3%A2mbios/bingx" TargetMode="External"/><Relationship Id="rId1625" Type="http://schemas.openxmlformats.org/officeDocument/2006/relationships/hyperlink" Target="https://etherscan.io/token/0x6de037ef9ad2725eb40118bb1702ebb27e4aeb24?a=0xB6E39e540e3472E927001bbBf77FFB5AB357b0e0" TargetMode="External"/><Relationship Id="rId1832" Type="http://schemas.openxmlformats.org/officeDocument/2006/relationships/hyperlink" Target="https://www.cryptopolitan.com/pt/pilhas-de-dinheiro-bitcoin-e-rebelde-satoshi-rblz-sao-tres-moedas-que-voce-deveria-comprar-apos-o-halving-do-bitcoin/" TargetMode="External"/><Relationship Id="rId2399" Type="http://schemas.openxmlformats.org/officeDocument/2006/relationships/hyperlink" Target="https://g.co/gfd" TargetMode="External"/><Relationship Id="rId578" Type="http://schemas.openxmlformats.org/officeDocument/2006/relationships/hyperlink" Target="https://www.coingecko.com/pt/moedas/chainlink/brl" TargetMode="External"/><Relationship Id="rId785" Type="http://schemas.openxmlformats.org/officeDocument/2006/relationships/hyperlink" Target="https://careers.coingecko.com/" TargetMode="External"/><Relationship Id="rId992" Type="http://schemas.openxmlformats.org/officeDocument/2006/relationships/hyperlink" Target="https://www.coingecko.com/learn/complete-beginners-guide-to-metamask" TargetMode="External"/><Relationship Id="rId2259" Type="http://schemas.openxmlformats.org/officeDocument/2006/relationships/hyperlink" Target="https://blog.shibaswap.com/" TargetMode="External"/><Relationship Id="rId2466" Type="http://schemas.openxmlformats.org/officeDocument/2006/relationships/hyperlink" Target="https://coinmarketcap.com/pt-br/currencies/shiba-inu/" TargetMode="External"/><Relationship Id="rId2673" Type="http://schemas.openxmlformats.org/officeDocument/2006/relationships/hyperlink" Target="https://www.coingecko.com/learn/defi-blue-chips" TargetMode="External"/><Relationship Id="rId438" Type="http://schemas.openxmlformats.org/officeDocument/2006/relationships/hyperlink" Target="https://www.coingecko.com/pt/moedas/wormhole" TargetMode="External"/><Relationship Id="rId645" Type="http://schemas.openxmlformats.org/officeDocument/2006/relationships/hyperlink" Target="https://www.coingecko.com/pt/ad_policy" TargetMode="External"/><Relationship Id="rId852" Type="http://schemas.openxmlformats.org/officeDocument/2006/relationships/hyperlink" Target="https://www.coingecko.com/pt/c%C3%A2mbios/bingx" TargetMode="External"/><Relationship Id="rId1068" Type="http://schemas.openxmlformats.org/officeDocument/2006/relationships/hyperlink" Target="https://www.coingecko.com/pt/moedas/bitcoin" TargetMode="External"/><Relationship Id="rId1275" Type="http://schemas.openxmlformats.org/officeDocument/2006/relationships/hyperlink" Target="https://t.me/coingecko" TargetMode="External"/><Relationship Id="rId1482" Type="http://schemas.openxmlformats.org/officeDocument/2006/relationships/hyperlink" Target="https://www.coingecko.com/pt/c%C3%A2mbios/toobit" TargetMode="External"/><Relationship Id="rId2119" Type="http://schemas.openxmlformats.org/officeDocument/2006/relationships/hyperlink" Target="https://gate.io/trade/WIF_USDT?ref=3018394" TargetMode="External"/><Relationship Id="rId2326" Type="http://schemas.openxmlformats.org/officeDocument/2006/relationships/hyperlink" Target="https://www.coingecko.com/pt/moedas/pawswap" TargetMode="External"/><Relationship Id="rId2533" Type="http://schemas.openxmlformats.org/officeDocument/2006/relationships/hyperlink" Target="https://coinmarketcap.com/pt-br/currencies/ethereum/" TargetMode="External"/><Relationship Id="rId2740" Type="http://schemas.openxmlformats.org/officeDocument/2006/relationships/hyperlink" Target="https://www.coingecko.com/en/coins/ronin" TargetMode="External"/><Relationship Id="rId505" Type="http://schemas.openxmlformats.org/officeDocument/2006/relationships/hyperlink" Target="https://etherscan.io/token/0x514910771af9ca656af840dff83e8264ecf986ca?a=0x37398A324d35c942574650B9eD2987BC640BAD76" TargetMode="External"/><Relationship Id="rId712" Type="http://schemas.openxmlformats.org/officeDocument/2006/relationships/hyperlink" Target="https://www.coingecko.com/pt/c%C3%A2mbios/katana" TargetMode="External"/><Relationship Id="rId1135" Type="http://schemas.openxmlformats.org/officeDocument/2006/relationships/hyperlink" Target="https://www.coingecko.com/pt/metodologia" TargetMode="External"/><Relationship Id="rId1342" Type="http://schemas.openxmlformats.org/officeDocument/2006/relationships/hyperlink" Target="https://www.coingecko.com/pt/c%C3%A2mbios/bitget" TargetMode="External"/><Relationship Id="rId1202" Type="http://schemas.openxmlformats.org/officeDocument/2006/relationships/hyperlink" Target="https://www.coingecko.com/pt/moedas/polygon/usd" TargetMode="External"/><Relationship Id="rId2600" Type="http://schemas.openxmlformats.org/officeDocument/2006/relationships/hyperlink" Target="https://www.coingecko.com/en/methodology" TargetMode="External"/><Relationship Id="rId295" Type="http://schemas.openxmlformats.org/officeDocument/2006/relationships/hyperlink" Target="https://support.coingecko.com/" TargetMode="External"/><Relationship Id="rId2183" Type="http://schemas.openxmlformats.org/officeDocument/2006/relationships/hyperlink" Target="https://www.coingecko.com/pt/moedas/wormhole" TargetMode="External"/><Relationship Id="rId2390" Type="http://schemas.openxmlformats.org/officeDocument/2006/relationships/hyperlink" Target="https://www.facebook.com/coingecko" TargetMode="External"/><Relationship Id="rId155" Type="http://schemas.openxmlformats.org/officeDocument/2006/relationships/hyperlink" Target="https://discord.gg/EhrkaCH" TargetMode="External"/><Relationship Id="rId362" Type="http://schemas.openxmlformats.org/officeDocument/2006/relationships/hyperlink" Target="https://bingx.com/en-us/spot/SOLUSDT?ch=cgk_organic" TargetMode="External"/><Relationship Id="rId2043" Type="http://schemas.openxmlformats.org/officeDocument/2006/relationships/hyperlink" Target="https://www.coingecko.com/pt/moedas/jupiter" TargetMode="External"/><Relationship Id="rId2250" Type="http://schemas.openxmlformats.org/officeDocument/2006/relationships/hyperlink" Target="https://etherscan.io/token/0x95ad61b0a150d79219dcf64e1e6cc01f0b64c4ce?a=0xadf86e75d8f0f57e0288d0970e7407eaa49b3cab" TargetMode="External"/><Relationship Id="rId222" Type="http://schemas.openxmlformats.org/officeDocument/2006/relationships/hyperlink" Target="https://crypto.com/exchange/trade/spot/ETH_USD" TargetMode="External"/><Relationship Id="rId2110" Type="http://schemas.openxmlformats.org/officeDocument/2006/relationships/hyperlink" Target="https://www.binance.com/en/trade/WIF_USDT?ref=37754157" TargetMode="External"/><Relationship Id="rId1669" Type="http://schemas.openxmlformats.org/officeDocument/2006/relationships/hyperlink" Target="https://www.coingecko.com/pt/c%C3%A2mbios/kucoin" TargetMode="External"/><Relationship Id="rId1876" Type="http://schemas.openxmlformats.org/officeDocument/2006/relationships/hyperlink" Target="https://www.coingecko.com/pt/moedas/ethereum" TargetMode="External"/><Relationship Id="rId1529" Type="http://schemas.openxmlformats.org/officeDocument/2006/relationships/hyperlink" Target="https://www.coingecko.com/pt/moedas/immutable-x" TargetMode="External"/><Relationship Id="rId1736" Type="http://schemas.openxmlformats.org/officeDocument/2006/relationships/hyperlink" Target="https://www.coingecko.com/pt/candy/partners-getting-started" TargetMode="External"/><Relationship Id="rId1943" Type="http://schemas.openxmlformats.org/officeDocument/2006/relationships/hyperlink" Target="http://dogecoin.com/" TargetMode="External"/><Relationship Id="rId28" Type="http://schemas.openxmlformats.org/officeDocument/2006/relationships/hyperlink" Target="https://twitter.com/bitcoin" TargetMode="External"/><Relationship Id="rId1803" Type="http://schemas.openxmlformats.org/officeDocument/2006/relationships/hyperlink" Target="https://www.coingecko.com/pt/c%C3%A2mbios/binance" TargetMode="External"/><Relationship Id="rId689" Type="http://schemas.openxmlformats.org/officeDocument/2006/relationships/hyperlink" Target="https://www.coingecko.com/pt/c%C3%A2mbios/bitget" TargetMode="External"/><Relationship Id="rId896" Type="http://schemas.openxmlformats.org/officeDocument/2006/relationships/hyperlink" Target="https://www.coingecko.com/pt/moedas/solana" TargetMode="External"/><Relationship Id="rId2577" Type="http://schemas.openxmlformats.org/officeDocument/2006/relationships/hyperlink" Target="https://coinmarketcap.com/pt-br/faq/" TargetMode="External"/><Relationship Id="rId2784" Type="http://schemas.openxmlformats.org/officeDocument/2006/relationships/queryTable" Target="../queryTables/queryTable5.xml"/><Relationship Id="rId549" Type="http://schemas.openxmlformats.org/officeDocument/2006/relationships/hyperlink" Target="https://www.coingecko.com/pt/c%C3%A2mbios/mexc" TargetMode="External"/><Relationship Id="rId756" Type="http://schemas.openxmlformats.org/officeDocument/2006/relationships/hyperlink" Target="https://www.coingecko.com/pt/moedas/ethereum" TargetMode="External"/><Relationship Id="rId1179" Type="http://schemas.openxmlformats.org/officeDocument/2006/relationships/hyperlink" Target="https://www.lbank.com/trade/matic_usdt" TargetMode="External"/><Relationship Id="rId1386" Type="http://schemas.openxmlformats.org/officeDocument/2006/relationships/hyperlink" Target="https://www.coingecko.com/pt/moedas/solana" TargetMode="External"/><Relationship Id="rId1593" Type="http://schemas.openxmlformats.org/officeDocument/2006/relationships/hyperlink" Target="https://twitter.com/coingecko" TargetMode="External"/><Relationship Id="rId2437" Type="http://schemas.openxmlformats.org/officeDocument/2006/relationships/hyperlink" Target="https://coinmarketcap.com/pt-br/charts/" TargetMode="External"/><Relationship Id="rId409" Type="http://schemas.openxmlformats.org/officeDocument/2006/relationships/hyperlink" Target="https://www.coingecko.com/pt/moedas/render" TargetMode="External"/><Relationship Id="rId963" Type="http://schemas.openxmlformats.org/officeDocument/2006/relationships/hyperlink" Target="https://www.geckoterminal.com/?utm_source=coingecko&amp;utm_medium=referral&amp;utm_campaign=desktop_navigation" TargetMode="External"/><Relationship Id="rId1039" Type="http://schemas.openxmlformats.org/officeDocument/2006/relationships/hyperlink" Target="https://www.coingecko.com/pt/moedas/gala/eur" TargetMode="External"/><Relationship Id="rId1246" Type="http://schemas.openxmlformats.org/officeDocument/2006/relationships/hyperlink" Target="https://www.coingecko.com/pt/moedas/kaspa" TargetMode="External"/><Relationship Id="rId2644" Type="http://schemas.openxmlformats.org/officeDocument/2006/relationships/hyperlink" Target="https://www.coingecko.com/en/exchanges/bybit_spot" TargetMode="External"/><Relationship Id="rId92" Type="http://schemas.openxmlformats.org/officeDocument/2006/relationships/hyperlink" Target="https://www.coingecko.com/pt/moedas/solana" TargetMode="External"/><Relationship Id="rId616" Type="http://schemas.openxmlformats.org/officeDocument/2006/relationships/hyperlink" Target="https://www.coingecko.com/pt/moedas/wormhole" TargetMode="External"/><Relationship Id="rId823" Type="http://schemas.openxmlformats.org/officeDocument/2006/relationships/hyperlink" Target="https://www.coingecko.com/learn/what-is-fully-diluted-valuation-fdv-in-crypto" TargetMode="External"/><Relationship Id="rId1453" Type="http://schemas.openxmlformats.org/officeDocument/2006/relationships/hyperlink" Target="https://www.coingecko.com/pt/candy" TargetMode="External"/><Relationship Id="rId1660" Type="http://schemas.openxmlformats.org/officeDocument/2006/relationships/hyperlink" Target="https://www.coingecko.com/pt/c%C3%A2mbios/mexc" TargetMode="External"/><Relationship Id="rId2504" Type="http://schemas.openxmlformats.org/officeDocument/2006/relationships/hyperlink" Target="https://coinmarketcap.com/pt-br/currencies/node-ai/" TargetMode="External"/><Relationship Id="rId2711" Type="http://schemas.openxmlformats.org/officeDocument/2006/relationships/hyperlink" Target="https://www.coingecko.com/en/coins/stride" TargetMode="External"/><Relationship Id="rId1106" Type="http://schemas.openxmlformats.org/officeDocument/2006/relationships/hyperlink" Target="https://www.coingecko.com/pt/privacidade" TargetMode="External"/><Relationship Id="rId1313" Type="http://schemas.openxmlformats.org/officeDocument/2006/relationships/hyperlink" Target="https://twitter.com/Optimism" TargetMode="External"/><Relationship Id="rId1520" Type="http://schemas.openxmlformats.org/officeDocument/2006/relationships/hyperlink" Target="https://www.cryptopolitan.com/pt/hackerleak-milhoes-do-protocolo-de-rendimento/" TargetMode="External"/><Relationship Id="rId199" Type="http://schemas.openxmlformats.org/officeDocument/2006/relationships/hyperlink" Target="https://www.coingecko.com/pt/c%C3%A2mbios/okx" TargetMode="External"/><Relationship Id="rId2087" Type="http://schemas.openxmlformats.org/officeDocument/2006/relationships/hyperlink" Target="https://www.coingecko.com/pt/candy" TargetMode="External"/><Relationship Id="rId2294" Type="http://schemas.openxmlformats.org/officeDocument/2006/relationships/hyperlink" Target="https://www.coingecko.com/pt/c%C3%A2mbios/digifinex" TargetMode="External"/><Relationship Id="rId266" Type="http://schemas.openxmlformats.org/officeDocument/2006/relationships/hyperlink" Target="https://www.coingecko.com/pt/moedas/bitcoin" TargetMode="External"/><Relationship Id="rId473" Type="http://schemas.openxmlformats.org/officeDocument/2006/relationships/hyperlink" Target="https://www.youtube.com/channel/UC-OTgwOAI7KmP0eDAtqN3Ow?sub_confirmation=1" TargetMode="External"/><Relationship Id="rId680" Type="http://schemas.openxmlformats.org/officeDocument/2006/relationships/hyperlink" Target="https://roninchain.com/" TargetMode="External"/><Relationship Id="rId2154" Type="http://schemas.openxmlformats.org/officeDocument/2006/relationships/hyperlink" Target="https://www.coingecko.com/pt/moedas/popcat" TargetMode="External"/><Relationship Id="rId2361" Type="http://schemas.openxmlformats.org/officeDocument/2006/relationships/hyperlink" Target="https://www.coingecko.com/pt/moedas/polygon" TargetMode="External"/><Relationship Id="rId126" Type="http://schemas.openxmlformats.org/officeDocument/2006/relationships/hyperlink" Target="https://www.coingecko.com/pt/moedas/bittensor" TargetMode="External"/><Relationship Id="rId333" Type="http://schemas.openxmlformats.org/officeDocument/2006/relationships/hyperlink" Target="https://www.coingecko.com/pt/api" TargetMode="External"/><Relationship Id="rId540" Type="http://schemas.openxmlformats.org/officeDocument/2006/relationships/hyperlink" Target="https://www.coingecko.com/pt/c%C3%A2mbios/lbank" TargetMode="External"/><Relationship Id="rId1170" Type="http://schemas.openxmlformats.org/officeDocument/2006/relationships/hyperlink" Target="https://www.binance.com/en/trade/MATIC_USDT?ref=37754157" TargetMode="External"/><Relationship Id="rId2014" Type="http://schemas.openxmlformats.org/officeDocument/2006/relationships/hyperlink" Target="https://www.coingecko.com/pt/moedas/baby-grok" TargetMode="External"/><Relationship Id="rId2221" Type="http://schemas.openxmlformats.org/officeDocument/2006/relationships/hyperlink" Target="https://www.youtube.com/channel/UC-OTgwOAI7KmP0eDAtqN3Ow?sub_confirmation=1" TargetMode="External"/><Relationship Id="rId1030" Type="http://schemas.openxmlformats.org/officeDocument/2006/relationships/hyperlink" Target="https://hpg.com.br/bit-bitdao-criptomoeda-projeto-onde-comprar-vai-subir-em-2024.html" TargetMode="External"/><Relationship Id="rId400" Type="http://schemas.openxmlformats.org/officeDocument/2006/relationships/hyperlink" Target="https://www.coingecko.com/pt/moedas/tether" TargetMode="External"/><Relationship Id="rId1987" Type="http://schemas.openxmlformats.org/officeDocument/2006/relationships/hyperlink" Target="https://br.beincrypto.com/dogecoin-solana-xrp-interesse-cai/" TargetMode="External"/><Relationship Id="rId1847" Type="http://schemas.openxmlformats.org/officeDocument/2006/relationships/hyperlink" Target="https://www.coingecko.com/pt/moedas/satoshivm" TargetMode="External"/><Relationship Id="rId1707" Type="http://schemas.openxmlformats.org/officeDocument/2006/relationships/hyperlink" Target="https://www.coingecko.com/pt/moedas/pixels" TargetMode="External"/><Relationship Id="rId190" Type="http://schemas.openxmlformats.org/officeDocument/2006/relationships/hyperlink" Target="https://www.coingecko.com/pt/categories/ethereum-ecosystem" TargetMode="External"/><Relationship Id="rId1914" Type="http://schemas.openxmlformats.org/officeDocument/2006/relationships/hyperlink" Target="https://discord.gg/EhrkaCH" TargetMode="External"/><Relationship Id="rId2688" Type="http://schemas.openxmlformats.org/officeDocument/2006/relationships/hyperlink" Target="https://www.coingecko.com/en/coins/lido-dao/cad" TargetMode="External"/><Relationship Id="rId867" Type="http://schemas.openxmlformats.org/officeDocument/2006/relationships/hyperlink" Target="https://www.coingecko.com/pt/c%C3%A2mbios/whitebit" TargetMode="External"/><Relationship Id="rId1497" Type="http://schemas.openxmlformats.org/officeDocument/2006/relationships/hyperlink" Target="https://www.coingecko.com/pt/c%C3%A2mbios/bitget" TargetMode="External"/><Relationship Id="rId2548" Type="http://schemas.openxmlformats.org/officeDocument/2006/relationships/hyperlink" Target="https://coinmarketcap.com/pt-br/currencies/pepe/pepe/brl/" TargetMode="External"/><Relationship Id="rId2755" Type="http://schemas.openxmlformats.org/officeDocument/2006/relationships/hyperlink" Target="https://careers.coingecko.com/" TargetMode="External"/><Relationship Id="rId727" Type="http://schemas.openxmlformats.org/officeDocument/2006/relationships/hyperlink" Target="https://www.coingecko.com/pt/moedas/ronin/brl" TargetMode="External"/><Relationship Id="rId934" Type="http://schemas.openxmlformats.org/officeDocument/2006/relationships/hyperlink" Target="https://hackenproof.com/coingecko/coingecko" TargetMode="External"/><Relationship Id="rId1357" Type="http://schemas.openxmlformats.org/officeDocument/2006/relationships/hyperlink" Target="https://br.beincrypto.com/principais-noticias-criptograficas-desta-semana/" TargetMode="External"/><Relationship Id="rId1564" Type="http://schemas.openxmlformats.org/officeDocument/2006/relationships/hyperlink" Target="https://www.coingecko.com/pt/moedas/aerodrome-finance" TargetMode="External"/><Relationship Id="rId1771" Type="http://schemas.openxmlformats.org/officeDocument/2006/relationships/hyperlink" Target="https://www.coingecko.com/pt/portfolio" TargetMode="External"/><Relationship Id="rId2408" Type="http://schemas.openxmlformats.org/officeDocument/2006/relationships/hyperlink" Target="https://www.google.com/url?q=https://www.bcb.gov.br/estabilidadefinanceira/fechamentodolar&amp;sa=U&amp;ved=2ahUKEwj_2bOd7u6FAxXSpZUCHUfnDMEQFnoECAYQAg&amp;usg=AOvVaw2B3QEAVibKQA0itvLflAC8" TargetMode="External"/><Relationship Id="rId2615" Type="http://schemas.openxmlformats.org/officeDocument/2006/relationships/hyperlink" Target="https://etherscan.io/token/0x5a98fcbea516cf06857215779fd812ca3bef1b32" TargetMode="External"/><Relationship Id="rId63" Type="http://schemas.openxmlformats.org/officeDocument/2006/relationships/hyperlink" Target="https://www.coingecko.com/pt/c%C3%A2mbios/bitfinex" TargetMode="External"/><Relationship Id="rId1217" Type="http://schemas.openxmlformats.org/officeDocument/2006/relationships/hyperlink" Target="https://www.coingecko.com/pt/moedas/multiversx" TargetMode="External"/><Relationship Id="rId1424" Type="http://schemas.openxmlformats.org/officeDocument/2006/relationships/hyperlink" Target="https://www.coingecko.com/pt/faq" TargetMode="External"/><Relationship Id="rId1631" Type="http://schemas.openxmlformats.org/officeDocument/2006/relationships/hyperlink" Target="https://etherscan.io/token/0x6de037ef9ad2725eb40118bb1702ebb27e4aeb24" TargetMode="External"/><Relationship Id="rId2198" Type="http://schemas.openxmlformats.org/officeDocument/2006/relationships/hyperlink" Target="https://www.coingecko.com/request" TargetMode="External"/><Relationship Id="rId377" Type="http://schemas.openxmlformats.org/officeDocument/2006/relationships/hyperlink" Target="https://www.bybit.com/trade/spot/SOL/USDT/?affiliate_id=9763" TargetMode="External"/><Relationship Id="rId584" Type="http://schemas.openxmlformats.org/officeDocument/2006/relationships/hyperlink" Target="https://www.coingecko.com/pt/moedas/cosmos-hub" TargetMode="External"/><Relationship Id="rId2058" Type="http://schemas.openxmlformats.org/officeDocument/2006/relationships/hyperlink" Target="https://www.coingecko.com/pt/sobre" TargetMode="External"/><Relationship Id="rId2265" Type="http://schemas.openxmlformats.org/officeDocument/2006/relationships/hyperlink" Target="https://www.coingecko.com/pt/categories/ethereum-ecosystem" TargetMode="External"/><Relationship Id="rId237" Type="http://schemas.openxmlformats.org/officeDocument/2006/relationships/hyperlink" Target="https://www.coingecko.com/pt/moedas/ethereum/usd" TargetMode="External"/><Relationship Id="rId791" Type="http://schemas.openxmlformats.org/officeDocument/2006/relationships/hyperlink" Target="https://www.coingecko.com/pt/termos" TargetMode="External"/><Relationship Id="rId1074" Type="http://schemas.openxmlformats.org/officeDocument/2006/relationships/hyperlink" Target="https://www.coingecko.com/pt/moedas/ethereum" TargetMode="External"/><Relationship Id="rId2472" Type="http://schemas.openxmlformats.org/officeDocument/2006/relationships/hyperlink" Target="https://coinmarketcap.com/pt-br/currencies/uniswap/" TargetMode="External"/><Relationship Id="rId444" Type="http://schemas.openxmlformats.org/officeDocument/2006/relationships/hyperlink" Target="https://www.coingecko.com/pt/moedas/polygon" TargetMode="External"/><Relationship Id="rId651" Type="http://schemas.openxmlformats.org/officeDocument/2006/relationships/hyperlink" Target="https://discord.gg/EhrkaCH" TargetMode="External"/><Relationship Id="rId1281" Type="http://schemas.openxmlformats.org/officeDocument/2006/relationships/hyperlink" Target="https://www.youtube.com/channel/UC-OTgwOAI7KmP0eDAtqN3Ow?sub_confirmation=1" TargetMode="External"/><Relationship Id="rId2125" Type="http://schemas.openxmlformats.org/officeDocument/2006/relationships/hyperlink" Target="https://www.pionex.com/en/trade/WIF_USDT/Bot?r=04SCvbiCErH" TargetMode="External"/><Relationship Id="rId2332" Type="http://schemas.openxmlformats.org/officeDocument/2006/relationships/hyperlink" Target="https://www.coingecko.com/pt/moedas/woofwork-io" TargetMode="External"/><Relationship Id="rId304" Type="http://schemas.openxmlformats.org/officeDocument/2006/relationships/hyperlink" Target="https://www.coingecko.com/pt/isen%C3%A7%C3%A3o_de_responsabilidade" TargetMode="External"/><Relationship Id="rId511" Type="http://schemas.openxmlformats.org/officeDocument/2006/relationships/hyperlink" Target="https://etherscan.io/token/0x514910771af9ca656af840dff83e8264ecf986ca?a=0x76287e0F7b107d1C9f8f01D5aFac314Ea8461a04" TargetMode="External"/><Relationship Id="rId1141" Type="http://schemas.openxmlformats.org/officeDocument/2006/relationships/hyperlink" Target="https://etherscan.io/token/0x7d1afa7b718fb893db30a3abc0cfc608aacfebb0?a=0xcbfe11b78c2e6cb25c6eda2c6ff46cd4755c8fca" TargetMode="External"/><Relationship Id="rId1001" Type="http://schemas.openxmlformats.org/officeDocument/2006/relationships/hyperlink" Target="https://exchange.pointpay.io/trade-classic/GALA_USDTreferral/40d2c818-a4e9-4834-bcda-c4f11a1b243d" TargetMode="External"/><Relationship Id="rId1958" Type="http://schemas.openxmlformats.org/officeDocument/2006/relationships/hyperlink" Target="https://www.binance.com/en/trade/DOGE_USDT?ref=37754157" TargetMode="External"/><Relationship Id="rId1818" Type="http://schemas.openxmlformats.org/officeDocument/2006/relationships/hyperlink" Target="https://www.coingecko.com/pt/c%C3%A2mbios/mexc" TargetMode="External"/><Relationship Id="rId161" Type="http://schemas.openxmlformats.org/officeDocument/2006/relationships/hyperlink" Target="https://www.coingecko.com/pt" TargetMode="External"/><Relationship Id="rId978" Type="http://schemas.openxmlformats.org/officeDocument/2006/relationships/hyperlink" Target="https://creators.gala.com/metadata/api/v1/tokens/gala/circulating-supply" TargetMode="External"/><Relationship Id="rId2659" Type="http://schemas.openxmlformats.org/officeDocument/2006/relationships/hyperlink" Target="https://www.coingabbar.com/en/crypto-currency-news/crypto-prices-today-30-april-btc-crash-after-hong-kong-etfs" TargetMode="External"/><Relationship Id="rId838" Type="http://schemas.openxmlformats.org/officeDocument/2006/relationships/hyperlink" Target="https://www.coingecko.com/pt/categories/smart-contract-platform" TargetMode="External"/><Relationship Id="rId1468" Type="http://schemas.openxmlformats.org/officeDocument/2006/relationships/hyperlink" Target="https://arbitrum.io/" TargetMode="External"/><Relationship Id="rId1675" Type="http://schemas.openxmlformats.org/officeDocument/2006/relationships/hyperlink" Target="https://br.beincrypto.com/altcoins-para-ficar-de-olho-em-maio/" TargetMode="External"/><Relationship Id="rId1882" Type="http://schemas.openxmlformats.org/officeDocument/2006/relationships/hyperlink" Target="https://www.coingecko.com/pt/moedas/pendle" TargetMode="External"/><Relationship Id="rId2519" Type="http://schemas.openxmlformats.org/officeDocument/2006/relationships/hyperlink" Target="https://coinmarketcap.com/pt-br/currencies/iota/" TargetMode="External"/><Relationship Id="rId2726" Type="http://schemas.openxmlformats.org/officeDocument/2006/relationships/hyperlink" Target="https://www.coingecko.com/en/coins/ethereum" TargetMode="External"/><Relationship Id="rId1328" Type="http://schemas.openxmlformats.org/officeDocument/2006/relationships/hyperlink" Target="https://www.mexc.com/exchange/OP_USDT?inviteCode=1498J" TargetMode="External"/><Relationship Id="rId1535" Type="http://schemas.openxmlformats.org/officeDocument/2006/relationships/hyperlink" Target="https://www.coingecko.com/pt/moedas/starknet" TargetMode="External"/><Relationship Id="rId905" Type="http://schemas.openxmlformats.org/officeDocument/2006/relationships/hyperlink" Target="https://www.coingecko.com/pt/moedas/ethereum" TargetMode="External"/><Relationship Id="rId1742" Type="http://schemas.openxmlformats.org/officeDocument/2006/relationships/hyperlink" Target="https://careers.coingecko.com/" TargetMode="External"/><Relationship Id="rId34" Type="http://schemas.openxmlformats.org/officeDocument/2006/relationships/hyperlink" Target="https://www.coingecko.com/pt/global-charts" TargetMode="External"/><Relationship Id="rId1602" Type="http://schemas.openxmlformats.org/officeDocument/2006/relationships/hyperlink" Target="https://www.coingecko.com/pt/isen%C3%A7%C3%A3o_de_responsabilidade" TargetMode="External"/><Relationship Id="rId488" Type="http://schemas.openxmlformats.org/officeDocument/2006/relationships/hyperlink" Target="https://gcko.io/search-survey" TargetMode="External"/><Relationship Id="rId695" Type="http://schemas.openxmlformats.org/officeDocument/2006/relationships/hyperlink" Target="https://www.coingecko.com/pt/c%C3%A2mbios/htx" TargetMode="External"/><Relationship Id="rId2169" Type="http://schemas.openxmlformats.org/officeDocument/2006/relationships/hyperlink" Target="https://www.coingecko.com/pt/moedas/ethereum" TargetMode="External"/><Relationship Id="rId2376" Type="http://schemas.openxmlformats.org/officeDocument/2006/relationships/hyperlink" Target="https://careers.coingecko.com/" TargetMode="External"/><Relationship Id="rId2583" Type="http://schemas.openxmlformats.org/officeDocument/2006/relationships/hyperlink" Target="https://www.facebook.com/CoinMarketCap" TargetMode="External"/><Relationship Id="rId2790" Type="http://schemas.openxmlformats.org/officeDocument/2006/relationships/queryTable" Target="../queryTables/queryTable11.xml"/><Relationship Id="rId348" Type="http://schemas.openxmlformats.org/officeDocument/2006/relationships/hyperlink" Target="https://github.com/solana-labs" TargetMode="External"/><Relationship Id="rId555" Type="http://schemas.openxmlformats.org/officeDocument/2006/relationships/hyperlink" Target="https://www.coingecko.com/pt/c%C3%A2mbios/coinbase-exchange" TargetMode="External"/><Relationship Id="rId762" Type="http://schemas.openxmlformats.org/officeDocument/2006/relationships/hyperlink" Target="https://www.coingecko.com/pt/moedas/degen-base" TargetMode="External"/><Relationship Id="rId1185" Type="http://schemas.openxmlformats.org/officeDocument/2006/relationships/hyperlink" Target="https://crypto.com/exchange/trade/spot/MATIC_USDT" TargetMode="External"/><Relationship Id="rId1392" Type="http://schemas.openxmlformats.org/officeDocument/2006/relationships/hyperlink" Target="https://www.coingecko.com/pt/moedas/bitcoin" TargetMode="External"/><Relationship Id="rId2029" Type="http://schemas.openxmlformats.org/officeDocument/2006/relationships/hyperlink" Target="https://www.coingecko.com/pt/moedas/pepe" TargetMode="External"/><Relationship Id="rId2236" Type="http://schemas.openxmlformats.org/officeDocument/2006/relationships/hyperlink" Target="https://gcko.io/search-survey" TargetMode="External"/><Relationship Id="rId2443" Type="http://schemas.openxmlformats.org/officeDocument/2006/relationships/hyperlink" Target="https://coinmarketcap.com/pt-br/charts/" TargetMode="External"/><Relationship Id="rId2650" Type="http://schemas.openxmlformats.org/officeDocument/2006/relationships/hyperlink" Target="https://www.coingecko.com/en/exchanges/okx" TargetMode="External"/><Relationship Id="rId208" Type="http://schemas.openxmlformats.org/officeDocument/2006/relationships/hyperlink" Target="https://www.coingecko.com/pt/c%C3%A2mbios/htx" TargetMode="External"/><Relationship Id="rId415" Type="http://schemas.openxmlformats.org/officeDocument/2006/relationships/hyperlink" Target="https://www.coingecko.com/pt/moedas/solana" TargetMode="External"/><Relationship Id="rId622" Type="http://schemas.openxmlformats.org/officeDocument/2006/relationships/hyperlink" Target="https://www.coingecko.com/pt/moedas/kaspa" TargetMode="External"/><Relationship Id="rId1045" Type="http://schemas.openxmlformats.org/officeDocument/2006/relationships/hyperlink" Target="https://www.coingecko.com/pt/moedas/hooked-protocol" TargetMode="External"/><Relationship Id="rId1252" Type="http://schemas.openxmlformats.org/officeDocument/2006/relationships/hyperlink" Target="https://www.coingecko.com/pt/moedas/pendle" TargetMode="External"/><Relationship Id="rId2303" Type="http://schemas.openxmlformats.org/officeDocument/2006/relationships/hyperlink" Target="https://br.beincrypto.com/altcoin-season-may-2024-cryptos/" TargetMode="External"/><Relationship Id="rId2510" Type="http://schemas.openxmlformats.org/officeDocument/2006/relationships/hyperlink" Target="https://coinmarketcap.com/pt-br/currencies/niza-global/" TargetMode="External"/><Relationship Id="rId1112" Type="http://schemas.openxmlformats.org/officeDocument/2006/relationships/hyperlink" Target="https://www.reddit.com/r/coingecko/" TargetMode="External"/><Relationship Id="rId1929" Type="http://schemas.openxmlformats.org/officeDocument/2006/relationships/hyperlink" Target="https://www.coingecko.com/pt/candy" TargetMode="External"/><Relationship Id="rId2093" Type="http://schemas.openxmlformats.org/officeDocument/2006/relationships/hyperlink" Target="https://www.geckoterminal.com/solana/tokens/EKpQGSJtjMFqKZ9KQanSqYXRcF8fBopzLHYxdM65zcjm?utm_source=coingecko&amp;utm_medium=referral&amp;utm_campaign=livechart-btn" TargetMode="External"/><Relationship Id="rId272" Type="http://schemas.openxmlformats.org/officeDocument/2006/relationships/hyperlink" Target="https://www.coingecko.com/pt/moedas/wormhole" TargetMode="External"/><Relationship Id="rId2160" Type="http://schemas.openxmlformats.org/officeDocument/2006/relationships/hyperlink" Target="https://www.coingecko.com/pt/moedas/jeo-boden" TargetMode="External"/><Relationship Id="rId132" Type="http://schemas.openxmlformats.org/officeDocument/2006/relationships/hyperlink" Target="https://www.coingecko.com/pt/cryptocurrency-heatmap" TargetMode="External"/><Relationship Id="rId2020" Type="http://schemas.openxmlformats.org/officeDocument/2006/relationships/hyperlink" Target="https://www.coingecko.com/pt/moedas/dione" TargetMode="External"/><Relationship Id="rId1579" Type="http://schemas.openxmlformats.org/officeDocument/2006/relationships/hyperlink" Target="https://www.coingecko.com/pt/candy/partners-getting-started" TargetMode="External"/><Relationship Id="rId949" Type="http://schemas.openxmlformats.org/officeDocument/2006/relationships/hyperlink" Target="https://www.instagram.com/coingecko/" TargetMode="External"/><Relationship Id="rId1786" Type="http://schemas.openxmlformats.org/officeDocument/2006/relationships/hyperlink" Target="https://gaia.blockstack.org/hub/1AxyPunHHAHiEffXWESKfbvmBpGQv138Fp/stacks.pdf" TargetMode="External"/><Relationship Id="rId1993" Type="http://schemas.openxmlformats.org/officeDocument/2006/relationships/hyperlink" Target="https://www.cryptopolitan.com/pt/principais-altcoins-de-baixo-risco-que-tem-potencial-3x-maior-que-dogecoin-doge/" TargetMode="External"/><Relationship Id="rId78" Type="http://schemas.openxmlformats.org/officeDocument/2006/relationships/hyperlink" Target="https://www.coingecko.com/pt/moedas/bitcoin/usd" TargetMode="External"/><Relationship Id="rId809" Type="http://schemas.openxmlformats.org/officeDocument/2006/relationships/hyperlink" Target="https://www.coingecko.com/pt/premium/pricing" TargetMode="External"/><Relationship Id="rId1439" Type="http://schemas.openxmlformats.org/officeDocument/2006/relationships/hyperlink" Target="https://www.reddit.com/r/coingecko/" TargetMode="External"/><Relationship Id="rId1646" Type="http://schemas.openxmlformats.org/officeDocument/2006/relationships/hyperlink" Target="https://gate.io/trade/RNDR_USDT?ref=3018394" TargetMode="External"/><Relationship Id="rId1853" Type="http://schemas.openxmlformats.org/officeDocument/2006/relationships/hyperlink" Target="https://www.coingecko.com/pt/moedas/ethereum" TargetMode="External"/><Relationship Id="rId1506" Type="http://schemas.openxmlformats.org/officeDocument/2006/relationships/hyperlink" Target="https://www.coingecko.com/pt/c%C3%A2mbios/weex" TargetMode="External"/><Relationship Id="rId1713" Type="http://schemas.openxmlformats.org/officeDocument/2006/relationships/hyperlink" Target="https://www.coingecko.com/pt/moedas/pepe" TargetMode="External"/><Relationship Id="rId1920" Type="http://schemas.openxmlformats.org/officeDocument/2006/relationships/hyperlink" Target="https://www.coingecko.com/pt" TargetMode="External"/><Relationship Id="rId599" Type="http://schemas.openxmlformats.org/officeDocument/2006/relationships/hyperlink" Target="https://www.coingecko.com/pt/moedas/dione" TargetMode="External"/><Relationship Id="rId2487" Type="http://schemas.openxmlformats.org/officeDocument/2006/relationships/hyperlink" Target="https://coinmarketcap.com/pt-br/currencies/wormhole/" TargetMode="External"/><Relationship Id="rId2694" Type="http://schemas.openxmlformats.org/officeDocument/2006/relationships/hyperlink" Target="https://www.coingecko.com/en/coins/lido-dao/inr" TargetMode="External"/><Relationship Id="rId459" Type="http://schemas.openxmlformats.org/officeDocument/2006/relationships/hyperlink" Target="https://blog.coingecko.com/" TargetMode="External"/><Relationship Id="rId666" Type="http://schemas.openxmlformats.org/officeDocument/2006/relationships/hyperlink" Target="https://www.coingecko.com/pt/candy" TargetMode="External"/><Relationship Id="rId873" Type="http://schemas.openxmlformats.org/officeDocument/2006/relationships/hyperlink" Target="https://www.criptofacil.com/immutable-programa-de-recompensas-oferece-us-50-mil-para-jogadores/" TargetMode="External"/><Relationship Id="rId1089" Type="http://schemas.openxmlformats.org/officeDocument/2006/relationships/hyperlink" Target="https://www.coingecko.com/pt/public-companies-bitcoin" TargetMode="External"/><Relationship Id="rId1296" Type="http://schemas.openxmlformats.org/officeDocument/2006/relationships/hyperlink" Target="https://gcko.io/search-survey" TargetMode="External"/><Relationship Id="rId2347" Type="http://schemas.openxmlformats.org/officeDocument/2006/relationships/hyperlink" Target="https://www.coingecko.com/pt/moedas/pepe" TargetMode="External"/><Relationship Id="rId2554" Type="http://schemas.openxmlformats.org/officeDocument/2006/relationships/hyperlink" Target="https://coinmarketcap.com/pt-br/currencies/omni-network/" TargetMode="External"/><Relationship Id="rId319" Type="http://schemas.openxmlformats.org/officeDocument/2006/relationships/hyperlink" Target="https://www.coingecko.com/pt" TargetMode="External"/><Relationship Id="rId526" Type="http://schemas.openxmlformats.org/officeDocument/2006/relationships/hyperlink" Target="https://twitter.com/search?q=$LINK" TargetMode="External"/><Relationship Id="rId1156" Type="http://schemas.openxmlformats.org/officeDocument/2006/relationships/hyperlink" Target="https://www.coingecko.com/pt/categories/ethereum-ecosystem" TargetMode="External"/><Relationship Id="rId1363" Type="http://schemas.openxmlformats.org/officeDocument/2006/relationships/hyperlink" Target="https://www.coingecko.com/pt/moedas/optimism/usd" TargetMode="External"/><Relationship Id="rId2207" Type="http://schemas.openxmlformats.org/officeDocument/2006/relationships/hyperlink" Target="https://blog.coingecko.com/" TargetMode="External"/><Relationship Id="rId2761" Type="http://schemas.openxmlformats.org/officeDocument/2006/relationships/hyperlink" Target="https://www.coingecko.com/en/privacy" TargetMode="External"/><Relationship Id="rId733" Type="http://schemas.openxmlformats.org/officeDocument/2006/relationships/hyperlink" Target="https://www.coingecko.com/pt/moedas/meter-governance" TargetMode="External"/><Relationship Id="rId940" Type="http://schemas.openxmlformats.org/officeDocument/2006/relationships/hyperlink" Target="https://www.coingecko.com/pt/branding" TargetMode="External"/><Relationship Id="rId1016" Type="http://schemas.openxmlformats.org/officeDocument/2006/relationships/hyperlink" Target="https://crypto.com/exchange/trade/spot/GALA_USD" TargetMode="External"/><Relationship Id="rId1570" Type="http://schemas.openxmlformats.org/officeDocument/2006/relationships/hyperlink" Target="https://www.coingecko.com/pt/moedas/wormhole" TargetMode="External"/><Relationship Id="rId2414" Type="http://schemas.openxmlformats.org/officeDocument/2006/relationships/hyperlink" Target="https://www.google.com/search?client=firefox-b-d&amp;sca_esv=8f14c8c94b33adc6&amp;sca_upv=1&amp;ie=UTF-8&amp;q=cota%C3%A7%C3%A3o+d%C3%B3lar&amp;sa=X&amp;ved=2ahUKEwj_2bOd7u6FAxXSpZUCHUfnDMEQ1QJ6BAgAEAM" TargetMode="External"/><Relationship Id="rId2621" Type="http://schemas.openxmlformats.org/officeDocument/2006/relationships/hyperlink" Target="https://github.com/lidofinance" TargetMode="External"/><Relationship Id="rId800" Type="http://schemas.openxmlformats.org/officeDocument/2006/relationships/hyperlink" Target="https://www.facebook.com/coingecko" TargetMode="External"/><Relationship Id="rId1223" Type="http://schemas.openxmlformats.org/officeDocument/2006/relationships/hyperlink" Target="https://www.coingecko.com/pt/moedas/solana" TargetMode="External"/><Relationship Id="rId1430" Type="http://schemas.openxmlformats.org/officeDocument/2006/relationships/hyperlink" Target="https://www.coingecko.com/pt/metodologia" TargetMode="External"/><Relationship Id="rId176" Type="http://schemas.openxmlformats.org/officeDocument/2006/relationships/hyperlink" Target="https://www.tradingview.com/?aff_id=132489" TargetMode="External"/><Relationship Id="rId383" Type="http://schemas.openxmlformats.org/officeDocument/2006/relationships/hyperlink" Target="https://br.beincrypto.com/fundacao-fantom-memecoin-promove-seguranca-etica/" TargetMode="External"/><Relationship Id="rId590" Type="http://schemas.openxmlformats.org/officeDocument/2006/relationships/hyperlink" Target="https://www.coingecko.com/pt/moedas/akash-network" TargetMode="External"/><Relationship Id="rId2064" Type="http://schemas.openxmlformats.org/officeDocument/2006/relationships/hyperlink" Target="https://www.coingecko.com/pt/isen%C3%A7%C3%A3o_de_responsabilidade" TargetMode="External"/><Relationship Id="rId2271" Type="http://schemas.openxmlformats.org/officeDocument/2006/relationships/hyperlink" Target="https://gate.io/trade/SHIB_USDT?ref=3018394" TargetMode="External"/><Relationship Id="rId243" Type="http://schemas.openxmlformats.org/officeDocument/2006/relationships/hyperlink" Target="https://www.coingecko.com/pt/moedas/solana" TargetMode="External"/><Relationship Id="rId450" Type="http://schemas.openxmlformats.org/officeDocument/2006/relationships/hyperlink" Target="https://www.coingecko.com/request" TargetMode="External"/><Relationship Id="rId1080" Type="http://schemas.openxmlformats.org/officeDocument/2006/relationships/hyperlink" Target="https://www.coingecko.com/pt/moedas/jupiter" TargetMode="External"/><Relationship Id="rId2131" Type="http://schemas.openxmlformats.org/officeDocument/2006/relationships/hyperlink" Target="https://pro.bit2me.com/exchange/WIF-USDT?ref=285-6HY-TPA&amp;mkt_kind=referral&amp;prm=5DH100" TargetMode="External"/><Relationship Id="rId103" Type="http://schemas.openxmlformats.org/officeDocument/2006/relationships/hyperlink" Target="https://www.coingecko.com/pt/moedas/dione" TargetMode="External"/><Relationship Id="rId310" Type="http://schemas.openxmlformats.org/officeDocument/2006/relationships/hyperlink" Target="https://t.me/coingeckonews" TargetMode="External"/><Relationship Id="rId1897" Type="http://schemas.openxmlformats.org/officeDocument/2006/relationships/hyperlink" Target="https://hackenproof.com/coingecko/coingecko" TargetMode="External"/><Relationship Id="rId1757" Type="http://schemas.openxmlformats.org/officeDocument/2006/relationships/hyperlink" Target="https://www.youtube.com/channel/UC-OTgwOAI7KmP0eDAtqN3Ow?sub_confirmation=1" TargetMode="External"/><Relationship Id="rId1964" Type="http://schemas.openxmlformats.org/officeDocument/2006/relationships/hyperlink" Target="https://pro.kraken.com/app/trade/DOGE-USD?c/2223866/1766749/10583" TargetMode="External"/><Relationship Id="rId49" Type="http://schemas.openxmlformats.org/officeDocument/2006/relationships/hyperlink" Target="https://gate.io/trade/BTC_USDT?ref=3018394" TargetMode="External"/><Relationship Id="rId1617" Type="http://schemas.openxmlformats.org/officeDocument/2006/relationships/hyperlink" Target="https://www.coingecko.com/pt/metodologia" TargetMode="External"/><Relationship Id="rId1824" Type="http://schemas.openxmlformats.org/officeDocument/2006/relationships/hyperlink" Target="https://www.coingecko.com/pt/c%C3%A2mbios/crypto_com" TargetMode="External"/><Relationship Id="rId2598" Type="http://schemas.openxmlformats.org/officeDocument/2006/relationships/hyperlink" Target="https://gcko.io/search-survey" TargetMode="External"/><Relationship Id="rId777" Type="http://schemas.openxmlformats.org/officeDocument/2006/relationships/hyperlink" Target="https://www.coingecko.com/pt/api" TargetMode="External"/><Relationship Id="rId984" Type="http://schemas.openxmlformats.org/officeDocument/2006/relationships/hyperlink" Target="https://twitter.com/GoGalaGames" TargetMode="External"/><Relationship Id="rId2458" Type="http://schemas.openxmlformats.org/officeDocument/2006/relationships/hyperlink" Target="https://coinmarketcap.com/pt-br/currencies/shiba-inu/" TargetMode="External"/><Relationship Id="rId2665" Type="http://schemas.openxmlformats.org/officeDocument/2006/relationships/hyperlink" Target="https://coingape.com/markets/lido-dao-price-return-to-yearly-support-may-dip-opportunity/" TargetMode="External"/><Relationship Id="rId637" Type="http://schemas.openxmlformats.org/officeDocument/2006/relationships/hyperlink" Target="https://careers.coingecko.com/" TargetMode="External"/><Relationship Id="rId844" Type="http://schemas.openxmlformats.org/officeDocument/2006/relationships/hyperlink" Target="https://www.coingecko.com/pt/c%C3%A2mbios/binance" TargetMode="External"/><Relationship Id="rId1267" Type="http://schemas.openxmlformats.org/officeDocument/2006/relationships/hyperlink" Target="https://blog.coingecko.com/" TargetMode="External"/><Relationship Id="rId1474" Type="http://schemas.openxmlformats.org/officeDocument/2006/relationships/hyperlink" Target="https://discord.com/invite/Arbitrum" TargetMode="External"/><Relationship Id="rId1681" Type="http://schemas.openxmlformats.org/officeDocument/2006/relationships/hyperlink" Target="https://www.coingecko.com/pt/moedas/render/eur" TargetMode="External"/><Relationship Id="rId2318" Type="http://schemas.openxmlformats.org/officeDocument/2006/relationships/hyperlink" Target="https://www.coingecko.com/pt/moedas/bone-shibaswap" TargetMode="External"/><Relationship Id="rId2525" Type="http://schemas.openxmlformats.org/officeDocument/2006/relationships/hyperlink" Target="https://coinmarketcap.com/pt-br/currencies/bitcoin/" TargetMode="External"/><Relationship Id="rId2732" Type="http://schemas.openxmlformats.org/officeDocument/2006/relationships/hyperlink" Target="https://www.coingecko.com/en/coins/pepe" TargetMode="External"/><Relationship Id="rId704" Type="http://schemas.openxmlformats.org/officeDocument/2006/relationships/hyperlink" Target="https://www.coingecko.com/pt/c%C3%A2mbios/okx" TargetMode="External"/><Relationship Id="rId911" Type="http://schemas.openxmlformats.org/officeDocument/2006/relationships/hyperlink" Target="https://www.coingecko.com/pt/moedas/pixels" TargetMode="External"/><Relationship Id="rId1127" Type="http://schemas.openxmlformats.org/officeDocument/2006/relationships/hyperlink" Target="https://www.coingecko.com/pt/candy" TargetMode="External"/><Relationship Id="rId1334" Type="http://schemas.openxmlformats.org/officeDocument/2006/relationships/hyperlink" Target="https://www.orangex.com/spot/OP-USDT-SPOT" TargetMode="External"/><Relationship Id="rId1541" Type="http://schemas.openxmlformats.org/officeDocument/2006/relationships/hyperlink" Target="https://www.coingecko.com/pt/moedas/skale" TargetMode="External"/><Relationship Id="rId40" Type="http://schemas.openxmlformats.org/officeDocument/2006/relationships/hyperlink" Target="https://www.coinbase.com/advanced-trade/spot/BTC-USD" TargetMode="External"/><Relationship Id="rId1401" Type="http://schemas.openxmlformats.org/officeDocument/2006/relationships/hyperlink" Target="https://www.coingecko.com/pt/moedas/ethereum" TargetMode="External"/><Relationship Id="rId287" Type="http://schemas.openxmlformats.org/officeDocument/2006/relationships/hyperlink" Target="https://www.coingecko.com/pt" TargetMode="External"/><Relationship Id="rId494" Type="http://schemas.openxmlformats.org/officeDocument/2006/relationships/hyperlink" Target="https://www.coingecko.com/learn/what-is-fully-diluted-valuation-fdv-in-crypto" TargetMode="External"/><Relationship Id="rId2175" Type="http://schemas.openxmlformats.org/officeDocument/2006/relationships/hyperlink" Target="https://www.coingecko.com/pt/moedas/pepe" TargetMode="External"/><Relationship Id="rId2382" Type="http://schemas.openxmlformats.org/officeDocument/2006/relationships/hyperlink" Target="https://www.coingecko.com/pt/privacidade" TargetMode="External"/><Relationship Id="rId147" Type="http://schemas.openxmlformats.org/officeDocument/2006/relationships/hyperlink" Target="https://www.coingecko.com/pt/termos" TargetMode="External"/><Relationship Id="rId354" Type="http://schemas.openxmlformats.org/officeDocument/2006/relationships/hyperlink" Target="https://www.coingecko.com/pt/c%C3%A2mbios/bitvenus-spot" TargetMode="External"/><Relationship Id="rId1191" Type="http://schemas.openxmlformats.org/officeDocument/2006/relationships/hyperlink" Target="https://br.beincrypto.com/solana-dogwifhat-helium-e-mais-5-criptomoedas-para-ficar-de-olho-hoje/" TargetMode="External"/><Relationship Id="rId2035" Type="http://schemas.openxmlformats.org/officeDocument/2006/relationships/hyperlink" Target="https://www.coingecko.com/pt/moedas/degen-base" TargetMode="External"/><Relationship Id="rId561" Type="http://schemas.openxmlformats.org/officeDocument/2006/relationships/hyperlink" Target="https://br.beincrypto.com/adaptador-de-blockchain-para-ativos-tokenizados/" TargetMode="External"/><Relationship Id="rId2242" Type="http://schemas.openxmlformats.org/officeDocument/2006/relationships/hyperlink" Target="https://www.coingecko.com/learn/what-is-fully-diluted-valuation-fdv-in-crypto" TargetMode="External"/><Relationship Id="rId214" Type="http://schemas.openxmlformats.org/officeDocument/2006/relationships/hyperlink" Target="https://www.coingecko.com/pt/c%C3%A2mbios/mexc" TargetMode="External"/><Relationship Id="rId421" Type="http://schemas.openxmlformats.org/officeDocument/2006/relationships/hyperlink" Target="https://www.coingecko.com/pt/moedas/pixels" TargetMode="External"/><Relationship Id="rId1051" Type="http://schemas.openxmlformats.org/officeDocument/2006/relationships/hyperlink" Target="https://www.coingecko.com/pt/moedas/nakamoto-games" TargetMode="External"/><Relationship Id="rId2102" Type="http://schemas.openxmlformats.org/officeDocument/2006/relationships/hyperlink" Target="https://solscan.io/token/EKpQGSJtjMFqKZ9KQanSqYXRcF8fBopzLHYxdM65zcjm" TargetMode="External"/><Relationship Id="rId1868" Type="http://schemas.openxmlformats.org/officeDocument/2006/relationships/hyperlink" Target="https://www.coingecko.com/pt/moedas/pepe"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6FBB9-F71F-48D7-BC86-44DC1751F52A}">
  <sheetPr codeName="Planilha1"/>
  <dimension ref="A1:O47"/>
  <sheetViews>
    <sheetView showGridLines="0" tabSelected="1" zoomScaleNormal="100" workbookViewId="0">
      <selection activeCell="K13" sqref="K13"/>
    </sheetView>
  </sheetViews>
  <sheetFormatPr defaultColWidth="0" defaultRowHeight="15" x14ac:dyDescent="0.25"/>
  <cols>
    <col min="1" max="1" width="1.5703125" style="1" customWidth="1"/>
    <col min="2" max="2" width="13.28515625" style="1" customWidth="1"/>
    <col min="3" max="4" width="18.85546875" style="1" customWidth="1"/>
    <col min="5" max="5" width="17.5703125" style="1" customWidth="1"/>
    <col min="6" max="6" width="19.7109375" style="1" customWidth="1"/>
    <col min="7" max="7" width="18" style="1" customWidth="1"/>
    <col min="8" max="8" width="14.5703125" style="56" customWidth="1"/>
    <col min="9" max="9" width="16.85546875" style="1" bestFit="1" customWidth="1"/>
    <col min="10" max="11" width="15.140625" style="1" customWidth="1"/>
    <col min="12" max="12" width="14.28515625" style="1" customWidth="1"/>
    <col min="13" max="13" width="11.28515625" style="44" customWidth="1"/>
    <col min="14" max="14" width="11.85546875" style="44" hidden="1" customWidth="1"/>
    <col min="15" max="15" width="1.5703125" style="1" customWidth="1"/>
    <col min="16" max="16384" width="9.140625" style="1" hidden="1"/>
  </cols>
  <sheetData>
    <row r="1" spans="1:15" ht="8.25" customHeight="1" thickBot="1" x14ac:dyDescent="0.3">
      <c r="A1" s="50"/>
      <c r="B1" s="50"/>
      <c r="C1" s="50"/>
      <c r="D1" s="50"/>
      <c r="E1" s="50"/>
      <c r="F1" s="50"/>
      <c r="G1" s="50"/>
      <c r="H1" s="50"/>
      <c r="I1" s="50"/>
      <c r="J1" s="50"/>
      <c r="K1" s="50"/>
      <c r="L1" s="50"/>
      <c r="M1" s="74"/>
      <c r="N1" s="50"/>
      <c r="O1" s="50"/>
    </row>
    <row r="2" spans="1:15" ht="30" customHeight="1" thickBot="1" x14ac:dyDescent="0.3">
      <c r="A2" s="50"/>
      <c r="B2" s="144" t="s">
        <v>614</v>
      </c>
      <c r="C2" s="145"/>
      <c r="D2" s="145"/>
      <c r="E2" s="145"/>
      <c r="F2" s="145"/>
      <c r="G2" s="146"/>
      <c r="H2" s="147"/>
      <c r="I2" s="148"/>
      <c r="J2" s="148"/>
      <c r="K2" s="148"/>
      <c r="L2" s="148"/>
      <c r="M2" s="149"/>
      <c r="N2" s="77"/>
      <c r="O2" s="50"/>
    </row>
    <row r="3" spans="1:15" ht="17.25" customHeight="1" thickBot="1" x14ac:dyDescent="0.3">
      <c r="A3" s="50"/>
      <c r="B3" s="61" t="s">
        <v>1</v>
      </c>
      <c r="C3" s="62" t="s">
        <v>598</v>
      </c>
      <c r="D3" s="62" t="s">
        <v>599</v>
      </c>
      <c r="E3" s="62" t="s">
        <v>600</v>
      </c>
      <c r="F3" s="62" t="s">
        <v>604</v>
      </c>
      <c r="G3" s="62" t="s">
        <v>605</v>
      </c>
      <c r="H3" s="150"/>
      <c r="I3" s="151"/>
      <c r="J3" s="151"/>
      <c r="K3" s="151"/>
      <c r="L3" s="151"/>
      <c r="M3" s="152"/>
      <c r="N3" s="78"/>
      <c r="O3" s="50"/>
    </row>
    <row r="4" spans="1:15" ht="15.75" thickBot="1" x14ac:dyDescent="0.3">
      <c r="A4" s="50"/>
      <c r="B4" s="49" t="str">
        <f>LEFT(DollarLink,4)</f>
        <v>5,19</v>
      </c>
      <c r="C4" s="45">
        <f>TotalMomentoReal/Dollar</f>
        <v>0</v>
      </c>
      <c r="D4" s="51">
        <f>SUM(Principal[R$ em carteira])</f>
        <v>0</v>
      </c>
      <c r="E4" s="43">
        <f>TotalMomentoReal+TotalRetiradoReal-TotalInvestReal</f>
        <v>0</v>
      </c>
      <c r="F4" s="52">
        <f>SUM(Principal[Total inv R$])</f>
        <v>0</v>
      </c>
      <c r="G4" s="53">
        <f>SUM(Principal[Total ret R$])</f>
        <v>0</v>
      </c>
      <c r="H4" s="150"/>
      <c r="I4" s="151"/>
      <c r="J4" s="151"/>
      <c r="K4" s="151"/>
      <c r="L4" s="151"/>
      <c r="M4" s="152"/>
      <c r="N4" s="78"/>
      <c r="O4" s="50"/>
    </row>
    <row r="5" spans="1:15" ht="17.25" customHeight="1" thickBot="1" x14ac:dyDescent="0.3">
      <c r="A5" s="50"/>
      <c r="B5" s="61" t="s">
        <v>606</v>
      </c>
      <c r="C5" s="62" t="s">
        <v>607</v>
      </c>
      <c r="D5" s="62" t="s">
        <v>608</v>
      </c>
      <c r="E5" s="62" t="s">
        <v>601</v>
      </c>
      <c r="F5" s="62" t="s">
        <v>602</v>
      </c>
      <c r="G5" s="62" t="s">
        <v>603</v>
      </c>
      <c r="H5" s="150"/>
      <c r="I5" s="151"/>
      <c r="J5" s="151"/>
      <c r="K5" s="151"/>
      <c r="L5" s="151"/>
      <c r="M5" s="152"/>
      <c r="N5" s="78"/>
      <c r="O5" s="50"/>
    </row>
    <row r="6" spans="1:15" ht="15.75" thickBot="1" x14ac:dyDescent="0.3">
      <c r="A6" s="50"/>
      <c r="B6" s="54">
        <v>45414</v>
      </c>
      <c r="C6" s="47">
        <f>TotalInvestDollar-TotalRetiradoDollar</f>
        <v>0</v>
      </c>
      <c r="D6" s="93">
        <f>TotalInvestReal-TotalRetiradoReal</f>
        <v>0</v>
      </c>
      <c r="E6" s="48" t="e">
        <f>IF(TotalInvestReal&gt;TotalRetiradoReal,GanhoPerdaReal*100/InvRetReal/100,GanhoPerdaReal*100/(TotalRetiradoReal-TotalInvestReal)/100)</f>
        <v>#DIV/0!</v>
      </c>
      <c r="F6" s="47">
        <f>TotalInvestReal/Dollar</f>
        <v>0</v>
      </c>
      <c r="G6" s="55">
        <f>TotalRetiradoReal/Dollar</f>
        <v>0</v>
      </c>
      <c r="H6" s="153"/>
      <c r="I6" s="154"/>
      <c r="J6" s="154"/>
      <c r="K6" s="154"/>
      <c r="L6" s="154"/>
      <c r="M6" s="155"/>
      <c r="N6" s="79"/>
      <c r="O6" s="50"/>
    </row>
    <row r="7" spans="1:15" ht="8.25" customHeight="1" thickBot="1" x14ac:dyDescent="0.3">
      <c r="A7" s="50"/>
      <c r="B7" s="50"/>
      <c r="C7" s="50"/>
      <c r="D7" s="50"/>
      <c r="E7" s="50"/>
      <c r="F7" s="50"/>
      <c r="G7" s="50"/>
      <c r="H7" s="50"/>
      <c r="I7" s="50"/>
      <c r="J7" s="50"/>
      <c r="K7" s="50"/>
      <c r="L7" s="50"/>
      <c r="M7" s="74"/>
      <c r="N7" s="50"/>
      <c r="O7" s="50"/>
    </row>
    <row r="8" spans="1:15" ht="17.25" customHeight="1" thickBot="1" x14ac:dyDescent="0.3">
      <c r="A8" s="50"/>
      <c r="B8" s="57" t="s">
        <v>0</v>
      </c>
      <c r="C8" s="58" t="s">
        <v>5</v>
      </c>
      <c r="D8" s="58" t="s">
        <v>4</v>
      </c>
      <c r="E8" s="58" t="s">
        <v>3</v>
      </c>
      <c r="F8" s="58" t="s">
        <v>2</v>
      </c>
      <c r="G8" s="58" t="s">
        <v>7</v>
      </c>
      <c r="H8" s="59" t="s">
        <v>6</v>
      </c>
      <c r="I8" s="58" t="s">
        <v>609</v>
      </c>
      <c r="J8" s="58" t="s">
        <v>610</v>
      </c>
      <c r="K8" s="58" t="s">
        <v>608</v>
      </c>
      <c r="L8" s="58" t="s">
        <v>611</v>
      </c>
      <c r="M8" s="60" t="s">
        <v>8</v>
      </c>
      <c r="N8" s="60" t="s">
        <v>615</v>
      </c>
      <c r="O8" s="50"/>
    </row>
    <row r="9" spans="1:15" x14ac:dyDescent="0.25">
      <c r="A9" s="50"/>
      <c r="B9" s="75" t="s">
        <v>9</v>
      </c>
      <c r="C9" s="66" t="str">
        <f>RIGHT(BTCLink,9)</f>
        <v>58.383,79</v>
      </c>
      <c r="D9" s="67">
        <f>Principal[[#This Row],[Coin/$]]*Dollar</f>
        <v>303011.8701</v>
      </c>
      <c r="E9" s="68">
        <f>SUMIFS(Movimentos[Qtt Coin],Movimentos[CoinMov],Principal[[#This Row],[Coin]],Movimentos[Movimento],"Entrada")-SUMIFS(Movimentos[Qtt Coin],Movimentos[CoinMov],Principal[[#This Row],[Coin]],Movimentos[Movimento],"Saida")</f>
        <v>0</v>
      </c>
      <c r="F9" s="66">
        <f>Principal[[#This Row],[Coin em carteira]]*Principal[[#This Row],[Coin/R$]]</f>
        <v>0</v>
      </c>
      <c r="G9" s="69">
        <f>Principal[[#This Row],[Total ret R$]]+Principal[[#This Row],[R$ em carteira]]-Principal[[#This Row],[Total inv R$]]</f>
        <v>0</v>
      </c>
      <c r="H9" s="70" t="e">
        <f>((Principal[[#This Row],[R$ ganhos]]*100)/Principal[[#This Row],[Total inv R$]])/100</f>
        <v>#DIV/0!</v>
      </c>
      <c r="I9" s="71">
        <f>SUMIFS(Movimentos[Valor R$],Movimentos[CoinMov],Principal[[#This Row],[Coin]],Movimentos[Movimento],"Entrada")</f>
        <v>0</v>
      </c>
      <c r="J9" s="71">
        <f>SUMIFS(Movimentos[Valor R$],Movimentos[CoinMov],Principal[[#This Row],[Coin]],Movimentos[Movimento],"Saida")</f>
        <v>0</v>
      </c>
      <c r="K9" s="71">
        <f>Principal[[#This Row],[Total ret R$]]-Principal[[#This Row],[Total inv R$]]</f>
        <v>0</v>
      </c>
      <c r="L9" s="72" t="e">
        <f>SUMIF(Movimentos[CoinMov],Principal[[#This Row],[Coin]],Movimentos[CondigPreço Medio])/Principal[[#This Row],[Total inv R$]]</f>
        <v>#DIV/0!</v>
      </c>
      <c r="M9" s="76" t="e">
        <f>Principal[[#This Row],[R$ em carteira]]*100/TotalMomentoReal/100</f>
        <v>#DIV/0!</v>
      </c>
      <c r="N9" s="73" t="str">
        <f>CONCATENATE(Principal[[#This Row],[Coin]],"Link")</f>
        <v>BTCLink</v>
      </c>
      <c r="O9" s="50"/>
    </row>
    <row r="10" spans="1:15" x14ac:dyDescent="0.25">
      <c r="A10" s="50"/>
      <c r="B10" s="85" t="s">
        <v>10</v>
      </c>
      <c r="C10" s="80" t="str">
        <f>RIGHT(ETHLink,8)</f>
        <v>2.996,00</v>
      </c>
      <c r="D10" s="63">
        <f>Principal[[#This Row],[Coin/$]]*Dollar</f>
        <v>15549.240000000002</v>
      </c>
      <c r="E10" s="81">
        <f>SUMIFS(Movimentos[Qtt Coin],Movimentos[CoinMov],Principal[[#This Row],[Coin]],Movimentos[Movimento],"Entrada")-SUMIFS(Movimentos[Qtt Coin],Movimentos[CoinMov],Principal[[#This Row],[Coin]],Movimentos[Movimento],"Saida")</f>
        <v>0</v>
      </c>
      <c r="F10" s="80">
        <f>Principal[[#This Row],[Coin em carteira]]*Principal[[#This Row],[Coin/R$]]</f>
        <v>0</v>
      </c>
      <c r="G10" s="82">
        <f>Principal[[#This Row],[Total ret R$]]+Principal[[#This Row],[R$ em carteira]]-Principal[[#This Row],[Total inv R$]]</f>
        <v>0</v>
      </c>
      <c r="H10" s="83" t="e">
        <f>((Principal[[#This Row],[R$ ganhos]]*100)/Principal[[#This Row],[Total inv R$]])/100</f>
        <v>#DIV/0!</v>
      </c>
      <c r="I10" s="64">
        <f>SUMIFS(Movimentos[Valor R$],Movimentos[CoinMov],Principal[[#This Row],[Coin]],Movimentos[Movimento],"Entrada")</f>
        <v>0</v>
      </c>
      <c r="J10" s="64">
        <f>SUMIFS(Movimentos[Valor R$],Movimentos[CoinMov],Principal[[#This Row],[Coin]],Movimentos[Movimento],"Saida")</f>
        <v>0</v>
      </c>
      <c r="K10" s="64">
        <f>Principal[[#This Row],[Total ret R$]]-Principal[[#This Row],[Total inv R$]]</f>
        <v>0</v>
      </c>
      <c r="L10" s="84" t="e">
        <f>SUMIF(Movimentos[CoinMov],Principal[[#This Row],[Coin]],Movimentos[CondigPreço Medio])/Principal[[#This Row],[Total inv R$]]</f>
        <v>#DIV/0!</v>
      </c>
      <c r="M10" s="99" t="e">
        <f>Principal[[#This Row],[R$ em carteira]]*100/TotalMomentoReal/100</f>
        <v>#DIV/0!</v>
      </c>
      <c r="N10" s="65" t="str">
        <f>CONCATENATE(Principal[[#This Row],[Coin]],"Link")</f>
        <v>ETHLink</v>
      </c>
      <c r="O10" s="50"/>
    </row>
    <row r="11" spans="1:15" x14ac:dyDescent="0.25">
      <c r="A11" s="50"/>
      <c r="B11" s="100" t="s">
        <v>651</v>
      </c>
      <c r="C11" s="101" t="str">
        <f>RIGHT(SolLink,6)</f>
        <v>136,46</v>
      </c>
      <c r="D11" s="102">
        <f>Principal[[#This Row],[Coin/$]]*Dollar</f>
        <v>708.2274000000001</v>
      </c>
      <c r="E11" s="103">
        <f>SUMIFS(Movimentos[Qtt Coin],Movimentos[CoinMov],Principal[[#This Row],[Coin]],Movimentos[Movimento],"Entrada")-SUMIFS(Movimentos[Qtt Coin],Movimentos[CoinMov],Principal[[#This Row],[Coin]],Movimentos[Movimento],"Saida")</f>
        <v>0</v>
      </c>
      <c r="F11" s="101">
        <f>Principal[[#This Row],[Coin em carteira]]*Principal[[#This Row],[Coin/R$]]</f>
        <v>0</v>
      </c>
      <c r="G11" s="104">
        <f>Principal[[#This Row],[Total ret R$]]+Principal[[#This Row],[R$ em carteira]]-Principal[[#This Row],[Total inv R$]]</f>
        <v>0</v>
      </c>
      <c r="H11" s="105" t="e">
        <f>((Principal[[#This Row],[R$ ganhos]]*100)/Principal[[#This Row],[Total inv R$]])/100</f>
        <v>#DIV/0!</v>
      </c>
      <c r="I11" s="106">
        <f>SUMIFS(Movimentos[Valor R$],Movimentos[CoinMov],Principal[[#This Row],[Coin]],Movimentos[Movimento],"Entrada")</f>
        <v>0</v>
      </c>
      <c r="J11" s="106">
        <f>SUMIFS(Movimentos[Valor R$],Movimentos[CoinMov],Principal[[#This Row],[Coin]],Movimentos[Movimento],"Saida")</f>
        <v>0</v>
      </c>
      <c r="K11" s="106">
        <f>Principal[[#This Row],[Total ret R$]]-Principal[[#This Row],[Total inv R$]]</f>
        <v>0</v>
      </c>
      <c r="L11" s="107" t="e">
        <f>SUMIF(Movimentos[CoinMov],Principal[[#This Row],[Coin]],Movimentos[CondigPreço Medio])/Principal[[#This Row],[Total inv R$]]</f>
        <v>#DIV/0!</v>
      </c>
      <c r="M11" s="108" t="e">
        <f>Principal[[#This Row],[R$ em carteira]]*100/TotalMomentoReal/100</f>
        <v>#DIV/0!</v>
      </c>
      <c r="N11" s="98" t="str">
        <f>CONCATENATE(Principal[[#This Row],[Coin]],"Link")</f>
        <v>SOLLink</v>
      </c>
      <c r="O11" s="50"/>
    </row>
    <row r="12" spans="1:15" x14ac:dyDescent="0.25">
      <c r="A12" s="50"/>
      <c r="B12" s="100" t="s">
        <v>67</v>
      </c>
      <c r="C12" s="101" t="str">
        <f>RIGHT(LINKLink,5)</f>
        <v>13,64</v>
      </c>
      <c r="D12" s="102">
        <f>Principal[[#This Row],[Coin/$]]*Dollar</f>
        <v>70.791600000000003</v>
      </c>
      <c r="E12" s="103">
        <f>SUMIFS(Movimentos[Qtt Coin],Movimentos[CoinMov],Principal[[#This Row],[Coin]],Movimentos[Movimento],"Entrada")-SUMIFS(Movimentos[Qtt Coin],Movimentos[CoinMov],Principal[[#This Row],[Coin]],Movimentos[Movimento],"Saida")</f>
        <v>0</v>
      </c>
      <c r="F12" s="101">
        <f>Principal[[#This Row],[Coin em carteira]]*Principal[[#This Row],[Coin/R$]]</f>
        <v>0</v>
      </c>
      <c r="G12" s="104">
        <f>Principal[[#This Row],[Total ret R$]]+Principal[[#This Row],[R$ em carteira]]-Principal[[#This Row],[Total inv R$]]</f>
        <v>0</v>
      </c>
      <c r="H12" s="105" t="e">
        <f>((Principal[[#This Row],[R$ ganhos]]*100)/Principal[[#This Row],[Total inv R$]])/100</f>
        <v>#DIV/0!</v>
      </c>
      <c r="I12" s="106">
        <f>SUMIFS(Movimentos[Valor R$],Movimentos[CoinMov],Principal[[#This Row],[Coin]],Movimentos[Movimento],"Entrada")</f>
        <v>0</v>
      </c>
      <c r="J12" s="106">
        <f>SUMIFS(Movimentos[Valor R$],Movimentos[CoinMov],Principal[[#This Row],[Coin]],Movimentos[Movimento],"Saida")</f>
        <v>0</v>
      </c>
      <c r="K12" s="106">
        <f>Principal[[#This Row],[Total ret R$]]-Principal[[#This Row],[Total inv R$]]</f>
        <v>0</v>
      </c>
      <c r="L12" s="107" t="e">
        <f>SUMIF(Movimentos[CoinMov],Principal[[#This Row],[Coin]],Movimentos[CondigPreço Medio])/Principal[[#This Row],[Total inv R$]]</f>
        <v>#DIV/0!</v>
      </c>
      <c r="M12" s="109" t="e">
        <f>Principal[[#This Row],[R$ em carteira]]*100/TotalMomentoReal/100</f>
        <v>#DIV/0!</v>
      </c>
      <c r="N12" s="98" t="str">
        <f>CONCATENATE(Principal[[#This Row],[Coin]],"Link")</f>
        <v>LINKLink</v>
      </c>
      <c r="O12" s="50"/>
    </row>
    <row r="13" spans="1:15" x14ac:dyDescent="0.25">
      <c r="A13" s="50"/>
      <c r="B13" s="100" t="s">
        <v>652</v>
      </c>
      <c r="C13" s="101" t="str">
        <f>RIGHT(RONLink,4)</f>
        <v>2,62</v>
      </c>
      <c r="D13" s="102">
        <f>Principal[[#This Row],[Coin/$]]*Dollar</f>
        <v>13.597800000000001</v>
      </c>
      <c r="E13" s="103">
        <f>SUMIFS(Movimentos[Qtt Coin],Movimentos[CoinMov],Principal[[#This Row],[Coin]],Movimentos[Movimento],"Entrada")-SUMIFS(Movimentos[Qtt Coin],Movimentos[CoinMov],Principal[[#This Row],[Coin]],Movimentos[Movimento],"Saida")</f>
        <v>0</v>
      </c>
      <c r="F13" s="101">
        <f>Principal[[#This Row],[Coin em carteira]]*Principal[[#This Row],[Coin/R$]]</f>
        <v>0</v>
      </c>
      <c r="G13" s="104">
        <f>Principal[[#This Row],[Total ret R$]]+Principal[[#This Row],[R$ em carteira]]-Principal[[#This Row],[Total inv R$]]</f>
        <v>0</v>
      </c>
      <c r="H13" s="105" t="e">
        <f>((Principal[[#This Row],[R$ ganhos]]*100)/Principal[[#This Row],[Total inv R$]])/100</f>
        <v>#DIV/0!</v>
      </c>
      <c r="I13" s="106">
        <f>SUMIFS(Movimentos[Valor R$],Movimentos[CoinMov],Principal[[#This Row],[Coin]],Movimentos[Movimento],"Entrada")</f>
        <v>0</v>
      </c>
      <c r="J13" s="106">
        <f>SUMIFS(Movimentos[Valor R$],Movimentos[CoinMov],Principal[[#This Row],[Coin]],Movimentos[Movimento],"Saida")</f>
        <v>0</v>
      </c>
      <c r="K13" s="106">
        <f>Principal[[#This Row],[Total ret R$]]-Principal[[#This Row],[Total inv R$]]</f>
        <v>0</v>
      </c>
      <c r="L13" s="107" t="e">
        <f>SUMIF(Movimentos[CoinMov],Principal[[#This Row],[Coin]],Movimentos[CondigPreço Medio])/Principal[[#This Row],[Total inv R$]]</f>
        <v>#DIV/0!</v>
      </c>
      <c r="M13" s="109" t="e">
        <f>Principal[[#This Row],[R$ em carteira]]*100/TotalMomentoReal/100</f>
        <v>#DIV/0!</v>
      </c>
      <c r="N13" s="98" t="str">
        <f>CONCATENATE(Principal[[#This Row],[Coin]],"Link")</f>
        <v>RONLink</v>
      </c>
      <c r="O13" s="50"/>
    </row>
    <row r="14" spans="1:15" x14ac:dyDescent="0.25">
      <c r="A14" s="50"/>
      <c r="B14" s="100" t="s">
        <v>653</v>
      </c>
      <c r="C14" s="101" t="str">
        <f>RIGHT(IMXLink,4)</f>
        <v>2,08</v>
      </c>
      <c r="D14" s="102">
        <f>Principal[[#This Row],[Coin/$]]*Dollar</f>
        <v>10.795200000000001</v>
      </c>
      <c r="E14" s="103">
        <f>SUMIFS(Movimentos[Qtt Coin],Movimentos[CoinMov],Principal[[#This Row],[Coin]],Movimentos[Movimento],"Entrada")-SUMIFS(Movimentos[Qtt Coin],Movimentos[CoinMov],Principal[[#This Row],[Coin]],Movimentos[Movimento],"Saida")</f>
        <v>0</v>
      </c>
      <c r="F14" s="101">
        <f>Principal[[#This Row],[Coin em carteira]]*Principal[[#This Row],[Coin/R$]]</f>
        <v>0</v>
      </c>
      <c r="G14" s="104">
        <f>Principal[[#This Row],[Total ret R$]]+Principal[[#This Row],[R$ em carteira]]-Principal[[#This Row],[Total inv R$]]</f>
        <v>0</v>
      </c>
      <c r="H14" s="105" t="e">
        <f>((Principal[[#This Row],[R$ ganhos]]*100)/Principal[[#This Row],[Total inv R$]])/100</f>
        <v>#DIV/0!</v>
      </c>
      <c r="I14" s="106">
        <f>SUMIFS(Movimentos[Valor R$],Movimentos[CoinMov],Principal[[#This Row],[Coin]],Movimentos[Movimento],"Entrada")</f>
        <v>0</v>
      </c>
      <c r="J14" s="106">
        <f>SUMIFS(Movimentos[Valor R$],Movimentos[CoinMov],Principal[[#This Row],[Coin]],Movimentos[Movimento],"Saida")</f>
        <v>0</v>
      </c>
      <c r="K14" s="106">
        <f>Principal[[#This Row],[Total ret R$]]-Principal[[#This Row],[Total inv R$]]</f>
        <v>0</v>
      </c>
      <c r="L14" s="107" t="e">
        <f>SUMIF(Movimentos[CoinMov],Principal[[#This Row],[Coin]],Movimentos[CondigPreço Medio])/Principal[[#This Row],[Total inv R$]]</f>
        <v>#DIV/0!</v>
      </c>
      <c r="M14" s="109" t="e">
        <f>Principal[[#This Row],[R$ em carteira]]*100/TotalMomentoReal/100</f>
        <v>#DIV/0!</v>
      </c>
      <c r="N14" s="98" t="str">
        <f>CONCATENATE(Principal[[#This Row],[Coin]],"Link")</f>
        <v>IMXLink</v>
      </c>
      <c r="O14" s="50"/>
    </row>
    <row r="15" spans="1:15" x14ac:dyDescent="0.25">
      <c r="A15" s="50"/>
      <c r="B15" s="100" t="s">
        <v>654</v>
      </c>
      <c r="C15" s="101" t="str">
        <f>RIGHT(GALALink,7)</f>
        <v>0,04229</v>
      </c>
      <c r="D15" s="102">
        <f>Principal[[#This Row],[Coin/$]]*Dollar</f>
        <v>0.21948510000000002</v>
      </c>
      <c r="E15" s="103">
        <f>SUMIFS(Movimentos[Qtt Coin],Movimentos[CoinMov],Principal[[#This Row],[Coin]],Movimentos[Movimento],"Entrada")-SUMIFS(Movimentos[Qtt Coin],Movimentos[CoinMov],Principal[[#This Row],[Coin]],Movimentos[Movimento],"Saida")</f>
        <v>0</v>
      </c>
      <c r="F15" s="101">
        <f>Principal[[#This Row],[Coin em carteira]]*Principal[[#This Row],[Coin/R$]]</f>
        <v>0</v>
      </c>
      <c r="G15" s="104">
        <f>Principal[[#This Row],[Total ret R$]]+Principal[[#This Row],[R$ em carteira]]-Principal[[#This Row],[Total inv R$]]</f>
        <v>0</v>
      </c>
      <c r="H15" s="105" t="e">
        <f>((Principal[[#This Row],[R$ ganhos]]*100)/Principal[[#This Row],[Total inv R$]])/100</f>
        <v>#DIV/0!</v>
      </c>
      <c r="I15" s="106">
        <f>SUMIFS(Movimentos[Valor R$],Movimentos[CoinMov],Principal[[#This Row],[Coin]],Movimentos[Movimento],"Entrada")</f>
        <v>0</v>
      </c>
      <c r="J15" s="106">
        <f>SUMIFS(Movimentos[Valor R$],Movimentos[CoinMov],Principal[[#This Row],[Coin]],Movimentos[Movimento],"Saida")</f>
        <v>0</v>
      </c>
      <c r="K15" s="106">
        <f>Principal[[#This Row],[Total ret R$]]-Principal[[#This Row],[Total inv R$]]</f>
        <v>0</v>
      </c>
      <c r="L15" s="107" t="e">
        <f>SUMIF(Movimentos[CoinMov],Principal[[#This Row],[Coin]],Movimentos[CondigPreço Medio])/Principal[[#This Row],[Total inv R$]]</f>
        <v>#DIV/0!</v>
      </c>
      <c r="M15" s="109" t="e">
        <f>Principal[[#This Row],[R$ em carteira]]*100/TotalMomentoReal/100</f>
        <v>#DIV/0!</v>
      </c>
      <c r="N15" s="98" t="str">
        <f>CONCATENATE(Principal[[#This Row],[Coin]],"Link")</f>
        <v>GALALink</v>
      </c>
      <c r="O15" s="50"/>
    </row>
    <row r="16" spans="1:15" x14ac:dyDescent="0.25">
      <c r="A16" s="50"/>
      <c r="B16" s="100" t="s">
        <v>655</v>
      </c>
      <c r="C16" s="101" t="str">
        <f>RIGHT(MATICLink,6)</f>
        <v>0,7135</v>
      </c>
      <c r="D16" s="102">
        <f>Principal[[#This Row],[Coin/$]]*Dollar</f>
        <v>3.7030650000000005</v>
      </c>
      <c r="E16" s="103">
        <f>SUMIFS(Movimentos[Qtt Coin],Movimentos[CoinMov],Principal[[#This Row],[Coin]],Movimentos[Movimento],"Entrada")-SUMIFS(Movimentos[Qtt Coin],Movimentos[CoinMov],Principal[[#This Row],[Coin]],Movimentos[Movimento],"Saida")</f>
        <v>0</v>
      </c>
      <c r="F16" s="101">
        <f>Principal[[#This Row],[Coin em carteira]]*Principal[[#This Row],[Coin/R$]]</f>
        <v>0</v>
      </c>
      <c r="G16" s="104">
        <f>Principal[[#This Row],[Total ret R$]]+Principal[[#This Row],[R$ em carteira]]-Principal[[#This Row],[Total inv R$]]</f>
        <v>0</v>
      </c>
      <c r="H16" s="105" t="e">
        <f>((Principal[[#This Row],[R$ ganhos]]*100)/Principal[[#This Row],[Total inv R$]])/100</f>
        <v>#DIV/0!</v>
      </c>
      <c r="I16" s="106">
        <f>SUMIFS(Movimentos[Valor R$],Movimentos[CoinMov],Principal[[#This Row],[Coin]],Movimentos[Movimento],"Entrada")</f>
        <v>0</v>
      </c>
      <c r="J16" s="106">
        <f>SUMIFS(Movimentos[Valor R$],Movimentos[CoinMov],Principal[[#This Row],[Coin]],Movimentos[Movimento],"Saida")</f>
        <v>0</v>
      </c>
      <c r="K16" s="106">
        <f>Principal[[#This Row],[Total ret R$]]-Principal[[#This Row],[Total inv R$]]</f>
        <v>0</v>
      </c>
      <c r="L16" s="107" t="e">
        <f>SUMIF(Movimentos[CoinMov],Principal[[#This Row],[Coin]],Movimentos[CondigPreço Medio])/Principal[[#This Row],[Total inv R$]]</f>
        <v>#DIV/0!</v>
      </c>
      <c r="M16" s="109" t="e">
        <f>Principal[[#This Row],[R$ em carteira]]*100/TotalMomentoReal/100</f>
        <v>#DIV/0!</v>
      </c>
      <c r="N16" s="98" t="str">
        <f>CONCATENATE(Principal[[#This Row],[Coin]],"Link")</f>
        <v>MATICLink</v>
      </c>
      <c r="O16" s="50"/>
    </row>
    <row r="17" spans="1:15" x14ac:dyDescent="0.25">
      <c r="A17" s="50"/>
      <c r="B17" s="100" t="s">
        <v>656</v>
      </c>
      <c r="C17" s="101" t="str">
        <f>RIGHT(OPLink,4)</f>
        <v>2,76</v>
      </c>
      <c r="D17" s="102">
        <f>Principal[[#This Row],[Coin/$]]*Dollar</f>
        <v>14.324400000000001</v>
      </c>
      <c r="E17" s="103">
        <f>SUMIFS(Movimentos[Qtt Coin],Movimentos[CoinMov],Principal[[#This Row],[Coin]],Movimentos[Movimento],"Entrada")-SUMIFS(Movimentos[Qtt Coin],Movimentos[CoinMov],Principal[[#This Row],[Coin]],Movimentos[Movimento],"Saida")</f>
        <v>0</v>
      </c>
      <c r="F17" s="101">
        <f>Principal[[#This Row],[Coin em carteira]]*Principal[[#This Row],[Coin/R$]]</f>
        <v>0</v>
      </c>
      <c r="G17" s="104">
        <f>Principal[[#This Row],[Total ret R$]]+Principal[[#This Row],[R$ em carteira]]-Principal[[#This Row],[Total inv R$]]</f>
        <v>0</v>
      </c>
      <c r="H17" s="105" t="e">
        <f>((Principal[[#This Row],[R$ ganhos]]*100)/Principal[[#This Row],[Total inv R$]])/100</f>
        <v>#DIV/0!</v>
      </c>
      <c r="I17" s="106">
        <f>SUMIFS(Movimentos[Valor R$],Movimentos[CoinMov],Principal[[#This Row],[Coin]],Movimentos[Movimento],"Entrada")</f>
        <v>0</v>
      </c>
      <c r="J17" s="106">
        <f>SUMIFS(Movimentos[Valor R$],Movimentos[CoinMov],Principal[[#This Row],[Coin]],Movimentos[Movimento],"Saida")</f>
        <v>0</v>
      </c>
      <c r="K17" s="106">
        <f>Principal[[#This Row],[Total ret R$]]-Principal[[#This Row],[Total inv R$]]</f>
        <v>0</v>
      </c>
      <c r="L17" s="107" t="e">
        <f>SUMIF(Movimentos[CoinMov],Principal[[#This Row],[Coin]],Movimentos[CondigPreço Medio])/Principal[[#This Row],[Total inv R$]]</f>
        <v>#DIV/0!</v>
      </c>
      <c r="M17" s="109" t="e">
        <f>Principal[[#This Row],[R$ em carteira]]*100/TotalMomentoReal/100</f>
        <v>#DIV/0!</v>
      </c>
      <c r="N17" s="98" t="str">
        <f>CONCATENATE(Principal[[#This Row],[Coin]],"Link")</f>
        <v>OPLink</v>
      </c>
      <c r="O17" s="50"/>
    </row>
    <row r="18" spans="1:15" x14ac:dyDescent="0.25">
      <c r="A18" s="50"/>
      <c r="B18" s="100" t="s">
        <v>657</v>
      </c>
      <c r="C18" s="101" t="str">
        <f>RIGHT(ARBLink,4)</f>
        <v>1,04</v>
      </c>
      <c r="D18" s="102">
        <f>Principal[[#This Row],[Coin/$]]*Dollar</f>
        <v>5.3976000000000006</v>
      </c>
      <c r="E18" s="103">
        <f>SUMIFS(Movimentos[Qtt Coin],Movimentos[CoinMov],Principal[[#This Row],[Coin]],Movimentos[Movimento],"Entrada")-SUMIFS(Movimentos[Qtt Coin],Movimentos[CoinMov],Principal[[#This Row],[Coin]],Movimentos[Movimento],"Saida")</f>
        <v>0</v>
      </c>
      <c r="F18" s="101">
        <f>Principal[[#This Row],[Coin em carteira]]*Principal[[#This Row],[Coin/R$]]</f>
        <v>0</v>
      </c>
      <c r="G18" s="104">
        <f>Principal[[#This Row],[Total ret R$]]+Principal[[#This Row],[R$ em carteira]]-Principal[[#This Row],[Total inv R$]]</f>
        <v>0</v>
      </c>
      <c r="H18" s="105" t="e">
        <f>((Principal[[#This Row],[R$ ganhos]]*100)/Principal[[#This Row],[Total inv R$]])/100</f>
        <v>#DIV/0!</v>
      </c>
      <c r="I18" s="106">
        <f>SUMIFS(Movimentos[Valor R$],Movimentos[CoinMov],Principal[[#This Row],[Coin]],Movimentos[Movimento],"Entrada")</f>
        <v>0</v>
      </c>
      <c r="J18" s="106">
        <f>SUMIFS(Movimentos[Valor R$],Movimentos[CoinMov],Principal[[#This Row],[Coin]],Movimentos[Movimento],"Saida")</f>
        <v>0</v>
      </c>
      <c r="K18" s="106">
        <f>Principal[[#This Row],[Total ret R$]]-Principal[[#This Row],[Total inv R$]]</f>
        <v>0</v>
      </c>
      <c r="L18" s="107" t="e">
        <f>SUMIF(Movimentos[CoinMov],Principal[[#This Row],[Coin]],Movimentos[CondigPreço Medio])/Principal[[#This Row],[Total inv R$]]</f>
        <v>#DIV/0!</v>
      </c>
      <c r="M18" s="109" t="e">
        <f>Principal[[#This Row],[R$ em carteira]]*100/TotalMomentoReal/100</f>
        <v>#DIV/0!</v>
      </c>
      <c r="N18" s="98" t="str">
        <f>CONCATENATE(Principal[[#This Row],[Coin]],"Link")</f>
        <v>ARBLink</v>
      </c>
      <c r="O18" s="50"/>
    </row>
    <row r="19" spans="1:15" x14ac:dyDescent="0.25">
      <c r="A19" s="50"/>
      <c r="B19" s="100" t="s">
        <v>658</v>
      </c>
      <c r="C19" s="101" t="str">
        <f>RIGHT(RNDRLink,4)</f>
        <v>7,64</v>
      </c>
      <c r="D19" s="102">
        <f>Principal[[#This Row],[Coin/$]]*Dollar</f>
        <v>39.651600000000002</v>
      </c>
      <c r="E19" s="103">
        <f>SUMIFS(Movimentos[Qtt Coin],Movimentos[CoinMov],Principal[[#This Row],[Coin]],Movimentos[Movimento],"Entrada")-SUMIFS(Movimentos[Qtt Coin],Movimentos[CoinMov],Principal[[#This Row],[Coin]],Movimentos[Movimento],"Saida")</f>
        <v>0</v>
      </c>
      <c r="F19" s="101">
        <f>Principal[[#This Row],[Coin em carteira]]*Principal[[#This Row],[Coin/R$]]</f>
        <v>0</v>
      </c>
      <c r="G19" s="104">
        <f>Principal[[#This Row],[Total ret R$]]+Principal[[#This Row],[R$ em carteira]]-Principal[[#This Row],[Total inv R$]]</f>
        <v>0</v>
      </c>
      <c r="H19" s="105" t="e">
        <f>((Principal[[#This Row],[R$ ganhos]]*100)/Principal[[#This Row],[Total inv R$]])/100</f>
        <v>#DIV/0!</v>
      </c>
      <c r="I19" s="106">
        <f>SUMIFS(Movimentos[Valor R$],Movimentos[CoinMov],Principal[[#This Row],[Coin]],Movimentos[Movimento],"Entrada")</f>
        <v>0</v>
      </c>
      <c r="J19" s="106">
        <f>SUMIFS(Movimentos[Valor R$],Movimentos[CoinMov],Principal[[#This Row],[Coin]],Movimentos[Movimento],"Saida")</f>
        <v>0</v>
      </c>
      <c r="K19" s="106">
        <f>Principal[[#This Row],[Total ret R$]]-Principal[[#This Row],[Total inv R$]]</f>
        <v>0</v>
      </c>
      <c r="L19" s="107" t="e">
        <f>SUMIF(Movimentos[CoinMov],Principal[[#This Row],[Coin]],Movimentos[CondigPreço Medio])/Principal[[#This Row],[Total inv R$]]</f>
        <v>#DIV/0!</v>
      </c>
      <c r="M19" s="109" t="e">
        <f>Principal[[#This Row],[R$ em carteira]]*100/TotalMomentoReal/100</f>
        <v>#DIV/0!</v>
      </c>
      <c r="N19" s="98" t="str">
        <f>CONCATENATE(Principal[[#This Row],[Coin]],"Link")</f>
        <v>RNDRLink</v>
      </c>
      <c r="O19" s="50"/>
    </row>
    <row r="20" spans="1:15" x14ac:dyDescent="0.25">
      <c r="A20" s="50"/>
      <c r="B20" s="100" t="s">
        <v>659</v>
      </c>
      <c r="C20" s="101" t="str">
        <f>RIGHT(STXLink,4)</f>
        <v>2,10</v>
      </c>
      <c r="D20" s="102">
        <f>Principal[[#This Row],[Coin/$]]*Dollar</f>
        <v>10.899000000000001</v>
      </c>
      <c r="E20" s="103">
        <f>SUMIFS(Movimentos[Qtt Coin],Movimentos[CoinMov],Principal[[#This Row],[Coin]],Movimentos[Movimento],"Entrada")-SUMIFS(Movimentos[Qtt Coin],Movimentos[CoinMov],Principal[[#This Row],[Coin]],Movimentos[Movimento],"Saida")</f>
        <v>0</v>
      </c>
      <c r="F20" s="101">
        <f>Principal[[#This Row],[Coin em carteira]]*Principal[[#This Row],[Coin/R$]]</f>
        <v>0</v>
      </c>
      <c r="G20" s="104">
        <f>Principal[[#This Row],[Total ret R$]]+Principal[[#This Row],[R$ em carteira]]-Principal[[#This Row],[Total inv R$]]</f>
        <v>0</v>
      </c>
      <c r="H20" s="105" t="e">
        <f>((Principal[[#This Row],[R$ ganhos]]*100)/Principal[[#This Row],[Total inv R$]])/100</f>
        <v>#DIV/0!</v>
      </c>
      <c r="I20" s="106">
        <f>SUMIFS(Movimentos[Valor R$],Movimentos[CoinMov],Principal[[#This Row],[Coin]],Movimentos[Movimento],"Entrada")</f>
        <v>0</v>
      </c>
      <c r="J20" s="106">
        <f>SUMIFS(Movimentos[Valor R$],Movimentos[CoinMov],Principal[[#This Row],[Coin]],Movimentos[Movimento],"Saida")</f>
        <v>0</v>
      </c>
      <c r="K20" s="106">
        <f>Principal[[#This Row],[Total ret R$]]-Principal[[#This Row],[Total inv R$]]</f>
        <v>0</v>
      </c>
      <c r="L20" s="107" t="e">
        <f>SUMIF(Movimentos[CoinMov],Principal[[#This Row],[Coin]],Movimentos[CondigPreço Medio])/Principal[[#This Row],[Total inv R$]]</f>
        <v>#DIV/0!</v>
      </c>
      <c r="M20" s="109" t="e">
        <f>Principal[[#This Row],[R$ em carteira]]*100/TotalMomentoReal/100</f>
        <v>#DIV/0!</v>
      </c>
      <c r="N20" s="98" t="str">
        <f>CONCATENATE(Principal[[#This Row],[Coin]],"Link")</f>
        <v>STXLink</v>
      </c>
      <c r="O20" s="50"/>
    </row>
    <row r="21" spans="1:15" x14ac:dyDescent="0.25">
      <c r="A21" s="50"/>
      <c r="B21" s="100" t="s">
        <v>660</v>
      </c>
      <c r="C21" s="101" t="str">
        <f>RIGHT(DOGELink,6)</f>
        <v>0,1316</v>
      </c>
      <c r="D21" s="102">
        <f>Principal[[#This Row],[Coin/$]]*Dollar</f>
        <v>0.68300400000000006</v>
      </c>
      <c r="E21" s="103">
        <f>SUMIFS(Movimentos[Qtt Coin],Movimentos[CoinMov],Principal[[#This Row],[Coin]],Movimentos[Movimento],"Entrada")-SUMIFS(Movimentos[Qtt Coin],Movimentos[CoinMov],Principal[[#This Row],[Coin]],Movimentos[Movimento],"Saida")</f>
        <v>0</v>
      </c>
      <c r="F21" s="101">
        <f>Principal[[#This Row],[Coin em carteira]]*Principal[[#This Row],[Coin/R$]]</f>
        <v>0</v>
      </c>
      <c r="G21" s="104">
        <f>Principal[[#This Row],[Total ret R$]]+Principal[[#This Row],[R$ em carteira]]-Principal[[#This Row],[Total inv R$]]</f>
        <v>0</v>
      </c>
      <c r="H21" s="105" t="e">
        <f>((Principal[[#This Row],[R$ ganhos]]*100)/Principal[[#This Row],[Total inv R$]])/100</f>
        <v>#DIV/0!</v>
      </c>
      <c r="I21" s="106">
        <f>SUMIFS(Movimentos[Valor R$],Movimentos[CoinMov],Principal[[#This Row],[Coin]],Movimentos[Movimento],"Entrada")</f>
        <v>0</v>
      </c>
      <c r="J21" s="106">
        <f>SUMIFS(Movimentos[Valor R$],Movimentos[CoinMov],Principal[[#This Row],[Coin]],Movimentos[Movimento],"Saida")</f>
        <v>0</v>
      </c>
      <c r="K21" s="106">
        <f>Principal[[#This Row],[Total ret R$]]-Principal[[#This Row],[Total inv R$]]</f>
        <v>0</v>
      </c>
      <c r="L21" s="107" t="e">
        <f>SUMIF(Movimentos[CoinMov],Principal[[#This Row],[Coin]],Movimentos[CondigPreço Medio])/Principal[[#This Row],[Total inv R$]]</f>
        <v>#DIV/0!</v>
      </c>
      <c r="M21" s="109" t="e">
        <f>Principal[[#This Row],[R$ em carteira]]*100/TotalMomentoReal/100</f>
        <v>#DIV/0!</v>
      </c>
      <c r="N21" s="98" t="str">
        <f>CONCATENATE(Principal[[#This Row],[Coin]],"Link")</f>
        <v>DOGELink</v>
      </c>
      <c r="O21" s="50"/>
    </row>
    <row r="22" spans="1:15" x14ac:dyDescent="0.25">
      <c r="A22" s="50"/>
      <c r="B22" s="100" t="s">
        <v>661</v>
      </c>
      <c r="C22" s="101" t="str">
        <f>RIGHT(WIFLink,4)</f>
        <v>2,75</v>
      </c>
      <c r="D22" s="102">
        <f>Principal[[#This Row],[Coin/$]]*Dollar</f>
        <v>14.272500000000001</v>
      </c>
      <c r="E22" s="103">
        <f>SUMIFS(Movimentos[Qtt Coin],Movimentos[CoinMov],Principal[[#This Row],[Coin]],Movimentos[Movimento],"Entrada")-SUMIFS(Movimentos[Qtt Coin],Movimentos[CoinMov],Principal[[#This Row],[Coin]],Movimentos[Movimento],"Saida")</f>
        <v>0</v>
      </c>
      <c r="F22" s="101">
        <f>Principal[[#This Row],[Coin em carteira]]*Principal[[#This Row],[Coin/R$]]</f>
        <v>0</v>
      </c>
      <c r="G22" s="104">
        <f>Principal[[#This Row],[Total ret R$]]+Principal[[#This Row],[R$ em carteira]]-Principal[[#This Row],[Total inv R$]]</f>
        <v>0</v>
      </c>
      <c r="H22" s="105" t="e">
        <f>((Principal[[#This Row],[R$ ganhos]]*100)/Principal[[#This Row],[Total inv R$]])/100</f>
        <v>#DIV/0!</v>
      </c>
      <c r="I22" s="106">
        <f>SUMIFS(Movimentos[Valor R$],Movimentos[CoinMov],Principal[[#This Row],[Coin]],Movimentos[Movimento],"Entrada")</f>
        <v>0</v>
      </c>
      <c r="J22" s="106">
        <f>SUMIFS(Movimentos[Valor R$],Movimentos[CoinMov],Principal[[#This Row],[Coin]],Movimentos[Movimento],"Saida")</f>
        <v>0</v>
      </c>
      <c r="K22" s="106">
        <f>Principal[[#This Row],[Total ret R$]]-Principal[[#This Row],[Total inv R$]]</f>
        <v>0</v>
      </c>
      <c r="L22" s="107" t="e">
        <f>SUMIF(Movimentos[CoinMov],Principal[[#This Row],[Coin]],Movimentos[CondigPreço Medio])/Principal[[#This Row],[Total inv R$]]</f>
        <v>#DIV/0!</v>
      </c>
      <c r="M22" s="109" t="e">
        <f>Principal[[#This Row],[R$ em carteira]]*100/TotalMomentoReal/100</f>
        <v>#DIV/0!</v>
      </c>
      <c r="N22" s="98" t="str">
        <f>CONCATENATE(Principal[[#This Row],[Coin]],"Link")</f>
        <v>WIFLink</v>
      </c>
      <c r="O22" s="50"/>
    </row>
    <row r="23" spans="1:15" x14ac:dyDescent="0.25">
      <c r="A23" s="50"/>
      <c r="B23" s="100" t="s">
        <v>662</v>
      </c>
      <c r="C23" s="101" t="str">
        <f>RIGHT(SHIBALink,10)</f>
        <v>0,00002290</v>
      </c>
      <c r="D23" s="102">
        <f>Principal[[#This Row],[Coin/$]]*Dollar</f>
        <v>1.1885100000000002E-4</v>
      </c>
      <c r="E23" s="103">
        <f>SUMIFS(Movimentos[Qtt Coin],Movimentos[CoinMov],Principal[[#This Row],[Coin]],Movimentos[Movimento],"Entrada")-SUMIFS(Movimentos[Qtt Coin],Movimentos[CoinMov],Principal[[#This Row],[Coin]],Movimentos[Movimento],"Saida")</f>
        <v>0</v>
      </c>
      <c r="F23" s="101">
        <f>Principal[[#This Row],[Coin em carteira]]*Principal[[#This Row],[Coin/R$]]</f>
        <v>0</v>
      </c>
      <c r="G23" s="104">
        <f>Principal[[#This Row],[Total ret R$]]+Principal[[#This Row],[R$ em carteira]]-Principal[[#This Row],[Total inv R$]]</f>
        <v>0</v>
      </c>
      <c r="H23" s="105" t="e">
        <f>((Principal[[#This Row],[R$ ganhos]]*100)/Principal[[#This Row],[Total inv R$]])/100</f>
        <v>#DIV/0!</v>
      </c>
      <c r="I23" s="106">
        <f>SUMIFS(Movimentos[Valor R$],Movimentos[CoinMov],Principal[[#This Row],[Coin]],Movimentos[Movimento],"Entrada")</f>
        <v>0</v>
      </c>
      <c r="J23" s="106">
        <f>SUMIFS(Movimentos[Valor R$],Movimentos[CoinMov],Principal[[#This Row],[Coin]],Movimentos[Movimento],"Saida")</f>
        <v>0</v>
      </c>
      <c r="K23" s="106">
        <f>Principal[[#This Row],[Total ret R$]]-Principal[[#This Row],[Total inv R$]]</f>
        <v>0</v>
      </c>
      <c r="L23" s="107" t="e">
        <f>SUMIF(Movimentos[CoinMov],Principal[[#This Row],[Coin]],Movimentos[CondigPreço Medio])/Principal[[#This Row],[Total inv R$]]</f>
        <v>#DIV/0!</v>
      </c>
      <c r="M23" s="110" t="e">
        <f>Principal[[#This Row],[R$ em carteira]]*100/TotalMomentoReal/100</f>
        <v>#DIV/0!</v>
      </c>
      <c r="N23" s="98" t="str">
        <f>CONCATENATE(Principal[[#This Row],[Coin]],"Link")</f>
        <v>SHIBALink</v>
      </c>
      <c r="O23" s="50"/>
    </row>
    <row r="24" spans="1:15" x14ac:dyDescent="0.25">
      <c r="A24" s="50"/>
      <c r="B24" s="100" t="s">
        <v>2780</v>
      </c>
      <c r="C24" s="101" t="str">
        <f>SUBSTITUTE(RIGHT(PEPELINK,12),".",",")</f>
        <v xml:space="preserve">0,00003853  </v>
      </c>
      <c r="D24" s="102">
        <f>Principal[[#This Row],[Coin/$]]*Dollar</f>
        <v>1.9997070000000002E-4</v>
      </c>
      <c r="E24" s="103">
        <f>SUMIFS(Movimentos[Qtt Coin],Movimentos[CoinMov],Principal[[#This Row],[Coin]],Movimentos[Movimento],"Entrada")-SUMIFS(Movimentos[Qtt Coin],Movimentos[CoinMov],Principal[[#This Row],[Coin]],Movimentos[Movimento],"Saida")</f>
        <v>0</v>
      </c>
      <c r="F24" s="101">
        <f>Principal[[#This Row],[Coin em carteira]]*Principal[[#This Row],[Coin/R$]]</f>
        <v>0</v>
      </c>
      <c r="G24" s="104">
        <f>Principal[[#This Row],[Total ret R$]]+Principal[[#This Row],[R$ em carteira]]-Principal[[#This Row],[Total inv R$]]</f>
        <v>0</v>
      </c>
      <c r="H24" s="105" t="e">
        <f>((Principal[[#This Row],[R$ ganhos]]*100)/Principal[[#This Row],[Total inv R$]])/100</f>
        <v>#DIV/0!</v>
      </c>
      <c r="I24" s="106">
        <f>SUMIFS(Movimentos[Valor R$],Movimentos[CoinMov],Principal[[#This Row],[Coin]],Movimentos[Movimento],"Entrada")</f>
        <v>0</v>
      </c>
      <c r="J24" s="106">
        <f>SUMIFS(Movimentos[Valor R$],Movimentos[CoinMov],Principal[[#This Row],[Coin]],Movimentos[Movimento],"Saida")</f>
        <v>0</v>
      </c>
      <c r="K24" s="106">
        <f>Principal[[#This Row],[Total ret R$]]-Principal[[#This Row],[Total inv R$]]</f>
        <v>0</v>
      </c>
      <c r="L24" s="107" t="e">
        <f>SUMIF(Movimentos[CoinMov],Principal[[#This Row],[Coin]],Movimentos[CondigPreço Medio])/Principal[[#This Row],[Total inv R$]]</f>
        <v>#DIV/0!</v>
      </c>
      <c r="M24" s="110" t="e">
        <f>Principal[[#This Row],[R$ em carteira]]*100/TotalMomentoReal/100</f>
        <v>#DIV/0!</v>
      </c>
      <c r="N24" s="98" t="str">
        <f>CONCATENATE(Principal[[#This Row],[Coin]],"Link")</f>
        <v>PEPELink</v>
      </c>
      <c r="O24" s="50"/>
    </row>
    <row r="25" spans="1:15" x14ac:dyDescent="0.25">
      <c r="A25" s="50"/>
      <c r="B25" s="100" t="s">
        <v>3247</v>
      </c>
      <c r="C25" s="101" t="str">
        <f>SUBSTITUTE(RIGHT(LDOLink,4),".",",")</f>
        <v>1,98</v>
      </c>
      <c r="D25" s="102">
        <f>Principal[[#This Row],[Coin/$]]*Dollar</f>
        <v>10.276200000000001</v>
      </c>
      <c r="E25" s="103">
        <f>SUMIFS(Movimentos[Qtt Coin],Movimentos[CoinMov],Principal[[#This Row],[Coin]],Movimentos[Movimento],"Entrada")-SUMIFS(Movimentos[Qtt Coin],Movimentos[CoinMov],Principal[[#This Row],[Coin]],Movimentos[Movimento],"Saida")</f>
        <v>0</v>
      </c>
      <c r="F25" s="101">
        <f>Principal[[#This Row],[Coin em carteira]]*Principal[[#This Row],[Coin/R$]]</f>
        <v>0</v>
      </c>
      <c r="G25" s="104">
        <f>Principal[[#This Row],[Total ret R$]]+Principal[[#This Row],[R$ em carteira]]-Principal[[#This Row],[Total inv R$]]</f>
        <v>0</v>
      </c>
      <c r="H25" s="105" t="e">
        <f>((Principal[[#This Row],[R$ ganhos]]*100)/Principal[[#This Row],[Total inv R$]])/100</f>
        <v>#DIV/0!</v>
      </c>
      <c r="I25" s="106">
        <f>SUMIFS(Movimentos[Valor R$],Movimentos[CoinMov],Principal[[#This Row],[Coin]],Movimentos[Movimento],"Entrada")</f>
        <v>0</v>
      </c>
      <c r="J25" s="106">
        <f>SUMIFS(Movimentos[Valor R$],Movimentos[CoinMov],Principal[[#This Row],[Coin]],Movimentos[Movimento],"Saida")</f>
        <v>0</v>
      </c>
      <c r="K25" s="106">
        <f>Principal[[#This Row],[Total ret R$]]-Principal[[#This Row],[Total inv R$]]</f>
        <v>0</v>
      </c>
      <c r="L25" s="107" t="e">
        <f>SUMIF(Movimentos[CoinMov],Principal[[#This Row],[Coin]],Movimentos[CondigPreço Medio])/Principal[[#This Row],[Total inv R$]]</f>
        <v>#DIV/0!</v>
      </c>
      <c r="M25" s="110" t="e">
        <f>Principal[[#This Row],[R$ em carteira]]*100/TotalMomentoReal/100</f>
        <v>#DIV/0!</v>
      </c>
      <c r="N25" s="98" t="str">
        <f>CONCATENATE(Principal[[#This Row],[Coin]],"Link")</f>
        <v>LDOLink</v>
      </c>
      <c r="O25" s="50"/>
    </row>
    <row r="26" spans="1:15" x14ac:dyDescent="0.25">
      <c r="A26" s="50"/>
      <c r="B26" s="50"/>
      <c r="C26" s="50"/>
      <c r="D26" s="50"/>
      <c r="E26" s="50"/>
      <c r="F26" s="50"/>
      <c r="G26" s="50"/>
      <c r="H26" s="50"/>
      <c r="I26" s="50"/>
      <c r="J26" s="50"/>
      <c r="K26" s="50"/>
      <c r="L26" s="50"/>
      <c r="M26" s="74"/>
      <c r="N26" s="50"/>
      <c r="O26" s="50"/>
    </row>
    <row r="27" spans="1:15" x14ac:dyDescent="0.25">
      <c r="C27"/>
    </row>
    <row r="28" spans="1:15" x14ac:dyDescent="0.25">
      <c r="C28" s="114"/>
      <c r="E28"/>
    </row>
    <row r="29" spans="1:15" x14ac:dyDescent="0.25">
      <c r="C29" s="114"/>
      <c r="E29" s="44"/>
      <c r="F29" s="44"/>
      <c r="H29" s="1"/>
      <c r="M29" s="1"/>
      <c r="N29" s="1"/>
    </row>
    <row r="30" spans="1:15" x14ac:dyDescent="0.25">
      <c r="E30"/>
      <c r="G30"/>
      <c r="H30" s="1"/>
      <c r="K30" s="44"/>
      <c r="L30" s="44"/>
      <c r="M30" s="1"/>
      <c r="N30" s="1"/>
    </row>
    <row r="31" spans="1:15" x14ac:dyDescent="0.25">
      <c r="E31"/>
      <c r="H31" s="1"/>
      <c r="K31" s="44"/>
      <c r="L31" s="44"/>
      <c r="M31" s="1"/>
      <c r="N31" s="1"/>
    </row>
    <row r="32" spans="1:15" x14ac:dyDescent="0.25">
      <c r="D32"/>
    </row>
    <row r="35" spans="5:7" x14ac:dyDescent="0.25">
      <c r="G35"/>
    </row>
    <row r="36" spans="5:7" x14ac:dyDescent="0.25">
      <c r="E36"/>
    </row>
    <row r="39" spans="5:7" x14ac:dyDescent="0.25">
      <c r="E39"/>
    </row>
    <row r="47" spans="5:7" x14ac:dyDescent="0.25">
      <c r="E47"/>
    </row>
  </sheetData>
  <mergeCells count="2">
    <mergeCell ref="B2:G2"/>
    <mergeCell ref="H2:M6"/>
  </mergeCells>
  <conditionalFormatting sqref="E4 E6 G9:H25 K9:K25">
    <cfRule type="cellIs" dxfId="5" priority="3" operator="lessThan">
      <formula>0</formula>
    </cfRule>
    <cfRule type="cellIs" dxfId="4" priority="4" operator="greaterThanOrEqual">
      <formula>0</formula>
    </cfRule>
  </conditionalFormatting>
  <pageMargins left="0.511811024" right="0.511811024" top="0.78740157499999996" bottom="0.78740157499999996" header="0.31496062000000002" footer="0.31496062000000002"/>
  <pageSetup paperSize="9" scale="47" orientation="portrait" horizontalDpi="300" verticalDpi="300" r:id="rId1"/>
  <ignoredErrors>
    <ignoredError sqref="D9:D10 C10 C18:C21 C14 C11:C12 C13:D13 D11:D12 C15:D17 D14 C22:D23 D18:D21 C24:D24 C25:D25" calculatedColumn="1"/>
    <ignoredError sqref="L9:L24" evalError="1" calculatedColumn="1"/>
    <ignoredError sqref="M11:M23 M9:M10" evalError="1"/>
  </ignoredErrors>
  <drawing r:id="rId2"/>
  <legacyDrawing r:id="rId3"/>
  <tableParts count="1">
    <tablePart r:id="rId4"/>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5E0CD-B3F8-4B6E-AACF-D0BB73CCD543}">
  <sheetPr codeName="Planilha2"/>
  <dimension ref="A1:O8"/>
  <sheetViews>
    <sheetView showGridLines="0" zoomScale="111" zoomScaleNormal="111" workbookViewId="0">
      <selection activeCell="B2" sqref="B2:M2"/>
    </sheetView>
  </sheetViews>
  <sheetFormatPr defaultColWidth="0" defaultRowHeight="15" x14ac:dyDescent="0.25"/>
  <cols>
    <col min="1" max="1" width="1.5703125" style="1" customWidth="1"/>
    <col min="2" max="2" width="10.28515625" style="1" customWidth="1"/>
    <col min="3" max="3" width="14.140625" style="131" customWidth="1"/>
    <col min="4" max="4" width="13.42578125" style="1" customWidth="1"/>
    <col min="5" max="5" width="12.140625" style="19" bestFit="1" customWidth="1"/>
    <col min="6" max="6" width="15" style="19" customWidth="1"/>
    <col min="7" max="7" width="13" style="1" customWidth="1"/>
    <col min="8" max="8" width="15.85546875" style="45" customWidth="1"/>
    <col min="9" max="9" width="12.85546875" style="1" customWidth="1"/>
    <col min="10" max="10" width="15.85546875" style="45" customWidth="1"/>
    <col min="11" max="11" width="15.85546875" style="1" customWidth="1"/>
    <col min="12" max="12" width="13.28515625" style="44" customWidth="1"/>
    <col min="13" max="13" width="13.28515625" style="46" customWidth="1"/>
    <col min="14" max="14" width="14" style="44" hidden="1" customWidth="1"/>
    <col min="15" max="15" width="1.7109375" style="1" customWidth="1"/>
    <col min="16" max="16384" width="9.140625" style="1" hidden="1"/>
  </cols>
  <sheetData>
    <row r="1" spans="1:15" ht="8.25" customHeight="1" thickBot="1" x14ac:dyDescent="0.3">
      <c r="A1" s="50"/>
      <c r="B1" s="50"/>
      <c r="C1" s="127"/>
      <c r="D1" s="50"/>
      <c r="E1" s="50"/>
      <c r="F1" s="50"/>
      <c r="G1" s="50"/>
      <c r="H1" s="50"/>
      <c r="I1" s="50"/>
      <c r="J1" s="132"/>
      <c r="K1" s="50"/>
      <c r="L1" s="50"/>
      <c r="M1" s="50"/>
      <c r="N1" s="50"/>
      <c r="O1" s="50"/>
    </row>
    <row r="2" spans="1:15" ht="40.5" customHeight="1" thickBot="1" x14ac:dyDescent="0.3">
      <c r="A2" s="50"/>
      <c r="B2" s="156" t="s">
        <v>613</v>
      </c>
      <c r="C2" s="157"/>
      <c r="D2" s="157"/>
      <c r="E2" s="157"/>
      <c r="F2" s="157"/>
      <c r="G2" s="157"/>
      <c r="H2" s="157"/>
      <c r="I2" s="157"/>
      <c r="J2" s="157"/>
      <c r="K2" s="157"/>
      <c r="L2" s="157"/>
      <c r="M2" s="158"/>
      <c r="O2" s="50"/>
    </row>
    <row r="3" spans="1:15" ht="15.75" thickBot="1" x14ac:dyDescent="0.3">
      <c r="A3" s="50"/>
      <c r="B3" s="87" t="s">
        <v>594</v>
      </c>
      <c r="C3" s="128" t="s">
        <v>587</v>
      </c>
      <c r="D3" s="87" t="s">
        <v>586</v>
      </c>
      <c r="E3" s="87" t="s">
        <v>588</v>
      </c>
      <c r="F3" s="87" t="s">
        <v>595</v>
      </c>
      <c r="G3" s="87" t="s">
        <v>593</v>
      </c>
      <c r="H3" s="87" t="s">
        <v>589</v>
      </c>
      <c r="I3" s="87" t="s">
        <v>590</v>
      </c>
      <c r="J3" s="133" t="s">
        <v>597</v>
      </c>
      <c r="K3" s="87" t="s">
        <v>596</v>
      </c>
      <c r="L3" s="87" t="s">
        <v>592</v>
      </c>
      <c r="M3" s="87" t="s">
        <v>591</v>
      </c>
      <c r="N3" s="89" t="s">
        <v>612</v>
      </c>
      <c r="O3" s="50"/>
    </row>
    <row r="4" spans="1:15" ht="15.75" thickBot="1" x14ac:dyDescent="0.3">
      <c r="A4" s="50"/>
      <c r="B4" s="91"/>
      <c r="C4" s="129"/>
      <c r="D4" s="92"/>
      <c r="E4" s="93"/>
      <c r="F4" s="93"/>
      <c r="G4" s="92"/>
      <c r="H4" s="94"/>
      <c r="I4" s="96"/>
      <c r="J4" s="134"/>
      <c r="K4" s="96"/>
      <c r="L4" s="96"/>
      <c r="M4" s="95"/>
      <c r="N4" s="88"/>
      <c r="O4" s="50"/>
    </row>
    <row r="5" spans="1:15" ht="8.25" customHeight="1" thickBot="1" x14ac:dyDescent="0.3">
      <c r="A5" s="50"/>
      <c r="B5" s="50"/>
      <c r="C5" s="127"/>
      <c r="D5" s="50"/>
      <c r="E5" s="50"/>
      <c r="F5" s="50"/>
      <c r="G5" s="50"/>
      <c r="H5" s="50"/>
      <c r="I5" s="50"/>
      <c r="J5" s="132"/>
      <c r="K5" s="50"/>
      <c r="L5" s="50"/>
      <c r="M5" s="50"/>
      <c r="N5" s="50"/>
      <c r="O5" s="50"/>
    </row>
    <row r="6" spans="1:15" ht="15.75" thickBot="1" x14ac:dyDescent="0.3">
      <c r="A6" s="50"/>
      <c r="B6" s="115" t="s">
        <v>594</v>
      </c>
      <c r="C6" s="130" t="s">
        <v>587</v>
      </c>
      <c r="D6" s="90" t="s">
        <v>586</v>
      </c>
      <c r="E6" s="90" t="s">
        <v>588</v>
      </c>
      <c r="F6" s="90" t="s">
        <v>595</v>
      </c>
      <c r="G6" s="90" t="s">
        <v>593</v>
      </c>
      <c r="H6" s="90" t="s">
        <v>589</v>
      </c>
      <c r="I6" s="90" t="s">
        <v>590</v>
      </c>
      <c r="J6" s="135" t="s">
        <v>597</v>
      </c>
      <c r="K6" s="90" t="s">
        <v>596</v>
      </c>
      <c r="L6" s="90" t="s">
        <v>592</v>
      </c>
      <c r="M6" s="116" t="s">
        <v>591</v>
      </c>
      <c r="N6" s="90" t="s">
        <v>612</v>
      </c>
      <c r="O6" s="50"/>
    </row>
    <row r="7" spans="1:15" x14ac:dyDescent="0.25">
      <c r="A7" s="50"/>
      <c r="B7" s="117"/>
      <c r="C7" s="118"/>
      <c r="D7" s="119"/>
      <c r="E7" s="120"/>
      <c r="F7" s="120"/>
      <c r="G7" s="119"/>
      <c r="H7" s="121"/>
      <c r="I7" s="120"/>
      <c r="J7" s="121"/>
      <c r="K7" s="119"/>
      <c r="L7" s="122"/>
      <c r="M7" s="123"/>
      <c r="N7" s="124"/>
      <c r="O7" s="50"/>
    </row>
    <row r="8" spans="1:15" x14ac:dyDescent="0.25">
      <c r="A8" s="50"/>
      <c r="B8" s="50"/>
      <c r="C8" s="127"/>
      <c r="D8" s="50"/>
      <c r="E8" s="50"/>
      <c r="F8" s="50"/>
      <c r="G8" s="50"/>
      <c r="H8" s="50"/>
      <c r="I8" s="50"/>
      <c r="J8" s="132"/>
      <c r="K8" s="50"/>
      <c r="L8" s="50"/>
      <c r="M8" s="50"/>
      <c r="N8" s="50"/>
      <c r="O8" s="50"/>
    </row>
  </sheetData>
  <mergeCells count="1">
    <mergeCell ref="B2:M2"/>
  </mergeCells>
  <phoneticPr fontId="15" type="noConversion"/>
  <conditionalFormatting sqref="L7">
    <cfRule type="cellIs" dxfId="3" priority="3" operator="lessThan">
      <formula>0</formula>
    </cfRule>
    <cfRule type="cellIs" dxfId="2" priority="4" operator="greaterThanOrEqual">
      <formula>0</formula>
    </cfRule>
  </conditionalFormatting>
  <conditionalFormatting sqref="D7">
    <cfRule type="containsText" dxfId="1" priority="1" operator="containsText" text="Saida">
      <formula>NOT(ISERROR(SEARCH("Saida",D7)))</formula>
    </cfRule>
    <cfRule type="containsText" dxfId="0" priority="2" operator="containsText" text="Entrada">
      <formula>NOT(ISERROR(SEARCH("Entrada",D7)))</formula>
    </cfRule>
  </conditionalFormatting>
  <dataValidations count="1">
    <dataValidation type="list" allowBlank="1" showInputMessage="1" showErrorMessage="1" sqref="D7" xr:uid="{FA95F3BC-BCF2-4B0E-9554-662433689C1E}">
      <formula1>"Entrada, Saida"</formula1>
    </dataValidation>
  </dataValidations>
  <pageMargins left="0.511811024" right="0.511811024" top="0.78740157499999996" bottom="0.78740157499999996" header="0.31496062000000002" footer="0.31496062000000002"/>
  <drawing r:id="rId1"/>
  <legacyDrawing r:id="rId2"/>
  <tableParts count="2">
    <tablePart r:id="rId3"/>
    <tablePart r:id="rId4"/>
  </tableParts>
  <extLst>
    <ext xmlns:x14="http://schemas.microsoft.com/office/spreadsheetml/2009/9/main" uri="{CCE6A557-97BC-4b89-ADB6-D9C93CAAB3DF}">
      <x14:dataValidations xmlns:xm="http://schemas.microsoft.com/office/excel/2006/main" count="2">
        <x14:dataValidation type="list" allowBlank="1" showInputMessage="1" showErrorMessage="1" xr:uid="{D6050CDB-A1EB-4F07-B260-02CD61703017}">
          <x14:formula1>
            <xm:f>Principal!$B$9:$B$26</xm:f>
          </x14:formula1>
          <xm:sqref>B4</xm:sqref>
        </x14:dataValidation>
        <x14:dataValidation type="list" showDropDown="1" showInputMessage="1" showErrorMessage="1" xr:uid="{ADE49FAE-E47E-4255-9130-86AB54B058B2}">
          <x14:formula1>
            <xm:f>Principal!$B$9:$B$26</xm:f>
          </x14:formula1>
          <xm:sqref>B7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E4175-CA9F-42E6-93DC-5E8C8D74FE7A}">
  <sheetPr codeName="Planilha4"/>
  <dimension ref="A1"/>
  <sheetViews>
    <sheetView workbookViewId="0"/>
  </sheetViews>
  <sheetFormatPr defaultColWidth="9.42578125" defaultRowHeight="15" x14ac:dyDescent="0.25"/>
  <cols>
    <col min="1" max="16384" width="9.42578125" style="97"/>
  </cols>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B8532-D590-49C8-A4BF-8627FE679202}">
  <sheetPr codeName="Planilha3"/>
  <dimension ref="A1:HN727"/>
  <sheetViews>
    <sheetView topLeftCell="GT64" zoomScale="55" zoomScaleNormal="55" workbookViewId="0">
      <selection activeCell="HC88" sqref="HC88"/>
    </sheetView>
  </sheetViews>
  <sheetFormatPr defaultRowHeight="15" x14ac:dyDescent="0.25"/>
  <cols>
    <col min="1" max="1" width="81.140625" bestFit="1" customWidth="1"/>
    <col min="2" max="2" width="12.5703125" bestFit="1" customWidth="1"/>
    <col min="3" max="3" width="11.5703125" bestFit="1" customWidth="1"/>
    <col min="4" max="4" width="7.140625" bestFit="1" customWidth="1"/>
    <col min="5" max="5" width="9.140625" style="18"/>
    <col min="6" max="6" width="81.140625" bestFit="1" customWidth="1"/>
    <col min="7" max="7" width="43.140625" bestFit="1" customWidth="1"/>
    <col min="8" max="8" width="7.42578125" bestFit="1" customWidth="1"/>
    <col min="9" max="9" width="14.7109375" bestFit="1" customWidth="1"/>
    <col min="10" max="10" width="13.85546875" bestFit="1" customWidth="1"/>
    <col min="11" max="11" width="10.5703125" bestFit="1" customWidth="1"/>
    <col min="12" max="12" width="27.42578125" bestFit="1" customWidth="1"/>
    <col min="13" max="13" width="27.140625" bestFit="1" customWidth="1"/>
    <col min="14" max="14" width="20.85546875" bestFit="1" customWidth="1"/>
    <col min="15" max="15" width="13.140625" bestFit="1" customWidth="1"/>
    <col min="16" max="16" width="24.5703125" bestFit="1" customWidth="1"/>
    <col min="17" max="17" width="25.28515625" bestFit="1" customWidth="1"/>
    <col min="18" max="18" width="9.140625" style="18"/>
    <col min="19" max="19" width="81.140625" bestFit="1" customWidth="1"/>
    <col min="20" max="20" width="46.42578125" bestFit="1" customWidth="1"/>
    <col min="21" max="21" width="7.42578125" bestFit="1" customWidth="1"/>
    <col min="22" max="22" width="13.42578125" bestFit="1" customWidth="1"/>
    <col min="23" max="23" width="12.85546875" bestFit="1" customWidth="1"/>
    <col min="24" max="24" width="10.5703125" bestFit="1" customWidth="1"/>
    <col min="25" max="25" width="27.42578125" bestFit="1" customWidth="1"/>
    <col min="26" max="26" width="27.140625" bestFit="1" customWidth="1"/>
    <col min="27" max="27" width="20.85546875" bestFit="1" customWidth="1"/>
    <col min="28" max="28" width="13.140625" bestFit="1" customWidth="1"/>
    <col min="29" max="29" width="24.5703125" bestFit="1" customWidth="1"/>
    <col min="30" max="30" width="25.28515625" bestFit="1" customWidth="1"/>
    <col min="31" max="31" width="9.140625" style="18"/>
    <col min="32" max="32" width="81.140625" bestFit="1" customWidth="1"/>
    <col min="33" max="33" width="57.85546875" bestFit="1" customWidth="1"/>
    <col min="34" max="34" width="7.42578125" bestFit="1" customWidth="1"/>
    <col min="35" max="35" width="13.42578125" bestFit="1" customWidth="1"/>
    <col min="36" max="37" width="10.5703125" bestFit="1" customWidth="1"/>
    <col min="38" max="38" width="27.42578125" bestFit="1" customWidth="1"/>
    <col min="39" max="39" width="27.140625" bestFit="1" customWidth="1"/>
    <col min="40" max="40" width="20.85546875" bestFit="1" customWidth="1"/>
    <col min="41" max="41" width="13.140625" bestFit="1" customWidth="1"/>
    <col min="42" max="42" width="24.5703125" bestFit="1" customWidth="1"/>
    <col min="43" max="43" width="25.28515625" bestFit="1" customWidth="1"/>
    <col min="45" max="45" width="9.140625" style="18"/>
    <col min="46" max="46" width="81.140625" bestFit="1" customWidth="1"/>
    <col min="47" max="47" width="33.85546875" bestFit="1" customWidth="1"/>
    <col min="48" max="48" width="7.42578125" bestFit="1" customWidth="1"/>
    <col min="49" max="49" width="13.85546875" bestFit="1" customWidth="1"/>
    <col min="50" max="50" width="9.28515625" bestFit="1" customWidth="1"/>
    <col min="51" max="51" width="10.5703125" bestFit="1" customWidth="1"/>
    <col min="52" max="52" width="27.42578125" bestFit="1" customWidth="1"/>
    <col min="53" max="53" width="27.140625" bestFit="1" customWidth="1"/>
    <col min="54" max="54" width="20.85546875" bestFit="1" customWidth="1"/>
    <col min="55" max="55" width="13.140625" bestFit="1" customWidth="1"/>
    <col min="56" max="56" width="24.5703125" bestFit="1" customWidth="1"/>
    <col min="57" max="57" width="25.28515625" bestFit="1" customWidth="1"/>
    <col min="58" max="58" width="9.140625" style="18"/>
    <col min="59" max="59" width="81.140625" bestFit="1" customWidth="1"/>
    <col min="60" max="60" width="76.5703125" bestFit="1" customWidth="1"/>
    <col min="61" max="61" width="8" bestFit="1" customWidth="1"/>
    <col min="62" max="62" width="14.42578125" bestFit="1" customWidth="1"/>
    <col min="63" max="63" width="8.7109375" bestFit="1" customWidth="1"/>
    <col min="64" max="64" width="10.5703125" bestFit="1" customWidth="1"/>
    <col min="65" max="65" width="27.42578125" bestFit="1" customWidth="1"/>
    <col min="66" max="66" width="27.140625" bestFit="1" customWidth="1"/>
    <col min="67" max="67" width="20.85546875" bestFit="1" customWidth="1"/>
    <col min="68" max="68" width="13.140625" bestFit="1" customWidth="1"/>
    <col min="69" max="69" width="24.5703125" bestFit="1" customWidth="1"/>
    <col min="70" max="70" width="25.28515625" bestFit="1" customWidth="1"/>
    <col min="71" max="71" width="9.140625" style="18"/>
    <col min="72" max="72" width="81.140625" bestFit="1" customWidth="1"/>
    <col min="73" max="73" width="43.7109375" bestFit="1" customWidth="1"/>
    <col min="74" max="74" width="7.42578125" bestFit="1" customWidth="1"/>
    <col min="75" max="75" width="13.7109375" bestFit="1" customWidth="1"/>
    <col min="76" max="76" width="8.7109375" bestFit="1" customWidth="1"/>
    <col min="77" max="77" width="10.5703125" bestFit="1" customWidth="1"/>
    <col min="78" max="78" width="27.42578125" bestFit="1" customWidth="1"/>
    <col min="79" max="79" width="27.140625" bestFit="1" customWidth="1"/>
    <col min="80" max="80" width="20.85546875" bestFit="1" customWidth="1"/>
    <col min="81" max="81" width="13.140625" bestFit="1" customWidth="1"/>
    <col min="82" max="82" width="24.5703125" bestFit="1" customWidth="1"/>
    <col min="83" max="83" width="25.28515625" bestFit="1" customWidth="1"/>
    <col min="84" max="84" width="9.140625" style="18"/>
    <col min="85" max="85" width="81.140625" bestFit="1" customWidth="1"/>
    <col min="86" max="86" width="74.140625" bestFit="1" customWidth="1"/>
    <col min="87" max="87" width="7.42578125" bestFit="1" customWidth="1"/>
    <col min="88" max="88" width="15.140625" bestFit="1" customWidth="1"/>
    <col min="89" max="89" width="76.28515625" bestFit="1" customWidth="1"/>
    <col min="90" max="90" width="10.5703125" bestFit="1" customWidth="1"/>
    <col min="91" max="91" width="27.42578125" bestFit="1" customWidth="1"/>
    <col min="92" max="92" width="27.140625" bestFit="1" customWidth="1"/>
    <col min="93" max="93" width="20.85546875" bestFit="1" customWidth="1"/>
    <col min="94" max="94" width="13.140625" bestFit="1" customWidth="1"/>
    <col min="95" max="95" width="24.5703125" bestFit="1" customWidth="1"/>
    <col min="96" max="96" width="25.28515625" bestFit="1" customWidth="1"/>
    <col min="97" max="97" width="9.140625" style="18"/>
    <col min="98" max="98" width="81.140625" bestFit="1" customWidth="1"/>
    <col min="99" max="99" width="40.7109375" bestFit="1" customWidth="1"/>
    <col min="100" max="100" width="7.42578125" bestFit="1" customWidth="1"/>
    <col min="101" max="101" width="16.5703125" bestFit="1" customWidth="1"/>
    <col min="102" max="102" width="72.28515625" bestFit="1" customWidth="1"/>
    <col min="103" max="103" width="10.5703125" bestFit="1" customWidth="1"/>
    <col min="104" max="104" width="27.42578125" bestFit="1" customWidth="1"/>
    <col min="105" max="105" width="27.140625" bestFit="1" customWidth="1"/>
    <col min="106" max="106" width="20.85546875" bestFit="1" customWidth="1"/>
    <col min="107" max="107" width="13.140625" bestFit="1" customWidth="1"/>
    <col min="108" max="108" width="24.5703125" bestFit="1" customWidth="1"/>
    <col min="109" max="109" width="25.28515625" customWidth="1"/>
    <col min="110" max="110" width="9.140625" style="18"/>
    <col min="111" max="111" width="81.140625" bestFit="1" customWidth="1"/>
    <col min="112" max="112" width="60.140625" bestFit="1" customWidth="1"/>
    <col min="113" max="113" width="8" bestFit="1" customWidth="1"/>
    <col min="114" max="114" width="12.28515625" bestFit="1" customWidth="1"/>
    <col min="115" max="115" width="8.7109375" bestFit="1" customWidth="1"/>
    <col min="116" max="116" width="10.5703125" bestFit="1" customWidth="1"/>
    <col min="117" max="117" width="27.42578125" bestFit="1" customWidth="1"/>
    <col min="118" max="118" width="27.140625" bestFit="1" customWidth="1"/>
    <col min="119" max="119" width="20.85546875" bestFit="1" customWidth="1"/>
    <col min="120" max="120" width="13.140625" bestFit="1" customWidth="1"/>
    <col min="121" max="121" width="24.5703125" bestFit="1" customWidth="1"/>
    <col min="122" max="122" width="25.28515625" bestFit="1" customWidth="1"/>
    <col min="123" max="123" width="9.140625" style="18"/>
    <col min="124" max="124" width="81.140625" bestFit="1" customWidth="1"/>
    <col min="125" max="125" width="24.5703125" bestFit="1" customWidth="1"/>
    <col min="126" max="126" width="7.42578125" bestFit="1" customWidth="1"/>
    <col min="127" max="127" width="14.140625" bestFit="1" customWidth="1"/>
    <col min="128" max="128" width="8.7109375" bestFit="1" customWidth="1"/>
    <col min="129" max="129" width="10.5703125" bestFit="1" customWidth="1"/>
    <col min="130" max="130" width="27.42578125" bestFit="1" customWidth="1"/>
    <col min="131" max="131" width="27.140625" bestFit="1" customWidth="1"/>
    <col min="132" max="132" width="20.85546875" bestFit="1" customWidth="1"/>
    <col min="133" max="133" width="13.140625" bestFit="1" customWidth="1"/>
    <col min="134" max="134" width="24.5703125" bestFit="1" customWidth="1"/>
    <col min="135" max="135" width="25.28515625" bestFit="1" customWidth="1"/>
    <col min="136" max="136" width="9.140625" style="18"/>
    <col min="137" max="137" width="81.140625" bestFit="1" customWidth="1"/>
    <col min="138" max="138" width="43.140625" bestFit="1" customWidth="1"/>
    <col min="139" max="139" width="7.42578125" bestFit="1" customWidth="1"/>
    <col min="140" max="140" width="15.7109375" bestFit="1" customWidth="1"/>
    <col min="141" max="141" width="8.7109375" bestFit="1" customWidth="1"/>
    <col min="142" max="142" width="10.5703125" bestFit="1" customWidth="1"/>
    <col min="143" max="143" width="27.42578125" bestFit="1" customWidth="1"/>
    <col min="144" max="144" width="27.140625" bestFit="1" customWidth="1"/>
    <col min="145" max="145" width="20.85546875" bestFit="1" customWidth="1"/>
    <col min="146" max="146" width="13.140625" bestFit="1" customWidth="1"/>
    <col min="147" max="147" width="24.5703125" bestFit="1" customWidth="1"/>
    <col min="148" max="148" width="25.28515625" customWidth="1"/>
    <col min="149" max="149" width="9.140625" style="18"/>
    <col min="150" max="150" width="81.140625" bestFit="1" customWidth="1"/>
    <col min="151" max="151" width="67.7109375" bestFit="1" customWidth="1"/>
    <col min="152" max="152" width="8.140625" bestFit="1" customWidth="1"/>
    <col min="153" max="153" width="13.7109375" bestFit="1" customWidth="1"/>
    <col min="154" max="154" width="8.7109375" bestFit="1" customWidth="1"/>
    <col min="155" max="155" width="10.5703125" bestFit="1" customWidth="1"/>
    <col min="156" max="156" width="27.42578125" bestFit="1" customWidth="1"/>
    <col min="157" max="157" width="27.140625" bestFit="1" customWidth="1"/>
    <col min="158" max="158" width="20.85546875" bestFit="1" customWidth="1"/>
    <col min="159" max="159" width="13.140625" bestFit="1" customWidth="1"/>
    <col min="160" max="160" width="24.5703125" bestFit="1" customWidth="1"/>
    <col min="161" max="161" width="25.28515625" bestFit="1" customWidth="1"/>
    <col min="162" max="162" width="9.140625" style="18"/>
    <col min="163" max="163" width="81.140625" bestFit="1" customWidth="1"/>
    <col min="164" max="164" width="43.7109375" bestFit="1" customWidth="1"/>
    <col min="165" max="165" width="7.85546875" bestFit="1" customWidth="1"/>
    <col min="166" max="166" width="15.7109375" bestFit="1" customWidth="1"/>
    <col min="167" max="167" width="74.42578125" bestFit="1" customWidth="1"/>
    <col min="168" max="168" width="10.5703125" bestFit="1" customWidth="1"/>
    <col min="169" max="169" width="27.42578125" bestFit="1" customWidth="1"/>
    <col min="170" max="170" width="27.140625" bestFit="1" customWidth="1"/>
    <col min="171" max="171" width="20.85546875" bestFit="1" customWidth="1"/>
    <col min="172" max="172" width="13.140625" bestFit="1" customWidth="1"/>
    <col min="173" max="173" width="24.5703125" bestFit="1" customWidth="1"/>
    <col min="174" max="174" width="25.28515625" bestFit="1" customWidth="1"/>
    <col min="175" max="175" width="9.140625" style="18"/>
    <col min="176" max="176" width="81.140625" bestFit="1" customWidth="1"/>
    <col min="177" max="177" width="41" bestFit="1" customWidth="1"/>
    <col min="178" max="178" width="7.42578125" bestFit="1" customWidth="1"/>
    <col min="179" max="179" width="13.42578125" bestFit="1" customWidth="1"/>
    <col min="180" max="180" width="8.7109375" bestFit="1" customWidth="1"/>
    <col min="181" max="181" width="10.5703125" bestFit="1" customWidth="1"/>
    <col min="182" max="182" width="27.42578125" bestFit="1" customWidth="1"/>
    <col min="183" max="183" width="27.140625" bestFit="1" customWidth="1"/>
    <col min="184" max="184" width="20.85546875" bestFit="1" customWidth="1"/>
    <col min="185" max="185" width="13.140625" bestFit="1" customWidth="1"/>
    <col min="186" max="186" width="24.5703125" bestFit="1" customWidth="1"/>
    <col min="187" max="187" width="25.28515625" bestFit="1" customWidth="1"/>
    <col min="188" max="188" width="9.140625" style="18"/>
    <col min="189" max="189" width="81.140625" bestFit="1" customWidth="1"/>
    <col min="190" max="190" width="60.42578125" bestFit="1" customWidth="1"/>
    <col min="191" max="191" width="7.42578125" bestFit="1" customWidth="1"/>
    <col min="192" max="192" width="14.140625" bestFit="1" customWidth="1"/>
    <col min="193" max="193" width="76.5703125" bestFit="1" customWidth="1"/>
    <col min="194" max="194" width="10.5703125" bestFit="1" customWidth="1"/>
    <col min="195" max="195" width="27.42578125" bestFit="1" customWidth="1"/>
    <col min="196" max="196" width="27.140625" bestFit="1" customWidth="1"/>
    <col min="197" max="197" width="20.85546875" bestFit="1" customWidth="1"/>
    <col min="198" max="198" width="13.140625" bestFit="1" customWidth="1"/>
    <col min="199" max="199" width="24.5703125" bestFit="1" customWidth="1"/>
    <col min="200" max="200" width="25.28515625" bestFit="1" customWidth="1"/>
    <col min="201" max="201" width="9.140625" style="18"/>
    <col min="202" max="202" width="7.5703125" customWidth="1"/>
    <col min="203" max="206" width="9.85546875" customWidth="1"/>
    <col min="210" max="210" width="9.140625" style="18"/>
    <col min="211" max="211" width="81.140625" bestFit="1" customWidth="1"/>
    <col min="212" max="212" width="39.42578125" bestFit="1" customWidth="1"/>
    <col min="213" max="213" width="7.42578125" bestFit="1" customWidth="1"/>
    <col min="214" max="214" width="13.7109375" bestFit="1" customWidth="1"/>
    <col min="215" max="215" width="8.42578125" bestFit="1" customWidth="1"/>
    <col min="216" max="216" width="10.5703125" bestFit="1" customWidth="1"/>
    <col min="217" max="217" width="14.42578125" bestFit="1" customWidth="1"/>
    <col min="218" max="218" width="14.140625" bestFit="1" customWidth="1"/>
    <col min="219" max="219" width="16" bestFit="1" customWidth="1"/>
    <col min="220" max="220" width="13.140625" bestFit="1" customWidth="1"/>
    <col min="221" max="221" width="18.28515625" bestFit="1" customWidth="1"/>
    <col min="222" max="222" width="16" bestFit="1" customWidth="1"/>
  </cols>
  <sheetData>
    <row r="1" spans="1:211" ht="69" customHeight="1" x14ac:dyDescent="0.25">
      <c r="A1" s="165" t="s">
        <v>640</v>
      </c>
      <c r="B1" s="165"/>
      <c r="C1" s="165"/>
      <c r="D1" s="165"/>
    </row>
    <row r="2" spans="1:211" x14ac:dyDescent="0.25">
      <c r="A2" s="2" t="s">
        <v>11</v>
      </c>
      <c r="F2" s="13" t="s">
        <v>1474</v>
      </c>
      <c r="S2" s="13" t="s">
        <v>1474</v>
      </c>
      <c r="AT2" s="13" t="s">
        <v>1474</v>
      </c>
      <c r="BG2" s="13" t="s">
        <v>1474</v>
      </c>
      <c r="BT2" s="13" t="s">
        <v>1474</v>
      </c>
      <c r="CG2" s="13" t="s">
        <v>1474</v>
      </c>
      <c r="CT2" s="13" t="s">
        <v>1474</v>
      </c>
      <c r="DG2" s="13" t="s">
        <v>1474</v>
      </c>
      <c r="DT2" s="13" t="s">
        <v>1474</v>
      </c>
      <c r="EG2" s="13" t="s">
        <v>1474</v>
      </c>
      <c r="ET2" s="13" t="s">
        <v>1474</v>
      </c>
      <c r="FG2" s="13" t="s">
        <v>1474</v>
      </c>
      <c r="FT2" s="13" t="s">
        <v>1474</v>
      </c>
      <c r="GG2" s="13" t="s">
        <v>1474</v>
      </c>
      <c r="GT2" s="13" t="s">
        <v>2977</v>
      </c>
      <c r="HC2" s="13" t="s">
        <v>2781</v>
      </c>
    </row>
    <row r="3" spans="1:211" x14ac:dyDescent="0.25">
      <c r="A3" s="86"/>
      <c r="B3" s="4"/>
      <c r="F3" s="13" t="s">
        <v>616</v>
      </c>
      <c r="S3" s="13" t="s">
        <v>616</v>
      </c>
      <c r="AT3" s="13" t="s">
        <v>616</v>
      </c>
      <c r="BG3" s="13" t="s">
        <v>616</v>
      </c>
      <c r="BT3" s="13" t="s">
        <v>616</v>
      </c>
      <c r="CG3" s="13" t="s">
        <v>616</v>
      </c>
      <c r="CT3" s="13" t="s">
        <v>616</v>
      </c>
      <c r="DG3" s="13" t="s">
        <v>616</v>
      </c>
      <c r="DT3" s="13" t="s">
        <v>616</v>
      </c>
      <c r="EG3" s="13" t="s">
        <v>616</v>
      </c>
      <c r="ET3" s="13" t="s">
        <v>616</v>
      </c>
      <c r="FG3" s="13" t="s">
        <v>616</v>
      </c>
      <c r="FT3" s="13" t="s">
        <v>616</v>
      </c>
      <c r="GG3" s="13" t="s">
        <v>616</v>
      </c>
      <c r="GT3" s="13" t="s">
        <v>2978</v>
      </c>
      <c r="HC3" s="13" t="s">
        <v>2975</v>
      </c>
    </row>
    <row r="4" spans="1:211" ht="15" customHeight="1" x14ac:dyDescent="0.25">
      <c r="A4" s="6" t="s">
        <v>12</v>
      </c>
      <c r="B4" s="7" t="s">
        <v>13</v>
      </c>
      <c r="C4" s="7" t="s">
        <v>14</v>
      </c>
      <c r="D4" s="8" t="s">
        <v>15</v>
      </c>
      <c r="F4" s="13" t="s">
        <v>1475</v>
      </c>
      <c r="S4" s="13" t="s">
        <v>1475</v>
      </c>
      <c r="AT4" s="13" t="s">
        <v>1475</v>
      </c>
      <c r="BG4" s="13" t="s">
        <v>1475</v>
      </c>
      <c r="BT4" s="13" t="s">
        <v>1475</v>
      </c>
      <c r="CG4" s="13" t="s">
        <v>1475</v>
      </c>
      <c r="CT4" s="13" t="s">
        <v>1475</v>
      </c>
      <c r="DG4" s="13" t="s">
        <v>1475</v>
      </c>
      <c r="DT4" s="13" t="s">
        <v>1475</v>
      </c>
      <c r="EG4" s="13" t="s">
        <v>1475</v>
      </c>
      <c r="ET4" s="13" t="s">
        <v>1475</v>
      </c>
      <c r="FG4" s="13" t="s">
        <v>1475</v>
      </c>
      <c r="FT4" s="13" t="s">
        <v>1475</v>
      </c>
      <c r="GG4" s="13" t="s">
        <v>1475</v>
      </c>
      <c r="GT4" s="11" t="s">
        <v>2979</v>
      </c>
      <c r="HC4" s="13" t="s">
        <v>2782</v>
      </c>
    </row>
    <row r="5" spans="1:211" x14ac:dyDescent="0.25">
      <c r="A5" s="9" t="s">
        <v>16</v>
      </c>
      <c r="F5" s="13" t="s">
        <v>1476</v>
      </c>
      <c r="S5" s="13" t="s">
        <v>1476</v>
      </c>
      <c r="AT5" s="13" t="s">
        <v>1476</v>
      </c>
      <c r="BG5" s="13" t="s">
        <v>1476</v>
      </c>
      <c r="BT5" s="13" t="s">
        <v>1476</v>
      </c>
      <c r="CG5" s="13" t="s">
        <v>1476</v>
      </c>
      <c r="CT5" s="13" t="s">
        <v>1476</v>
      </c>
      <c r="DG5" s="13" t="s">
        <v>1476</v>
      </c>
      <c r="DT5" s="13" t="s">
        <v>1476</v>
      </c>
      <c r="EG5" s="13" t="s">
        <v>1476</v>
      </c>
      <c r="ET5" s="13" t="s">
        <v>1476</v>
      </c>
      <c r="FG5" s="13" t="s">
        <v>1476</v>
      </c>
      <c r="FT5" s="13" t="s">
        <v>1476</v>
      </c>
      <c r="GG5" s="13" t="s">
        <v>1476</v>
      </c>
      <c r="GT5" s="13" t="s">
        <v>2980</v>
      </c>
      <c r="HC5" s="13" t="s">
        <v>3250</v>
      </c>
    </row>
    <row r="6" spans="1:211" x14ac:dyDescent="0.25">
      <c r="A6" s="3" t="s">
        <v>1471</v>
      </c>
      <c r="F6" s="23" t="s">
        <v>73</v>
      </c>
      <c r="S6" s="23" t="s">
        <v>73</v>
      </c>
      <c r="AT6" s="23" t="s">
        <v>73</v>
      </c>
      <c r="BG6" s="23" t="s">
        <v>73</v>
      </c>
      <c r="BT6" s="23" t="s">
        <v>73</v>
      </c>
      <c r="CG6" s="23" t="s">
        <v>73</v>
      </c>
      <c r="CT6" s="23" t="s">
        <v>73</v>
      </c>
      <c r="DG6" s="23" t="s">
        <v>73</v>
      </c>
      <c r="DT6" s="23" t="s">
        <v>73</v>
      </c>
      <c r="EG6" s="23" t="s">
        <v>73</v>
      </c>
      <c r="ET6" s="23" t="s">
        <v>73</v>
      </c>
      <c r="FG6" s="23" t="s">
        <v>73</v>
      </c>
      <c r="FT6" s="23" t="s">
        <v>73</v>
      </c>
      <c r="GG6" s="23" t="s">
        <v>73</v>
      </c>
      <c r="GT6" s="11" t="s">
        <v>1462</v>
      </c>
      <c r="HC6" s="13" t="s">
        <v>3251</v>
      </c>
    </row>
    <row r="7" spans="1:211" x14ac:dyDescent="0.25">
      <c r="A7" s="10" t="s">
        <v>17</v>
      </c>
      <c r="F7" s="23" t="s">
        <v>1477</v>
      </c>
      <c r="S7" s="23" t="s">
        <v>1477</v>
      </c>
      <c r="AT7" s="23" t="s">
        <v>1477</v>
      </c>
      <c r="BG7" s="23" t="s">
        <v>1477</v>
      </c>
      <c r="BT7" s="23" t="s">
        <v>1477</v>
      </c>
      <c r="CG7" s="23" t="s">
        <v>1477</v>
      </c>
      <c r="CT7" s="23" t="s">
        <v>1477</v>
      </c>
      <c r="DG7" s="23" t="s">
        <v>1477</v>
      </c>
      <c r="DT7" s="23" t="s">
        <v>1477</v>
      </c>
      <c r="EG7" s="23" t="s">
        <v>1477</v>
      </c>
      <c r="ET7" s="23" t="s">
        <v>1477</v>
      </c>
      <c r="FG7" s="23" t="s">
        <v>1477</v>
      </c>
      <c r="FT7" s="23" t="s">
        <v>1477</v>
      </c>
      <c r="GG7" s="23" t="s">
        <v>1477</v>
      </c>
      <c r="GT7" s="11" t="s">
        <v>2981</v>
      </c>
      <c r="HC7" s="23" t="s">
        <v>2783</v>
      </c>
    </row>
    <row r="8" spans="1:211" x14ac:dyDescent="0.25">
      <c r="A8" s="13" t="s">
        <v>18</v>
      </c>
      <c r="F8" s="23" t="s">
        <v>1478</v>
      </c>
      <c r="S8" s="23" t="s">
        <v>1478</v>
      </c>
      <c r="AT8" s="23" t="s">
        <v>1478</v>
      </c>
      <c r="BG8" s="23" t="s">
        <v>1478</v>
      </c>
      <c r="BT8" s="23" t="s">
        <v>1932</v>
      </c>
      <c r="CG8" s="23" t="s">
        <v>1932</v>
      </c>
      <c r="CT8" s="23" t="s">
        <v>1932</v>
      </c>
      <c r="DG8" s="23" t="s">
        <v>1932</v>
      </c>
      <c r="DT8" s="23" t="s">
        <v>1932</v>
      </c>
      <c r="EG8" s="23" t="s">
        <v>1932</v>
      </c>
      <c r="ET8" s="23" t="s">
        <v>1932</v>
      </c>
      <c r="FG8" s="23" t="s">
        <v>1932</v>
      </c>
      <c r="FT8" s="23" t="s">
        <v>1932</v>
      </c>
      <c r="GG8" s="23" t="s">
        <v>1932</v>
      </c>
      <c r="GT8" s="13" t="s">
        <v>2982</v>
      </c>
      <c r="HC8" s="23" t="s">
        <v>2976</v>
      </c>
    </row>
    <row r="9" spans="1:211" ht="28.5" x14ac:dyDescent="0.25">
      <c r="A9" s="14" t="s">
        <v>19</v>
      </c>
      <c r="F9" s="23" t="s">
        <v>1479</v>
      </c>
      <c r="S9" s="23" t="s">
        <v>1479</v>
      </c>
      <c r="AT9" s="23" t="s">
        <v>1479</v>
      </c>
      <c r="BG9" s="23" t="s">
        <v>1479</v>
      </c>
      <c r="BT9" s="23" t="s">
        <v>1933</v>
      </c>
      <c r="CG9" s="23" t="s">
        <v>1933</v>
      </c>
      <c r="CT9" s="23" t="s">
        <v>1933</v>
      </c>
      <c r="DG9" s="23" t="s">
        <v>1933</v>
      </c>
      <c r="DT9" s="23" t="s">
        <v>1933</v>
      </c>
      <c r="EG9" s="23" t="s">
        <v>1933</v>
      </c>
      <c r="ET9" s="23" t="s">
        <v>1933</v>
      </c>
      <c r="FG9" s="23" t="s">
        <v>1933</v>
      </c>
      <c r="FT9" s="23" t="s">
        <v>1933</v>
      </c>
      <c r="GG9" s="23" t="s">
        <v>1933</v>
      </c>
      <c r="GT9" s="11" t="s">
        <v>2983</v>
      </c>
      <c r="HC9" s="23" t="s">
        <v>3252</v>
      </c>
    </row>
    <row r="10" spans="1:211" x14ac:dyDescent="0.25">
      <c r="A10" s="13" t="s">
        <v>20</v>
      </c>
      <c r="F10" s="23" t="s">
        <v>1480</v>
      </c>
      <c r="S10" s="23" t="s">
        <v>1480</v>
      </c>
      <c r="AT10" s="23" t="s">
        <v>1480</v>
      </c>
      <c r="BG10" s="23" t="s">
        <v>1480</v>
      </c>
      <c r="BT10" s="23" t="s">
        <v>1934</v>
      </c>
      <c r="CG10" s="23" t="s">
        <v>1934</v>
      </c>
      <c r="CT10" s="23" t="s">
        <v>1934</v>
      </c>
      <c r="DG10" s="23" t="s">
        <v>1934</v>
      </c>
      <c r="DT10" s="23" t="s">
        <v>1934</v>
      </c>
      <c r="EG10" s="23" t="s">
        <v>1934</v>
      </c>
      <c r="ET10" s="23" t="s">
        <v>1934</v>
      </c>
      <c r="FG10" s="23" t="s">
        <v>1934</v>
      </c>
      <c r="FT10" s="23" t="s">
        <v>1934</v>
      </c>
      <c r="GG10" s="23" t="s">
        <v>1934</v>
      </c>
      <c r="GT10" s="13" t="s">
        <v>2984</v>
      </c>
      <c r="HC10" s="23" t="s">
        <v>3253</v>
      </c>
    </row>
    <row r="11" spans="1:211" ht="28.5" x14ac:dyDescent="0.25">
      <c r="A11" s="14" t="s">
        <v>21</v>
      </c>
      <c r="F11" s="23" t="s">
        <v>1481</v>
      </c>
      <c r="S11" s="23" t="s">
        <v>1481</v>
      </c>
      <c r="AT11" s="23" t="s">
        <v>1481</v>
      </c>
      <c r="BG11" s="23" t="s">
        <v>1481</v>
      </c>
      <c r="BT11" s="23" t="s">
        <v>1935</v>
      </c>
      <c r="CG11" s="23" t="s">
        <v>1935</v>
      </c>
      <c r="CT11" s="23" t="s">
        <v>1935</v>
      </c>
      <c r="DG11" s="23" t="s">
        <v>1935</v>
      </c>
      <c r="DT11" s="23" t="s">
        <v>1935</v>
      </c>
      <c r="EG11" s="23" t="s">
        <v>1935</v>
      </c>
      <c r="ET11" s="23" t="s">
        <v>1935</v>
      </c>
      <c r="FG11" s="23" t="s">
        <v>1935</v>
      </c>
      <c r="FT11" s="23" t="s">
        <v>1935</v>
      </c>
      <c r="GG11" s="23" t="s">
        <v>1935</v>
      </c>
      <c r="GT11" s="11" t="s">
        <v>2985</v>
      </c>
      <c r="HC11" s="23" t="s">
        <v>3254</v>
      </c>
    </row>
    <row r="12" spans="1:211" x14ac:dyDescent="0.25">
      <c r="A12" s="13" t="s">
        <v>22</v>
      </c>
      <c r="F12" s="23" t="s">
        <v>74</v>
      </c>
      <c r="S12" s="23" t="s">
        <v>74</v>
      </c>
      <c r="AT12" s="23" t="s">
        <v>74</v>
      </c>
      <c r="BG12" s="23" t="s">
        <v>74</v>
      </c>
      <c r="BT12" s="23" t="s">
        <v>74</v>
      </c>
      <c r="CG12" s="23" t="s">
        <v>74</v>
      </c>
      <c r="CT12" s="23" t="s">
        <v>74</v>
      </c>
      <c r="DG12" s="23" t="s">
        <v>74</v>
      </c>
      <c r="DT12" s="23" t="s">
        <v>74</v>
      </c>
      <c r="EG12" s="23" t="s">
        <v>74</v>
      </c>
      <c r="ET12" s="23" t="s">
        <v>74</v>
      </c>
      <c r="FG12" s="23" t="s">
        <v>74</v>
      </c>
      <c r="FT12" s="23" t="s">
        <v>74</v>
      </c>
      <c r="GG12" s="23" t="s">
        <v>74</v>
      </c>
      <c r="GT12" s="11" t="s">
        <v>2986</v>
      </c>
      <c r="HC12" s="23" t="s">
        <v>3255</v>
      </c>
    </row>
    <row r="13" spans="1:211" ht="42.75" customHeight="1" x14ac:dyDescent="0.25">
      <c r="A13" s="14" t="s">
        <v>23</v>
      </c>
      <c r="F13" s="23" t="s">
        <v>75</v>
      </c>
      <c r="S13" s="23" t="s">
        <v>75</v>
      </c>
      <c r="AT13" s="23" t="s">
        <v>75</v>
      </c>
      <c r="BG13" s="23" t="s">
        <v>75</v>
      </c>
      <c r="BT13" s="23" t="s">
        <v>75</v>
      </c>
      <c r="CG13" s="23" t="s">
        <v>75</v>
      </c>
      <c r="CT13" s="23" t="s">
        <v>75</v>
      </c>
      <c r="DG13" s="23" t="s">
        <v>75</v>
      </c>
      <c r="DT13" s="23" t="s">
        <v>75</v>
      </c>
      <c r="EG13" s="23" t="s">
        <v>75</v>
      </c>
      <c r="ET13" s="23" t="s">
        <v>75</v>
      </c>
      <c r="FG13" s="23" t="s">
        <v>75</v>
      </c>
      <c r="FT13" s="23" t="s">
        <v>75</v>
      </c>
      <c r="GG13" s="23" t="s">
        <v>75</v>
      </c>
      <c r="GT13" s="11" t="s">
        <v>2987</v>
      </c>
      <c r="HC13" s="23" t="s">
        <v>2784</v>
      </c>
    </row>
    <row r="14" spans="1:211" x14ac:dyDescent="0.25">
      <c r="A14" s="13" t="s">
        <v>24</v>
      </c>
      <c r="F14" s="23" t="s">
        <v>76</v>
      </c>
      <c r="S14" s="23" t="s">
        <v>76</v>
      </c>
      <c r="AT14" s="23" t="s">
        <v>76</v>
      </c>
      <c r="BG14" s="23" t="s">
        <v>76</v>
      </c>
      <c r="BT14" s="23" t="s">
        <v>76</v>
      </c>
      <c r="CG14" s="23" t="s">
        <v>76</v>
      </c>
      <c r="CT14" s="23" t="s">
        <v>76</v>
      </c>
      <c r="DG14" s="23" t="s">
        <v>76</v>
      </c>
      <c r="DT14" s="23" t="s">
        <v>76</v>
      </c>
      <c r="EG14" s="23" t="s">
        <v>76</v>
      </c>
      <c r="ET14" s="23" t="s">
        <v>76</v>
      </c>
      <c r="FG14" s="23" t="s">
        <v>76</v>
      </c>
      <c r="FT14" s="23" t="s">
        <v>76</v>
      </c>
      <c r="GG14" s="23" t="s">
        <v>76</v>
      </c>
      <c r="GT14" s="13" t="s">
        <v>2988</v>
      </c>
      <c r="HC14" s="23" t="s">
        <v>2785</v>
      </c>
    </row>
    <row r="15" spans="1:211" ht="42.75" customHeight="1" x14ac:dyDescent="0.25">
      <c r="A15" s="14" t="s">
        <v>25</v>
      </c>
      <c r="F15" s="23" t="s">
        <v>77</v>
      </c>
      <c r="S15" s="23" t="s">
        <v>77</v>
      </c>
      <c r="AT15" s="23" t="s">
        <v>77</v>
      </c>
      <c r="BG15" s="23" t="s">
        <v>77</v>
      </c>
      <c r="BT15" s="23" t="s">
        <v>77</v>
      </c>
      <c r="CG15" s="23" t="s">
        <v>77</v>
      </c>
      <c r="CT15" s="23" t="s">
        <v>77</v>
      </c>
      <c r="DG15" s="23" t="s">
        <v>77</v>
      </c>
      <c r="DT15" s="23" t="s">
        <v>77</v>
      </c>
      <c r="EG15" s="23" t="s">
        <v>77</v>
      </c>
      <c r="ET15" s="23" t="s">
        <v>77</v>
      </c>
      <c r="FG15" s="23" t="s">
        <v>77</v>
      </c>
      <c r="FT15" s="23" t="s">
        <v>77</v>
      </c>
      <c r="GG15" s="23" t="s">
        <v>77</v>
      </c>
      <c r="GT15" s="13" t="s">
        <v>45</v>
      </c>
      <c r="HC15" s="23" t="s">
        <v>443</v>
      </c>
    </row>
    <row r="16" spans="1:211" x14ac:dyDescent="0.25">
      <c r="A16" s="13" t="s">
        <v>26</v>
      </c>
      <c r="F16" s="23" t="s">
        <v>78</v>
      </c>
      <c r="S16" s="23" t="s">
        <v>78</v>
      </c>
      <c r="AT16" s="23" t="s">
        <v>78</v>
      </c>
      <c r="BG16" s="23" t="s">
        <v>78</v>
      </c>
      <c r="BT16" s="23" t="s">
        <v>78</v>
      </c>
      <c r="CG16" s="23" t="s">
        <v>78</v>
      </c>
      <c r="CT16" s="23" t="s">
        <v>78</v>
      </c>
      <c r="DG16" s="23" t="s">
        <v>78</v>
      </c>
      <c r="DT16" s="23" t="s">
        <v>78</v>
      </c>
      <c r="EG16" s="23" t="s">
        <v>78</v>
      </c>
      <c r="ET16" s="23" t="s">
        <v>78</v>
      </c>
      <c r="FG16" s="23" t="s">
        <v>78</v>
      </c>
      <c r="FT16" s="23" t="s">
        <v>78</v>
      </c>
      <c r="GG16" s="23" t="s">
        <v>78</v>
      </c>
      <c r="GT16" s="11" t="s">
        <v>45</v>
      </c>
      <c r="HC16" s="23" t="s">
        <v>2786</v>
      </c>
    </row>
    <row r="17" spans="1:211" ht="28.5" x14ac:dyDescent="0.25">
      <c r="A17" s="14" t="s">
        <v>27</v>
      </c>
      <c r="F17" s="23" t="s">
        <v>79</v>
      </c>
      <c r="S17" s="23" t="s">
        <v>79</v>
      </c>
      <c r="AT17" s="23" t="s">
        <v>79</v>
      </c>
      <c r="BG17" s="23" t="s">
        <v>79</v>
      </c>
      <c r="BT17" s="23" t="s">
        <v>79</v>
      </c>
      <c r="CG17" s="23" t="s">
        <v>79</v>
      </c>
      <c r="CT17" s="23" t="s">
        <v>79</v>
      </c>
      <c r="DG17" s="23" t="s">
        <v>79</v>
      </c>
      <c r="DT17" s="23" t="s">
        <v>79</v>
      </c>
      <c r="EG17" s="23" t="s">
        <v>79</v>
      </c>
      <c r="ET17" s="23" t="s">
        <v>79</v>
      </c>
      <c r="FG17" s="23" t="s">
        <v>79</v>
      </c>
      <c r="FT17" s="23" t="s">
        <v>79</v>
      </c>
      <c r="GG17" s="23" t="s">
        <v>79</v>
      </c>
      <c r="GT17" s="11" t="s">
        <v>2989</v>
      </c>
      <c r="HC17" s="23" t="s">
        <v>78</v>
      </c>
    </row>
    <row r="18" spans="1:211" x14ac:dyDescent="0.25">
      <c r="A18" s="13" t="s">
        <v>28</v>
      </c>
      <c r="F18" s="23" t="s">
        <v>80</v>
      </c>
      <c r="S18" s="23" t="s">
        <v>80</v>
      </c>
      <c r="AT18" s="23" t="s">
        <v>80</v>
      </c>
      <c r="BG18" s="23" t="s">
        <v>80</v>
      </c>
      <c r="BT18" s="23" t="s">
        <v>80</v>
      </c>
      <c r="CG18" s="23" t="s">
        <v>80</v>
      </c>
      <c r="CT18" s="23" t="s">
        <v>80</v>
      </c>
      <c r="DG18" s="23" t="s">
        <v>80</v>
      </c>
      <c r="DT18" s="23" t="s">
        <v>80</v>
      </c>
      <c r="EG18" s="23" t="s">
        <v>80</v>
      </c>
      <c r="ET18" s="23" t="s">
        <v>80</v>
      </c>
      <c r="FG18" s="23" t="s">
        <v>80</v>
      </c>
      <c r="FT18" s="23" t="s">
        <v>80</v>
      </c>
      <c r="GG18" s="23" t="s">
        <v>80</v>
      </c>
      <c r="GT18" s="11" t="s">
        <v>2990</v>
      </c>
      <c r="HC18" s="23" t="s">
        <v>2787</v>
      </c>
    </row>
    <row r="19" spans="1:211" ht="28.5" customHeight="1" x14ac:dyDescent="0.25">
      <c r="A19" s="14" t="s">
        <v>29</v>
      </c>
      <c r="F19" s="23" t="s">
        <v>81</v>
      </c>
      <c r="S19" s="23" t="s">
        <v>81</v>
      </c>
      <c r="AT19" s="23" t="s">
        <v>81</v>
      </c>
      <c r="BG19" s="23" t="s">
        <v>81</v>
      </c>
      <c r="BT19" s="23" t="s">
        <v>81</v>
      </c>
      <c r="CG19" s="23" t="s">
        <v>81</v>
      </c>
      <c r="CT19" s="23" t="s">
        <v>81</v>
      </c>
      <c r="DG19" s="23" t="s">
        <v>81</v>
      </c>
      <c r="DT19" s="23" t="s">
        <v>81</v>
      </c>
      <c r="EG19" s="23" t="s">
        <v>81</v>
      </c>
      <c r="ET19" s="23" t="s">
        <v>81</v>
      </c>
      <c r="FG19" s="23" t="s">
        <v>81</v>
      </c>
      <c r="FT19" s="23" t="s">
        <v>81</v>
      </c>
      <c r="GG19" s="23" t="s">
        <v>81</v>
      </c>
      <c r="GT19" s="11" t="s">
        <v>2991</v>
      </c>
      <c r="HC19" s="23" t="s">
        <v>2788</v>
      </c>
    </row>
    <row r="20" spans="1:211" x14ac:dyDescent="0.25">
      <c r="A20" s="13" t="s">
        <v>650</v>
      </c>
      <c r="F20" s="23" t="s">
        <v>82</v>
      </c>
      <c r="S20" s="23" t="s">
        <v>82</v>
      </c>
      <c r="AT20" s="23" t="s">
        <v>82</v>
      </c>
      <c r="BG20" s="23" t="s">
        <v>82</v>
      </c>
      <c r="BT20" s="23" t="s">
        <v>82</v>
      </c>
      <c r="CG20" s="23" t="s">
        <v>82</v>
      </c>
      <c r="CT20" s="23" t="s">
        <v>82</v>
      </c>
      <c r="DG20" s="23" t="s">
        <v>82</v>
      </c>
      <c r="DT20" s="23" t="s">
        <v>82</v>
      </c>
      <c r="EG20" s="23" t="s">
        <v>82</v>
      </c>
      <c r="ET20" s="23" t="s">
        <v>82</v>
      </c>
      <c r="FG20" s="23" t="s">
        <v>82</v>
      </c>
      <c r="FT20" s="23" t="s">
        <v>82</v>
      </c>
      <c r="GG20" s="23" t="s">
        <v>82</v>
      </c>
      <c r="GT20" s="11" t="s">
        <v>49</v>
      </c>
      <c r="HC20" s="23" t="s">
        <v>2789</v>
      </c>
    </row>
    <row r="21" spans="1:211" ht="28.5" customHeight="1" x14ac:dyDescent="0.25">
      <c r="A21" s="14" t="s">
        <v>2774</v>
      </c>
      <c r="F21" s="23" t="s">
        <v>83</v>
      </c>
      <c r="S21" s="23" t="s">
        <v>83</v>
      </c>
      <c r="AT21" s="23" t="s">
        <v>83</v>
      </c>
      <c r="BG21" s="23" t="s">
        <v>83</v>
      </c>
      <c r="BT21" s="23" t="s">
        <v>83</v>
      </c>
      <c r="CG21" s="23" t="s">
        <v>83</v>
      </c>
      <c r="CT21" s="23" t="s">
        <v>83</v>
      </c>
      <c r="DG21" s="23" t="s">
        <v>83</v>
      </c>
      <c r="DT21" s="23" t="s">
        <v>83</v>
      </c>
      <c r="EG21" s="23" t="s">
        <v>83</v>
      </c>
      <c r="ET21" s="23" t="s">
        <v>83</v>
      </c>
      <c r="FG21" s="23" t="s">
        <v>83</v>
      </c>
      <c r="FT21" s="23" t="s">
        <v>83</v>
      </c>
      <c r="GG21" s="23" t="s">
        <v>83</v>
      </c>
      <c r="GT21" s="11" t="s">
        <v>2992</v>
      </c>
      <c r="HC21" s="23" t="s">
        <v>2790</v>
      </c>
    </row>
    <row r="22" spans="1:211" x14ac:dyDescent="0.25">
      <c r="A22" s="13" t="s">
        <v>30</v>
      </c>
      <c r="F22" s="23" t="s">
        <v>84</v>
      </c>
      <c r="S22" s="23" t="s">
        <v>84</v>
      </c>
      <c r="AT22" s="23" t="s">
        <v>84</v>
      </c>
      <c r="BG22" s="23" t="s">
        <v>84</v>
      </c>
      <c r="BT22" s="23" t="s">
        <v>84</v>
      </c>
      <c r="CG22" s="23" t="s">
        <v>84</v>
      </c>
      <c r="CT22" s="23" t="s">
        <v>84</v>
      </c>
      <c r="DG22" s="23" t="s">
        <v>84</v>
      </c>
      <c r="DT22" s="23" t="s">
        <v>84</v>
      </c>
      <c r="EG22" s="23" t="s">
        <v>84</v>
      </c>
      <c r="ET22" s="23" t="s">
        <v>84</v>
      </c>
      <c r="FG22" s="23" t="s">
        <v>84</v>
      </c>
      <c r="FT22" s="23" t="s">
        <v>84</v>
      </c>
      <c r="GG22" s="23" t="s">
        <v>84</v>
      </c>
      <c r="GT22" s="11" t="s">
        <v>2993</v>
      </c>
      <c r="HC22" s="23" t="s">
        <v>2791</v>
      </c>
    </row>
    <row r="23" spans="1:211" ht="42.75" x14ac:dyDescent="0.25">
      <c r="A23" s="14" t="s">
        <v>2775</v>
      </c>
      <c r="F23" s="23" t="s">
        <v>85</v>
      </c>
      <c r="S23" s="23" t="s">
        <v>85</v>
      </c>
      <c r="AT23" s="23" t="s">
        <v>85</v>
      </c>
      <c r="BG23" s="23" t="s">
        <v>85</v>
      </c>
      <c r="BT23" s="23" t="s">
        <v>85</v>
      </c>
      <c r="CG23" s="23" t="s">
        <v>85</v>
      </c>
      <c r="CT23" s="23" t="s">
        <v>85</v>
      </c>
      <c r="DG23" s="23" t="s">
        <v>85</v>
      </c>
      <c r="DT23" s="23" t="s">
        <v>85</v>
      </c>
      <c r="EG23" s="23" t="s">
        <v>85</v>
      </c>
      <c r="ET23" s="23" t="s">
        <v>85</v>
      </c>
      <c r="FG23" s="23" t="s">
        <v>85</v>
      </c>
      <c r="FT23" s="23" t="s">
        <v>85</v>
      </c>
      <c r="GG23" s="23" t="s">
        <v>85</v>
      </c>
      <c r="GT23" s="11" t="s">
        <v>2994</v>
      </c>
      <c r="HC23" s="23" t="s">
        <v>84</v>
      </c>
    </row>
    <row r="24" spans="1:211" x14ac:dyDescent="0.25">
      <c r="A24" s="13" t="s">
        <v>1472</v>
      </c>
      <c r="F24" s="23" t="s">
        <v>86</v>
      </c>
      <c r="S24" s="23" t="s">
        <v>86</v>
      </c>
      <c r="AT24" s="23" t="s">
        <v>86</v>
      </c>
      <c r="BG24" s="23" t="s">
        <v>86</v>
      </c>
      <c r="BT24" s="23" t="s">
        <v>86</v>
      </c>
      <c r="CG24" s="23" t="s">
        <v>86</v>
      </c>
      <c r="CT24" s="23" t="s">
        <v>86</v>
      </c>
      <c r="DG24" s="23" t="s">
        <v>86</v>
      </c>
      <c r="DT24" s="23" t="s">
        <v>86</v>
      </c>
      <c r="EG24" s="23" t="s">
        <v>86</v>
      </c>
      <c r="ET24" s="23" t="s">
        <v>86</v>
      </c>
      <c r="FG24" s="23" t="s">
        <v>86</v>
      </c>
      <c r="FT24" s="23" t="s">
        <v>86</v>
      </c>
      <c r="GG24" s="23" t="s">
        <v>86</v>
      </c>
      <c r="GT24" s="13" t="s">
        <v>2995</v>
      </c>
      <c r="HC24" s="23" t="s">
        <v>85</v>
      </c>
    </row>
    <row r="25" spans="1:211" ht="28.5" x14ac:dyDescent="0.25">
      <c r="A25" s="14" t="s">
        <v>1473</v>
      </c>
      <c r="F25" s="13" t="s">
        <v>87</v>
      </c>
      <c r="S25" s="13" t="s">
        <v>87</v>
      </c>
      <c r="AT25" s="13" t="s">
        <v>87</v>
      </c>
      <c r="BG25" s="13" t="s">
        <v>87</v>
      </c>
      <c r="BT25" s="13" t="s">
        <v>87</v>
      </c>
      <c r="CG25" s="13" t="s">
        <v>87</v>
      </c>
      <c r="CT25" s="13" t="s">
        <v>87</v>
      </c>
      <c r="DG25" s="13" t="s">
        <v>87</v>
      </c>
      <c r="DT25" s="13" t="s">
        <v>87</v>
      </c>
      <c r="EG25" s="13" t="s">
        <v>87</v>
      </c>
      <c r="ET25" s="13" t="s">
        <v>87</v>
      </c>
      <c r="FG25" s="13" t="s">
        <v>87</v>
      </c>
      <c r="FT25" s="13" t="s">
        <v>87</v>
      </c>
      <c r="GG25" s="13" t="s">
        <v>87</v>
      </c>
      <c r="GT25" s="11" t="s">
        <v>2996</v>
      </c>
      <c r="HC25" s="23" t="s">
        <v>2792</v>
      </c>
    </row>
    <row r="26" spans="1:211" x14ac:dyDescent="0.25">
      <c r="A26" s="13" t="s">
        <v>2776</v>
      </c>
      <c r="F26" s="23" t="s">
        <v>88</v>
      </c>
      <c r="S26" s="23" t="s">
        <v>88</v>
      </c>
      <c r="AT26" s="23" t="s">
        <v>88</v>
      </c>
      <c r="BG26" s="23" t="s">
        <v>88</v>
      </c>
      <c r="BT26" s="23" t="s">
        <v>88</v>
      </c>
      <c r="CG26" s="23" t="s">
        <v>88</v>
      </c>
      <c r="CT26" s="23" t="s">
        <v>88</v>
      </c>
      <c r="DG26" s="23" t="s">
        <v>88</v>
      </c>
      <c r="DT26" s="23" t="s">
        <v>88</v>
      </c>
      <c r="EG26" s="23" t="s">
        <v>88</v>
      </c>
      <c r="ET26" s="23" t="s">
        <v>88</v>
      </c>
      <c r="FG26" s="23" t="s">
        <v>88</v>
      </c>
      <c r="FT26" s="23" t="s">
        <v>88</v>
      </c>
      <c r="GG26" s="23" t="s">
        <v>88</v>
      </c>
      <c r="GT26" s="13" t="s">
        <v>46</v>
      </c>
      <c r="HC26" s="13" t="s">
        <v>2793</v>
      </c>
    </row>
    <row r="27" spans="1:211" ht="42.75" x14ac:dyDescent="0.25">
      <c r="A27" s="14" t="s">
        <v>2777</v>
      </c>
      <c r="F27" s="23" t="s">
        <v>88</v>
      </c>
      <c r="S27" s="23" t="s">
        <v>88</v>
      </c>
      <c r="AT27" s="23" t="s">
        <v>88</v>
      </c>
      <c r="BG27" s="23" t="s">
        <v>88</v>
      </c>
      <c r="BT27" s="23" t="s">
        <v>88</v>
      </c>
      <c r="CG27" s="23" t="s">
        <v>88</v>
      </c>
      <c r="CT27" s="23" t="s">
        <v>88</v>
      </c>
      <c r="DG27" s="23" t="s">
        <v>88</v>
      </c>
      <c r="DT27" s="23" t="s">
        <v>88</v>
      </c>
      <c r="EG27" s="23" t="s">
        <v>88</v>
      </c>
      <c r="ET27" s="23" t="s">
        <v>88</v>
      </c>
      <c r="FG27" s="23" t="s">
        <v>88</v>
      </c>
      <c r="FT27" s="23" t="s">
        <v>88</v>
      </c>
      <c r="GG27" s="23" t="s">
        <v>88</v>
      </c>
      <c r="GT27" s="11" t="s">
        <v>2997</v>
      </c>
      <c r="HC27" s="23" t="s">
        <v>2794</v>
      </c>
    </row>
    <row r="28" spans="1:211" x14ac:dyDescent="0.25">
      <c r="A28" s="12" t="s">
        <v>31</v>
      </c>
      <c r="F28" s="13" t="s">
        <v>89</v>
      </c>
      <c r="S28" s="13" t="s">
        <v>89</v>
      </c>
      <c r="AT28" s="13" t="s">
        <v>89</v>
      </c>
      <c r="BG28" s="13" t="s">
        <v>89</v>
      </c>
      <c r="BT28" s="13" t="s">
        <v>89</v>
      </c>
      <c r="CG28" s="13" t="s">
        <v>89</v>
      </c>
      <c r="CT28" s="13" t="s">
        <v>89</v>
      </c>
      <c r="DG28" s="13" t="s">
        <v>89</v>
      </c>
      <c r="DT28" s="13" t="s">
        <v>89</v>
      </c>
      <c r="EG28" s="13" t="s">
        <v>89</v>
      </c>
      <c r="ET28" s="13" t="s">
        <v>89</v>
      </c>
      <c r="FG28" s="13" t="s">
        <v>89</v>
      </c>
      <c r="FT28" s="13" t="s">
        <v>89</v>
      </c>
      <c r="GG28" s="13" t="s">
        <v>89</v>
      </c>
      <c r="GT28" s="11" t="s">
        <v>47</v>
      </c>
      <c r="HC28" s="23" t="s">
        <v>2795</v>
      </c>
    </row>
    <row r="29" spans="1:211" x14ac:dyDescent="0.25">
      <c r="A29" s="16" t="s">
        <v>32</v>
      </c>
      <c r="B29" s="15" t="s">
        <v>33</v>
      </c>
      <c r="F29" s="13" t="s">
        <v>90</v>
      </c>
      <c r="S29" s="13" t="s">
        <v>90</v>
      </c>
      <c r="AT29" s="13" t="s">
        <v>90</v>
      </c>
      <c r="BG29" s="13" t="s">
        <v>90</v>
      </c>
      <c r="BT29" s="13" t="s">
        <v>90</v>
      </c>
      <c r="CG29" s="13" t="s">
        <v>90</v>
      </c>
      <c r="CT29" s="13" t="s">
        <v>90</v>
      </c>
      <c r="DG29" s="13" t="s">
        <v>90</v>
      </c>
      <c r="DT29" s="13" t="s">
        <v>90</v>
      </c>
      <c r="EG29" s="13" t="s">
        <v>90</v>
      </c>
      <c r="ET29" s="13" t="s">
        <v>90</v>
      </c>
      <c r="FG29" s="13" t="s">
        <v>90</v>
      </c>
      <c r="FT29" s="13" t="s">
        <v>90</v>
      </c>
      <c r="GG29" s="13" t="s">
        <v>90</v>
      </c>
      <c r="GT29" s="11" t="s">
        <v>2998</v>
      </c>
      <c r="HC29" s="13" t="s">
        <v>89</v>
      </c>
    </row>
    <row r="30" spans="1:211" x14ac:dyDescent="0.25">
      <c r="A30" s="16" t="s">
        <v>34</v>
      </c>
      <c r="B30" s="15" t="s">
        <v>33</v>
      </c>
      <c r="F30" s="23" t="s">
        <v>91</v>
      </c>
      <c r="S30" s="23" t="s">
        <v>91</v>
      </c>
      <c r="AT30" s="23" t="s">
        <v>91</v>
      </c>
      <c r="BG30" s="23" t="s">
        <v>91</v>
      </c>
      <c r="BT30" s="23" t="s">
        <v>91</v>
      </c>
      <c r="CG30" s="23" t="s">
        <v>91</v>
      </c>
      <c r="CT30" s="23" t="s">
        <v>91</v>
      </c>
      <c r="DG30" s="23" t="s">
        <v>91</v>
      </c>
      <c r="DT30" s="23" t="s">
        <v>91</v>
      </c>
      <c r="EG30" s="23" t="s">
        <v>91</v>
      </c>
      <c r="ET30" s="23" t="s">
        <v>91</v>
      </c>
      <c r="FG30" s="23" t="s">
        <v>91</v>
      </c>
      <c r="FT30" s="23" t="s">
        <v>91</v>
      </c>
      <c r="GG30" s="23" t="s">
        <v>91</v>
      </c>
      <c r="GT30" s="11" t="s">
        <v>2999</v>
      </c>
      <c r="HC30" s="13" t="s">
        <v>2796</v>
      </c>
    </row>
    <row r="31" spans="1:211" x14ac:dyDescent="0.25">
      <c r="A31" s="16" t="s">
        <v>35</v>
      </c>
      <c r="B31" s="15" t="s">
        <v>33</v>
      </c>
      <c r="F31" s="23" t="s">
        <v>45</v>
      </c>
      <c r="S31" s="23" t="s">
        <v>45</v>
      </c>
      <c r="AT31" s="23" t="s">
        <v>45</v>
      </c>
      <c r="BG31" s="23" t="s">
        <v>45</v>
      </c>
      <c r="BT31" s="23" t="s">
        <v>45</v>
      </c>
      <c r="CG31" s="23" t="s">
        <v>45</v>
      </c>
      <c r="CT31" s="23" t="s">
        <v>45</v>
      </c>
      <c r="DG31" s="23" t="s">
        <v>45</v>
      </c>
      <c r="DT31" s="23" t="s">
        <v>45</v>
      </c>
      <c r="EG31" s="23" t="s">
        <v>45</v>
      </c>
      <c r="ET31" s="23" t="s">
        <v>45</v>
      </c>
      <c r="FG31" s="23" t="s">
        <v>45</v>
      </c>
      <c r="FT31" s="23" t="s">
        <v>45</v>
      </c>
      <c r="GG31" s="23" t="s">
        <v>45</v>
      </c>
      <c r="HC31" s="23" t="s">
        <v>2797</v>
      </c>
    </row>
    <row r="32" spans="1:211" x14ac:dyDescent="0.25">
      <c r="A32" s="16" t="s">
        <v>36</v>
      </c>
      <c r="B32" s="15" t="s">
        <v>33</v>
      </c>
      <c r="F32" s="23" t="s">
        <v>92</v>
      </c>
      <c r="S32" s="23" t="s">
        <v>92</v>
      </c>
      <c r="AT32" s="23" t="s">
        <v>92</v>
      </c>
      <c r="BG32" s="23" t="s">
        <v>92</v>
      </c>
      <c r="BT32" s="23" t="s">
        <v>92</v>
      </c>
      <c r="CG32" s="23" t="s">
        <v>92</v>
      </c>
      <c r="CT32" s="23" t="s">
        <v>92</v>
      </c>
      <c r="DG32" s="23" t="s">
        <v>92</v>
      </c>
      <c r="DT32" s="23" t="s">
        <v>92</v>
      </c>
      <c r="EG32" s="23" t="s">
        <v>92</v>
      </c>
      <c r="ET32" s="23" t="s">
        <v>92</v>
      </c>
      <c r="FG32" s="23" t="s">
        <v>92</v>
      </c>
      <c r="FT32" s="23" t="s">
        <v>92</v>
      </c>
      <c r="GG32" s="23" t="s">
        <v>92</v>
      </c>
      <c r="GT32" s="136" t="s">
        <v>3000</v>
      </c>
      <c r="HC32" s="23" t="s">
        <v>2798</v>
      </c>
    </row>
    <row r="33" spans="1:211" x14ac:dyDescent="0.25">
      <c r="A33" s="16" t="s">
        <v>2778</v>
      </c>
      <c r="B33" s="15" t="s">
        <v>33</v>
      </c>
      <c r="F33" s="23" t="s">
        <v>93</v>
      </c>
      <c r="S33" s="23" t="s">
        <v>93</v>
      </c>
      <c r="AT33" s="23" t="s">
        <v>93</v>
      </c>
      <c r="BG33" s="23" t="s">
        <v>93</v>
      </c>
      <c r="BT33" s="23" t="s">
        <v>93</v>
      </c>
      <c r="CG33" s="23" t="s">
        <v>93</v>
      </c>
      <c r="CT33" s="23" t="s">
        <v>93</v>
      </c>
      <c r="DG33" s="23" t="s">
        <v>93</v>
      </c>
      <c r="DT33" s="23" t="s">
        <v>93</v>
      </c>
      <c r="EG33" s="23" t="s">
        <v>93</v>
      </c>
      <c r="ET33" s="23" t="s">
        <v>93</v>
      </c>
      <c r="FG33" s="23" t="s">
        <v>93</v>
      </c>
      <c r="FT33" s="23" t="s">
        <v>93</v>
      </c>
      <c r="GG33" s="23" t="s">
        <v>93</v>
      </c>
      <c r="GT33" s="11" t="s">
        <v>3001</v>
      </c>
      <c r="HC33" s="23" t="s">
        <v>2799</v>
      </c>
    </row>
    <row r="34" spans="1:211" x14ac:dyDescent="0.25">
      <c r="A34" s="16" t="s">
        <v>37</v>
      </c>
      <c r="B34" s="15" t="s">
        <v>33</v>
      </c>
      <c r="F34" s="23" t="s">
        <v>94</v>
      </c>
      <c r="S34" s="23" t="s">
        <v>94</v>
      </c>
      <c r="AF34" s="13" t="s">
        <v>1474</v>
      </c>
      <c r="AT34" s="23" t="s">
        <v>94</v>
      </c>
      <c r="BG34" s="23" t="s">
        <v>94</v>
      </c>
      <c r="BT34" s="23" t="s">
        <v>94</v>
      </c>
      <c r="CG34" s="23" t="s">
        <v>94</v>
      </c>
      <c r="CT34" s="23" t="s">
        <v>94</v>
      </c>
      <c r="DG34" s="23" t="s">
        <v>94</v>
      </c>
      <c r="DT34" s="23" t="s">
        <v>94</v>
      </c>
      <c r="EG34" s="23" t="s">
        <v>94</v>
      </c>
      <c r="ET34" s="23" t="s">
        <v>94</v>
      </c>
      <c r="FG34" s="23" t="s">
        <v>94</v>
      </c>
      <c r="FT34" s="23" t="s">
        <v>94</v>
      </c>
      <c r="GG34" s="23" t="s">
        <v>94</v>
      </c>
      <c r="GT34" s="11" t="s">
        <v>3002</v>
      </c>
      <c r="HC34" s="23" t="s">
        <v>93</v>
      </c>
    </row>
    <row r="35" spans="1:211" x14ac:dyDescent="0.25">
      <c r="A35" s="16" t="s">
        <v>39</v>
      </c>
      <c r="B35" s="15" t="s">
        <v>33</v>
      </c>
      <c r="F35" s="23" t="s">
        <v>95</v>
      </c>
      <c r="S35" s="23" t="s">
        <v>95</v>
      </c>
      <c r="AF35" s="13" t="s">
        <v>616</v>
      </c>
      <c r="AT35" s="23" t="s">
        <v>95</v>
      </c>
      <c r="BG35" s="23" t="s">
        <v>95</v>
      </c>
      <c r="BT35" s="23" t="s">
        <v>95</v>
      </c>
      <c r="CG35" s="23" t="s">
        <v>95</v>
      </c>
      <c r="CT35" s="23" t="s">
        <v>95</v>
      </c>
      <c r="DG35" s="23" t="s">
        <v>95</v>
      </c>
      <c r="DT35" s="23" t="s">
        <v>95</v>
      </c>
      <c r="EG35" s="23" t="s">
        <v>95</v>
      </c>
      <c r="ET35" s="23" t="s">
        <v>95</v>
      </c>
      <c r="FG35" s="23" t="s">
        <v>95</v>
      </c>
      <c r="FT35" s="23" t="s">
        <v>95</v>
      </c>
      <c r="GG35" s="23" t="s">
        <v>95</v>
      </c>
      <c r="GT35" s="11" t="s">
        <v>3003</v>
      </c>
      <c r="HC35" s="23" t="s">
        <v>2800</v>
      </c>
    </row>
    <row r="36" spans="1:211" x14ac:dyDescent="0.25">
      <c r="A36" s="16" t="s">
        <v>38</v>
      </c>
      <c r="B36" s="15" t="s">
        <v>33</v>
      </c>
      <c r="F36" s="23" t="s">
        <v>96</v>
      </c>
      <c r="S36" s="23" t="s">
        <v>96</v>
      </c>
      <c r="AF36" s="13" t="s">
        <v>1475</v>
      </c>
      <c r="AT36" s="23" t="s">
        <v>96</v>
      </c>
      <c r="BG36" s="23" t="s">
        <v>96</v>
      </c>
      <c r="BT36" s="23" t="s">
        <v>96</v>
      </c>
      <c r="CG36" s="23" t="s">
        <v>96</v>
      </c>
      <c r="CT36" s="23" t="s">
        <v>96</v>
      </c>
      <c r="DG36" s="23" t="s">
        <v>96</v>
      </c>
      <c r="DT36" s="23" t="s">
        <v>96</v>
      </c>
      <c r="EG36" s="23" t="s">
        <v>96</v>
      </c>
      <c r="ET36" s="23" t="s">
        <v>96</v>
      </c>
      <c r="FG36" s="23" t="s">
        <v>96</v>
      </c>
      <c r="FT36" s="23" t="s">
        <v>96</v>
      </c>
      <c r="GG36" s="23" t="s">
        <v>96</v>
      </c>
      <c r="GT36" s="11" t="s">
        <v>3004</v>
      </c>
      <c r="HC36" s="23" t="s">
        <v>2801</v>
      </c>
    </row>
    <row r="37" spans="1:211" x14ac:dyDescent="0.25">
      <c r="A37" s="17" t="s">
        <v>40</v>
      </c>
      <c r="F37" s="23" t="s">
        <v>97</v>
      </c>
      <c r="S37" s="23" t="s">
        <v>97</v>
      </c>
      <c r="AF37" s="13" t="s">
        <v>1476</v>
      </c>
      <c r="AT37" s="23" t="s">
        <v>97</v>
      </c>
      <c r="BG37" s="23" t="s">
        <v>97</v>
      </c>
      <c r="BT37" s="23" t="s">
        <v>97</v>
      </c>
      <c r="CG37" s="23" t="s">
        <v>97</v>
      </c>
      <c r="CT37" s="23" t="s">
        <v>97</v>
      </c>
      <c r="DG37" s="23" t="s">
        <v>97</v>
      </c>
      <c r="DT37" s="23" t="s">
        <v>97</v>
      </c>
      <c r="EG37" s="23" t="s">
        <v>97</v>
      </c>
      <c r="ET37" s="23" t="s">
        <v>97</v>
      </c>
      <c r="FG37" s="23" t="s">
        <v>97</v>
      </c>
      <c r="FT37" s="23" t="s">
        <v>97</v>
      </c>
      <c r="GG37" s="23" t="s">
        <v>97</v>
      </c>
      <c r="GT37" s="11" t="s">
        <v>3005</v>
      </c>
      <c r="HC37" s="23" t="s">
        <v>2802</v>
      </c>
    </row>
    <row r="38" spans="1:211" x14ac:dyDescent="0.25">
      <c r="A38" s="11"/>
      <c r="F38" s="23" t="s">
        <v>98</v>
      </c>
      <c r="S38" s="23" t="s">
        <v>98</v>
      </c>
      <c r="AF38" s="23" t="s">
        <v>73</v>
      </c>
      <c r="AT38" s="23" t="s">
        <v>98</v>
      </c>
      <c r="BG38" s="23" t="s">
        <v>98</v>
      </c>
      <c r="BT38" s="23" t="s">
        <v>98</v>
      </c>
      <c r="CG38" s="23" t="s">
        <v>98</v>
      </c>
      <c r="CT38" s="23" t="s">
        <v>98</v>
      </c>
      <c r="DG38" s="23" t="s">
        <v>98</v>
      </c>
      <c r="DT38" s="23" t="s">
        <v>98</v>
      </c>
      <c r="EG38" s="23" t="s">
        <v>98</v>
      </c>
      <c r="ET38" s="23" t="s">
        <v>98</v>
      </c>
      <c r="FG38" s="23" t="s">
        <v>98</v>
      </c>
      <c r="FT38" s="23" t="s">
        <v>98</v>
      </c>
      <c r="GG38" s="23" t="s">
        <v>98</v>
      </c>
      <c r="GT38" s="11" t="s">
        <v>3006</v>
      </c>
      <c r="HC38" s="23" t="s">
        <v>2803</v>
      </c>
    </row>
    <row r="39" spans="1:211" x14ac:dyDescent="0.25">
      <c r="A39" s="2" t="s">
        <v>2779</v>
      </c>
      <c r="F39" s="23" t="s">
        <v>49</v>
      </c>
      <c r="S39" s="23" t="s">
        <v>49</v>
      </c>
      <c r="AF39" s="23" t="s">
        <v>1477</v>
      </c>
      <c r="AT39" s="23" t="s">
        <v>49</v>
      </c>
      <c r="BG39" s="23" t="s">
        <v>49</v>
      </c>
      <c r="BT39" s="23" t="s">
        <v>49</v>
      </c>
      <c r="CG39" s="23" t="s">
        <v>49</v>
      </c>
      <c r="CT39" s="23" t="s">
        <v>49</v>
      </c>
      <c r="DG39" s="23" t="s">
        <v>49</v>
      </c>
      <c r="DT39" s="23" t="s">
        <v>49</v>
      </c>
      <c r="EG39" s="23" t="s">
        <v>49</v>
      </c>
      <c r="ET39" s="23" t="s">
        <v>49</v>
      </c>
      <c r="FG39" s="23" t="s">
        <v>49</v>
      </c>
      <c r="FT39" s="23" t="s">
        <v>49</v>
      </c>
      <c r="GG39" s="23" t="s">
        <v>49</v>
      </c>
      <c r="GT39" s="11" t="s">
        <v>3007</v>
      </c>
      <c r="HC39" s="23" t="s">
        <v>2804</v>
      </c>
    </row>
    <row r="40" spans="1:211" x14ac:dyDescent="0.25">
      <c r="A40" s="2" t="s">
        <v>41</v>
      </c>
      <c r="F40" s="23" t="s">
        <v>99</v>
      </c>
      <c r="S40" s="23" t="s">
        <v>99</v>
      </c>
      <c r="AF40" s="23" t="s">
        <v>1478</v>
      </c>
      <c r="AT40" s="23" t="s">
        <v>99</v>
      </c>
      <c r="BG40" s="23" t="s">
        <v>99</v>
      </c>
      <c r="BT40" s="23" t="s">
        <v>99</v>
      </c>
      <c r="CG40" s="23" t="s">
        <v>99</v>
      </c>
      <c r="CT40" s="23" t="s">
        <v>99</v>
      </c>
      <c r="DG40" s="23" t="s">
        <v>99</v>
      </c>
      <c r="DT40" s="23" t="s">
        <v>99</v>
      </c>
      <c r="EG40" s="23" t="s">
        <v>99</v>
      </c>
      <c r="ET40" s="23" t="s">
        <v>99</v>
      </c>
      <c r="FG40" s="23" t="s">
        <v>99</v>
      </c>
      <c r="FT40" s="23" t="s">
        <v>99</v>
      </c>
      <c r="GG40" s="23" t="s">
        <v>99</v>
      </c>
      <c r="GT40" s="11" t="s">
        <v>48</v>
      </c>
      <c r="HC40" s="23" t="s">
        <v>49</v>
      </c>
    </row>
    <row r="41" spans="1:211" ht="15" customHeight="1" x14ac:dyDescent="0.25">
      <c r="A41" s="5" t="s">
        <v>42</v>
      </c>
      <c r="B41" s="5" t="s">
        <v>43</v>
      </c>
      <c r="C41" s="5" t="s">
        <v>44</v>
      </c>
      <c r="F41" s="23" t="s">
        <v>100</v>
      </c>
      <c r="S41" s="23" t="s">
        <v>100</v>
      </c>
      <c r="AF41" s="23" t="s">
        <v>1479</v>
      </c>
      <c r="AT41" s="23" t="s">
        <v>100</v>
      </c>
      <c r="BG41" s="23" t="s">
        <v>100</v>
      </c>
      <c r="BT41" s="23" t="s">
        <v>100</v>
      </c>
      <c r="CG41" s="23" t="s">
        <v>100</v>
      </c>
      <c r="CT41" s="23" t="s">
        <v>100</v>
      </c>
      <c r="DG41" s="23" t="s">
        <v>100</v>
      </c>
      <c r="DT41" s="23" t="s">
        <v>100</v>
      </c>
      <c r="EG41" s="23" t="s">
        <v>100</v>
      </c>
      <c r="ET41" s="23" t="s">
        <v>100</v>
      </c>
      <c r="FG41" s="23" t="s">
        <v>100</v>
      </c>
      <c r="FT41" s="23" t="s">
        <v>100</v>
      </c>
      <c r="GG41" s="23" t="s">
        <v>100</v>
      </c>
      <c r="GT41" s="11" t="s">
        <v>3008</v>
      </c>
      <c r="HC41" s="23" t="s">
        <v>2805</v>
      </c>
    </row>
    <row r="42" spans="1:211" x14ac:dyDescent="0.25">
      <c r="F42" s="23" t="s">
        <v>101</v>
      </c>
      <c r="S42" s="23" t="s">
        <v>101</v>
      </c>
      <c r="AF42" s="23" t="s">
        <v>1480</v>
      </c>
      <c r="AT42" s="23" t="s">
        <v>101</v>
      </c>
      <c r="BG42" s="23" t="s">
        <v>101</v>
      </c>
      <c r="BT42" s="23" t="s">
        <v>101</v>
      </c>
      <c r="CG42" s="23" t="s">
        <v>101</v>
      </c>
      <c r="CT42" s="23" t="s">
        <v>101</v>
      </c>
      <c r="DG42" s="23" t="s">
        <v>101</v>
      </c>
      <c r="DT42" s="23" t="s">
        <v>101</v>
      </c>
      <c r="EG42" s="23" t="s">
        <v>101</v>
      </c>
      <c r="ET42" s="23" t="s">
        <v>101</v>
      </c>
      <c r="FG42" s="23" t="s">
        <v>101</v>
      </c>
      <c r="FT42" s="23" t="s">
        <v>101</v>
      </c>
      <c r="GG42" s="23" t="s">
        <v>101</v>
      </c>
      <c r="GT42" s="21" t="s">
        <v>2977</v>
      </c>
      <c r="HC42" s="23" t="s">
        <v>2806</v>
      </c>
    </row>
    <row r="43" spans="1:211" x14ac:dyDescent="0.25">
      <c r="F43" s="23" t="s">
        <v>47</v>
      </c>
      <c r="S43" s="23" t="s">
        <v>47</v>
      </c>
      <c r="AF43" s="23" t="s">
        <v>1481</v>
      </c>
      <c r="AT43" s="23" t="s">
        <v>47</v>
      </c>
      <c r="BG43" s="23" t="s">
        <v>47</v>
      </c>
      <c r="BT43" s="23" t="s">
        <v>47</v>
      </c>
      <c r="CG43" s="23" t="s">
        <v>47</v>
      </c>
      <c r="CT43" s="23" t="s">
        <v>47</v>
      </c>
      <c r="DG43" s="23" t="s">
        <v>47</v>
      </c>
      <c r="DT43" s="23" t="s">
        <v>47</v>
      </c>
      <c r="EG43" s="23" t="s">
        <v>47</v>
      </c>
      <c r="ET43" s="23" t="s">
        <v>47</v>
      </c>
      <c r="FG43" s="23" t="s">
        <v>47</v>
      </c>
      <c r="FT43" s="23" t="s">
        <v>47</v>
      </c>
      <c r="GG43" s="23" t="s">
        <v>47</v>
      </c>
      <c r="GT43" s="21" t="s">
        <v>2978</v>
      </c>
      <c r="HC43" s="23" t="s">
        <v>2807</v>
      </c>
    </row>
    <row r="44" spans="1:211" x14ac:dyDescent="0.25">
      <c r="F44" s="23" t="s">
        <v>102</v>
      </c>
      <c r="S44" s="23" t="s">
        <v>102</v>
      </c>
      <c r="AF44" s="23" t="s">
        <v>74</v>
      </c>
      <c r="AT44" s="23" t="s">
        <v>102</v>
      </c>
      <c r="BG44" s="23" t="s">
        <v>102</v>
      </c>
      <c r="BT44" s="23" t="s">
        <v>102</v>
      </c>
      <c r="CG44" s="23" t="s">
        <v>102</v>
      </c>
      <c r="CT44" s="23" t="s">
        <v>102</v>
      </c>
      <c r="DG44" s="23" t="s">
        <v>102</v>
      </c>
      <c r="DT44" s="23" t="s">
        <v>102</v>
      </c>
      <c r="EG44" s="23" t="s">
        <v>102</v>
      </c>
      <c r="ET44" s="23" t="s">
        <v>102</v>
      </c>
      <c r="FG44" s="23" t="s">
        <v>102</v>
      </c>
      <c r="FT44" s="23" t="s">
        <v>102</v>
      </c>
      <c r="GG44" s="23" t="s">
        <v>102</v>
      </c>
      <c r="GT44" s="20" t="s">
        <v>2979</v>
      </c>
      <c r="HC44" s="23" t="s">
        <v>2808</v>
      </c>
    </row>
    <row r="45" spans="1:211" x14ac:dyDescent="0.25">
      <c r="F45" s="23" t="s">
        <v>82</v>
      </c>
      <c r="S45" s="23" t="s">
        <v>82</v>
      </c>
      <c r="AF45" s="23" t="s">
        <v>75</v>
      </c>
      <c r="AT45" s="23" t="s">
        <v>82</v>
      </c>
      <c r="BG45" s="23" t="s">
        <v>82</v>
      </c>
      <c r="BT45" s="23" t="s">
        <v>82</v>
      </c>
      <c r="CG45" s="23" t="s">
        <v>82</v>
      </c>
      <c r="CT45" s="23" t="s">
        <v>82</v>
      </c>
      <c r="DG45" s="23" t="s">
        <v>82</v>
      </c>
      <c r="DT45" s="23" t="s">
        <v>82</v>
      </c>
      <c r="EG45" s="23" t="s">
        <v>82</v>
      </c>
      <c r="ET45" s="23" t="s">
        <v>82</v>
      </c>
      <c r="FG45" s="23" t="s">
        <v>82</v>
      </c>
      <c r="FT45" s="23" t="s">
        <v>82</v>
      </c>
      <c r="GG45" s="23" t="s">
        <v>82</v>
      </c>
      <c r="GT45" s="21" t="s">
        <v>2980</v>
      </c>
      <c r="HC45" s="23" t="s">
        <v>2809</v>
      </c>
    </row>
    <row r="46" spans="1:211" x14ac:dyDescent="0.25">
      <c r="F46" s="23" t="s">
        <v>103</v>
      </c>
      <c r="S46" s="23" t="s">
        <v>103</v>
      </c>
      <c r="AF46" s="23" t="s">
        <v>76</v>
      </c>
      <c r="AT46" s="23" t="s">
        <v>103</v>
      </c>
      <c r="BG46" s="23" t="s">
        <v>103</v>
      </c>
      <c r="BT46" s="23" t="s">
        <v>103</v>
      </c>
      <c r="CG46" s="23" t="s">
        <v>103</v>
      </c>
      <c r="CT46" s="23" t="s">
        <v>103</v>
      </c>
      <c r="DG46" s="23" t="s">
        <v>103</v>
      </c>
      <c r="DT46" s="23" t="s">
        <v>103</v>
      </c>
      <c r="EG46" s="23" t="s">
        <v>103</v>
      </c>
      <c r="ET46" s="23" t="s">
        <v>103</v>
      </c>
      <c r="FG46" s="23" t="s">
        <v>103</v>
      </c>
      <c r="FT46" s="23" t="s">
        <v>103</v>
      </c>
      <c r="GG46" s="23" t="s">
        <v>103</v>
      </c>
      <c r="GT46" s="112" t="s">
        <v>1462</v>
      </c>
      <c r="HC46" s="23" t="s">
        <v>2790</v>
      </c>
    </row>
    <row r="47" spans="1:211" x14ac:dyDescent="0.25">
      <c r="F47" s="23" t="s">
        <v>104</v>
      </c>
      <c r="S47" s="23" t="s">
        <v>104</v>
      </c>
      <c r="AF47" s="23" t="s">
        <v>77</v>
      </c>
      <c r="AT47" s="23" t="s">
        <v>104</v>
      </c>
      <c r="BG47" s="23" t="s">
        <v>104</v>
      </c>
      <c r="BT47" s="23" t="s">
        <v>104</v>
      </c>
      <c r="CG47" s="23" t="s">
        <v>104</v>
      </c>
      <c r="CT47" s="23" t="s">
        <v>104</v>
      </c>
      <c r="DG47" s="23" t="s">
        <v>104</v>
      </c>
      <c r="DT47" s="23" t="s">
        <v>104</v>
      </c>
      <c r="EG47" s="23" t="s">
        <v>104</v>
      </c>
      <c r="ET47" s="23" t="s">
        <v>104</v>
      </c>
      <c r="FG47" s="23" t="s">
        <v>104</v>
      </c>
      <c r="FT47" s="23" t="s">
        <v>104</v>
      </c>
      <c r="GG47" s="23" t="s">
        <v>104</v>
      </c>
      <c r="GT47" s="20" t="s">
        <v>2981</v>
      </c>
      <c r="HC47" s="23" t="s">
        <v>2810</v>
      </c>
    </row>
    <row r="48" spans="1:211" x14ac:dyDescent="0.25">
      <c r="F48" s="13" t="s">
        <v>105</v>
      </c>
      <c r="S48" s="13" t="s">
        <v>105</v>
      </c>
      <c r="AF48" s="23" t="s">
        <v>78</v>
      </c>
      <c r="AT48" s="13" t="s">
        <v>105</v>
      </c>
      <c r="BG48" s="13" t="s">
        <v>105</v>
      </c>
      <c r="BT48" s="13" t="s">
        <v>105</v>
      </c>
      <c r="CG48" s="13" t="s">
        <v>105</v>
      </c>
      <c r="CT48" s="13" t="s">
        <v>105</v>
      </c>
      <c r="DG48" s="13" t="s">
        <v>105</v>
      </c>
      <c r="DT48" s="13" t="s">
        <v>105</v>
      </c>
      <c r="EG48" s="13" t="s">
        <v>105</v>
      </c>
      <c r="ET48" s="13" t="s">
        <v>105</v>
      </c>
      <c r="FG48" s="13" t="s">
        <v>105</v>
      </c>
      <c r="FT48" s="13" t="s">
        <v>105</v>
      </c>
      <c r="GG48" s="13" t="s">
        <v>105</v>
      </c>
      <c r="GT48" s="21" t="s">
        <v>2982</v>
      </c>
      <c r="HC48" s="23" t="s">
        <v>2811</v>
      </c>
    </row>
    <row r="49" spans="6:211" x14ac:dyDescent="0.25">
      <c r="F49" s="13" t="s">
        <v>106</v>
      </c>
      <c r="S49" s="13" t="s">
        <v>106</v>
      </c>
      <c r="AF49" s="23" t="s">
        <v>79</v>
      </c>
      <c r="AT49" s="13" t="s">
        <v>106</v>
      </c>
      <c r="BG49" s="13" t="s">
        <v>106</v>
      </c>
      <c r="BT49" s="13" t="s">
        <v>106</v>
      </c>
      <c r="CG49" s="13" t="s">
        <v>106</v>
      </c>
      <c r="CT49" s="13" t="s">
        <v>106</v>
      </c>
      <c r="DG49" s="13" t="s">
        <v>106</v>
      </c>
      <c r="DT49" s="13" t="s">
        <v>106</v>
      </c>
      <c r="EG49" s="13" t="s">
        <v>106</v>
      </c>
      <c r="ET49" s="13" t="s">
        <v>106</v>
      </c>
      <c r="FG49" s="13" t="s">
        <v>106</v>
      </c>
      <c r="FT49" s="13" t="s">
        <v>106</v>
      </c>
      <c r="GG49" s="13" t="s">
        <v>106</v>
      </c>
      <c r="GT49" s="112" t="s">
        <v>2983</v>
      </c>
      <c r="HC49" s="13" t="s">
        <v>105</v>
      </c>
    </row>
    <row r="50" spans="6:211" x14ac:dyDescent="0.25">
      <c r="F50" s="13" t="s">
        <v>107</v>
      </c>
      <c r="S50" s="13" t="s">
        <v>107</v>
      </c>
      <c r="AF50" s="23" t="s">
        <v>80</v>
      </c>
      <c r="AT50" s="13" t="s">
        <v>107</v>
      </c>
      <c r="BG50" s="13" t="s">
        <v>107</v>
      </c>
      <c r="BT50" s="13" t="s">
        <v>107</v>
      </c>
      <c r="CG50" s="13" t="s">
        <v>107</v>
      </c>
      <c r="CT50" s="13" t="s">
        <v>107</v>
      </c>
      <c r="DG50" s="13" t="s">
        <v>107</v>
      </c>
      <c r="DT50" s="13" t="s">
        <v>107</v>
      </c>
      <c r="EG50" s="13" t="s">
        <v>107</v>
      </c>
      <c r="ET50" s="13" t="s">
        <v>107</v>
      </c>
      <c r="FG50" s="13" t="s">
        <v>107</v>
      </c>
      <c r="FT50" s="13" t="s">
        <v>107</v>
      </c>
      <c r="GG50" s="13" t="s">
        <v>107</v>
      </c>
      <c r="GT50" s="21" t="s">
        <v>2984</v>
      </c>
      <c r="HC50" s="13" t="s">
        <v>106</v>
      </c>
    </row>
    <row r="51" spans="6:211" x14ac:dyDescent="0.25">
      <c r="F51" s="13" t="s">
        <v>108</v>
      </c>
      <c r="S51" s="13" t="s">
        <v>108</v>
      </c>
      <c r="AF51" s="23" t="s">
        <v>81</v>
      </c>
      <c r="AT51" s="13" t="s">
        <v>108</v>
      </c>
      <c r="BG51" s="13" t="s">
        <v>108</v>
      </c>
      <c r="BT51" s="13" t="s">
        <v>108</v>
      </c>
      <c r="CG51" s="13" t="s">
        <v>108</v>
      </c>
      <c r="CT51" s="13" t="s">
        <v>108</v>
      </c>
      <c r="DG51" s="13" t="s">
        <v>108</v>
      </c>
      <c r="DT51" s="13" t="s">
        <v>108</v>
      </c>
      <c r="EG51" s="13" t="s">
        <v>108</v>
      </c>
      <c r="ET51" s="13" t="s">
        <v>108</v>
      </c>
      <c r="FG51" s="13" t="s">
        <v>108</v>
      </c>
      <c r="FT51" s="13" t="s">
        <v>108</v>
      </c>
      <c r="GG51" s="13" t="s">
        <v>108</v>
      </c>
      <c r="GT51" s="20" t="s">
        <v>2985</v>
      </c>
      <c r="HC51" s="13" t="s">
        <v>107</v>
      </c>
    </row>
    <row r="52" spans="6:211" x14ac:dyDescent="0.25">
      <c r="F52" s="13" t="s">
        <v>109</v>
      </c>
      <c r="S52" s="13" t="s">
        <v>109</v>
      </c>
      <c r="AF52" s="23" t="s">
        <v>82</v>
      </c>
      <c r="AT52" s="13" t="s">
        <v>109</v>
      </c>
      <c r="BG52" s="13" t="s">
        <v>109</v>
      </c>
      <c r="BT52" s="13" t="s">
        <v>109</v>
      </c>
      <c r="CG52" s="13" t="s">
        <v>109</v>
      </c>
      <c r="CT52" s="13" t="s">
        <v>109</v>
      </c>
      <c r="DG52" s="13" t="s">
        <v>109</v>
      </c>
      <c r="DT52" s="13" t="s">
        <v>109</v>
      </c>
      <c r="EG52" s="13" t="s">
        <v>109</v>
      </c>
      <c r="ET52" s="13" t="s">
        <v>109</v>
      </c>
      <c r="FG52" s="13" t="s">
        <v>109</v>
      </c>
      <c r="FT52" s="13" t="s">
        <v>109</v>
      </c>
      <c r="GG52" s="13" t="s">
        <v>109</v>
      </c>
      <c r="GT52" s="20" t="s">
        <v>2986</v>
      </c>
      <c r="HC52" s="13" t="s">
        <v>2812</v>
      </c>
    </row>
    <row r="53" spans="6:211" x14ac:dyDescent="0.25">
      <c r="F53" s="23" t="s">
        <v>110</v>
      </c>
      <c r="S53" s="23" t="s">
        <v>110</v>
      </c>
      <c r="AF53" s="23" t="s">
        <v>83</v>
      </c>
      <c r="AT53" s="23" t="s">
        <v>110</v>
      </c>
      <c r="BG53" s="23" t="s">
        <v>110</v>
      </c>
      <c r="BT53" s="23" t="s">
        <v>110</v>
      </c>
      <c r="CG53" s="23" t="s">
        <v>110</v>
      </c>
      <c r="CT53" s="23" t="s">
        <v>110</v>
      </c>
      <c r="DG53" s="23" t="s">
        <v>110</v>
      </c>
      <c r="DT53" s="23" t="s">
        <v>110</v>
      </c>
      <c r="EG53" s="23" t="s">
        <v>110</v>
      </c>
      <c r="ET53" s="23" t="s">
        <v>110</v>
      </c>
      <c r="FG53" s="23" t="s">
        <v>110</v>
      </c>
      <c r="FT53" s="23" t="s">
        <v>110</v>
      </c>
      <c r="GG53" s="23" t="s">
        <v>110</v>
      </c>
      <c r="GT53" s="20" t="s">
        <v>2987</v>
      </c>
      <c r="HC53" s="13" t="s">
        <v>2813</v>
      </c>
    </row>
    <row r="54" spans="6:211" x14ac:dyDescent="0.25">
      <c r="F54" s="23" t="s">
        <v>111</v>
      </c>
      <c r="S54" s="23" t="s">
        <v>111</v>
      </c>
      <c r="AF54" s="23" t="s">
        <v>84</v>
      </c>
      <c r="AT54" s="23" t="s">
        <v>111</v>
      </c>
      <c r="BG54" s="23" t="s">
        <v>111</v>
      </c>
      <c r="BT54" s="23" t="s">
        <v>111</v>
      </c>
      <c r="CG54" s="23" t="s">
        <v>111</v>
      </c>
      <c r="CT54" s="23" t="s">
        <v>111</v>
      </c>
      <c r="DG54" s="23" t="s">
        <v>111</v>
      </c>
      <c r="DT54" s="23" t="s">
        <v>111</v>
      </c>
      <c r="EG54" s="23" t="s">
        <v>111</v>
      </c>
      <c r="ET54" s="23" t="s">
        <v>111</v>
      </c>
      <c r="FG54" s="23" t="s">
        <v>111</v>
      </c>
      <c r="FT54" s="23" t="s">
        <v>111</v>
      </c>
      <c r="GG54" s="23" t="s">
        <v>111</v>
      </c>
      <c r="GT54" s="21" t="s">
        <v>2988</v>
      </c>
      <c r="HC54" s="23" t="s">
        <v>2814</v>
      </c>
    </row>
    <row r="55" spans="6:211" x14ac:dyDescent="0.25">
      <c r="F55" s="23" t="s">
        <v>80</v>
      </c>
      <c r="S55" s="23" t="s">
        <v>80</v>
      </c>
      <c r="AF55" s="23" t="s">
        <v>85</v>
      </c>
      <c r="AT55" s="23" t="s">
        <v>80</v>
      </c>
      <c r="BG55" s="23" t="s">
        <v>80</v>
      </c>
      <c r="BT55" s="23" t="s">
        <v>80</v>
      </c>
      <c r="CG55" s="23" t="s">
        <v>80</v>
      </c>
      <c r="CT55" s="23" t="s">
        <v>80</v>
      </c>
      <c r="DG55" s="23" t="s">
        <v>80</v>
      </c>
      <c r="DT55" s="23" t="s">
        <v>80</v>
      </c>
      <c r="EG55" s="23" t="s">
        <v>80</v>
      </c>
      <c r="ET55" s="23" t="s">
        <v>80</v>
      </c>
      <c r="FG55" s="23" t="s">
        <v>80</v>
      </c>
      <c r="FT55" s="23" t="s">
        <v>80</v>
      </c>
      <c r="GG55" s="23" t="s">
        <v>80</v>
      </c>
      <c r="GT55" s="11" t="s">
        <v>2780</v>
      </c>
      <c r="HC55" s="23" t="s">
        <v>2815</v>
      </c>
    </row>
    <row r="56" spans="6:211" x14ac:dyDescent="0.25">
      <c r="F56" s="23" t="s">
        <v>112</v>
      </c>
      <c r="S56" s="23" t="s">
        <v>112</v>
      </c>
      <c r="AF56" s="23" t="s">
        <v>86</v>
      </c>
      <c r="AT56" s="23" t="s">
        <v>112</v>
      </c>
      <c r="BG56" s="23" t="s">
        <v>112</v>
      </c>
      <c r="BT56" s="23" t="s">
        <v>112</v>
      </c>
      <c r="CG56" s="23" t="s">
        <v>112</v>
      </c>
      <c r="CT56" s="23" t="s">
        <v>112</v>
      </c>
      <c r="DG56" s="23" t="s">
        <v>112</v>
      </c>
      <c r="DT56" s="23" t="s">
        <v>112</v>
      </c>
      <c r="EG56" s="23" t="s">
        <v>112</v>
      </c>
      <c r="ET56" s="23" t="s">
        <v>112</v>
      </c>
      <c r="FG56" s="23" t="s">
        <v>112</v>
      </c>
      <c r="FT56" s="23" t="s">
        <v>112</v>
      </c>
      <c r="GG56" s="23" t="s">
        <v>112</v>
      </c>
      <c r="GT56" s="11"/>
      <c r="HC56" s="23" t="s">
        <v>2788</v>
      </c>
    </row>
    <row r="57" spans="6:211" ht="31.5" x14ac:dyDescent="0.25">
      <c r="F57" s="23" t="s">
        <v>113</v>
      </c>
      <c r="S57" s="23" t="s">
        <v>113</v>
      </c>
      <c r="AF57" s="13" t="s">
        <v>87</v>
      </c>
      <c r="AT57" s="23" t="s">
        <v>113</v>
      </c>
      <c r="BG57" s="23" t="s">
        <v>113</v>
      </c>
      <c r="BT57" s="23" t="s">
        <v>113</v>
      </c>
      <c r="CG57" s="23" t="s">
        <v>113</v>
      </c>
      <c r="CT57" s="23" t="s">
        <v>113</v>
      </c>
      <c r="DG57" s="23" t="s">
        <v>113</v>
      </c>
      <c r="DT57" s="23" t="s">
        <v>113</v>
      </c>
      <c r="EG57" s="23" t="s">
        <v>113</v>
      </c>
      <c r="ET57" s="23" t="s">
        <v>113</v>
      </c>
      <c r="FG57" s="23" t="s">
        <v>113</v>
      </c>
      <c r="FT57" s="23" t="s">
        <v>113</v>
      </c>
      <c r="GG57" s="23" t="s">
        <v>113</v>
      </c>
      <c r="GT57" s="137" t="s">
        <v>3009</v>
      </c>
      <c r="HC57" s="23" t="s">
        <v>2816</v>
      </c>
    </row>
    <row r="58" spans="6:211" ht="31.5" x14ac:dyDescent="0.25">
      <c r="F58" s="23" t="s">
        <v>88</v>
      </c>
      <c r="S58" s="23" t="s">
        <v>88</v>
      </c>
      <c r="AF58" s="23" t="s">
        <v>88</v>
      </c>
      <c r="AT58" s="23" t="s">
        <v>88</v>
      </c>
      <c r="BG58" s="23" t="s">
        <v>88</v>
      </c>
      <c r="BT58" s="23" t="s">
        <v>88</v>
      </c>
      <c r="CG58" s="23" t="s">
        <v>88</v>
      </c>
      <c r="CT58" s="23" t="s">
        <v>88</v>
      </c>
      <c r="DG58" s="23" t="s">
        <v>88</v>
      </c>
      <c r="DT58" s="23" t="s">
        <v>88</v>
      </c>
      <c r="EG58" s="23" t="s">
        <v>88</v>
      </c>
      <c r="ET58" s="23" t="s">
        <v>88</v>
      </c>
      <c r="FG58" s="23" t="s">
        <v>88</v>
      </c>
      <c r="FT58" s="23" t="s">
        <v>88</v>
      </c>
      <c r="GG58" s="23" t="s">
        <v>88</v>
      </c>
      <c r="GT58" s="137" t="s">
        <v>2780</v>
      </c>
      <c r="HC58" s="23" t="s">
        <v>2817</v>
      </c>
    </row>
    <row r="59" spans="6:211" x14ac:dyDescent="0.25">
      <c r="F59" s="23" t="s">
        <v>114</v>
      </c>
      <c r="S59" s="23" t="s">
        <v>114</v>
      </c>
      <c r="AF59" s="23" t="s">
        <v>88</v>
      </c>
      <c r="AT59" s="23" t="s">
        <v>114</v>
      </c>
      <c r="BG59" s="23" t="s">
        <v>114</v>
      </c>
      <c r="BT59" s="23" t="s">
        <v>114</v>
      </c>
      <c r="CG59" s="23" t="s">
        <v>114</v>
      </c>
      <c r="CT59" s="23" t="s">
        <v>114</v>
      </c>
      <c r="DG59" s="23" t="s">
        <v>114</v>
      </c>
      <c r="DT59" s="23" t="s">
        <v>114</v>
      </c>
      <c r="EG59" s="23" t="s">
        <v>114</v>
      </c>
      <c r="ET59" s="23" t="s">
        <v>114</v>
      </c>
      <c r="FG59" s="23" t="s">
        <v>114</v>
      </c>
      <c r="FT59" s="23" t="s">
        <v>114</v>
      </c>
      <c r="GG59" s="23" t="s">
        <v>114</v>
      </c>
      <c r="GT59" s="11"/>
      <c r="HC59" s="23" t="s">
        <v>2818</v>
      </c>
    </row>
    <row r="60" spans="6:211" x14ac:dyDescent="0.25">
      <c r="F60" s="23" t="s">
        <v>78</v>
      </c>
      <c r="S60" s="23" t="s">
        <v>78</v>
      </c>
      <c r="AF60" s="13" t="s">
        <v>89</v>
      </c>
      <c r="AT60" s="23" t="s">
        <v>78</v>
      </c>
      <c r="BG60" s="23" t="s">
        <v>78</v>
      </c>
      <c r="BT60" s="23" t="s">
        <v>78</v>
      </c>
      <c r="CG60" s="23" t="s">
        <v>78</v>
      </c>
      <c r="CT60" s="23" t="s">
        <v>78</v>
      </c>
      <c r="DG60" s="23" t="s">
        <v>78</v>
      </c>
      <c r="DT60" s="23" t="s">
        <v>78</v>
      </c>
      <c r="EG60" s="23" t="s">
        <v>78</v>
      </c>
      <c r="ET60" s="23" t="s">
        <v>78</v>
      </c>
      <c r="FG60" s="23" t="s">
        <v>78</v>
      </c>
      <c r="FT60" s="23" t="s">
        <v>78</v>
      </c>
      <c r="GG60" s="23" t="s">
        <v>78</v>
      </c>
      <c r="GT60" s="11" t="s">
        <v>3010</v>
      </c>
      <c r="HC60" s="23" t="s">
        <v>442</v>
      </c>
    </row>
    <row r="61" spans="6:211" x14ac:dyDescent="0.25">
      <c r="F61" s="23" t="s">
        <v>48</v>
      </c>
      <c r="S61" s="23" t="s">
        <v>48</v>
      </c>
      <c r="AF61" s="13" t="s">
        <v>90</v>
      </c>
      <c r="AT61" s="23" t="s">
        <v>48</v>
      </c>
      <c r="BG61" s="23" t="s">
        <v>48</v>
      </c>
      <c r="BT61" s="23" t="s">
        <v>48</v>
      </c>
      <c r="CG61" s="23" t="s">
        <v>48</v>
      </c>
      <c r="CT61" s="23" t="s">
        <v>48</v>
      </c>
      <c r="DG61" s="23" t="s">
        <v>48</v>
      </c>
      <c r="DT61" s="23" t="s">
        <v>48</v>
      </c>
      <c r="EG61" s="23" t="s">
        <v>48</v>
      </c>
      <c r="ET61" s="23" t="s">
        <v>48</v>
      </c>
      <c r="FG61" s="23" t="s">
        <v>48</v>
      </c>
      <c r="FT61" s="23" t="s">
        <v>48</v>
      </c>
      <c r="GG61" s="23" t="s">
        <v>48</v>
      </c>
      <c r="GT61" s="11"/>
      <c r="HC61" s="23" t="s">
        <v>78</v>
      </c>
    </row>
    <row r="62" spans="6:211" x14ac:dyDescent="0.25">
      <c r="F62" s="23" t="s">
        <v>115</v>
      </c>
      <c r="S62" s="23" t="s">
        <v>115</v>
      </c>
      <c r="AF62" s="23" t="s">
        <v>91</v>
      </c>
      <c r="AT62" s="23" t="s">
        <v>115</v>
      </c>
      <c r="BG62" s="23" t="s">
        <v>115</v>
      </c>
      <c r="BT62" s="23" t="s">
        <v>115</v>
      </c>
      <c r="CG62" s="23" t="s">
        <v>115</v>
      </c>
      <c r="CT62" s="23" t="s">
        <v>115</v>
      </c>
      <c r="DG62" s="23" t="s">
        <v>115</v>
      </c>
      <c r="DT62" s="23" t="s">
        <v>115</v>
      </c>
      <c r="EG62" s="23" t="s">
        <v>115</v>
      </c>
      <c r="ET62" s="23" t="s">
        <v>115</v>
      </c>
      <c r="FG62" s="23" t="s">
        <v>115</v>
      </c>
      <c r="FT62" s="23" t="s">
        <v>115</v>
      </c>
      <c r="GG62" s="23" t="s">
        <v>115</v>
      </c>
      <c r="GT62" s="11" t="s">
        <v>3011</v>
      </c>
      <c r="HC62" s="23" t="s">
        <v>2819</v>
      </c>
    </row>
    <row r="63" spans="6:211" x14ac:dyDescent="0.25">
      <c r="F63" s="23" t="s">
        <v>116</v>
      </c>
      <c r="S63" s="23" t="s">
        <v>116</v>
      </c>
      <c r="AF63" s="23" t="s">
        <v>45</v>
      </c>
      <c r="AT63" s="23" t="s">
        <v>116</v>
      </c>
      <c r="BG63" s="23" t="s">
        <v>116</v>
      </c>
      <c r="BT63" s="23" t="s">
        <v>116</v>
      </c>
      <c r="CG63" s="23" t="s">
        <v>116</v>
      </c>
      <c r="CT63" s="23" t="s">
        <v>116</v>
      </c>
      <c r="DG63" s="23" t="s">
        <v>116</v>
      </c>
      <c r="DT63" s="23" t="s">
        <v>116</v>
      </c>
      <c r="EG63" s="23" t="s">
        <v>116</v>
      </c>
      <c r="ET63" s="23" t="s">
        <v>116</v>
      </c>
      <c r="FG63" s="23" t="s">
        <v>116</v>
      </c>
      <c r="FT63" s="23" t="s">
        <v>116</v>
      </c>
      <c r="GG63" s="23" t="s">
        <v>116</v>
      </c>
      <c r="GT63" s="11"/>
      <c r="HC63" s="23" t="s">
        <v>115</v>
      </c>
    </row>
    <row r="64" spans="6:211" ht="23.25" x14ac:dyDescent="0.25">
      <c r="F64" s="23" t="s">
        <v>117</v>
      </c>
      <c r="S64" s="23" t="s">
        <v>117</v>
      </c>
      <c r="AF64" s="23" t="s">
        <v>92</v>
      </c>
      <c r="AT64" s="23" t="s">
        <v>117</v>
      </c>
      <c r="BG64" s="23" t="s">
        <v>117</v>
      </c>
      <c r="BT64" s="23" t="s">
        <v>117</v>
      </c>
      <c r="CG64" s="23" t="s">
        <v>117</v>
      </c>
      <c r="CT64" s="23" t="s">
        <v>117</v>
      </c>
      <c r="DG64" s="23" t="s">
        <v>117</v>
      </c>
      <c r="DT64" s="23" t="s">
        <v>117</v>
      </c>
      <c r="EG64" s="23" t="s">
        <v>117</v>
      </c>
      <c r="ET64" s="23" t="s">
        <v>117</v>
      </c>
      <c r="FG64" s="23" t="s">
        <v>117</v>
      </c>
      <c r="FT64" s="23" t="s">
        <v>117</v>
      </c>
      <c r="GG64" s="23" t="s">
        <v>117</v>
      </c>
      <c r="GT64" s="138" t="s">
        <v>3012</v>
      </c>
      <c r="HC64" s="23" t="s">
        <v>2820</v>
      </c>
    </row>
    <row r="65" spans="6:211" x14ac:dyDescent="0.25">
      <c r="F65" s="23" t="s">
        <v>118</v>
      </c>
      <c r="S65" s="23" t="s">
        <v>118</v>
      </c>
      <c r="AF65" s="23" t="s">
        <v>93</v>
      </c>
      <c r="AT65" s="23" t="s">
        <v>118</v>
      </c>
      <c r="BG65" s="23" t="s">
        <v>118</v>
      </c>
      <c r="BT65" s="23" t="s">
        <v>118</v>
      </c>
      <c r="CG65" s="23" t="s">
        <v>118</v>
      </c>
      <c r="CT65" s="23" t="s">
        <v>118</v>
      </c>
      <c r="DG65" s="23" t="s">
        <v>118</v>
      </c>
      <c r="DT65" s="23" t="s">
        <v>118</v>
      </c>
      <c r="EG65" s="23" t="s">
        <v>118</v>
      </c>
      <c r="ET65" s="23" t="s">
        <v>118</v>
      </c>
      <c r="FG65" s="23" t="s">
        <v>118</v>
      </c>
      <c r="FT65" s="23" t="s">
        <v>118</v>
      </c>
      <c r="GG65" s="23" t="s">
        <v>118</v>
      </c>
      <c r="GT65" s="11"/>
      <c r="HC65" s="23" t="s">
        <v>2821</v>
      </c>
    </row>
    <row r="66" spans="6:211" x14ac:dyDescent="0.25">
      <c r="F66" s="23" t="s">
        <v>119</v>
      </c>
      <c r="S66" s="23" t="s">
        <v>119</v>
      </c>
      <c r="AF66" s="23" t="s">
        <v>94</v>
      </c>
      <c r="AT66" s="23" t="s">
        <v>119</v>
      </c>
      <c r="BG66" s="23" t="s">
        <v>119</v>
      </c>
      <c r="BT66" s="23" t="s">
        <v>119</v>
      </c>
      <c r="CG66" s="23" t="s">
        <v>119</v>
      </c>
      <c r="CT66" s="23" t="s">
        <v>119</v>
      </c>
      <c r="DG66" s="23" t="s">
        <v>119</v>
      </c>
      <c r="DT66" s="23" t="s">
        <v>119</v>
      </c>
      <c r="EG66" s="23" t="s">
        <v>119</v>
      </c>
      <c r="ET66" s="23" t="s">
        <v>119</v>
      </c>
      <c r="FG66" s="23" t="s">
        <v>119</v>
      </c>
      <c r="FT66" s="23" t="s">
        <v>119</v>
      </c>
      <c r="GG66" s="23" t="s">
        <v>119</v>
      </c>
      <c r="GT66" s="11" t="s">
        <v>3013</v>
      </c>
      <c r="HC66" s="23" t="s">
        <v>2822</v>
      </c>
    </row>
    <row r="67" spans="6:211" x14ac:dyDescent="0.25">
      <c r="F67" s="23" t="s">
        <v>120</v>
      </c>
      <c r="S67" s="23" t="s">
        <v>120</v>
      </c>
      <c r="AF67" s="23" t="s">
        <v>95</v>
      </c>
      <c r="AT67" s="23" t="s">
        <v>120</v>
      </c>
      <c r="BG67" s="23" t="s">
        <v>120</v>
      </c>
      <c r="BT67" s="23" t="s">
        <v>120</v>
      </c>
      <c r="CG67" s="23" t="s">
        <v>120</v>
      </c>
      <c r="CT67" s="23" t="s">
        <v>120</v>
      </c>
      <c r="DG67" s="23" t="s">
        <v>120</v>
      </c>
      <c r="DT67" s="23" t="s">
        <v>120</v>
      </c>
      <c r="EG67" s="23" t="s">
        <v>120</v>
      </c>
      <c r="ET67" s="23" t="s">
        <v>120</v>
      </c>
      <c r="FG67" s="23" t="s">
        <v>120</v>
      </c>
      <c r="FT67" s="23" t="s">
        <v>120</v>
      </c>
      <c r="GG67" s="23" t="s">
        <v>120</v>
      </c>
      <c r="GT67" s="11"/>
      <c r="HC67" s="23" t="s">
        <v>2823</v>
      </c>
    </row>
    <row r="68" spans="6:211" x14ac:dyDescent="0.25">
      <c r="F68" s="23" t="s">
        <v>121</v>
      </c>
      <c r="S68" s="23" t="s">
        <v>121</v>
      </c>
      <c r="AF68" s="23" t="s">
        <v>96</v>
      </c>
      <c r="AT68" s="23" t="s">
        <v>121</v>
      </c>
      <c r="BG68" s="23" t="s">
        <v>121</v>
      </c>
      <c r="BT68" s="23" t="s">
        <v>121</v>
      </c>
      <c r="CG68" s="23" t="s">
        <v>121</v>
      </c>
      <c r="CT68" s="23" t="s">
        <v>121</v>
      </c>
      <c r="DG68" s="23" t="s">
        <v>121</v>
      </c>
      <c r="DT68" s="23" t="s">
        <v>121</v>
      </c>
      <c r="EG68" s="23" t="s">
        <v>121</v>
      </c>
      <c r="ET68" s="23" t="s">
        <v>121</v>
      </c>
      <c r="FG68" s="23" t="s">
        <v>121</v>
      </c>
      <c r="FT68" s="23" t="s">
        <v>121</v>
      </c>
      <c r="GG68" s="23" t="s">
        <v>121</v>
      </c>
      <c r="GT68" s="11" t="s">
        <v>3014</v>
      </c>
      <c r="HC68" s="23" t="s">
        <v>2824</v>
      </c>
    </row>
    <row r="69" spans="6:211" x14ac:dyDescent="0.25">
      <c r="F69" s="23" t="s">
        <v>122</v>
      </c>
      <c r="S69" s="23" t="s">
        <v>122</v>
      </c>
      <c r="AF69" s="23" t="s">
        <v>97</v>
      </c>
      <c r="AT69" s="23" t="s">
        <v>122</v>
      </c>
      <c r="BG69" s="23" t="s">
        <v>122</v>
      </c>
      <c r="BT69" s="23" t="s">
        <v>122</v>
      </c>
      <c r="CG69" s="23" t="s">
        <v>122</v>
      </c>
      <c r="CT69" s="23" t="s">
        <v>122</v>
      </c>
      <c r="DG69" s="23" t="s">
        <v>122</v>
      </c>
      <c r="DT69" s="23" t="s">
        <v>122</v>
      </c>
      <c r="EG69" s="23" t="s">
        <v>122</v>
      </c>
      <c r="ET69" s="23" t="s">
        <v>122</v>
      </c>
      <c r="FG69" s="23" t="s">
        <v>122</v>
      </c>
      <c r="FT69" s="23" t="s">
        <v>122</v>
      </c>
      <c r="GG69" s="23" t="s">
        <v>122</v>
      </c>
      <c r="GT69" s="11" t="s">
        <v>3015</v>
      </c>
      <c r="HC69" s="23" t="s">
        <v>121</v>
      </c>
    </row>
    <row r="70" spans="6:211" x14ac:dyDescent="0.25">
      <c r="F70" s="13" t="s">
        <v>123</v>
      </c>
      <c r="S70" s="13" t="s">
        <v>123</v>
      </c>
      <c r="AF70" s="23" t="s">
        <v>98</v>
      </c>
      <c r="AT70" s="13" t="s">
        <v>123</v>
      </c>
      <c r="BG70" s="13" t="s">
        <v>123</v>
      </c>
      <c r="BT70" s="13" t="s">
        <v>123</v>
      </c>
      <c r="CG70" s="13" t="s">
        <v>123</v>
      </c>
      <c r="CT70" s="13" t="s">
        <v>123</v>
      </c>
      <c r="DG70" s="13" t="s">
        <v>123</v>
      </c>
      <c r="DT70" s="13" t="s">
        <v>123</v>
      </c>
      <c r="EG70" s="13" t="s">
        <v>123</v>
      </c>
      <c r="ET70" s="13" t="s">
        <v>123</v>
      </c>
      <c r="FG70" s="13" t="s">
        <v>123</v>
      </c>
      <c r="FT70" s="13" t="s">
        <v>123</v>
      </c>
      <c r="GG70" s="13" t="s">
        <v>123</v>
      </c>
      <c r="GT70" s="11"/>
      <c r="HC70" s="23" t="s">
        <v>2825</v>
      </c>
    </row>
    <row r="71" spans="6:211" x14ac:dyDescent="0.25">
      <c r="F71" s="24" t="s">
        <v>124</v>
      </c>
      <c r="S71" s="24" t="s">
        <v>124</v>
      </c>
      <c r="AF71" s="23" t="s">
        <v>49</v>
      </c>
      <c r="AT71" s="24" t="s">
        <v>124</v>
      </c>
      <c r="BG71" s="24" t="s">
        <v>124</v>
      </c>
      <c r="BT71" s="24" t="s">
        <v>124</v>
      </c>
      <c r="CG71" s="24" t="s">
        <v>124</v>
      </c>
      <c r="CT71" s="24" t="s">
        <v>124</v>
      </c>
      <c r="DG71" s="24" t="s">
        <v>124</v>
      </c>
      <c r="DT71" s="24" t="s">
        <v>124</v>
      </c>
      <c r="EG71" s="24" t="s">
        <v>124</v>
      </c>
      <c r="ET71" s="24" t="s">
        <v>124</v>
      </c>
      <c r="FG71" s="24" t="s">
        <v>124</v>
      </c>
      <c r="FT71" s="24" t="s">
        <v>124</v>
      </c>
      <c r="GG71" s="24" t="s">
        <v>124</v>
      </c>
      <c r="GT71" s="139" t="s">
        <v>3016</v>
      </c>
      <c r="HC71" s="13" t="s">
        <v>2826</v>
      </c>
    </row>
    <row r="72" spans="6:211" x14ac:dyDescent="0.25">
      <c r="F72" s="24" t="s">
        <v>125</v>
      </c>
      <c r="S72" s="24" t="s">
        <v>125</v>
      </c>
      <c r="AF72" s="23" t="s">
        <v>99</v>
      </c>
      <c r="AT72" s="24" t="s">
        <v>125</v>
      </c>
      <c r="BG72" s="24" t="s">
        <v>125</v>
      </c>
      <c r="BT72" s="24" t="s">
        <v>125</v>
      </c>
      <c r="CG72" s="24" t="s">
        <v>125</v>
      </c>
      <c r="CT72" s="24" t="s">
        <v>125</v>
      </c>
      <c r="DG72" s="24" t="s">
        <v>125</v>
      </c>
      <c r="DT72" s="24" t="s">
        <v>125</v>
      </c>
      <c r="EG72" s="24" t="s">
        <v>125</v>
      </c>
      <c r="ET72" s="24" t="s">
        <v>125</v>
      </c>
      <c r="FG72" s="24" t="s">
        <v>125</v>
      </c>
      <c r="FT72" s="24" t="s">
        <v>125</v>
      </c>
      <c r="GG72" s="24" t="s">
        <v>125</v>
      </c>
      <c r="GT72" s="11"/>
      <c r="HC72" s="24" t="s">
        <v>2827</v>
      </c>
    </row>
    <row r="73" spans="6:211" x14ac:dyDescent="0.25">
      <c r="F73" s="26" t="s">
        <v>70</v>
      </c>
      <c r="S73" s="26" t="s">
        <v>70</v>
      </c>
      <c r="AF73" s="23" t="s">
        <v>100</v>
      </c>
      <c r="AT73" s="26" t="s">
        <v>70</v>
      </c>
      <c r="BG73" s="26" t="s">
        <v>70</v>
      </c>
      <c r="BT73" s="26" t="s">
        <v>70</v>
      </c>
      <c r="CG73" s="26" t="s">
        <v>70</v>
      </c>
      <c r="CT73" s="26" t="s">
        <v>70</v>
      </c>
      <c r="DG73" s="26" t="s">
        <v>70</v>
      </c>
      <c r="DT73" s="26" t="s">
        <v>70</v>
      </c>
      <c r="EG73" s="26" t="s">
        <v>70</v>
      </c>
      <c r="ET73" s="26" t="s">
        <v>70</v>
      </c>
      <c r="FG73" s="26" t="s">
        <v>70</v>
      </c>
      <c r="FT73" s="26" t="s">
        <v>70</v>
      </c>
      <c r="GG73" s="26" t="s">
        <v>70</v>
      </c>
      <c r="GT73" s="11" t="s">
        <v>3017</v>
      </c>
      <c r="HC73" s="24" t="s">
        <v>2828</v>
      </c>
    </row>
    <row r="74" spans="6:211" x14ac:dyDescent="0.25">
      <c r="F74" s="25" t="s">
        <v>71</v>
      </c>
      <c r="S74" s="25" t="s">
        <v>533</v>
      </c>
      <c r="AF74" s="23" t="s">
        <v>101</v>
      </c>
      <c r="AT74" s="25" t="s">
        <v>729</v>
      </c>
      <c r="BG74" s="25" t="s">
        <v>839</v>
      </c>
      <c r="BT74" s="25" t="s">
        <v>901</v>
      </c>
      <c r="CG74" s="25" t="s">
        <v>956</v>
      </c>
      <c r="CT74" s="25" t="s">
        <v>1003</v>
      </c>
      <c r="DG74" s="25" t="s">
        <v>1086</v>
      </c>
      <c r="DT74" s="25" t="s">
        <v>1136</v>
      </c>
      <c r="EG74" s="25" t="s">
        <v>1186</v>
      </c>
      <c r="ET74" s="25" t="s">
        <v>1237</v>
      </c>
      <c r="FG74" s="25" t="s">
        <v>1287</v>
      </c>
      <c r="FT74" s="25" t="s">
        <v>1337</v>
      </c>
      <c r="GG74" s="25" t="s">
        <v>1381</v>
      </c>
      <c r="GT74" s="11"/>
      <c r="HC74" s="26" t="s">
        <v>2829</v>
      </c>
    </row>
    <row r="75" spans="6:211" x14ac:dyDescent="0.25">
      <c r="F75" s="24" t="s">
        <v>126</v>
      </c>
      <c r="S75" s="24" t="s">
        <v>535</v>
      </c>
      <c r="AF75" s="23" t="s">
        <v>47</v>
      </c>
      <c r="AT75" s="24" t="s">
        <v>730</v>
      </c>
      <c r="BG75" s="24" t="s">
        <v>840</v>
      </c>
      <c r="BT75" s="24" t="s">
        <v>902</v>
      </c>
      <c r="CG75" s="24" t="s">
        <v>957</v>
      </c>
      <c r="CT75" s="24" t="s">
        <v>1004</v>
      </c>
      <c r="DG75" s="24" t="s">
        <v>1087</v>
      </c>
      <c r="DT75" s="24" t="s">
        <v>1137</v>
      </c>
      <c r="EG75" s="24" t="s">
        <v>1187</v>
      </c>
      <c r="ET75" s="24" t="s">
        <v>1238</v>
      </c>
      <c r="FG75" s="24" t="s">
        <v>1288</v>
      </c>
      <c r="FT75" s="24" t="s">
        <v>1338</v>
      </c>
      <c r="GG75" s="24" t="s">
        <v>1382</v>
      </c>
      <c r="GT75" s="112"/>
      <c r="HC75" s="25" t="s">
        <v>3256</v>
      </c>
    </row>
    <row r="76" spans="6:211" x14ac:dyDescent="0.25">
      <c r="F76" s="24" t="s">
        <v>1482</v>
      </c>
      <c r="S76" s="24" t="s">
        <v>1582</v>
      </c>
      <c r="AF76" s="23" t="s">
        <v>102</v>
      </c>
      <c r="AT76" s="24" t="s">
        <v>1766</v>
      </c>
      <c r="BG76" s="24" t="s">
        <v>1852</v>
      </c>
      <c r="BT76" s="24" t="s">
        <v>1936</v>
      </c>
      <c r="CG76" s="24" t="s">
        <v>2016</v>
      </c>
      <c r="CT76" s="24" t="s">
        <v>2104</v>
      </c>
      <c r="DG76" s="24" t="s">
        <v>2193</v>
      </c>
      <c r="DT76" s="24" t="s">
        <v>2275</v>
      </c>
      <c r="EG76" s="24" t="s">
        <v>2357</v>
      </c>
      <c r="ET76" s="24" t="s">
        <v>2441</v>
      </c>
      <c r="FG76" s="24" t="s">
        <v>2517</v>
      </c>
      <c r="FT76" s="24" t="s">
        <v>2605</v>
      </c>
      <c r="GG76" s="24" t="s">
        <v>2686</v>
      </c>
      <c r="GT76" s="11" t="s">
        <v>3018</v>
      </c>
      <c r="HC76" s="24" t="s">
        <v>3257</v>
      </c>
    </row>
    <row r="77" spans="6:211" x14ac:dyDescent="0.25">
      <c r="F77" s="24" t="s">
        <v>900</v>
      </c>
      <c r="S77" s="24" t="s">
        <v>1440</v>
      </c>
      <c r="AF77" s="23" t="s">
        <v>82</v>
      </c>
      <c r="AT77" s="24" t="s">
        <v>1767</v>
      </c>
      <c r="BG77" s="24" t="s">
        <v>1466</v>
      </c>
      <c r="BT77" s="24" t="s">
        <v>1441</v>
      </c>
      <c r="CG77" s="24" t="s">
        <v>644</v>
      </c>
      <c r="CT77" s="24" t="s">
        <v>1441</v>
      </c>
      <c r="DG77" s="24" t="s">
        <v>2194</v>
      </c>
      <c r="DT77" s="24" t="s">
        <v>1183</v>
      </c>
      <c r="EG77" s="24" t="s">
        <v>1767</v>
      </c>
      <c r="ET77" s="24" t="s">
        <v>1442</v>
      </c>
      <c r="FG77" s="24" t="s">
        <v>1333</v>
      </c>
      <c r="FT77" s="24" t="s">
        <v>2606</v>
      </c>
      <c r="GG77" s="24" t="s">
        <v>634</v>
      </c>
      <c r="GT77" s="112" t="s">
        <v>3019</v>
      </c>
      <c r="HC77" s="24" t="s">
        <v>3258</v>
      </c>
    </row>
    <row r="78" spans="6:211" x14ac:dyDescent="0.25">
      <c r="F78" s="24" t="s">
        <v>127</v>
      </c>
      <c r="S78" s="24" t="s">
        <v>536</v>
      </c>
      <c r="AF78" s="23" t="s">
        <v>103</v>
      </c>
      <c r="AT78" s="24" t="s">
        <v>536</v>
      </c>
      <c r="BG78" s="24" t="s">
        <v>536</v>
      </c>
      <c r="BT78" s="24" t="s">
        <v>536</v>
      </c>
      <c r="CG78" s="24" t="s">
        <v>536</v>
      </c>
      <c r="CT78" s="24" t="s">
        <v>536</v>
      </c>
      <c r="DG78" s="24" t="s">
        <v>536</v>
      </c>
      <c r="DT78" s="24" t="s">
        <v>536</v>
      </c>
      <c r="EG78" s="24" t="s">
        <v>536</v>
      </c>
      <c r="ET78" s="24" t="s">
        <v>536</v>
      </c>
      <c r="FG78" s="24" t="s">
        <v>536</v>
      </c>
      <c r="FT78" s="24" t="s">
        <v>536</v>
      </c>
      <c r="GG78" s="24" t="s">
        <v>536</v>
      </c>
      <c r="GT78" s="11" t="s">
        <v>3020</v>
      </c>
      <c r="HC78" s="24" t="s">
        <v>1658</v>
      </c>
    </row>
    <row r="79" spans="6:211" x14ac:dyDescent="0.25">
      <c r="F79" s="24" t="s">
        <v>128</v>
      </c>
      <c r="S79" s="24" t="s">
        <v>128</v>
      </c>
      <c r="AF79" s="23" t="s">
        <v>104</v>
      </c>
      <c r="AT79" s="24" t="s">
        <v>128</v>
      </c>
      <c r="BG79" s="24" t="s">
        <v>128</v>
      </c>
      <c r="BT79" s="24" t="s">
        <v>128</v>
      </c>
      <c r="CG79" s="24" t="s">
        <v>128</v>
      </c>
      <c r="CT79" s="24" t="s">
        <v>128</v>
      </c>
      <c r="DG79" s="24" t="s">
        <v>128</v>
      </c>
      <c r="DT79" s="24" t="s">
        <v>128</v>
      </c>
      <c r="EG79" s="24" t="s">
        <v>128</v>
      </c>
      <c r="ET79" s="24" t="s">
        <v>128</v>
      </c>
      <c r="FG79" s="24" t="s">
        <v>128</v>
      </c>
      <c r="FT79" s="24" t="s">
        <v>128</v>
      </c>
      <c r="GG79" s="24" t="s">
        <v>128</v>
      </c>
      <c r="GT79" s="11" t="s">
        <v>3021</v>
      </c>
      <c r="HC79" s="24" t="s">
        <v>2830</v>
      </c>
    </row>
    <row r="80" spans="6:211" x14ac:dyDescent="0.25">
      <c r="F80" s="24" t="s">
        <v>127</v>
      </c>
      <c r="S80" s="24" t="s">
        <v>536</v>
      </c>
      <c r="AF80" s="13" t="s">
        <v>105</v>
      </c>
      <c r="AT80" s="24" t="s">
        <v>536</v>
      </c>
      <c r="BG80" s="24" t="s">
        <v>536</v>
      </c>
      <c r="BT80" s="24" t="s">
        <v>536</v>
      </c>
      <c r="CG80" s="24" t="s">
        <v>536</v>
      </c>
      <c r="CT80" s="24" t="s">
        <v>536</v>
      </c>
      <c r="DG80" s="24" t="s">
        <v>536</v>
      </c>
      <c r="DT80" s="24" t="s">
        <v>536</v>
      </c>
      <c r="EG80" s="24" t="s">
        <v>536</v>
      </c>
      <c r="ET80" s="24" t="s">
        <v>536</v>
      </c>
      <c r="FG80" s="24" t="s">
        <v>536</v>
      </c>
      <c r="FT80" s="24" t="s">
        <v>536</v>
      </c>
      <c r="GG80" s="24" t="s">
        <v>536</v>
      </c>
      <c r="GT80" s="11"/>
      <c r="HC80" s="24" t="s">
        <v>2831</v>
      </c>
    </row>
    <row r="81" spans="6:211" x14ac:dyDescent="0.25">
      <c r="F81" s="24" t="s">
        <v>126</v>
      </c>
      <c r="S81" s="24" t="s">
        <v>535</v>
      </c>
      <c r="AF81" s="13" t="s">
        <v>106</v>
      </c>
      <c r="AT81" s="24" t="s">
        <v>730</v>
      </c>
      <c r="BG81" s="24" t="s">
        <v>840</v>
      </c>
      <c r="BT81" s="24" t="s">
        <v>902</v>
      </c>
      <c r="CG81" s="24" t="s">
        <v>957</v>
      </c>
      <c r="CT81" s="24" t="s">
        <v>1004</v>
      </c>
      <c r="DG81" s="24" t="s">
        <v>1087</v>
      </c>
      <c r="DT81" s="24" t="s">
        <v>1137</v>
      </c>
      <c r="EG81" s="24" t="s">
        <v>1187</v>
      </c>
      <c r="ET81" s="24" t="s">
        <v>1238</v>
      </c>
      <c r="FG81" s="24" t="s">
        <v>1288</v>
      </c>
      <c r="FT81" s="24" t="s">
        <v>1338</v>
      </c>
      <c r="GG81" s="24" t="s">
        <v>1382</v>
      </c>
      <c r="GT81" s="112"/>
      <c r="HC81" s="24" t="s">
        <v>2830</v>
      </c>
    </row>
    <row r="82" spans="6:211" x14ac:dyDescent="0.25">
      <c r="F82" s="20"/>
      <c r="S82" s="20"/>
      <c r="AF82" s="13" t="s">
        <v>107</v>
      </c>
      <c r="AT82" s="20"/>
      <c r="BG82" s="20"/>
      <c r="BT82" s="20"/>
      <c r="CG82" s="20"/>
      <c r="CT82" s="20"/>
      <c r="DG82" s="20"/>
      <c r="DT82" s="20"/>
      <c r="EG82" s="20"/>
      <c r="ET82" s="20"/>
      <c r="FG82" s="20"/>
      <c r="FT82" s="20"/>
      <c r="GG82" s="20"/>
      <c r="GT82" s="11" t="s">
        <v>3022</v>
      </c>
      <c r="HC82" s="24" t="s">
        <v>3257</v>
      </c>
    </row>
    <row r="83" spans="6:211" ht="37.5" x14ac:dyDescent="0.25">
      <c r="F83" s="27" t="s">
        <v>57</v>
      </c>
      <c r="S83" s="27" t="s">
        <v>58</v>
      </c>
      <c r="AF83" s="13" t="s">
        <v>108</v>
      </c>
      <c r="AT83" s="27" t="s">
        <v>724</v>
      </c>
      <c r="BG83" s="27" t="s">
        <v>837</v>
      </c>
      <c r="BT83" s="27" t="s">
        <v>625</v>
      </c>
      <c r="CG83" s="27" t="s">
        <v>654</v>
      </c>
      <c r="CT83" s="27" t="s">
        <v>583</v>
      </c>
      <c r="DG83" s="27" t="s">
        <v>1085</v>
      </c>
      <c r="DT83" s="27" t="s">
        <v>584</v>
      </c>
      <c r="EG83" s="27" t="s">
        <v>68</v>
      </c>
      <c r="ET83" s="27" t="s">
        <v>1236</v>
      </c>
      <c r="FG83" s="27" t="s">
        <v>1284</v>
      </c>
      <c r="FT83" s="27" t="s">
        <v>261</v>
      </c>
      <c r="GG83" s="27" t="s">
        <v>1379</v>
      </c>
      <c r="GT83" s="112" t="s">
        <v>3023</v>
      </c>
      <c r="HC83" s="20"/>
    </row>
    <row r="84" spans="6:211" ht="37.5" x14ac:dyDescent="0.25">
      <c r="F84" s="27" t="s">
        <v>72</v>
      </c>
      <c r="S84" s="27" t="s">
        <v>534</v>
      </c>
      <c r="AF84" s="13" t="s">
        <v>109</v>
      </c>
      <c r="AT84" s="27" t="s">
        <v>731</v>
      </c>
      <c r="BG84" s="27" t="s">
        <v>841</v>
      </c>
      <c r="BT84" s="27" t="s">
        <v>903</v>
      </c>
      <c r="CG84" s="27" t="s">
        <v>958</v>
      </c>
      <c r="CT84" s="27" t="s">
        <v>1005</v>
      </c>
      <c r="DG84" s="27" t="s">
        <v>1088</v>
      </c>
      <c r="DT84" s="27" t="s">
        <v>1138</v>
      </c>
      <c r="EG84" s="27" t="s">
        <v>1188</v>
      </c>
      <c r="ET84" s="27" t="s">
        <v>1240</v>
      </c>
      <c r="FG84" s="27" t="s">
        <v>1289</v>
      </c>
      <c r="FT84" s="27" t="s">
        <v>1339</v>
      </c>
      <c r="GG84" s="27" t="s">
        <v>1383</v>
      </c>
      <c r="GT84" s="11" t="s">
        <v>3024</v>
      </c>
      <c r="HC84" s="27" t="s">
        <v>1131</v>
      </c>
    </row>
    <row r="85" spans="6:211" ht="37.5" x14ac:dyDescent="0.25">
      <c r="F85" s="20"/>
      <c r="S85" s="20"/>
      <c r="AF85" s="23" t="s">
        <v>110</v>
      </c>
      <c r="AT85" s="20"/>
      <c r="BG85" s="20"/>
      <c r="BT85" s="20"/>
      <c r="CG85" s="20"/>
      <c r="CT85" s="20"/>
      <c r="DG85" s="20"/>
      <c r="DT85" s="20"/>
      <c r="EG85" s="20"/>
      <c r="ET85" s="20"/>
      <c r="FG85" s="20"/>
      <c r="FT85" s="20"/>
      <c r="GG85" s="20"/>
      <c r="GT85" s="11" t="s">
        <v>3025</v>
      </c>
      <c r="HC85" s="27" t="s">
        <v>3259</v>
      </c>
    </row>
    <row r="86" spans="6:211" x14ac:dyDescent="0.25">
      <c r="F86" s="24" t="s">
        <v>50</v>
      </c>
      <c r="S86" s="24" t="s">
        <v>51</v>
      </c>
      <c r="AF86" s="23" t="s">
        <v>111</v>
      </c>
      <c r="AT86" s="24" t="s">
        <v>728</v>
      </c>
      <c r="BG86" s="24" t="s">
        <v>838</v>
      </c>
      <c r="BT86" s="24" t="s">
        <v>1937</v>
      </c>
      <c r="CG86" s="24" t="s">
        <v>2017</v>
      </c>
      <c r="CT86" s="24" t="s">
        <v>2105</v>
      </c>
      <c r="DG86" s="24" t="s">
        <v>1135</v>
      </c>
      <c r="DT86" s="24" t="s">
        <v>2276</v>
      </c>
      <c r="EG86" s="24" t="s">
        <v>2358</v>
      </c>
      <c r="ET86" s="24" t="s">
        <v>2442</v>
      </c>
      <c r="FG86" s="24" t="s">
        <v>1286</v>
      </c>
      <c r="FT86" s="24" t="s">
        <v>2607</v>
      </c>
      <c r="GG86" s="24" t="s">
        <v>1380</v>
      </c>
      <c r="GT86" s="11"/>
      <c r="HC86" s="20"/>
    </row>
    <row r="87" spans="6:211" x14ac:dyDescent="0.25">
      <c r="F87" s="24" t="s">
        <v>1483</v>
      </c>
      <c r="S87" s="24" t="s">
        <v>1583</v>
      </c>
      <c r="AF87" s="23" t="s">
        <v>80</v>
      </c>
      <c r="AT87" s="24" t="s">
        <v>1768</v>
      </c>
      <c r="BG87" s="24" t="s">
        <v>1853</v>
      </c>
      <c r="BT87" s="24" t="s">
        <v>1377</v>
      </c>
      <c r="CG87" s="24" t="s">
        <v>2018</v>
      </c>
      <c r="CT87" s="24" t="s">
        <v>2106</v>
      </c>
      <c r="DG87" s="24" t="s">
        <v>2195</v>
      </c>
      <c r="DT87" s="24" t="s">
        <v>2272</v>
      </c>
      <c r="EG87" s="24" t="s">
        <v>2359</v>
      </c>
      <c r="ET87" s="24" t="s">
        <v>626</v>
      </c>
      <c r="FG87" s="24" t="s">
        <v>2518</v>
      </c>
      <c r="FT87" s="24" t="s">
        <v>2223</v>
      </c>
      <c r="GG87" s="24" t="s">
        <v>2687</v>
      </c>
      <c r="GT87" s="112" t="s">
        <v>3026</v>
      </c>
      <c r="HC87" s="24" t="s">
        <v>3248</v>
      </c>
    </row>
    <row r="88" spans="6:211" x14ac:dyDescent="0.25">
      <c r="F88" s="24" t="s">
        <v>900</v>
      </c>
      <c r="S88" s="24" t="s">
        <v>1440</v>
      </c>
      <c r="AF88" s="23" t="s">
        <v>112</v>
      </c>
      <c r="AT88" s="24" t="s">
        <v>1767</v>
      </c>
      <c r="BG88" s="24" t="s">
        <v>1466</v>
      </c>
      <c r="BT88" s="24" t="s">
        <v>1441</v>
      </c>
      <c r="CG88" s="24" t="s">
        <v>644</v>
      </c>
      <c r="CT88" s="24" t="s">
        <v>1441</v>
      </c>
      <c r="DG88" s="24" t="s">
        <v>2194</v>
      </c>
      <c r="DT88" s="24" t="s">
        <v>1183</v>
      </c>
      <c r="EG88" s="24" t="s">
        <v>1767</v>
      </c>
      <c r="ET88" s="24" t="s">
        <v>1442</v>
      </c>
      <c r="FG88" s="24" t="s">
        <v>1333</v>
      </c>
      <c r="FT88" s="24" t="s">
        <v>2606</v>
      </c>
      <c r="GG88" s="24" t="s">
        <v>634</v>
      </c>
      <c r="GT88" s="11" t="s">
        <v>3027</v>
      </c>
      <c r="HC88" s="24" t="s">
        <v>3249</v>
      </c>
    </row>
    <row r="89" spans="6:211" x14ac:dyDescent="0.25">
      <c r="F89" s="20"/>
      <c r="S89" s="20"/>
      <c r="AF89" s="23" t="s">
        <v>113</v>
      </c>
      <c r="AT89" s="20"/>
      <c r="BG89" s="20"/>
      <c r="BT89" s="20"/>
      <c r="CG89" s="20"/>
      <c r="CT89" s="20"/>
      <c r="DG89" s="20"/>
      <c r="DT89" s="20"/>
      <c r="EG89" s="20"/>
      <c r="ET89" s="20"/>
      <c r="FG89" s="20"/>
      <c r="FT89" s="20"/>
      <c r="GG89" s="20"/>
      <c r="GT89" s="11"/>
      <c r="HC89" s="24" t="s">
        <v>1658</v>
      </c>
    </row>
    <row r="90" spans="6:211" x14ac:dyDescent="0.25">
      <c r="F90" s="24" t="s">
        <v>129</v>
      </c>
      <c r="S90" s="24" t="s">
        <v>537</v>
      </c>
      <c r="AF90" s="23" t="s">
        <v>88</v>
      </c>
      <c r="AT90" s="24" t="s">
        <v>732</v>
      </c>
      <c r="BG90" s="24" t="s">
        <v>842</v>
      </c>
      <c r="BT90" s="24" t="s">
        <v>904</v>
      </c>
      <c r="CG90" s="24" t="s">
        <v>959</v>
      </c>
      <c r="CT90" s="24" t="s">
        <v>1006</v>
      </c>
      <c r="DG90" s="24" t="s">
        <v>1089</v>
      </c>
      <c r="DT90" s="24" t="s">
        <v>1139</v>
      </c>
      <c r="EG90" s="24" t="s">
        <v>1189</v>
      </c>
      <c r="ET90" s="24" t="s">
        <v>1241</v>
      </c>
      <c r="FG90" s="24" t="s">
        <v>1290</v>
      </c>
      <c r="FT90" s="24" t="s">
        <v>1340</v>
      </c>
      <c r="GG90" s="24" t="s">
        <v>1384</v>
      </c>
      <c r="GT90" s="112" t="s">
        <v>3028</v>
      </c>
      <c r="HC90" s="20"/>
    </row>
    <row r="91" spans="6:211" x14ac:dyDescent="0.25">
      <c r="F91" s="20"/>
      <c r="S91" s="20"/>
      <c r="AF91" s="23" t="s">
        <v>114</v>
      </c>
      <c r="AT91" s="20"/>
      <c r="BG91" s="20"/>
      <c r="BT91" s="20"/>
      <c r="CG91" s="20"/>
      <c r="CT91" s="20"/>
      <c r="DG91" s="20"/>
      <c r="DT91" s="20"/>
      <c r="EG91" s="20"/>
      <c r="ET91" s="20"/>
      <c r="FG91" s="20"/>
      <c r="FT91" s="20"/>
      <c r="GG91" s="20"/>
      <c r="GT91" s="11" t="s">
        <v>3029</v>
      </c>
      <c r="HC91" s="24" t="s">
        <v>3260</v>
      </c>
    </row>
    <row r="92" spans="6:211" x14ac:dyDescent="0.25">
      <c r="F92" s="21" t="s">
        <v>1484</v>
      </c>
      <c r="S92" s="21" t="s">
        <v>1584</v>
      </c>
      <c r="AF92" s="23" t="s">
        <v>78</v>
      </c>
      <c r="AT92" s="21" t="s">
        <v>1769</v>
      </c>
      <c r="BG92" s="21" t="s">
        <v>843</v>
      </c>
      <c r="BT92" s="21" t="s">
        <v>905</v>
      </c>
      <c r="CG92" s="21" t="s">
        <v>2019</v>
      </c>
      <c r="CT92" s="21" t="s">
        <v>2107</v>
      </c>
      <c r="DG92" s="21" t="s">
        <v>2196</v>
      </c>
      <c r="DT92" s="21" t="s">
        <v>2277</v>
      </c>
      <c r="EG92" s="21" t="s">
        <v>2360</v>
      </c>
      <c r="ET92" s="21" t="s">
        <v>1242</v>
      </c>
      <c r="FG92" s="21" t="s">
        <v>2519</v>
      </c>
      <c r="FT92" s="21" t="s">
        <v>2608</v>
      </c>
      <c r="GG92" s="21" t="s">
        <v>2688</v>
      </c>
      <c r="GT92" s="11" t="s">
        <v>3030</v>
      </c>
      <c r="HC92" s="20"/>
    </row>
    <row r="93" spans="6:211" x14ac:dyDescent="0.25">
      <c r="F93" s="20"/>
      <c r="S93" s="20"/>
      <c r="AF93" s="23" t="s">
        <v>48</v>
      </c>
      <c r="AT93" s="20"/>
      <c r="BG93" s="20"/>
      <c r="BT93" s="20"/>
      <c r="CG93" s="20"/>
      <c r="CT93" s="20"/>
      <c r="DG93" s="20"/>
      <c r="DT93" s="20"/>
      <c r="EG93" s="20"/>
      <c r="ET93" s="20"/>
      <c r="FG93" s="20"/>
      <c r="FT93" s="20"/>
      <c r="GG93" s="20"/>
      <c r="GT93" s="11"/>
      <c r="HC93" s="21" t="s">
        <v>3261</v>
      </c>
    </row>
    <row r="94" spans="6:211" x14ac:dyDescent="0.25">
      <c r="F94" s="28" t="s">
        <v>130</v>
      </c>
      <c r="S94" s="28" t="s">
        <v>1585</v>
      </c>
      <c r="AF94" s="23" t="s">
        <v>115</v>
      </c>
      <c r="AT94" s="28" t="s">
        <v>1770</v>
      </c>
      <c r="BG94" s="28" t="s">
        <v>1854</v>
      </c>
      <c r="BT94" s="28" t="s">
        <v>1938</v>
      </c>
      <c r="CG94" s="28" t="s">
        <v>2020</v>
      </c>
      <c r="CT94" s="28" t="s">
        <v>2108</v>
      </c>
      <c r="DG94" s="28" t="s">
        <v>2197</v>
      </c>
      <c r="DT94" s="28" t="s">
        <v>2278</v>
      </c>
      <c r="EG94" s="28" t="s">
        <v>2361</v>
      </c>
      <c r="ET94" s="28" t="s">
        <v>2443</v>
      </c>
      <c r="FG94" s="28" t="s">
        <v>2520</v>
      </c>
      <c r="FT94" s="28" t="s">
        <v>2609</v>
      </c>
      <c r="GG94" s="28" t="s">
        <v>2689</v>
      </c>
      <c r="GT94" s="112" t="s">
        <v>3028</v>
      </c>
      <c r="HC94" s="20"/>
    </row>
    <row r="95" spans="6:211" x14ac:dyDescent="0.25">
      <c r="F95" s="24" t="s">
        <v>1485</v>
      </c>
      <c r="S95" s="24" t="s">
        <v>1586</v>
      </c>
      <c r="AF95" s="23" t="s">
        <v>116</v>
      </c>
      <c r="AT95" s="28" t="s">
        <v>1771</v>
      </c>
      <c r="BG95" s="24" t="s">
        <v>1855</v>
      </c>
      <c r="BT95" s="28" t="s">
        <v>1939</v>
      </c>
      <c r="CG95" s="28" t="s">
        <v>2021</v>
      </c>
      <c r="CT95" s="28" t="s">
        <v>2109</v>
      </c>
      <c r="DG95" s="24" t="s">
        <v>2198</v>
      </c>
      <c r="DT95" s="24" t="s">
        <v>2279</v>
      </c>
      <c r="EG95" s="28" t="s">
        <v>2362</v>
      </c>
      <c r="ET95" s="24" t="s">
        <v>2444</v>
      </c>
      <c r="FG95" s="24" t="s">
        <v>2521</v>
      </c>
      <c r="FT95" s="24" t="s">
        <v>2610</v>
      </c>
      <c r="GG95" s="28" t="s">
        <v>2690</v>
      </c>
      <c r="GT95" s="11" t="s">
        <v>3031</v>
      </c>
      <c r="HC95" s="28" t="s">
        <v>3262</v>
      </c>
    </row>
    <row r="96" spans="6:211" x14ac:dyDescent="0.25">
      <c r="F96" s="24" t="s">
        <v>1486</v>
      </c>
      <c r="S96" s="24" t="s">
        <v>1587</v>
      </c>
      <c r="AF96" s="23" t="s">
        <v>117</v>
      </c>
      <c r="AT96" s="24" t="s">
        <v>1772</v>
      </c>
      <c r="BG96" s="24" t="s">
        <v>1856</v>
      </c>
      <c r="BT96" s="24" t="s">
        <v>1940</v>
      </c>
      <c r="CG96" s="24" t="s">
        <v>2022</v>
      </c>
      <c r="CT96" s="24" t="s">
        <v>2110</v>
      </c>
      <c r="DG96" s="24" t="s">
        <v>2199</v>
      </c>
      <c r="DT96" s="24" t="s">
        <v>2280</v>
      </c>
      <c r="EG96" s="24" t="s">
        <v>2363</v>
      </c>
      <c r="ET96" s="24" t="s">
        <v>2445</v>
      </c>
      <c r="FG96" s="24" t="s">
        <v>2522</v>
      </c>
      <c r="FT96" s="24" t="s">
        <v>2611</v>
      </c>
      <c r="GG96" s="24" t="s">
        <v>2691</v>
      </c>
      <c r="GT96" s="11"/>
      <c r="HC96" s="28" t="s">
        <v>3263</v>
      </c>
    </row>
    <row r="97" spans="6:216" x14ac:dyDescent="0.25">
      <c r="F97" s="20"/>
      <c r="S97" s="20"/>
      <c r="AF97" s="23" t="s">
        <v>118</v>
      </c>
      <c r="AT97" s="24" t="s">
        <v>1773</v>
      </c>
      <c r="BG97" s="20"/>
      <c r="BT97" s="24" t="s">
        <v>1941</v>
      </c>
      <c r="CG97" s="24" t="s">
        <v>2023</v>
      </c>
      <c r="CT97" s="24" t="s">
        <v>2111</v>
      </c>
      <c r="DG97" s="20"/>
      <c r="DT97" s="20"/>
      <c r="EG97" s="24" t="s">
        <v>2364</v>
      </c>
      <c r="ET97" s="20"/>
      <c r="FG97" s="20"/>
      <c r="FT97" s="20"/>
      <c r="GG97" s="24" t="s">
        <v>2692</v>
      </c>
      <c r="GT97" s="112" t="s">
        <v>3032</v>
      </c>
      <c r="HC97" s="24" t="s">
        <v>3264</v>
      </c>
    </row>
    <row r="98" spans="6:216" ht="26.25" x14ac:dyDescent="0.25">
      <c r="F98" s="29" t="s">
        <v>131</v>
      </c>
      <c r="S98" s="29" t="s">
        <v>538</v>
      </c>
      <c r="AF98" s="23" t="s">
        <v>119</v>
      </c>
      <c r="AT98" s="20"/>
      <c r="BG98" s="29" t="s">
        <v>844</v>
      </c>
      <c r="BT98" s="20"/>
      <c r="CG98" s="20"/>
      <c r="CT98" s="24" t="s">
        <v>1007</v>
      </c>
      <c r="DG98" s="29" t="s">
        <v>1090</v>
      </c>
      <c r="DT98" s="29" t="s">
        <v>1140</v>
      </c>
      <c r="EG98" s="20"/>
      <c r="ET98" s="29" t="s">
        <v>1243</v>
      </c>
      <c r="FG98" s="29" t="s">
        <v>1291</v>
      </c>
      <c r="FT98" s="29" t="s">
        <v>1341</v>
      </c>
      <c r="GG98" s="20"/>
      <c r="GT98" s="11" t="s">
        <v>3033</v>
      </c>
      <c r="HC98" s="24" t="s">
        <v>3265</v>
      </c>
    </row>
    <row r="99" spans="6:216" ht="26.25" x14ac:dyDescent="0.25">
      <c r="F99" s="20"/>
      <c r="S99" s="20"/>
      <c r="AF99" s="23" t="s">
        <v>120</v>
      </c>
      <c r="AT99" s="29" t="s">
        <v>733</v>
      </c>
      <c r="BG99" s="20"/>
      <c r="BT99" s="29" t="s">
        <v>906</v>
      </c>
      <c r="CG99" s="29" t="s">
        <v>960</v>
      </c>
      <c r="CT99" s="20"/>
      <c r="DG99" s="20"/>
      <c r="DT99" s="20"/>
      <c r="EG99" s="29" t="s">
        <v>1190</v>
      </c>
      <c r="ET99" s="20"/>
      <c r="FG99" s="20"/>
      <c r="FT99" s="20"/>
      <c r="GG99" s="29" t="s">
        <v>1385</v>
      </c>
      <c r="GT99" s="11"/>
      <c r="HC99" s="21" t="s">
        <v>3266</v>
      </c>
    </row>
    <row r="100" spans="6:216" ht="26.25" x14ac:dyDescent="0.25">
      <c r="F100" s="24" t="s">
        <v>132</v>
      </c>
      <c r="S100" s="24" t="s">
        <v>132</v>
      </c>
      <c r="AF100" s="23" t="s">
        <v>121</v>
      </c>
      <c r="AT100" s="20"/>
      <c r="BG100" s="24" t="s">
        <v>132</v>
      </c>
      <c r="BT100" s="20"/>
      <c r="CG100" s="20"/>
      <c r="CT100" s="29" t="s">
        <v>1008</v>
      </c>
      <c r="DG100" s="24" t="s">
        <v>132</v>
      </c>
      <c r="DT100" s="24" t="s">
        <v>132</v>
      </c>
      <c r="EG100" s="20"/>
      <c r="ET100" s="24" t="s">
        <v>132</v>
      </c>
      <c r="FG100" s="24" t="s">
        <v>132</v>
      </c>
      <c r="FT100" s="24" t="s">
        <v>132</v>
      </c>
      <c r="GG100" s="20"/>
      <c r="GT100" s="112" t="s">
        <v>3034</v>
      </c>
      <c r="HC100" s="20"/>
    </row>
    <row r="101" spans="6:216" ht="26.25" x14ac:dyDescent="0.25">
      <c r="F101" s="24" t="s">
        <v>133</v>
      </c>
      <c r="S101" s="24" t="s">
        <v>133</v>
      </c>
      <c r="AF101" s="23" t="s">
        <v>122</v>
      </c>
      <c r="AT101" s="24" t="s">
        <v>132</v>
      </c>
      <c r="BG101" s="21" t="s">
        <v>734</v>
      </c>
      <c r="BT101" s="24" t="s">
        <v>132</v>
      </c>
      <c r="CG101" s="24" t="s">
        <v>132</v>
      </c>
      <c r="CT101" s="20"/>
      <c r="DG101" s="21" t="s">
        <v>734</v>
      </c>
      <c r="DT101" s="21" t="s">
        <v>734</v>
      </c>
      <c r="EG101" s="24" t="s">
        <v>132</v>
      </c>
      <c r="ET101" s="24" t="s">
        <v>133</v>
      </c>
      <c r="FG101" s="24" t="s">
        <v>133</v>
      </c>
      <c r="FT101" s="21" t="s">
        <v>734</v>
      </c>
      <c r="GG101" s="24" t="s">
        <v>132</v>
      </c>
      <c r="GT101" s="11"/>
      <c r="HC101" s="29" t="s">
        <v>3267</v>
      </c>
    </row>
    <row r="102" spans="6:216" x14ac:dyDescent="0.25">
      <c r="F102" s="28" t="s">
        <v>134</v>
      </c>
      <c r="S102" s="28" t="s">
        <v>134</v>
      </c>
      <c r="AF102" s="13" t="s">
        <v>123</v>
      </c>
      <c r="AT102" s="21" t="s">
        <v>734</v>
      </c>
      <c r="BG102" s="28" t="s">
        <v>134</v>
      </c>
      <c r="BT102" s="21" t="s">
        <v>734</v>
      </c>
      <c r="CG102" s="21" t="s">
        <v>734</v>
      </c>
      <c r="CT102" s="24" t="s">
        <v>132</v>
      </c>
      <c r="DG102" s="28" t="s">
        <v>134</v>
      </c>
      <c r="DT102" s="28" t="s">
        <v>134</v>
      </c>
      <c r="EG102" s="21" t="s">
        <v>734</v>
      </c>
      <c r="ET102" s="28" t="s">
        <v>134</v>
      </c>
      <c r="FG102" s="28" t="s">
        <v>134</v>
      </c>
      <c r="FT102" s="28" t="s">
        <v>134</v>
      </c>
      <c r="GG102" s="21" t="s">
        <v>734</v>
      </c>
      <c r="GT102" s="11" t="s">
        <v>3035</v>
      </c>
      <c r="HC102" s="20"/>
    </row>
    <row r="103" spans="6:216" x14ac:dyDescent="0.25">
      <c r="F103" s="24" t="s">
        <v>135</v>
      </c>
      <c r="S103" s="24" t="s">
        <v>135</v>
      </c>
      <c r="AF103" s="24" t="s">
        <v>124</v>
      </c>
      <c r="AT103" s="28" t="s">
        <v>134</v>
      </c>
      <c r="BG103" s="24" t="s">
        <v>135</v>
      </c>
      <c r="BT103" s="28" t="s">
        <v>134</v>
      </c>
      <c r="CG103" s="28" t="s">
        <v>134</v>
      </c>
      <c r="CT103" s="21" t="s">
        <v>734</v>
      </c>
      <c r="DG103" s="24" t="s">
        <v>135</v>
      </c>
      <c r="DT103" s="24" t="s">
        <v>135</v>
      </c>
      <c r="EG103" s="28" t="s">
        <v>134</v>
      </c>
      <c r="ET103" s="24" t="s">
        <v>135</v>
      </c>
      <c r="FG103" s="24" t="s">
        <v>135</v>
      </c>
      <c r="FT103" s="24" t="s">
        <v>135</v>
      </c>
      <c r="GG103" s="28" t="s">
        <v>134</v>
      </c>
      <c r="GT103" s="13" t="s">
        <v>3036</v>
      </c>
      <c r="HC103" s="24" t="s">
        <v>2832</v>
      </c>
    </row>
    <row r="104" spans="6:216" x14ac:dyDescent="0.25">
      <c r="F104" s="24" t="s">
        <v>9</v>
      </c>
      <c r="S104" s="24" t="s">
        <v>9</v>
      </c>
      <c r="AF104" s="24" t="s">
        <v>125</v>
      </c>
      <c r="AT104" s="24" t="s">
        <v>135</v>
      </c>
      <c r="BG104" s="24" t="s">
        <v>9</v>
      </c>
      <c r="BT104" s="24" t="s">
        <v>135</v>
      </c>
      <c r="CG104" s="24" t="s">
        <v>135</v>
      </c>
      <c r="CT104" s="28" t="s">
        <v>134</v>
      </c>
      <c r="DG104" s="24" t="s">
        <v>9</v>
      </c>
      <c r="DT104" s="24" t="s">
        <v>9</v>
      </c>
      <c r="EG104" s="24" t="s">
        <v>135</v>
      </c>
      <c r="ET104" s="24" t="s">
        <v>9</v>
      </c>
      <c r="FG104" s="24" t="s">
        <v>9</v>
      </c>
      <c r="FT104" s="24" t="s">
        <v>9</v>
      </c>
      <c r="GG104" s="24" t="s">
        <v>135</v>
      </c>
      <c r="GT104" s="11" t="s">
        <v>3037</v>
      </c>
      <c r="HC104" s="21" t="s">
        <v>2833</v>
      </c>
    </row>
    <row r="105" spans="6:216" x14ac:dyDescent="0.25">
      <c r="F105" s="24" t="s">
        <v>10</v>
      </c>
      <c r="S105" s="24" t="s">
        <v>10</v>
      </c>
      <c r="AF105" s="26" t="s">
        <v>70</v>
      </c>
      <c r="AT105" s="24" t="s">
        <v>9</v>
      </c>
      <c r="BG105" s="24" t="s">
        <v>10</v>
      </c>
      <c r="BT105" s="24" t="s">
        <v>9</v>
      </c>
      <c r="CG105" s="24" t="s">
        <v>9</v>
      </c>
      <c r="CT105" s="24" t="s">
        <v>135</v>
      </c>
      <c r="DG105" s="24" t="s">
        <v>10</v>
      </c>
      <c r="DT105" s="24" t="s">
        <v>10</v>
      </c>
      <c r="EG105" s="24" t="s">
        <v>9</v>
      </c>
      <c r="ET105" s="24" t="s">
        <v>10</v>
      </c>
      <c r="FG105" s="24" t="s">
        <v>10</v>
      </c>
      <c r="FT105" s="24" t="s">
        <v>10</v>
      </c>
      <c r="GG105" s="24" t="s">
        <v>9</v>
      </c>
      <c r="GT105" s="13" t="s">
        <v>3038</v>
      </c>
      <c r="HC105" s="28" t="s">
        <v>2834</v>
      </c>
    </row>
    <row r="106" spans="6:216" x14ac:dyDescent="0.25">
      <c r="F106" s="21" t="s">
        <v>136</v>
      </c>
      <c r="S106" s="21" t="s">
        <v>136</v>
      </c>
      <c r="AF106" s="25" t="s">
        <v>665</v>
      </c>
      <c r="AT106" s="24" t="s">
        <v>10</v>
      </c>
      <c r="BG106" s="21" t="s">
        <v>136</v>
      </c>
      <c r="BT106" s="24" t="s">
        <v>10</v>
      </c>
      <c r="CG106" s="24" t="s">
        <v>10</v>
      </c>
      <c r="CT106" s="24" t="s">
        <v>9</v>
      </c>
      <c r="DG106" s="21" t="s">
        <v>136</v>
      </c>
      <c r="DT106" s="21" t="s">
        <v>136</v>
      </c>
      <c r="EG106" s="24" t="s">
        <v>10</v>
      </c>
      <c r="ET106" s="21" t="s">
        <v>136</v>
      </c>
      <c r="FG106" s="21" t="s">
        <v>136</v>
      </c>
      <c r="FT106" s="21" t="s">
        <v>136</v>
      </c>
      <c r="GG106" s="24" t="s">
        <v>10</v>
      </c>
      <c r="GT106" s="11" t="s">
        <v>3039</v>
      </c>
      <c r="HC106" s="24" t="s">
        <v>2835</v>
      </c>
    </row>
    <row r="107" spans="6:216" x14ac:dyDescent="0.25">
      <c r="F107" s="21" t="s">
        <v>137</v>
      </c>
      <c r="S107" s="21" t="s">
        <v>137</v>
      </c>
      <c r="AF107" s="24" t="s">
        <v>666</v>
      </c>
      <c r="AT107" s="21" t="s">
        <v>136</v>
      </c>
      <c r="BT107" s="21" t="s">
        <v>136</v>
      </c>
      <c r="CG107" s="21" t="s">
        <v>136</v>
      </c>
      <c r="CT107" s="24" t="s">
        <v>10</v>
      </c>
      <c r="EG107" s="21" t="s">
        <v>136</v>
      </c>
      <c r="ET107" s="21" t="s">
        <v>137</v>
      </c>
      <c r="FG107" s="21" t="s">
        <v>137</v>
      </c>
      <c r="GG107" s="21" t="s">
        <v>136</v>
      </c>
      <c r="GT107" s="13" t="s">
        <v>3040</v>
      </c>
      <c r="HC107" s="24" t="s">
        <v>9</v>
      </c>
    </row>
    <row r="108" spans="6:216" ht="16.5" x14ac:dyDescent="0.25">
      <c r="AF108" s="24" t="s">
        <v>1672</v>
      </c>
      <c r="BG108" s="31" t="s">
        <v>138</v>
      </c>
      <c r="BH108" s="31" t="s">
        <v>139</v>
      </c>
      <c r="BI108" s="31" t="s">
        <v>140</v>
      </c>
      <c r="BJ108" s="31" t="s">
        <v>141</v>
      </c>
      <c r="BK108" s="31" t="s">
        <v>142</v>
      </c>
      <c r="BL108" s="31" t="s">
        <v>143</v>
      </c>
      <c r="CT108" s="21" t="s">
        <v>136</v>
      </c>
      <c r="DG108" s="31" t="s">
        <v>138</v>
      </c>
      <c r="DH108" s="31" t="s">
        <v>139</v>
      </c>
      <c r="DI108" s="31" t="s">
        <v>140</v>
      </c>
      <c r="DJ108" s="31" t="s">
        <v>141</v>
      </c>
      <c r="DK108" s="31" t="s">
        <v>142</v>
      </c>
      <c r="DL108" s="31" t="s">
        <v>143</v>
      </c>
      <c r="DT108" s="31" t="s">
        <v>138</v>
      </c>
      <c r="DU108" s="31" t="s">
        <v>139</v>
      </c>
      <c r="DV108" s="31" t="s">
        <v>140</v>
      </c>
      <c r="DW108" s="31" t="s">
        <v>141</v>
      </c>
      <c r="DX108" s="31" t="s">
        <v>142</v>
      </c>
      <c r="DY108" s="31" t="s">
        <v>143</v>
      </c>
      <c r="FT108" s="31" t="s">
        <v>138</v>
      </c>
      <c r="FU108" s="31" t="s">
        <v>139</v>
      </c>
      <c r="FV108" s="31" t="s">
        <v>140</v>
      </c>
      <c r="FW108" s="31" t="s">
        <v>141</v>
      </c>
      <c r="FX108" s="31" t="s">
        <v>142</v>
      </c>
      <c r="FY108" s="31" t="s">
        <v>143</v>
      </c>
      <c r="GT108" s="13" t="s">
        <v>3041</v>
      </c>
      <c r="HC108" s="24" t="s">
        <v>10</v>
      </c>
    </row>
    <row r="109" spans="6:216" ht="16.5" x14ac:dyDescent="0.25">
      <c r="F109" s="31" t="s">
        <v>138</v>
      </c>
      <c r="G109" s="31" t="s">
        <v>139</v>
      </c>
      <c r="H109" s="31" t="s">
        <v>140</v>
      </c>
      <c r="I109" s="31" t="s">
        <v>141</v>
      </c>
      <c r="J109" s="31" t="s">
        <v>142</v>
      </c>
      <c r="K109" s="31" t="s">
        <v>143</v>
      </c>
      <c r="S109" s="31" t="s">
        <v>138</v>
      </c>
      <c r="T109" s="31" t="s">
        <v>139</v>
      </c>
      <c r="U109" s="31" t="s">
        <v>140</v>
      </c>
      <c r="V109" s="31" t="s">
        <v>141</v>
      </c>
      <c r="W109" s="31" t="s">
        <v>142</v>
      </c>
      <c r="X109" s="31" t="s">
        <v>143</v>
      </c>
      <c r="AF109" s="24" t="s">
        <v>1464</v>
      </c>
      <c r="AT109" s="31" t="s">
        <v>138</v>
      </c>
      <c r="AU109" s="31" t="s">
        <v>139</v>
      </c>
      <c r="AV109" s="31" t="s">
        <v>140</v>
      </c>
      <c r="AW109" s="31" t="s">
        <v>141</v>
      </c>
      <c r="AX109" s="31" t="s">
        <v>142</v>
      </c>
      <c r="AY109" s="31" t="s">
        <v>143</v>
      </c>
      <c r="BG109" s="32" t="s">
        <v>726</v>
      </c>
      <c r="BH109" s="32" t="s">
        <v>1466</v>
      </c>
      <c r="BI109" s="32" t="s">
        <v>829</v>
      </c>
      <c r="BJ109" s="32" t="s">
        <v>1857</v>
      </c>
      <c r="BK109" s="32" t="s">
        <v>1858</v>
      </c>
      <c r="BL109" s="32" t="s">
        <v>1859</v>
      </c>
      <c r="BT109" s="31" t="s">
        <v>138</v>
      </c>
      <c r="BU109" s="31" t="s">
        <v>139</v>
      </c>
      <c r="BV109" s="31" t="s">
        <v>140</v>
      </c>
      <c r="BW109" s="31" t="s">
        <v>141</v>
      </c>
      <c r="BX109" s="31" t="s">
        <v>142</v>
      </c>
      <c r="BY109" s="31" t="s">
        <v>143</v>
      </c>
      <c r="CG109" s="31" t="s">
        <v>138</v>
      </c>
      <c r="CH109" s="31" t="s">
        <v>139</v>
      </c>
      <c r="CI109" s="31" t="s">
        <v>140</v>
      </c>
      <c r="CJ109" s="31" t="s">
        <v>141</v>
      </c>
      <c r="CK109" s="31" t="s">
        <v>142</v>
      </c>
      <c r="CL109" s="31" t="s">
        <v>143</v>
      </c>
      <c r="DG109" s="32" t="s">
        <v>639</v>
      </c>
      <c r="DH109" s="32" t="s">
        <v>2194</v>
      </c>
      <c r="DI109" s="32" t="s">
        <v>2200</v>
      </c>
      <c r="DJ109" s="32" t="s">
        <v>2201</v>
      </c>
      <c r="DK109" s="32" t="s">
        <v>2202</v>
      </c>
      <c r="DL109" s="32" t="s">
        <v>2203</v>
      </c>
      <c r="DT109" s="32" t="s">
        <v>627</v>
      </c>
      <c r="DU109" s="32" t="s">
        <v>1183</v>
      </c>
      <c r="DV109" s="32" t="s">
        <v>1440</v>
      </c>
      <c r="DW109" s="32" t="s">
        <v>2281</v>
      </c>
      <c r="DX109" s="32" t="s">
        <v>2282</v>
      </c>
      <c r="DY109" s="32" t="s">
        <v>2283</v>
      </c>
      <c r="EG109" s="31" t="s">
        <v>138</v>
      </c>
      <c r="EH109" s="31" t="s">
        <v>139</v>
      </c>
      <c r="EI109" s="31" t="s">
        <v>140</v>
      </c>
      <c r="EJ109" s="31" t="s">
        <v>141</v>
      </c>
      <c r="EK109" s="31" t="s">
        <v>142</v>
      </c>
      <c r="EL109" s="31" t="s">
        <v>143</v>
      </c>
      <c r="ET109" s="31" t="s">
        <v>138</v>
      </c>
      <c r="EU109" s="31" t="s">
        <v>139</v>
      </c>
      <c r="EV109" s="31" t="s">
        <v>140</v>
      </c>
      <c r="EW109" s="31" t="s">
        <v>141</v>
      </c>
      <c r="EX109" s="31" t="s">
        <v>142</v>
      </c>
      <c r="EY109" s="31" t="s">
        <v>143</v>
      </c>
      <c r="FG109" s="31" t="s">
        <v>138</v>
      </c>
      <c r="FH109" s="31" t="s">
        <v>139</v>
      </c>
      <c r="FI109" s="31" t="s">
        <v>140</v>
      </c>
      <c r="FJ109" s="31" t="s">
        <v>141</v>
      </c>
      <c r="FK109" s="31" t="s">
        <v>142</v>
      </c>
      <c r="FL109" s="31" t="s">
        <v>143</v>
      </c>
      <c r="FT109" s="32" t="s">
        <v>627</v>
      </c>
      <c r="FU109" s="32" t="s">
        <v>2606</v>
      </c>
      <c r="FV109" s="32" t="s">
        <v>1370</v>
      </c>
      <c r="FW109" s="32" t="s">
        <v>2612</v>
      </c>
      <c r="FX109" s="32" t="s">
        <v>2613</v>
      </c>
      <c r="FY109" s="32" t="s">
        <v>1342</v>
      </c>
      <c r="GG109" s="31" t="s">
        <v>138</v>
      </c>
      <c r="GH109" s="31" t="s">
        <v>139</v>
      </c>
      <c r="GI109" s="31" t="s">
        <v>140</v>
      </c>
      <c r="GJ109" s="31" t="s">
        <v>141</v>
      </c>
      <c r="GK109" s="31" t="s">
        <v>142</v>
      </c>
      <c r="GL109" s="31" t="s">
        <v>143</v>
      </c>
      <c r="GT109" s="11"/>
      <c r="HC109" s="21" t="s">
        <v>2836</v>
      </c>
    </row>
    <row r="110" spans="6:216" ht="16.5" customHeight="1" x14ac:dyDescent="0.25">
      <c r="F110" s="32" t="s">
        <v>631</v>
      </c>
      <c r="G110" s="32" t="s">
        <v>900</v>
      </c>
      <c r="H110" s="32" t="s">
        <v>1467</v>
      </c>
      <c r="I110" s="32" t="s">
        <v>1463</v>
      </c>
      <c r="J110" s="32" t="s">
        <v>897</v>
      </c>
      <c r="K110" s="32" t="s">
        <v>1487</v>
      </c>
      <c r="S110" s="32" t="s">
        <v>1378</v>
      </c>
      <c r="T110" s="32" t="s">
        <v>1440</v>
      </c>
      <c r="U110" s="32" t="s">
        <v>1435</v>
      </c>
      <c r="V110" s="32" t="s">
        <v>622</v>
      </c>
      <c r="W110" s="32" t="s">
        <v>1588</v>
      </c>
      <c r="X110" s="32" t="s">
        <v>1589</v>
      </c>
      <c r="AF110" s="24" t="s">
        <v>536</v>
      </c>
      <c r="AT110" s="32" t="s">
        <v>1378</v>
      </c>
      <c r="AU110" s="32" t="s">
        <v>1767</v>
      </c>
      <c r="AV110" s="32" t="s">
        <v>1333</v>
      </c>
      <c r="AW110" s="32" t="s">
        <v>1658</v>
      </c>
      <c r="AX110" s="32" t="s">
        <v>1774</v>
      </c>
      <c r="AY110" s="32" t="s">
        <v>1775</v>
      </c>
      <c r="BG110" s="20"/>
      <c r="BT110" s="32" t="s">
        <v>899</v>
      </c>
      <c r="BU110" s="32" t="s">
        <v>1441</v>
      </c>
      <c r="BV110" s="32" t="s">
        <v>900</v>
      </c>
      <c r="BW110" s="32" t="s">
        <v>1942</v>
      </c>
      <c r="BX110" s="32" t="s">
        <v>1943</v>
      </c>
      <c r="BY110" s="32" t="s">
        <v>1944</v>
      </c>
      <c r="CG110" s="32" t="s">
        <v>961</v>
      </c>
      <c r="CH110" s="32" t="s">
        <v>644</v>
      </c>
      <c r="CI110" s="32" t="s">
        <v>2024</v>
      </c>
      <c r="CJ110" s="32" t="s">
        <v>645</v>
      </c>
      <c r="CK110" s="32" t="s">
        <v>2025</v>
      </c>
      <c r="CL110" s="32" t="s">
        <v>1134</v>
      </c>
      <c r="CT110" s="31" t="s">
        <v>138</v>
      </c>
      <c r="CU110" s="31" t="s">
        <v>139</v>
      </c>
      <c r="CV110" s="31" t="s">
        <v>140</v>
      </c>
      <c r="CW110" s="31" t="s">
        <v>141</v>
      </c>
      <c r="CX110" s="31" t="s">
        <v>142</v>
      </c>
      <c r="CY110" s="31" t="s">
        <v>143</v>
      </c>
      <c r="DG110" s="20"/>
      <c r="DT110" s="20"/>
      <c r="EG110" s="32" t="s">
        <v>900</v>
      </c>
      <c r="EH110" s="32" t="s">
        <v>1767</v>
      </c>
      <c r="EI110" s="32" t="s">
        <v>664</v>
      </c>
      <c r="EJ110" s="32" t="s">
        <v>1184</v>
      </c>
      <c r="EK110" s="32" t="s">
        <v>2200</v>
      </c>
      <c r="EL110" s="32" t="s">
        <v>2365</v>
      </c>
      <c r="ET110" s="32" t="s">
        <v>899</v>
      </c>
      <c r="EU110" s="32" t="s">
        <v>1442</v>
      </c>
      <c r="EV110" s="32" t="s">
        <v>670</v>
      </c>
      <c r="EW110" s="32" t="s">
        <v>2353</v>
      </c>
      <c r="EX110" s="32" t="s">
        <v>2446</v>
      </c>
      <c r="EY110" s="32" t="s">
        <v>2447</v>
      </c>
      <c r="FG110" s="32" t="s">
        <v>629</v>
      </c>
      <c r="FH110" s="32" t="s">
        <v>1333</v>
      </c>
      <c r="FI110" s="32" t="s">
        <v>2523</v>
      </c>
      <c r="FJ110" s="32" t="s">
        <v>836</v>
      </c>
      <c r="FK110" s="32" t="s">
        <v>2524</v>
      </c>
      <c r="FL110" s="32" t="s">
        <v>2525</v>
      </c>
      <c r="FT110" s="20"/>
      <c r="GG110" s="32" t="s">
        <v>1563</v>
      </c>
      <c r="GH110" s="32" t="s">
        <v>634</v>
      </c>
      <c r="GI110" s="32" t="s">
        <v>1767</v>
      </c>
      <c r="GJ110" s="32" t="s">
        <v>1759</v>
      </c>
      <c r="GK110" s="32" t="s">
        <v>2693</v>
      </c>
      <c r="GL110" s="32" t="s">
        <v>2694</v>
      </c>
      <c r="GT110" s="140" t="s">
        <v>3042</v>
      </c>
    </row>
    <row r="111" spans="6:216" ht="26.25" x14ac:dyDescent="0.25">
      <c r="F111" s="20"/>
      <c r="S111" s="20"/>
      <c r="AF111" s="24" t="s">
        <v>128</v>
      </c>
      <c r="AT111" s="20"/>
      <c r="BG111" s="29" t="s">
        <v>845</v>
      </c>
      <c r="BT111" s="20"/>
      <c r="CG111" s="20"/>
      <c r="CT111" s="32" t="s">
        <v>629</v>
      </c>
      <c r="CU111" s="32" t="s">
        <v>1441</v>
      </c>
      <c r="CV111" s="32" t="s">
        <v>899</v>
      </c>
      <c r="CW111" s="32" t="s">
        <v>2112</v>
      </c>
      <c r="CX111" s="32" t="s">
        <v>1698</v>
      </c>
      <c r="CY111" s="32" t="s">
        <v>2113</v>
      </c>
      <c r="DG111" s="29" t="s">
        <v>1091</v>
      </c>
      <c r="DT111" s="29" t="s">
        <v>1141</v>
      </c>
      <c r="EG111" s="20"/>
      <c r="ET111" s="20"/>
      <c r="FG111" s="20"/>
      <c r="FT111" s="29" t="s">
        <v>1343</v>
      </c>
      <c r="GG111" s="20"/>
      <c r="GT111" s="11"/>
      <c r="HC111" s="31" t="s">
        <v>138</v>
      </c>
      <c r="HD111" s="31" t="s">
        <v>139</v>
      </c>
      <c r="HE111" s="31" t="s">
        <v>140</v>
      </c>
      <c r="HF111" s="31" t="s">
        <v>141</v>
      </c>
      <c r="HG111" s="31" t="s">
        <v>142</v>
      </c>
      <c r="HH111" s="31" t="s">
        <v>2837</v>
      </c>
    </row>
    <row r="112" spans="6:216" ht="26.25" x14ac:dyDescent="0.25">
      <c r="F112" s="29" t="s">
        <v>144</v>
      </c>
      <c r="S112" s="29" t="s">
        <v>540</v>
      </c>
      <c r="AF112" s="24" t="s">
        <v>536</v>
      </c>
      <c r="AT112" s="29" t="s">
        <v>735</v>
      </c>
      <c r="BG112" s="20"/>
      <c r="BT112" s="29" t="s">
        <v>907</v>
      </c>
      <c r="CG112" s="29" t="s">
        <v>962</v>
      </c>
      <c r="CT112" s="20"/>
      <c r="DG112" s="20"/>
      <c r="DT112" s="20"/>
      <c r="EG112" s="29" t="s">
        <v>1191</v>
      </c>
      <c r="ET112" s="29" t="s">
        <v>1244</v>
      </c>
      <c r="FG112" s="29" t="s">
        <v>1292</v>
      </c>
      <c r="FT112" s="20"/>
      <c r="GG112" s="29" t="s">
        <v>1386</v>
      </c>
      <c r="GT112" s="11" t="s">
        <v>3043</v>
      </c>
      <c r="HC112" s="32" t="s">
        <v>642</v>
      </c>
      <c r="HD112" s="32" t="s">
        <v>1658</v>
      </c>
      <c r="HE112" s="32" t="s">
        <v>622</v>
      </c>
      <c r="HF112" s="32" t="s">
        <v>727</v>
      </c>
      <c r="HG112" s="32" t="s">
        <v>2201</v>
      </c>
      <c r="HH112" s="32" t="s">
        <v>622</v>
      </c>
    </row>
    <row r="113" spans="6:212" ht="26.25" x14ac:dyDescent="0.25">
      <c r="F113" s="20"/>
      <c r="S113" s="20"/>
      <c r="AF113" s="24" t="s">
        <v>666</v>
      </c>
      <c r="AT113" s="20"/>
      <c r="BG113" s="24" t="s">
        <v>145</v>
      </c>
      <c r="BT113" s="20"/>
      <c r="CG113" s="20"/>
      <c r="CT113" s="29" t="s">
        <v>1010</v>
      </c>
      <c r="DG113" s="24" t="s">
        <v>145</v>
      </c>
      <c r="DT113" s="24" t="s">
        <v>145</v>
      </c>
      <c r="EG113" s="20"/>
      <c r="ET113" s="20"/>
      <c r="FG113" s="20"/>
      <c r="FT113" s="24" t="s">
        <v>145</v>
      </c>
      <c r="GG113" s="20"/>
      <c r="GT113" s="11" t="s">
        <v>3044</v>
      </c>
      <c r="HC113" s="20"/>
    </row>
    <row r="114" spans="6:212" ht="26.25" x14ac:dyDescent="0.25">
      <c r="F114" s="24" t="s">
        <v>145</v>
      </c>
      <c r="S114" s="24" t="s">
        <v>145</v>
      </c>
      <c r="AF114" s="20"/>
      <c r="AT114" s="24" t="s">
        <v>145</v>
      </c>
      <c r="BG114" s="24" t="s">
        <v>652</v>
      </c>
      <c r="BT114" s="24" t="s">
        <v>145</v>
      </c>
      <c r="CG114" s="24" t="s">
        <v>145</v>
      </c>
      <c r="CT114" s="20"/>
      <c r="DG114" s="24" t="s">
        <v>656</v>
      </c>
      <c r="DT114" s="24" t="s">
        <v>657</v>
      </c>
      <c r="EG114" s="24" t="s">
        <v>145</v>
      </c>
      <c r="ET114" s="24" t="s">
        <v>145</v>
      </c>
      <c r="FG114" s="24" t="s">
        <v>145</v>
      </c>
      <c r="FT114" s="24" t="s">
        <v>661</v>
      </c>
      <c r="GG114" s="24" t="s">
        <v>145</v>
      </c>
      <c r="GT114" s="13" t="s">
        <v>3045</v>
      </c>
      <c r="HC114" s="29" t="s">
        <v>3268</v>
      </c>
    </row>
    <row r="115" spans="6:212" ht="37.5" x14ac:dyDescent="0.25">
      <c r="F115" s="24" t="s">
        <v>9</v>
      </c>
      <c r="S115" s="24" t="s">
        <v>10</v>
      </c>
      <c r="AF115" s="27" t="s">
        <v>59</v>
      </c>
      <c r="AT115" s="24" t="s">
        <v>67</v>
      </c>
      <c r="BG115" s="24" t="s">
        <v>146</v>
      </c>
      <c r="BT115" s="24" t="s">
        <v>653</v>
      </c>
      <c r="CG115" s="24" t="s">
        <v>654</v>
      </c>
      <c r="CT115" s="24" t="s">
        <v>145</v>
      </c>
      <c r="DG115" s="24" t="s">
        <v>146</v>
      </c>
      <c r="DT115" s="24" t="s">
        <v>146</v>
      </c>
      <c r="EG115" s="24" t="s">
        <v>658</v>
      </c>
      <c r="ET115" s="24" t="s">
        <v>659</v>
      </c>
      <c r="FG115" s="24" t="s">
        <v>660</v>
      </c>
      <c r="FT115" s="24" t="s">
        <v>146</v>
      </c>
      <c r="GG115" s="24" t="s">
        <v>1387</v>
      </c>
      <c r="GT115" s="13" t="s">
        <v>3046</v>
      </c>
      <c r="HC115" s="20"/>
    </row>
    <row r="116" spans="6:212" ht="37.5" x14ac:dyDescent="0.25">
      <c r="F116" s="24" t="s">
        <v>146</v>
      </c>
      <c r="S116" s="24" t="s">
        <v>146</v>
      </c>
      <c r="AF116" s="27" t="s">
        <v>667</v>
      </c>
      <c r="AT116" s="24" t="s">
        <v>146</v>
      </c>
      <c r="BG116" s="24" t="s">
        <v>846</v>
      </c>
      <c r="BT116" s="24" t="s">
        <v>146</v>
      </c>
      <c r="CG116" s="24" t="s">
        <v>146</v>
      </c>
      <c r="CT116" s="24" t="s">
        <v>655</v>
      </c>
      <c r="DG116" s="24" t="s">
        <v>1092</v>
      </c>
      <c r="DT116" s="24" t="s">
        <v>1142</v>
      </c>
      <c r="EG116" s="24" t="s">
        <v>146</v>
      </c>
      <c r="ET116" s="24" t="s">
        <v>146</v>
      </c>
      <c r="FG116" s="24" t="s">
        <v>146</v>
      </c>
      <c r="FT116" s="24" t="s">
        <v>1344</v>
      </c>
      <c r="GG116" s="24" t="s">
        <v>146</v>
      </c>
      <c r="GT116" s="11" t="s">
        <v>3047</v>
      </c>
      <c r="HC116" s="24" t="s">
        <v>2838</v>
      </c>
    </row>
    <row r="117" spans="6:212" ht="16.5" x14ac:dyDescent="0.25">
      <c r="F117" s="24" t="s">
        <v>147</v>
      </c>
      <c r="S117" s="24" t="s">
        <v>541</v>
      </c>
      <c r="AF117" s="20"/>
      <c r="AT117" s="24" t="s">
        <v>736</v>
      </c>
      <c r="BG117" s="31" t="s">
        <v>148</v>
      </c>
      <c r="BH117" s="159" t="s">
        <v>1860</v>
      </c>
      <c r="BT117" s="24" t="s">
        <v>908</v>
      </c>
      <c r="CG117" s="24" t="s">
        <v>963</v>
      </c>
      <c r="CT117" s="24" t="s">
        <v>146</v>
      </c>
      <c r="DG117" s="31" t="s">
        <v>148</v>
      </c>
      <c r="DH117" s="159" t="s">
        <v>2204</v>
      </c>
      <c r="DT117" s="31" t="s">
        <v>148</v>
      </c>
      <c r="DU117" s="159" t="s">
        <v>2284</v>
      </c>
      <c r="EG117" s="24" t="s">
        <v>1192</v>
      </c>
      <c r="ET117" s="24" t="s">
        <v>1245</v>
      </c>
      <c r="FG117" s="24" t="s">
        <v>1293</v>
      </c>
      <c r="FT117" s="31" t="s">
        <v>148</v>
      </c>
      <c r="FU117" s="159" t="s">
        <v>2614</v>
      </c>
      <c r="GG117" s="24" t="s">
        <v>1388</v>
      </c>
      <c r="GT117" s="11" t="s">
        <v>3048</v>
      </c>
      <c r="HC117" s="24" t="s">
        <v>3247</v>
      </c>
    </row>
    <row r="118" spans="6:212" ht="16.5" x14ac:dyDescent="0.25">
      <c r="F118" s="31" t="s">
        <v>148</v>
      </c>
      <c r="G118" s="159" t="s">
        <v>1488</v>
      </c>
      <c r="S118" s="31" t="s">
        <v>148</v>
      </c>
      <c r="T118" s="159" t="s">
        <v>1590</v>
      </c>
      <c r="AF118" s="24" t="s">
        <v>663</v>
      </c>
      <c r="AT118" s="31" t="s">
        <v>148</v>
      </c>
      <c r="AU118" s="159" t="s">
        <v>1776</v>
      </c>
      <c r="BG118" s="31" t="s">
        <v>149</v>
      </c>
      <c r="BH118" s="159"/>
      <c r="BT118" s="31" t="s">
        <v>148</v>
      </c>
      <c r="BU118" s="159" t="s">
        <v>1945</v>
      </c>
      <c r="CG118" s="31" t="s">
        <v>148</v>
      </c>
      <c r="CH118" s="159" t="s">
        <v>2026</v>
      </c>
      <c r="CT118" s="24" t="s">
        <v>1011</v>
      </c>
      <c r="DG118" s="31" t="s">
        <v>149</v>
      </c>
      <c r="DH118" s="159"/>
      <c r="DT118" s="31" t="s">
        <v>149</v>
      </c>
      <c r="DU118" s="159"/>
      <c r="EG118" s="31" t="s">
        <v>148</v>
      </c>
      <c r="EH118" s="159" t="s">
        <v>2366</v>
      </c>
      <c r="ET118" s="31" t="s">
        <v>148</v>
      </c>
      <c r="EU118" s="159" t="s">
        <v>2448</v>
      </c>
      <c r="FG118" s="31" t="s">
        <v>148</v>
      </c>
      <c r="FH118" s="159" t="s">
        <v>2526</v>
      </c>
      <c r="FT118" s="31" t="s">
        <v>149</v>
      </c>
      <c r="FU118" s="159"/>
      <c r="GG118" s="31" t="s">
        <v>148</v>
      </c>
      <c r="GH118" s="159" t="s">
        <v>2695</v>
      </c>
      <c r="GT118" s="11" t="s">
        <v>3049</v>
      </c>
      <c r="HC118" s="24" t="s">
        <v>146</v>
      </c>
    </row>
    <row r="119" spans="6:212" ht="16.5" x14ac:dyDescent="0.25">
      <c r="F119" s="31" t="s">
        <v>149</v>
      </c>
      <c r="G119" s="159"/>
      <c r="S119" s="31" t="s">
        <v>149</v>
      </c>
      <c r="T119" s="159"/>
      <c r="AF119" s="24" t="s">
        <v>1673</v>
      </c>
      <c r="AT119" s="31" t="s">
        <v>149</v>
      </c>
      <c r="AU119" s="159"/>
      <c r="BG119" s="30"/>
      <c r="BH119" s="159"/>
      <c r="BT119" s="31" t="s">
        <v>149</v>
      </c>
      <c r="BU119" s="159"/>
      <c r="CG119" s="31" t="s">
        <v>149</v>
      </c>
      <c r="CH119" s="159"/>
      <c r="CT119" s="31" t="s">
        <v>148</v>
      </c>
      <c r="CU119" s="159" t="s">
        <v>2114</v>
      </c>
      <c r="DG119" s="30"/>
      <c r="DH119" s="159"/>
      <c r="DT119" s="30"/>
      <c r="DU119" s="159"/>
      <c r="EG119" s="31" t="s">
        <v>149</v>
      </c>
      <c r="EH119" s="159"/>
      <c r="ET119" s="31" t="s">
        <v>149</v>
      </c>
      <c r="EU119" s="159"/>
      <c r="FG119" s="31" t="s">
        <v>149</v>
      </c>
      <c r="FH119" s="159"/>
      <c r="FT119" s="30"/>
      <c r="FU119" s="159"/>
      <c r="GG119" s="31" t="s">
        <v>149</v>
      </c>
      <c r="GH119" s="159"/>
      <c r="GT119" s="11">
        <v>24478</v>
      </c>
      <c r="HC119" s="24" t="s">
        <v>3269</v>
      </c>
    </row>
    <row r="120" spans="6:212" ht="15" customHeight="1" x14ac:dyDescent="0.25">
      <c r="F120" s="30"/>
      <c r="G120" s="159"/>
      <c r="S120" s="30"/>
      <c r="T120" s="159"/>
      <c r="AF120" s="24" t="s">
        <v>1464</v>
      </c>
      <c r="AT120" s="30"/>
      <c r="AU120" s="159"/>
      <c r="BG120" s="31" t="s">
        <v>150</v>
      </c>
      <c r="BH120" s="159"/>
      <c r="BT120" s="30"/>
      <c r="BU120" s="159"/>
      <c r="CG120" s="30"/>
      <c r="CH120" s="159"/>
      <c r="CT120" s="31" t="s">
        <v>149</v>
      </c>
      <c r="CU120" s="159"/>
      <c r="DG120" s="31" t="s">
        <v>150</v>
      </c>
      <c r="DH120" s="159"/>
      <c r="DT120" s="31" t="s">
        <v>150</v>
      </c>
      <c r="DU120" s="159"/>
      <c r="EG120" s="30"/>
      <c r="EH120" s="159"/>
      <c r="ET120" s="30"/>
      <c r="EU120" s="159"/>
      <c r="FG120" s="30"/>
      <c r="FH120" s="159"/>
      <c r="FT120" s="31" t="s">
        <v>150</v>
      </c>
      <c r="FU120" s="159"/>
      <c r="GG120" s="30"/>
      <c r="GH120" s="159"/>
      <c r="GT120" s="11"/>
      <c r="HC120" s="31" t="s">
        <v>2839</v>
      </c>
      <c r="HD120" s="159" t="s">
        <v>3270</v>
      </c>
    </row>
    <row r="121" spans="6:212" ht="66" x14ac:dyDescent="0.25">
      <c r="F121" s="31" t="s">
        <v>150</v>
      </c>
      <c r="G121" s="159"/>
      <c r="S121" s="31" t="s">
        <v>150</v>
      </c>
      <c r="T121" s="159"/>
      <c r="AF121" s="20"/>
      <c r="AT121" s="31" t="s">
        <v>150</v>
      </c>
      <c r="AU121" s="159"/>
      <c r="BG121" s="30"/>
      <c r="BH121" s="159"/>
      <c r="BT121" s="31" t="s">
        <v>150</v>
      </c>
      <c r="BU121" s="159"/>
      <c r="CG121" s="31" t="s">
        <v>150</v>
      </c>
      <c r="CH121" s="159"/>
      <c r="CT121" s="30"/>
      <c r="CU121" s="159"/>
      <c r="DG121" s="30"/>
      <c r="DH121" s="159"/>
      <c r="DT121" s="30"/>
      <c r="DU121" s="159"/>
      <c r="EG121" s="31" t="s">
        <v>150</v>
      </c>
      <c r="EH121" s="159"/>
      <c r="ET121" s="31" t="s">
        <v>150</v>
      </c>
      <c r="EU121" s="159"/>
      <c r="FG121" s="31" t="s">
        <v>150</v>
      </c>
      <c r="FH121" s="159"/>
      <c r="FT121" s="30"/>
      <c r="FU121" s="159"/>
      <c r="GG121" s="31" t="s">
        <v>150</v>
      </c>
      <c r="GH121" s="159"/>
      <c r="GT121" s="11" t="s">
        <v>3050</v>
      </c>
      <c r="HC121" s="31" t="s">
        <v>2840</v>
      </c>
      <c r="HD121" s="159"/>
    </row>
    <row r="122" spans="6:212" ht="15" customHeight="1" x14ac:dyDescent="0.25">
      <c r="F122" s="30"/>
      <c r="G122" s="159"/>
      <c r="S122" s="30"/>
      <c r="T122" s="159"/>
      <c r="AF122" s="24" t="s">
        <v>668</v>
      </c>
      <c r="AT122" s="30"/>
      <c r="AU122" s="159"/>
      <c r="BG122" s="33" t="s">
        <v>151</v>
      </c>
      <c r="BH122" s="159"/>
      <c r="BT122" s="30"/>
      <c r="BU122" s="159"/>
      <c r="CG122" s="30"/>
      <c r="CH122" s="159"/>
      <c r="CT122" s="31" t="s">
        <v>150</v>
      </c>
      <c r="CU122" s="159"/>
      <c r="DG122" s="33" t="s">
        <v>151</v>
      </c>
      <c r="DH122" s="159"/>
      <c r="DT122" s="33" t="s">
        <v>151</v>
      </c>
      <c r="DU122" s="159"/>
      <c r="EG122" s="30"/>
      <c r="EH122" s="159"/>
      <c r="ET122" s="30"/>
      <c r="EU122" s="159"/>
      <c r="FG122" s="30"/>
      <c r="FH122" s="159"/>
      <c r="FT122" s="33" t="s">
        <v>151</v>
      </c>
      <c r="FU122" s="159"/>
      <c r="GG122" s="30"/>
      <c r="GH122" s="159"/>
      <c r="GT122" s="11" t="s">
        <v>2780</v>
      </c>
      <c r="HC122" s="30"/>
      <c r="HD122" s="159"/>
    </row>
    <row r="123" spans="6:212" ht="15" customHeight="1" x14ac:dyDescent="0.25">
      <c r="F123" s="33" t="s">
        <v>151</v>
      </c>
      <c r="G123" s="159"/>
      <c r="S123" s="33" t="s">
        <v>151</v>
      </c>
      <c r="T123" s="159"/>
      <c r="AF123" s="20"/>
      <c r="AT123" s="33" t="s">
        <v>151</v>
      </c>
      <c r="AU123" s="159"/>
      <c r="BG123" s="31" t="s">
        <v>152</v>
      </c>
      <c r="BH123" s="159" t="s">
        <v>847</v>
      </c>
      <c r="BT123" s="33" t="s">
        <v>151</v>
      </c>
      <c r="BU123" s="159"/>
      <c r="CG123" s="33" t="s">
        <v>151</v>
      </c>
      <c r="CH123" s="159"/>
      <c r="CT123" s="30"/>
      <c r="CU123" s="159"/>
      <c r="DG123" s="31" t="s">
        <v>152</v>
      </c>
      <c r="DH123" s="159" t="s">
        <v>1093</v>
      </c>
      <c r="DT123" s="31" t="s">
        <v>152</v>
      </c>
      <c r="DU123" s="159" t="s">
        <v>1143</v>
      </c>
      <c r="EG123" s="33" t="s">
        <v>151</v>
      </c>
      <c r="EH123" s="159"/>
      <c r="ET123" s="33" t="s">
        <v>151</v>
      </c>
      <c r="EU123" s="159"/>
      <c r="FG123" s="33" t="s">
        <v>151</v>
      </c>
      <c r="FH123" s="159"/>
      <c r="FT123" s="31" t="s">
        <v>152</v>
      </c>
      <c r="FU123" s="159" t="s">
        <v>542</v>
      </c>
      <c r="GG123" s="33" t="s">
        <v>151</v>
      </c>
      <c r="GH123" s="159"/>
      <c r="GT123" s="11" t="s">
        <v>54</v>
      </c>
      <c r="HC123" s="31" t="s">
        <v>2841</v>
      </c>
      <c r="HD123" s="159"/>
    </row>
    <row r="124" spans="6:212" ht="33" x14ac:dyDescent="0.25">
      <c r="F124" s="31" t="s">
        <v>152</v>
      </c>
      <c r="G124" s="159" t="s">
        <v>156</v>
      </c>
      <c r="S124" s="31" t="s">
        <v>152</v>
      </c>
      <c r="T124" s="159" t="s">
        <v>542</v>
      </c>
      <c r="AF124" s="21" t="s">
        <v>1674</v>
      </c>
      <c r="AT124" s="31" t="s">
        <v>152</v>
      </c>
      <c r="AU124" s="159" t="s">
        <v>737</v>
      </c>
      <c r="BG124" s="31" t="s">
        <v>153</v>
      </c>
      <c r="BH124" s="159"/>
      <c r="BT124" s="31" t="s">
        <v>152</v>
      </c>
      <c r="BU124" s="159" t="s">
        <v>909</v>
      </c>
      <c r="CG124" s="31" t="s">
        <v>152</v>
      </c>
      <c r="CH124" s="159" t="s">
        <v>542</v>
      </c>
      <c r="CT124" s="33" t="s">
        <v>151</v>
      </c>
      <c r="CU124" s="159"/>
      <c r="DG124" s="31" t="s">
        <v>153</v>
      </c>
      <c r="DH124" s="159"/>
      <c r="DT124" s="31" t="s">
        <v>153</v>
      </c>
      <c r="DU124" s="159"/>
      <c r="EG124" s="31" t="s">
        <v>152</v>
      </c>
      <c r="EH124" s="159" t="s">
        <v>909</v>
      </c>
      <c r="ET124" s="31" t="s">
        <v>152</v>
      </c>
      <c r="EU124" s="159" t="s">
        <v>1246</v>
      </c>
      <c r="FG124" s="31" t="s">
        <v>152</v>
      </c>
      <c r="FH124" s="159" t="s">
        <v>542</v>
      </c>
      <c r="FT124" s="31" t="s">
        <v>153</v>
      </c>
      <c r="FU124" s="159"/>
      <c r="GG124" s="31" t="s">
        <v>152</v>
      </c>
      <c r="GH124" s="159" t="s">
        <v>737</v>
      </c>
      <c r="GT124" s="11" t="s">
        <v>3051</v>
      </c>
      <c r="HC124" s="30"/>
      <c r="HD124" s="159"/>
    </row>
    <row r="125" spans="6:212" ht="33" x14ac:dyDescent="0.25">
      <c r="F125" s="31" t="s">
        <v>153</v>
      </c>
      <c r="G125" s="159"/>
      <c r="S125" s="31" t="s">
        <v>153</v>
      </c>
      <c r="T125" s="159"/>
      <c r="AF125" s="20"/>
      <c r="AT125" s="31" t="s">
        <v>153</v>
      </c>
      <c r="AU125" s="159"/>
      <c r="BG125" s="30"/>
      <c r="BH125" s="159"/>
      <c r="BT125" s="31" t="s">
        <v>153</v>
      </c>
      <c r="BU125" s="159"/>
      <c r="CG125" s="31" t="s">
        <v>153</v>
      </c>
      <c r="CH125" s="159"/>
      <c r="CT125" s="31" t="s">
        <v>152</v>
      </c>
      <c r="CU125" s="159" t="s">
        <v>1012</v>
      </c>
      <c r="DG125" s="30"/>
      <c r="DH125" s="159"/>
      <c r="DT125" s="30"/>
      <c r="DU125" s="159"/>
      <c r="EG125" s="31" t="s">
        <v>153</v>
      </c>
      <c r="EH125" s="159"/>
      <c r="ET125" s="31" t="s">
        <v>153</v>
      </c>
      <c r="EU125" s="159"/>
      <c r="FG125" s="31" t="s">
        <v>153</v>
      </c>
      <c r="FH125" s="159"/>
      <c r="FT125" s="30"/>
      <c r="FU125" s="159"/>
      <c r="GG125" s="31" t="s">
        <v>153</v>
      </c>
      <c r="GH125" s="159"/>
      <c r="GT125" s="11" t="s">
        <v>3052</v>
      </c>
      <c r="HC125" s="33" t="s">
        <v>2842</v>
      </c>
      <c r="HD125" s="159"/>
    </row>
    <row r="126" spans="6:212" ht="15" customHeight="1" x14ac:dyDescent="0.25">
      <c r="F126" s="30"/>
      <c r="G126" s="159"/>
      <c r="S126" s="30"/>
      <c r="T126" s="159"/>
      <c r="AF126" s="28" t="s">
        <v>1675</v>
      </c>
      <c r="AT126" s="30"/>
      <c r="AU126" s="159"/>
      <c r="BG126" s="31" t="s">
        <v>154</v>
      </c>
      <c r="BH126" s="159"/>
      <c r="BT126" s="30"/>
      <c r="BU126" s="159"/>
      <c r="CG126" s="30"/>
      <c r="CH126" s="159"/>
      <c r="CT126" s="31" t="s">
        <v>153</v>
      </c>
      <c r="CU126" s="159"/>
      <c r="DG126" s="31" t="s">
        <v>154</v>
      </c>
      <c r="DH126" s="159"/>
      <c r="DT126" s="31" t="s">
        <v>154</v>
      </c>
      <c r="DU126" s="159"/>
      <c r="EG126" s="30"/>
      <c r="EH126" s="159"/>
      <c r="ET126" s="30"/>
      <c r="EU126" s="159"/>
      <c r="FG126" s="30"/>
      <c r="FH126" s="159"/>
      <c r="FT126" s="31" t="s">
        <v>154</v>
      </c>
      <c r="FU126" s="159"/>
      <c r="GG126" s="30"/>
      <c r="GH126" s="159"/>
      <c r="GT126" s="11" t="s">
        <v>3053</v>
      </c>
      <c r="HC126" s="31" t="s">
        <v>2843</v>
      </c>
      <c r="HD126" s="159" t="s">
        <v>3271</v>
      </c>
    </row>
    <row r="127" spans="6:212" ht="33" customHeight="1" x14ac:dyDescent="0.25">
      <c r="F127" s="31" t="s">
        <v>154</v>
      </c>
      <c r="G127" s="159"/>
      <c r="S127" s="31" t="s">
        <v>154</v>
      </c>
      <c r="T127" s="159"/>
      <c r="AF127" s="24" t="s">
        <v>1676</v>
      </c>
      <c r="AT127" s="31" t="s">
        <v>154</v>
      </c>
      <c r="AU127" s="159"/>
      <c r="BG127" s="30"/>
      <c r="BH127" s="159"/>
      <c r="BT127" s="31" t="s">
        <v>154</v>
      </c>
      <c r="BU127" s="159"/>
      <c r="CG127" s="31" t="s">
        <v>154</v>
      </c>
      <c r="CH127" s="159"/>
      <c r="CT127" s="30"/>
      <c r="CU127" s="159"/>
      <c r="DG127" s="30"/>
      <c r="DH127" s="159"/>
      <c r="DT127" s="30"/>
      <c r="DU127" s="159"/>
      <c r="EG127" s="31" t="s">
        <v>154</v>
      </c>
      <c r="EH127" s="159"/>
      <c r="ET127" s="31" t="s">
        <v>154</v>
      </c>
      <c r="EU127" s="159"/>
      <c r="FG127" s="31" t="s">
        <v>154</v>
      </c>
      <c r="FH127" s="159"/>
      <c r="FT127" s="30"/>
      <c r="FU127" s="159"/>
      <c r="GG127" s="31" t="s">
        <v>154</v>
      </c>
      <c r="GH127" s="159"/>
      <c r="GT127" s="11" t="s">
        <v>3054</v>
      </c>
      <c r="HC127" s="31" t="s">
        <v>2844</v>
      </c>
      <c r="HD127" s="159"/>
    </row>
    <row r="128" spans="6:212" ht="15" customHeight="1" x14ac:dyDescent="0.25">
      <c r="F128" s="30"/>
      <c r="G128" s="159"/>
      <c r="S128" s="30"/>
      <c r="T128" s="159"/>
      <c r="AF128" s="24" t="s">
        <v>1677</v>
      </c>
      <c r="AT128" s="30"/>
      <c r="AU128" s="159"/>
      <c r="BG128" s="33" t="s">
        <v>155</v>
      </c>
      <c r="BH128" s="159"/>
      <c r="BT128" s="30"/>
      <c r="BU128" s="159"/>
      <c r="CG128" s="30"/>
      <c r="CH128" s="159"/>
      <c r="CT128" s="31" t="s">
        <v>154</v>
      </c>
      <c r="CU128" s="159"/>
      <c r="DG128" s="33" t="s">
        <v>155</v>
      </c>
      <c r="DH128" s="159"/>
      <c r="DT128" s="33" t="s">
        <v>155</v>
      </c>
      <c r="DU128" s="159"/>
      <c r="EG128" s="30"/>
      <c r="EH128" s="159"/>
      <c r="ET128" s="30"/>
      <c r="EU128" s="159"/>
      <c r="FG128" s="30"/>
      <c r="FH128" s="159"/>
      <c r="FT128" s="33" t="s">
        <v>155</v>
      </c>
      <c r="FU128" s="159"/>
      <c r="GG128" s="30"/>
      <c r="GH128" s="159"/>
      <c r="GT128" s="11" t="s">
        <v>3055</v>
      </c>
      <c r="HC128" s="30"/>
      <c r="HD128" s="159"/>
    </row>
    <row r="129" spans="6:212" ht="15" customHeight="1" x14ac:dyDescent="0.25">
      <c r="F129" s="33" t="s">
        <v>155</v>
      </c>
      <c r="G129" s="159"/>
      <c r="S129" s="33" t="s">
        <v>155</v>
      </c>
      <c r="T129" s="159"/>
      <c r="AF129" s="20"/>
      <c r="AT129" s="33" t="s">
        <v>155</v>
      </c>
      <c r="AU129" s="159"/>
      <c r="BG129" s="31" t="s">
        <v>157</v>
      </c>
      <c r="BH129" s="159" t="s">
        <v>1861</v>
      </c>
      <c r="BT129" s="33" t="s">
        <v>155</v>
      </c>
      <c r="BU129" s="159"/>
      <c r="CG129" s="33" t="s">
        <v>155</v>
      </c>
      <c r="CH129" s="159"/>
      <c r="CT129" s="30"/>
      <c r="CU129" s="159"/>
      <c r="DG129" s="31" t="s">
        <v>157</v>
      </c>
      <c r="DH129" s="159" t="s">
        <v>2205</v>
      </c>
      <c r="DT129" s="31" t="s">
        <v>157</v>
      </c>
      <c r="DU129" s="159" t="s">
        <v>2285</v>
      </c>
      <c r="EG129" s="33" t="s">
        <v>155</v>
      </c>
      <c r="EH129" s="159"/>
      <c r="ET129" s="33" t="s">
        <v>155</v>
      </c>
      <c r="EU129" s="159"/>
      <c r="FG129" s="33" t="s">
        <v>155</v>
      </c>
      <c r="FH129" s="159"/>
      <c r="FT129" s="31" t="s">
        <v>157</v>
      </c>
      <c r="FU129" s="159" t="s">
        <v>2615</v>
      </c>
      <c r="GG129" s="33" t="s">
        <v>155</v>
      </c>
      <c r="GH129" s="159"/>
      <c r="GT129" s="11" t="s">
        <v>3056</v>
      </c>
      <c r="HC129" s="31" t="s">
        <v>2845</v>
      </c>
      <c r="HD129" s="159"/>
    </row>
    <row r="130" spans="6:212" ht="26.25" customHeight="1" x14ac:dyDescent="0.25">
      <c r="F130" s="31" t="s">
        <v>157</v>
      </c>
      <c r="G130" s="159" t="s">
        <v>1489</v>
      </c>
      <c r="S130" s="31" t="s">
        <v>157</v>
      </c>
      <c r="T130" s="159" t="s">
        <v>1591</v>
      </c>
      <c r="AF130" s="29" t="s">
        <v>669</v>
      </c>
      <c r="AT130" s="31" t="s">
        <v>157</v>
      </c>
      <c r="AU130" s="159" t="s">
        <v>1777</v>
      </c>
      <c r="BG130" s="31" t="s">
        <v>158</v>
      </c>
      <c r="BH130" s="159"/>
      <c r="BT130" s="31" t="s">
        <v>157</v>
      </c>
      <c r="BU130" s="159" t="s">
        <v>1946</v>
      </c>
      <c r="CG130" s="31" t="s">
        <v>157</v>
      </c>
      <c r="CH130" s="159" t="s">
        <v>2027</v>
      </c>
      <c r="CT130" s="33" t="s">
        <v>155</v>
      </c>
      <c r="CU130" s="159"/>
      <c r="DG130" s="31" t="s">
        <v>158</v>
      </c>
      <c r="DH130" s="159"/>
      <c r="DT130" s="31" t="s">
        <v>158</v>
      </c>
      <c r="DU130" s="159"/>
      <c r="EG130" s="31" t="s">
        <v>157</v>
      </c>
      <c r="EH130" s="159" t="s">
        <v>2367</v>
      </c>
      <c r="ET130" s="31" t="s">
        <v>1013</v>
      </c>
      <c r="EU130" s="159" t="s">
        <v>2449</v>
      </c>
      <c r="FG130" s="31" t="s">
        <v>157</v>
      </c>
      <c r="FH130" s="159" t="s">
        <v>2527</v>
      </c>
      <c r="FT130" s="31" t="s">
        <v>158</v>
      </c>
      <c r="FU130" s="159"/>
      <c r="GG130" s="31" t="s">
        <v>157</v>
      </c>
      <c r="GH130" s="159" t="s">
        <v>2696</v>
      </c>
      <c r="GT130" s="11" t="s">
        <v>3057</v>
      </c>
      <c r="HC130" s="30"/>
      <c r="HD130" s="159"/>
    </row>
    <row r="131" spans="6:212" ht="16.5" customHeight="1" x14ac:dyDescent="0.25">
      <c r="F131" s="31" t="s">
        <v>158</v>
      </c>
      <c r="G131" s="159"/>
      <c r="S131" s="31" t="s">
        <v>158</v>
      </c>
      <c r="T131" s="159"/>
      <c r="AF131" s="20"/>
      <c r="AT131" s="31" t="s">
        <v>158</v>
      </c>
      <c r="AU131" s="159"/>
      <c r="BG131" s="30"/>
      <c r="BH131" s="159"/>
      <c r="BT131" s="31" t="s">
        <v>158</v>
      </c>
      <c r="BU131" s="159"/>
      <c r="CG131" s="31" t="s">
        <v>158</v>
      </c>
      <c r="CH131" s="159"/>
      <c r="CT131" s="31" t="s">
        <v>1013</v>
      </c>
      <c r="CU131" s="159" t="s">
        <v>1457</v>
      </c>
      <c r="DG131" s="30"/>
      <c r="DH131" s="159"/>
      <c r="DT131" s="30"/>
      <c r="DU131" s="159"/>
      <c r="EG131" s="31" t="s">
        <v>158</v>
      </c>
      <c r="EH131" s="159"/>
      <c r="ET131" s="31" t="s">
        <v>1014</v>
      </c>
      <c r="EU131" s="159"/>
      <c r="FG131" s="31" t="s">
        <v>158</v>
      </c>
      <c r="FH131" s="159"/>
      <c r="FT131" s="30"/>
      <c r="FU131" s="159"/>
      <c r="GG131" s="31" t="s">
        <v>158</v>
      </c>
      <c r="GH131" s="159"/>
      <c r="GT131" s="11" t="s">
        <v>3058</v>
      </c>
      <c r="HC131" s="33" t="s">
        <v>2846</v>
      </c>
      <c r="HD131" s="159"/>
    </row>
    <row r="132" spans="6:212" ht="15" customHeight="1" x14ac:dyDescent="0.25">
      <c r="F132" s="30"/>
      <c r="G132" s="159"/>
      <c r="S132" s="30"/>
      <c r="T132" s="159"/>
      <c r="AF132" s="24" t="s">
        <v>132</v>
      </c>
      <c r="AT132" s="30"/>
      <c r="AU132" s="159"/>
      <c r="BG132" s="31" t="s">
        <v>159</v>
      </c>
      <c r="BH132" s="159"/>
      <c r="BT132" s="30"/>
      <c r="BU132" s="159"/>
      <c r="CG132" s="30"/>
      <c r="CH132" s="159"/>
      <c r="CT132" s="31" t="s">
        <v>1014</v>
      </c>
      <c r="CU132" s="159"/>
      <c r="DG132" s="31" t="s">
        <v>159</v>
      </c>
      <c r="DH132" s="159"/>
      <c r="DT132" s="31" t="s">
        <v>159</v>
      </c>
      <c r="DU132" s="159"/>
      <c r="EG132" s="30"/>
      <c r="EH132" s="159"/>
      <c r="ET132" s="30"/>
      <c r="EU132" s="159"/>
      <c r="FG132" s="30"/>
      <c r="FH132" s="159"/>
      <c r="FT132" s="31" t="s">
        <v>159</v>
      </c>
      <c r="FU132" s="159"/>
      <c r="GG132" s="30"/>
      <c r="GH132" s="159"/>
      <c r="GT132" s="11" t="s">
        <v>3059</v>
      </c>
      <c r="HC132" s="31" t="s">
        <v>3272</v>
      </c>
      <c r="HD132" s="159" t="s">
        <v>3275</v>
      </c>
    </row>
    <row r="133" spans="6:212" ht="115.5" customHeight="1" x14ac:dyDescent="0.25">
      <c r="F133" s="31" t="s">
        <v>159</v>
      </c>
      <c r="G133" s="159"/>
      <c r="S133" s="31" t="s">
        <v>159</v>
      </c>
      <c r="T133" s="159"/>
      <c r="AF133" s="24" t="s">
        <v>133</v>
      </c>
      <c r="AT133" s="31" t="s">
        <v>159</v>
      </c>
      <c r="AU133" s="159"/>
      <c r="BG133" s="30"/>
      <c r="BH133" s="159"/>
      <c r="BT133" s="31" t="s">
        <v>159</v>
      </c>
      <c r="BU133" s="159"/>
      <c r="CG133" s="31" t="s">
        <v>159</v>
      </c>
      <c r="CH133" s="159"/>
      <c r="CT133" s="30"/>
      <c r="CU133" s="159"/>
      <c r="DG133" s="30"/>
      <c r="DH133" s="159"/>
      <c r="DT133" s="30"/>
      <c r="DU133" s="159"/>
      <c r="EG133" s="31" t="s">
        <v>159</v>
      </c>
      <c r="EH133" s="159"/>
      <c r="ET133" s="31" t="s">
        <v>1015</v>
      </c>
      <c r="EU133" s="159"/>
      <c r="FG133" s="31" t="s">
        <v>159</v>
      </c>
      <c r="FH133" s="159"/>
      <c r="FT133" s="30"/>
      <c r="FU133" s="159"/>
      <c r="GG133" s="31" t="s">
        <v>159</v>
      </c>
      <c r="GH133" s="159"/>
      <c r="GT133" s="11" t="s">
        <v>3060</v>
      </c>
      <c r="HC133" s="31" t="s">
        <v>3273</v>
      </c>
      <c r="HD133" s="159"/>
    </row>
    <row r="134" spans="6:212" ht="15" customHeight="1" x14ac:dyDescent="0.25">
      <c r="F134" s="30"/>
      <c r="G134" s="159"/>
      <c r="S134" s="30"/>
      <c r="T134" s="159"/>
      <c r="AF134" s="28" t="s">
        <v>134</v>
      </c>
      <c r="AT134" s="30"/>
      <c r="AU134" s="159"/>
      <c r="BG134" s="33" t="s">
        <v>160</v>
      </c>
      <c r="BH134" s="159"/>
      <c r="BT134" s="30"/>
      <c r="BU134" s="159"/>
      <c r="CG134" s="30"/>
      <c r="CH134" s="159"/>
      <c r="CT134" s="31" t="s">
        <v>1015</v>
      </c>
      <c r="CU134" s="159"/>
      <c r="DG134" s="33" t="s">
        <v>160</v>
      </c>
      <c r="DH134" s="159"/>
      <c r="DT134" s="33" t="s">
        <v>160</v>
      </c>
      <c r="DU134" s="159"/>
      <c r="EG134" s="30"/>
      <c r="EH134" s="159"/>
      <c r="ET134" s="31" t="s">
        <v>157</v>
      </c>
      <c r="EU134" s="159" t="s">
        <v>2450</v>
      </c>
      <c r="FG134" s="30"/>
      <c r="FH134" s="159"/>
      <c r="FT134" s="33" t="s">
        <v>160</v>
      </c>
      <c r="FU134" s="159"/>
      <c r="GG134" s="30"/>
      <c r="GH134" s="159"/>
      <c r="GT134" s="11" t="s">
        <v>3061</v>
      </c>
      <c r="HC134" s="30"/>
      <c r="HD134" s="159"/>
    </row>
    <row r="135" spans="6:212" ht="15" customHeight="1" x14ac:dyDescent="0.25">
      <c r="F135" s="33" t="s">
        <v>160</v>
      </c>
      <c r="G135" s="159"/>
      <c r="S135" s="33" t="s">
        <v>160</v>
      </c>
      <c r="T135" s="159"/>
      <c r="AF135" s="24" t="s">
        <v>135</v>
      </c>
      <c r="AT135" s="33" t="s">
        <v>160</v>
      </c>
      <c r="AU135" s="159"/>
      <c r="BG135" s="31" t="s">
        <v>161</v>
      </c>
      <c r="BH135" s="159" t="s">
        <v>1862</v>
      </c>
      <c r="BT135" s="33" t="s">
        <v>160</v>
      </c>
      <c r="BU135" s="159"/>
      <c r="CG135" s="33" t="s">
        <v>160</v>
      </c>
      <c r="CH135" s="159"/>
      <c r="CT135" s="31" t="s">
        <v>157</v>
      </c>
      <c r="CU135" s="159" t="s">
        <v>2115</v>
      </c>
      <c r="DG135" s="31" t="s">
        <v>161</v>
      </c>
      <c r="DH135" s="159" t="s">
        <v>2206</v>
      </c>
      <c r="DT135" s="31" t="s">
        <v>161</v>
      </c>
      <c r="DU135" s="159" t="s">
        <v>2286</v>
      </c>
      <c r="EG135" s="33" t="s">
        <v>160</v>
      </c>
      <c r="EH135" s="159"/>
      <c r="ET135" s="31" t="s">
        <v>158</v>
      </c>
      <c r="EU135" s="159"/>
      <c r="FG135" s="33" t="s">
        <v>160</v>
      </c>
      <c r="FH135" s="159"/>
      <c r="FT135" s="31" t="s">
        <v>161</v>
      </c>
      <c r="FU135" s="159" t="s">
        <v>2616</v>
      </c>
      <c r="GG135" s="33" t="s">
        <v>160</v>
      </c>
      <c r="GH135" s="159"/>
      <c r="GT135" s="11" t="s">
        <v>3062</v>
      </c>
      <c r="HC135" s="31" t="s">
        <v>3274</v>
      </c>
      <c r="HD135" s="159"/>
    </row>
    <row r="136" spans="6:212" ht="49.5" x14ac:dyDescent="0.25">
      <c r="F136" s="31" t="s">
        <v>161</v>
      </c>
      <c r="G136" s="159" t="s">
        <v>1490</v>
      </c>
      <c r="S136" s="31" t="s">
        <v>161</v>
      </c>
      <c r="T136" s="159" t="s">
        <v>1592</v>
      </c>
      <c r="AF136" s="24" t="s">
        <v>9</v>
      </c>
      <c r="AT136" s="31" t="s">
        <v>161</v>
      </c>
      <c r="AU136" s="159" t="s">
        <v>1778</v>
      </c>
      <c r="BG136" s="31" t="s">
        <v>162</v>
      </c>
      <c r="BH136" s="159"/>
      <c r="BT136" s="31" t="s">
        <v>161</v>
      </c>
      <c r="BU136" s="159" t="s">
        <v>1947</v>
      </c>
      <c r="CG136" s="31" t="s">
        <v>161</v>
      </c>
      <c r="CH136" s="159" t="s">
        <v>2028</v>
      </c>
      <c r="CT136" s="31" t="s">
        <v>158</v>
      </c>
      <c r="CU136" s="159"/>
      <c r="DG136" s="31" t="s">
        <v>162</v>
      </c>
      <c r="DH136" s="159"/>
      <c r="DT136" s="31" t="s">
        <v>162</v>
      </c>
      <c r="DU136" s="159"/>
      <c r="EG136" s="31" t="s">
        <v>161</v>
      </c>
      <c r="EH136" s="159" t="s">
        <v>2368</v>
      </c>
      <c r="ET136" s="30"/>
      <c r="EU136" s="159"/>
      <c r="FG136" s="31" t="s">
        <v>161</v>
      </c>
      <c r="FH136" s="159" t="s">
        <v>2528</v>
      </c>
      <c r="FT136" s="31" t="s">
        <v>162</v>
      </c>
      <c r="FU136" s="159"/>
      <c r="GG136" s="31" t="s">
        <v>161</v>
      </c>
      <c r="GH136" s="159" t="s">
        <v>2697</v>
      </c>
      <c r="GT136" s="11" t="s">
        <v>3063</v>
      </c>
      <c r="HC136" s="31" t="s">
        <v>2847</v>
      </c>
      <c r="HD136" s="159" t="s">
        <v>3276</v>
      </c>
    </row>
    <row r="137" spans="6:212" ht="115.5" customHeight="1" x14ac:dyDescent="0.25">
      <c r="F137" s="31" t="s">
        <v>162</v>
      </c>
      <c r="G137" s="159"/>
      <c r="S137" s="31" t="s">
        <v>162</v>
      </c>
      <c r="T137" s="159"/>
      <c r="AF137" s="24" t="s">
        <v>10</v>
      </c>
      <c r="AT137" s="31" t="s">
        <v>162</v>
      </c>
      <c r="AU137" s="159"/>
      <c r="BG137" s="30"/>
      <c r="BH137" s="159"/>
      <c r="BT137" s="31" t="s">
        <v>162</v>
      </c>
      <c r="BU137" s="159"/>
      <c r="CG137" s="31" t="s">
        <v>162</v>
      </c>
      <c r="CH137" s="159"/>
      <c r="CT137" s="30"/>
      <c r="CU137" s="159"/>
      <c r="DG137" s="30"/>
      <c r="DH137" s="159"/>
      <c r="DT137" s="30"/>
      <c r="DU137" s="159"/>
      <c r="EG137" s="31" t="s">
        <v>162</v>
      </c>
      <c r="EH137" s="159"/>
      <c r="ET137" s="31" t="s">
        <v>159</v>
      </c>
      <c r="EU137" s="159"/>
      <c r="FG137" s="31" t="s">
        <v>162</v>
      </c>
      <c r="FH137" s="159"/>
      <c r="FT137" s="30"/>
      <c r="FU137" s="159"/>
      <c r="GG137" s="31" t="s">
        <v>162</v>
      </c>
      <c r="GH137" s="159"/>
      <c r="GT137" s="11" t="s">
        <v>3064</v>
      </c>
      <c r="HC137" s="31" t="s">
        <v>2848</v>
      </c>
      <c r="HD137" s="159"/>
    </row>
    <row r="138" spans="6:212" ht="15" customHeight="1" x14ac:dyDescent="0.25">
      <c r="F138" s="30"/>
      <c r="G138" s="159"/>
      <c r="S138" s="30"/>
      <c r="T138" s="159"/>
      <c r="AF138" s="21" t="s">
        <v>136</v>
      </c>
      <c r="AT138" s="30"/>
      <c r="AU138" s="159"/>
      <c r="BG138" s="33" t="s">
        <v>151</v>
      </c>
      <c r="BH138" s="159"/>
      <c r="BT138" s="30"/>
      <c r="BU138" s="159"/>
      <c r="CG138" s="30"/>
      <c r="CH138" s="159"/>
      <c r="CT138" s="31" t="s">
        <v>159</v>
      </c>
      <c r="CU138" s="159"/>
      <c r="DG138" s="33" t="s">
        <v>151</v>
      </c>
      <c r="DH138" s="159"/>
      <c r="DT138" s="33" t="s">
        <v>151</v>
      </c>
      <c r="DU138" s="159"/>
      <c r="EG138" s="30"/>
      <c r="EH138" s="159"/>
      <c r="ET138" s="30"/>
      <c r="EU138" s="159"/>
      <c r="FG138" s="30"/>
      <c r="FH138" s="159"/>
      <c r="FT138" s="33" t="s">
        <v>151</v>
      </c>
      <c r="FU138" s="159"/>
      <c r="GG138" s="30"/>
      <c r="GH138" s="159"/>
      <c r="GT138" s="13" t="s">
        <v>3065</v>
      </c>
      <c r="HC138" s="30"/>
      <c r="HD138" s="159"/>
    </row>
    <row r="139" spans="6:212" ht="15" customHeight="1" x14ac:dyDescent="0.25">
      <c r="F139" s="33" t="s">
        <v>151</v>
      </c>
      <c r="G139" s="159"/>
      <c r="S139" s="33" t="s">
        <v>151</v>
      </c>
      <c r="T139" s="159"/>
      <c r="AF139" s="21" t="s">
        <v>137</v>
      </c>
      <c r="AT139" s="33" t="s">
        <v>151</v>
      </c>
      <c r="AU139" s="159"/>
      <c r="BG139" s="31" t="s">
        <v>163</v>
      </c>
      <c r="BH139" s="34">
        <v>320403257</v>
      </c>
      <c r="BT139" s="33" t="s">
        <v>151</v>
      </c>
      <c r="BU139" s="159"/>
      <c r="CG139" s="33" t="s">
        <v>151</v>
      </c>
      <c r="CH139" s="159"/>
      <c r="CT139" s="30"/>
      <c r="CU139" s="159"/>
      <c r="DG139" s="31" t="s">
        <v>163</v>
      </c>
      <c r="DH139" s="34">
        <v>1045379867</v>
      </c>
      <c r="DT139" s="31" t="s">
        <v>163</v>
      </c>
      <c r="DU139" s="164">
        <v>2653939384</v>
      </c>
      <c r="EG139" s="33" t="s">
        <v>151</v>
      </c>
      <c r="EH139" s="159"/>
      <c r="ET139" s="33" t="s">
        <v>160</v>
      </c>
      <c r="EU139" s="159"/>
      <c r="FG139" s="33" t="s">
        <v>151</v>
      </c>
      <c r="FH139" s="159"/>
      <c r="FT139" s="31" t="s">
        <v>163</v>
      </c>
      <c r="FU139" s="164">
        <v>998926392</v>
      </c>
      <c r="GG139" s="33" t="s">
        <v>151</v>
      </c>
      <c r="GH139" s="159"/>
      <c r="GT139" s="11" t="s">
        <v>3066</v>
      </c>
      <c r="HC139" s="31" t="s">
        <v>2849</v>
      </c>
      <c r="HD139" s="159"/>
    </row>
    <row r="140" spans="6:212" ht="49.5" x14ac:dyDescent="0.25">
      <c r="F140" s="31" t="s">
        <v>163</v>
      </c>
      <c r="G140" s="34">
        <v>19693025</v>
      </c>
      <c r="S140" s="31" t="s">
        <v>163</v>
      </c>
      <c r="T140" s="34">
        <v>120091641</v>
      </c>
      <c r="AT140" s="31" t="s">
        <v>163</v>
      </c>
      <c r="AU140" s="34">
        <v>587099971</v>
      </c>
      <c r="BG140" s="31" t="s">
        <v>164</v>
      </c>
      <c r="BH140" s="35" t="s">
        <v>848</v>
      </c>
      <c r="BT140" s="31" t="s">
        <v>163</v>
      </c>
      <c r="BU140" s="34">
        <v>1456815249</v>
      </c>
      <c r="CG140" s="31" t="s">
        <v>163</v>
      </c>
      <c r="CH140" s="34">
        <v>35045272439</v>
      </c>
      <c r="CT140" s="33" t="s">
        <v>160</v>
      </c>
      <c r="CU140" s="159"/>
      <c r="DG140" s="31" t="s">
        <v>164</v>
      </c>
      <c r="DH140" s="35" t="s">
        <v>1094</v>
      </c>
      <c r="DT140" s="31" t="s">
        <v>164</v>
      </c>
      <c r="DU140" s="164"/>
      <c r="EG140" s="31" t="s">
        <v>163</v>
      </c>
      <c r="EH140" s="34">
        <v>386976473</v>
      </c>
      <c r="ET140" s="31" t="s">
        <v>1016</v>
      </c>
      <c r="EU140" s="159" t="s">
        <v>2451</v>
      </c>
      <c r="FG140" s="31" t="s">
        <v>163</v>
      </c>
      <c r="FH140" s="34">
        <v>144119386383</v>
      </c>
      <c r="FT140" s="31" t="s">
        <v>164</v>
      </c>
      <c r="FU140" s="164"/>
      <c r="GG140" s="31" t="s">
        <v>163</v>
      </c>
      <c r="GH140" s="34">
        <v>589263304910157</v>
      </c>
      <c r="GT140" s="11" t="s">
        <v>3067</v>
      </c>
      <c r="HC140" s="30"/>
      <c r="HD140" s="159"/>
    </row>
    <row r="141" spans="6:212" ht="49.5" x14ac:dyDescent="0.25">
      <c r="F141" s="31" t="s">
        <v>164</v>
      </c>
      <c r="G141" s="35" t="s">
        <v>165</v>
      </c>
      <c r="S141" s="31" t="s">
        <v>164</v>
      </c>
      <c r="T141" s="35" t="s">
        <v>543</v>
      </c>
      <c r="AF141" s="31" t="s">
        <v>138</v>
      </c>
      <c r="AG141" s="31" t="s">
        <v>139</v>
      </c>
      <c r="AH141" s="31" t="s">
        <v>140</v>
      </c>
      <c r="AI141" s="31" t="s">
        <v>141</v>
      </c>
      <c r="AJ141" s="31" t="s">
        <v>142</v>
      </c>
      <c r="AK141" s="31" t="s">
        <v>143</v>
      </c>
      <c r="AT141" s="31" t="s">
        <v>164</v>
      </c>
      <c r="AU141" s="36" t="s">
        <v>738</v>
      </c>
      <c r="BG141" s="30"/>
      <c r="BH141" s="36" t="s">
        <v>166</v>
      </c>
      <c r="BT141" s="31" t="s">
        <v>164</v>
      </c>
      <c r="BU141" s="36" t="s">
        <v>738</v>
      </c>
      <c r="CG141" s="31" t="s">
        <v>164</v>
      </c>
      <c r="CH141" s="35" t="s">
        <v>964</v>
      </c>
      <c r="CT141" s="31" t="s">
        <v>1016</v>
      </c>
      <c r="CU141" s="159" t="s">
        <v>2116</v>
      </c>
      <c r="DG141" s="30"/>
      <c r="DH141" s="36" t="s">
        <v>166</v>
      </c>
      <c r="DT141" s="30"/>
      <c r="DU141" s="164"/>
      <c r="EG141" s="31" t="s">
        <v>164</v>
      </c>
      <c r="EH141" s="36" t="s">
        <v>738</v>
      </c>
      <c r="ET141" s="31" t="s">
        <v>1017</v>
      </c>
      <c r="EU141" s="159"/>
      <c r="FG141" s="31" t="s">
        <v>164</v>
      </c>
      <c r="FH141" s="35" t="s">
        <v>1294</v>
      </c>
      <c r="FT141" s="30"/>
      <c r="FU141" s="164"/>
      <c r="GG141" s="31" t="s">
        <v>164</v>
      </c>
      <c r="GH141" s="36" t="s">
        <v>738</v>
      </c>
      <c r="GT141" s="11" t="s">
        <v>3068</v>
      </c>
      <c r="HC141" s="33" t="s">
        <v>2850</v>
      </c>
      <c r="HD141" s="159"/>
    </row>
    <row r="142" spans="6:212" ht="49.5" x14ac:dyDescent="0.25">
      <c r="F142" s="30"/>
      <c r="G142" s="36" t="s">
        <v>166</v>
      </c>
      <c r="S142" s="30"/>
      <c r="T142" s="36" t="s">
        <v>166</v>
      </c>
      <c r="AF142" s="32" t="s">
        <v>1180</v>
      </c>
      <c r="AG142" s="32" t="s">
        <v>1464</v>
      </c>
      <c r="AH142" s="32" t="s">
        <v>1239</v>
      </c>
      <c r="AI142" s="32" t="s">
        <v>826</v>
      </c>
      <c r="AJ142" s="32" t="s">
        <v>1678</v>
      </c>
      <c r="AK142" s="32" t="s">
        <v>1679</v>
      </c>
      <c r="AT142" s="30"/>
      <c r="AU142" s="34">
        <v>1000000000</v>
      </c>
      <c r="BG142" s="33" t="s">
        <v>151</v>
      </c>
      <c r="BH142" s="34">
        <v>320403257</v>
      </c>
      <c r="BT142" s="30"/>
      <c r="BU142" s="34">
        <v>2000000000</v>
      </c>
      <c r="CG142" s="30"/>
      <c r="CH142" s="36" t="s">
        <v>166</v>
      </c>
      <c r="CT142" s="31" t="s">
        <v>1017</v>
      </c>
      <c r="CU142" s="159"/>
      <c r="DG142" s="33" t="s">
        <v>151</v>
      </c>
      <c r="DH142" s="34">
        <v>1045379867</v>
      </c>
      <c r="DT142" s="33" t="s">
        <v>151</v>
      </c>
      <c r="DU142" s="164"/>
      <c r="EG142" s="30"/>
      <c r="EH142" s="34">
        <v>532070081</v>
      </c>
      <c r="ET142" s="30"/>
      <c r="EU142" s="159"/>
      <c r="FG142" s="30"/>
      <c r="FH142" s="36" t="s">
        <v>166</v>
      </c>
      <c r="FT142" s="33" t="s">
        <v>151</v>
      </c>
      <c r="FU142" s="164"/>
      <c r="GG142" s="30"/>
      <c r="GH142" s="34">
        <v>999982361335102</v>
      </c>
      <c r="GT142" s="11" t="s">
        <v>3069</v>
      </c>
      <c r="HC142" s="31" t="s">
        <v>3277</v>
      </c>
      <c r="HD142" s="159" t="s">
        <v>3280</v>
      </c>
    </row>
    <row r="143" spans="6:212" ht="49.5" x14ac:dyDescent="0.25">
      <c r="F143" s="33" t="s">
        <v>151</v>
      </c>
      <c r="G143" s="34">
        <v>19693025</v>
      </c>
      <c r="S143" s="33" t="s">
        <v>151</v>
      </c>
      <c r="T143" s="34">
        <v>120091641</v>
      </c>
      <c r="AF143" s="20"/>
      <c r="AT143" s="33" t="s">
        <v>151</v>
      </c>
      <c r="AU143" s="111" t="s">
        <v>739</v>
      </c>
      <c r="BG143" s="31" t="s">
        <v>167</v>
      </c>
      <c r="BH143" s="164">
        <v>1000000000</v>
      </c>
      <c r="BT143" s="33" t="s">
        <v>151</v>
      </c>
      <c r="BU143" s="111" t="s">
        <v>910</v>
      </c>
      <c r="CG143" s="33" t="s">
        <v>151</v>
      </c>
      <c r="CH143" s="34">
        <v>35045272439</v>
      </c>
      <c r="CT143" s="30"/>
      <c r="CU143" s="159"/>
      <c r="DG143" s="31" t="s">
        <v>167</v>
      </c>
      <c r="DH143" s="164">
        <v>4294967296</v>
      </c>
      <c r="DT143" s="31" t="s">
        <v>167</v>
      </c>
      <c r="DU143" s="164">
        <v>10000000000</v>
      </c>
      <c r="EG143" s="33" t="s">
        <v>151</v>
      </c>
      <c r="EH143" s="111" t="s">
        <v>1193</v>
      </c>
      <c r="ET143" s="31" t="s">
        <v>1018</v>
      </c>
      <c r="EU143" s="159"/>
      <c r="FG143" s="33" t="s">
        <v>151</v>
      </c>
      <c r="FH143" s="34">
        <v>144119386383</v>
      </c>
      <c r="FT143" s="31" t="s">
        <v>167</v>
      </c>
      <c r="FU143" s="164">
        <v>998926392</v>
      </c>
      <c r="GG143" s="33" t="s">
        <v>151</v>
      </c>
      <c r="GH143" s="111" t="s">
        <v>1389</v>
      </c>
      <c r="GT143" s="13" t="s">
        <v>3070</v>
      </c>
      <c r="HC143" s="31" t="s">
        <v>3278</v>
      </c>
      <c r="HD143" s="159"/>
    </row>
    <row r="144" spans="6:212" ht="49.5" x14ac:dyDescent="0.25">
      <c r="F144" s="31" t="s">
        <v>167</v>
      </c>
      <c r="G144" s="164">
        <v>21000000</v>
      </c>
      <c r="S144" s="31" t="s">
        <v>167</v>
      </c>
      <c r="T144" s="164">
        <v>120091641</v>
      </c>
      <c r="AF144" s="29" t="s">
        <v>672</v>
      </c>
      <c r="AT144" s="31"/>
      <c r="AU144" s="32">
        <v>-26</v>
      </c>
      <c r="BG144" s="31" t="s">
        <v>168</v>
      </c>
      <c r="BH144" s="164"/>
      <c r="BT144" s="31"/>
      <c r="BU144" s="34">
        <v>-225877061</v>
      </c>
      <c r="CG144" s="31" t="s">
        <v>167</v>
      </c>
      <c r="CH144" s="164">
        <v>35045278289</v>
      </c>
      <c r="CT144" s="31" t="s">
        <v>1018</v>
      </c>
      <c r="CU144" s="159"/>
      <c r="DG144" s="31" t="s">
        <v>168</v>
      </c>
      <c r="DH144" s="164"/>
      <c r="DT144" s="31" t="s">
        <v>168</v>
      </c>
      <c r="DU144" s="164"/>
      <c r="EG144" s="31"/>
      <c r="EH144" s="34">
        <v>-145093608</v>
      </c>
      <c r="ET144" s="31" t="s">
        <v>161</v>
      </c>
      <c r="EU144" s="159" t="s">
        <v>2452</v>
      </c>
      <c r="FG144" s="31" t="s">
        <v>167</v>
      </c>
      <c r="FH144" s="164">
        <v>144124306383</v>
      </c>
      <c r="FT144" s="31" t="s">
        <v>168</v>
      </c>
      <c r="FU144" s="164"/>
      <c r="GG144" s="31"/>
      <c r="GH144" s="34">
        <v>-8893569327</v>
      </c>
      <c r="GT144" s="11" t="s">
        <v>3071</v>
      </c>
      <c r="HC144" s="30"/>
      <c r="HD144" s="159"/>
    </row>
    <row r="145" spans="6:212" ht="49.5" x14ac:dyDescent="0.25">
      <c r="F145" s="31" t="s">
        <v>168</v>
      </c>
      <c r="G145" s="164"/>
      <c r="S145" s="31" t="s">
        <v>168</v>
      </c>
      <c r="T145" s="164"/>
      <c r="AF145" s="20"/>
      <c r="AT145" s="31"/>
      <c r="AU145" s="111" t="s">
        <v>740</v>
      </c>
      <c r="BG145" s="30"/>
      <c r="BH145" s="164"/>
      <c r="BT145" s="31"/>
      <c r="BU145" s="111" t="s">
        <v>911</v>
      </c>
      <c r="CG145" s="31" t="s">
        <v>168</v>
      </c>
      <c r="CH145" s="164"/>
      <c r="CT145" s="31" t="s">
        <v>161</v>
      </c>
      <c r="CU145" s="159" t="s">
        <v>2117</v>
      </c>
      <c r="DG145" s="30"/>
      <c r="DH145" s="164"/>
      <c r="DT145" s="30"/>
      <c r="DU145" s="164"/>
      <c r="EG145" s="31"/>
      <c r="EH145" s="36" t="s">
        <v>166</v>
      </c>
      <c r="ET145" s="31" t="s">
        <v>162</v>
      </c>
      <c r="EU145" s="159"/>
      <c r="FG145" s="31" t="s">
        <v>168</v>
      </c>
      <c r="FH145" s="164"/>
      <c r="FT145" s="30"/>
      <c r="FU145" s="164"/>
      <c r="GG145" s="31"/>
      <c r="GH145" s="111" t="s">
        <v>1391</v>
      </c>
      <c r="GT145" s="13" t="s">
        <v>3072</v>
      </c>
      <c r="HC145" s="31" t="s">
        <v>3279</v>
      </c>
      <c r="HD145" s="159"/>
    </row>
    <row r="146" spans="6:212" ht="15" customHeight="1" x14ac:dyDescent="0.25">
      <c r="F146" s="30"/>
      <c r="G146" s="164"/>
      <c r="S146" s="30"/>
      <c r="T146" s="164"/>
      <c r="AF146" s="24" t="s">
        <v>145</v>
      </c>
      <c r="AT146" s="31"/>
      <c r="AU146" s="32">
        <v>-1</v>
      </c>
      <c r="BG146" s="31" t="s">
        <v>169</v>
      </c>
      <c r="BH146" s="164"/>
      <c r="BT146" s="31"/>
      <c r="BU146" s="34">
        <v>-317307688</v>
      </c>
      <c r="CG146" s="30"/>
      <c r="CH146" s="164"/>
      <c r="CT146" s="31" t="s">
        <v>162</v>
      </c>
      <c r="CU146" s="159"/>
      <c r="DG146" s="31" t="s">
        <v>169</v>
      </c>
      <c r="DH146" s="164"/>
      <c r="DT146" s="31" t="s">
        <v>169</v>
      </c>
      <c r="DU146" s="164"/>
      <c r="EG146" s="31"/>
      <c r="EH146" s="34">
        <v>386976473</v>
      </c>
      <c r="ET146" s="30"/>
      <c r="EU146" s="159"/>
      <c r="FG146" s="30"/>
      <c r="FH146" s="164"/>
      <c r="FT146" s="31" t="s">
        <v>169</v>
      </c>
      <c r="FU146" s="164"/>
      <c r="GG146" s="31"/>
      <c r="GH146" s="34">
        <v>-43420747503</v>
      </c>
      <c r="GT146" s="141" t="s">
        <v>3073</v>
      </c>
      <c r="HC146" s="31" t="s">
        <v>2851</v>
      </c>
      <c r="HD146" s="159" t="s">
        <v>3281</v>
      </c>
    </row>
    <row r="147" spans="6:212" ht="49.5" x14ac:dyDescent="0.25">
      <c r="F147" s="31" t="s">
        <v>169</v>
      </c>
      <c r="G147" s="164"/>
      <c r="S147" s="31" t="s">
        <v>169</v>
      </c>
      <c r="T147" s="164"/>
      <c r="AF147" s="24" t="s">
        <v>651</v>
      </c>
      <c r="AT147" s="31"/>
      <c r="AU147" s="111" t="s">
        <v>741</v>
      </c>
      <c r="BG147" s="31" t="s">
        <v>170</v>
      </c>
      <c r="BH147" s="164">
        <v>1000000000</v>
      </c>
      <c r="BT147" s="31"/>
      <c r="BU147" s="36" t="s">
        <v>166</v>
      </c>
      <c r="CG147" s="31" t="s">
        <v>169</v>
      </c>
      <c r="CH147" s="164"/>
      <c r="CT147" s="30"/>
      <c r="CU147" s="159"/>
      <c r="DG147" s="31" t="s">
        <v>170</v>
      </c>
      <c r="DH147" s="164">
        <v>4294967296</v>
      </c>
      <c r="DT147" s="31" t="s">
        <v>170</v>
      </c>
      <c r="DU147" s="164">
        <v>10000000000</v>
      </c>
      <c r="EG147" s="31" t="s">
        <v>167</v>
      </c>
      <c r="EH147" s="164">
        <v>532070081</v>
      </c>
      <c r="ET147" s="33" t="s">
        <v>151</v>
      </c>
      <c r="EU147" s="159"/>
      <c r="FG147" s="31" t="s">
        <v>169</v>
      </c>
      <c r="FH147" s="164"/>
      <c r="FT147" s="31" t="s">
        <v>170</v>
      </c>
      <c r="FU147" s="164">
        <v>998926392</v>
      </c>
      <c r="GG147" s="31"/>
      <c r="GH147" s="111" t="s">
        <v>1393</v>
      </c>
      <c r="GT147" s="11"/>
      <c r="HC147" s="31" t="s">
        <v>2852</v>
      </c>
      <c r="HD147" s="159"/>
    </row>
    <row r="148" spans="6:212" ht="49.5" x14ac:dyDescent="0.25">
      <c r="F148" s="31" t="s">
        <v>170</v>
      </c>
      <c r="G148" s="164">
        <v>21000000</v>
      </c>
      <c r="S148" s="31" t="s">
        <v>170</v>
      </c>
      <c r="T148" s="159" t="s">
        <v>66</v>
      </c>
      <c r="AF148" s="24" t="s">
        <v>146</v>
      </c>
      <c r="AT148" s="31"/>
      <c r="AU148" s="34">
        <v>-30000000</v>
      </c>
      <c r="BG148" s="31" t="s">
        <v>171</v>
      </c>
      <c r="BH148" s="164"/>
      <c r="BT148" s="31"/>
      <c r="BU148" s="34">
        <v>1456815249</v>
      </c>
      <c r="CG148" s="31" t="s">
        <v>170</v>
      </c>
      <c r="CH148" s="164">
        <v>50000000000</v>
      </c>
      <c r="CT148" s="33" t="s">
        <v>151</v>
      </c>
      <c r="CU148" s="159"/>
      <c r="DG148" s="31" t="s">
        <v>171</v>
      </c>
      <c r="DH148" s="164"/>
      <c r="DT148" s="31" t="s">
        <v>171</v>
      </c>
      <c r="DU148" s="164"/>
      <c r="EG148" s="31" t="s">
        <v>168</v>
      </c>
      <c r="EH148" s="164"/>
      <c r="ET148" s="31" t="s">
        <v>1019</v>
      </c>
      <c r="EU148" s="159" t="s">
        <v>1247</v>
      </c>
      <c r="FG148" s="31" t="s">
        <v>170</v>
      </c>
      <c r="FH148" s="159" t="s">
        <v>66</v>
      </c>
      <c r="FT148" s="31" t="s">
        <v>171</v>
      </c>
      <c r="FU148" s="164"/>
      <c r="GG148" s="31"/>
      <c r="GH148" s="34">
        <v>-170300000</v>
      </c>
      <c r="GT148" s="11" t="s">
        <v>3013</v>
      </c>
      <c r="HC148" s="30"/>
      <c r="HD148" s="159"/>
    </row>
    <row r="149" spans="6:212" ht="49.5" x14ac:dyDescent="0.25">
      <c r="F149" s="31" t="s">
        <v>171</v>
      </c>
      <c r="G149" s="164"/>
      <c r="S149" s="31" t="s">
        <v>171</v>
      </c>
      <c r="T149" s="159"/>
      <c r="AF149" s="24" t="s">
        <v>673</v>
      </c>
      <c r="AT149" s="31"/>
      <c r="AU149" s="111" t="s">
        <v>742</v>
      </c>
      <c r="BG149" s="30"/>
      <c r="BH149" s="164"/>
      <c r="BT149" s="31" t="s">
        <v>167</v>
      </c>
      <c r="BU149" s="164">
        <v>2000000000</v>
      </c>
      <c r="CG149" s="31" t="s">
        <v>171</v>
      </c>
      <c r="CH149" s="164"/>
      <c r="CT149" s="31" t="s">
        <v>1019</v>
      </c>
      <c r="CU149" s="159" t="s">
        <v>1022</v>
      </c>
      <c r="DG149" s="30"/>
      <c r="DH149" s="164"/>
      <c r="DT149" s="30"/>
      <c r="DU149" s="164"/>
      <c r="EG149" s="30"/>
      <c r="EH149" s="164"/>
      <c r="ET149" s="31" t="s">
        <v>1020</v>
      </c>
      <c r="EU149" s="159"/>
      <c r="FG149" s="31" t="s">
        <v>171</v>
      </c>
      <c r="FH149" s="159"/>
      <c r="FT149" s="30"/>
      <c r="FU149" s="164"/>
      <c r="GG149" s="31"/>
      <c r="GH149" s="111" t="s">
        <v>1394</v>
      </c>
      <c r="GT149" s="11"/>
      <c r="HC149" s="33" t="s">
        <v>2842</v>
      </c>
      <c r="HD149" s="159"/>
    </row>
    <row r="150" spans="6:212" ht="15" customHeight="1" x14ac:dyDescent="0.25">
      <c r="F150" s="30"/>
      <c r="G150" s="164"/>
      <c r="S150" s="30"/>
      <c r="T150" s="159"/>
      <c r="AF150" s="31" t="s">
        <v>148</v>
      </c>
      <c r="AG150" s="159" t="s">
        <v>1680</v>
      </c>
      <c r="AT150" s="31"/>
      <c r="AU150" s="34">
        <v>-30000000</v>
      </c>
      <c r="BG150" s="31" t="s">
        <v>172</v>
      </c>
      <c r="BH150" s="164"/>
      <c r="BT150" s="31" t="s">
        <v>168</v>
      </c>
      <c r="BU150" s="164"/>
      <c r="CG150" s="30"/>
      <c r="CH150" s="164"/>
      <c r="CT150" s="31" t="s">
        <v>1020</v>
      </c>
      <c r="CU150" s="159"/>
      <c r="DG150" s="31" t="s">
        <v>172</v>
      </c>
      <c r="DH150" s="164"/>
      <c r="DT150" s="31" t="s">
        <v>172</v>
      </c>
      <c r="DU150" s="164"/>
      <c r="EG150" s="31" t="s">
        <v>169</v>
      </c>
      <c r="EH150" s="164"/>
      <c r="ET150" s="30"/>
      <c r="EU150" s="159"/>
      <c r="FG150" s="30"/>
      <c r="FH150" s="159"/>
      <c r="FT150" s="31" t="s">
        <v>172</v>
      </c>
      <c r="FU150" s="164"/>
      <c r="GG150" s="31"/>
      <c r="GH150" s="34">
        <v>-711676091</v>
      </c>
      <c r="GT150" s="11" t="s">
        <v>3014</v>
      </c>
      <c r="HC150" s="31" t="s">
        <v>3282</v>
      </c>
      <c r="HD150" s="159" t="s">
        <v>3285</v>
      </c>
    </row>
    <row r="151" spans="6:212" ht="33" x14ac:dyDescent="0.25">
      <c r="F151" s="31" t="s">
        <v>172</v>
      </c>
      <c r="G151" s="164"/>
      <c r="S151" s="31" t="s">
        <v>172</v>
      </c>
      <c r="T151" s="159"/>
      <c r="AF151" s="31" t="s">
        <v>149</v>
      </c>
      <c r="AG151" s="159"/>
      <c r="AT151" s="31"/>
      <c r="AU151" s="111" t="s">
        <v>743</v>
      </c>
      <c r="BG151" s="24" t="s">
        <v>173</v>
      </c>
      <c r="BT151" s="30"/>
      <c r="BU151" s="164"/>
      <c r="CG151" s="31" t="s">
        <v>172</v>
      </c>
      <c r="CH151" s="164"/>
      <c r="CT151" s="30"/>
      <c r="CU151" s="159"/>
      <c r="DG151" s="24" t="s">
        <v>173</v>
      </c>
      <c r="DT151" s="24" t="s">
        <v>173</v>
      </c>
      <c r="EG151" s="31" t="s">
        <v>170</v>
      </c>
      <c r="EH151" s="164">
        <v>532070081</v>
      </c>
      <c r="ET151" s="33" t="s">
        <v>1021</v>
      </c>
      <c r="EU151" s="159"/>
      <c r="FG151" s="31" t="s">
        <v>172</v>
      </c>
      <c r="FH151" s="159"/>
      <c r="FT151" s="24" t="s">
        <v>173</v>
      </c>
      <c r="GG151" s="31"/>
      <c r="GH151" s="111" t="s">
        <v>1390</v>
      </c>
      <c r="GT151" s="11"/>
      <c r="HC151" s="31" t="s">
        <v>3283</v>
      </c>
      <c r="HD151" s="159"/>
    </row>
    <row r="152" spans="6:212" ht="49.5" x14ac:dyDescent="0.25">
      <c r="F152" s="24" t="s">
        <v>173</v>
      </c>
      <c r="S152" s="24" t="s">
        <v>173</v>
      </c>
      <c r="AF152" s="30"/>
      <c r="AG152" s="159"/>
      <c r="AT152" s="31"/>
      <c r="AU152" s="34">
        <v>-30000000</v>
      </c>
      <c r="BG152" s="24" t="s">
        <v>174</v>
      </c>
      <c r="BT152" s="31" t="s">
        <v>169</v>
      </c>
      <c r="BU152" s="164"/>
      <c r="CG152" s="24" t="s">
        <v>173</v>
      </c>
      <c r="CT152" s="33" t="s">
        <v>1021</v>
      </c>
      <c r="CU152" s="159"/>
      <c r="DG152" s="24" t="s">
        <v>174</v>
      </c>
      <c r="DT152" s="24" t="s">
        <v>174</v>
      </c>
      <c r="EG152" s="31" t="s">
        <v>171</v>
      </c>
      <c r="EH152" s="164"/>
      <c r="ET152" s="31" t="s">
        <v>163</v>
      </c>
      <c r="EU152" s="34">
        <v>1455111843</v>
      </c>
      <c r="FG152" s="24" t="s">
        <v>173</v>
      </c>
      <c r="FT152" s="24" t="s">
        <v>174</v>
      </c>
      <c r="GG152" s="31"/>
      <c r="GH152" s="34">
        <v>-9538950</v>
      </c>
      <c r="GT152" s="138" t="s">
        <v>3074</v>
      </c>
      <c r="HC152" s="30"/>
      <c r="HD152" s="159"/>
    </row>
    <row r="153" spans="6:212" ht="66" x14ac:dyDescent="0.25">
      <c r="F153" s="24" t="s">
        <v>174</v>
      </c>
      <c r="S153" s="24" t="s">
        <v>174</v>
      </c>
      <c r="AF153" s="31" t="s">
        <v>150</v>
      </c>
      <c r="AG153" s="159"/>
      <c r="AT153" s="31"/>
      <c r="AU153" s="111" t="s">
        <v>744</v>
      </c>
      <c r="BG153" s="24" t="s">
        <v>109</v>
      </c>
      <c r="BT153" s="31" t="s">
        <v>170</v>
      </c>
      <c r="BU153" s="164">
        <v>2000000000</v>
      </c>
      <c r="CG153" s="24" t="s">
        <v>174</v>
      </c>
      <c r="CT153" s="31" t="s">
        <v>163</v>
      </c>
      <c r="CU153" s="34">
        <v>9282943566</v>
      </c>
      <c r="DG153" s="24" t="s">
        <v>109</v>
      </c>
      <c r="DT153" s="24" t="s">
        <v>109</v>
      </c>
      <c r="EG153" s="30"/>
      <c r="EH153" s="164"/>
      <c r="ET153" s="31" t="s">
        <v>164</v>
      </c>
      <c r="EU153" s="35" t="s">
        <v>1248</v>
      </c>
      <c r="FG153" s="24" t="s">
        <v>174</v>
      </c>
      <c r="FT153" s="24" t="s">
        <v>109</v>
      </c>
      <c r="GG153" s="31"/>
      <c r="GH153" s="111" t="s">
        <v>1392</v>
      </c>
      <c r="GT153" s="11"/>
      <c r="HC153" s="33" t="s">
        <v>3284</v>
      </c>
      <c r="HD153" s="159"/>
    </row>
    <row r="154" spans="6:212" ht="49.5" x14ac:dyDescent="0.25">
      <c r="F154" s="24" t="s">
        <v>109</v>
      </c>
      <c r="S154" s="24" t="s">
        <v>109</v>
      </c>
      <c r="AF154" s="30"/>
      <c r="AG154" s="159"/>
      <c r="AT154" s="31"/>
      <c r="AU154" s="34">
        <v>-3000000</v>
      </c>
      <c r="BG154" s="24" t="s">
        <v>174</v>
      </c>
      <c r="BT154" s="31" t="s">
        <v>171</v>
      </c>
      <c r="BU154" s="164"/>
      <c r="CG154" s="24" t="s">
        <v>109</v>
      </c>
      <c r="CT154" s="31" t="s">
        <v>164</v>
      </c>
      <c r="CU154" s="36" t="s">
        <v>738</v>
      </c>
      <c r="DG154" s="24" t="s">
        <v>174</v>
      </c>
      <c r="DT154" s="24" t="s">
        <v>174</v>
      </c>
      <c r="EG154" s="31" t="s">
        <v>172</v>
      </c>
      <c r="EH154" s="164"/>
      <c r="ET154" s="30"/>
      <c r="EU154" s="36" t="s">
        <v>166</v>
      </c>
      <c r="FG154" s="24" t="s">
        <v>109</v>
      </c>
      <c r="FT154" s="24" t="s">
        <v>174</v>
      </c>
      <c r="GG154" s="31"/>
      <c r="GH154" s="34">
        <v>-5139059</v>
      </c>
      <c r="GT154" s="11"/>
      <c r="HC154" s="31" t="s">
        <v>2853</v>
      </c>
      <c r="HD154" s="32" t="s">
        <v>3286</v>
      </c>
    </row>
    <row r="155" spans="6:212" ht="49.5" x14ac:dyDescent="0.25">
      <c r="F155" s="24" t="s">
        <v>174</v>
      </c>
      <c r="S155" s="24" t="s">
        <v>174</v>
      </c>
      <c r="AF155" s="33" t="s">
        <v>151</v>
      </c>
      <c r="AG155" s="159"/>
      <c r="AT155" s="31"/>
      <c r="AU155" s="111" t="s">
        <v>745</v>
      </c>
      <c r="BG155" s="24" t="s">
        <v>175</v>
      </c>
      <c r="BT155" s="30"/>
      <c r="BU155" s="164"/>
      <c r="CG155" s="24" t="s">
        <v>174</v>
      </c>
      <c r="CT155" s="30"/>
      <c r="CU155" s="34">
        <v>10000000000</v>
      </c>
      <c r="DG155" s="24" t="s">
        <v>175</v>
      </c>
      <c r="DT155" s="24" t="s">
        <v>175</v>
      </c>
      <c r="EG155" s="24" t="s">
        <v>173</v>
      </c>
      <c r="ET155" s="33" t="s">
        <v>151</v>
      </c>
      <c r="EU155" s="34">
        <v>1455111843</v>
      </c>
      <c r="FG155" s="24" t="s">
        <v>174</v>
      </c>
      <c r="FT155" s="24" t="s">
        <v>175</v>
      </c>
      <c r="GG155" s="31"/>
      <c r="GH155" s="111" t="s">
        <v>1395</v>
      </c>
      <c r="GT155" s="11"/>
      <c r="HC155" s="31" t="s">
        <v>2854</v>
      </c>
      <c r="HD155" s="35" t="s">
        <v>3287</v>
      </c>
    </row>
    <row r="156" spans="6:212" ht="16.5" x14ac:dyDescent="0.25">
      <c r="F156" s="24" t="s">
        <v>175</v>
      </c>
      <c r="S156" s="24" t="s">
        <v>175</v>
      </c>
      <c r="AF156" s="31" t="s">
        <v>152</v>
      </c>
      <c r="AG156" s="159" t="s">
        <v>674</v>
      </c>
      <c r="AT156" s="31"/>
      <c r="AU156" s="34">
        <v>-500000</v>
      </c>
      <c r="BG156" s="24" t="s">
        <v>174</v>
      </c>
      <c r="BT156" s="31" t="s">
        <v>172</v>
      </c>
      <c r="BU156" s="164"/>
      <c r="CG156" s="24" t="s">
        <v>175</v>
      </c>
      <c r="CT156" s="33" t="s">
        <v>151</v>
      </c>
      <c r="CU156" s="111" t="s">
        <v>1023</v>
      </c>
      <c r="DG156" s="24" t="s">
        <v>174</v>
      </c>
      <c r="DT156" s="24" t="s">
        <v>174</v>
      </c>
      <c r="EG156" s="24" t="s">
        <v>174</v>
      </c>
      <c r="ET156" s="31" t="s">
        <v>167</v>
      </c>
      <c r="EU156" s="164">
        <v>1818000000</v>
      </c>
      <c r="FG156" s="24" t="s">
        <v>175</v>
      </c>
      <c r="FT156" s="24" t="s">
        <v>174</v>
      </c>
      <c r="GG156" s="31"/>
      <c r="GH156" s="34">
        <v>-246221088523</v>
      </c>
      <c r="GT156" s="11"/>
      <c r="HC156" s="30"/>
      <c r="HD156" s="36" t="s">
        <v>3288</v>
      </c>
    </row>
    <row r="157" spans="6:212" ht="49.5" x14ac:dyDescent="0.25">
      <c r="F157" s="24" t="s">
        <v>174</v>
      </c>
      <c r="S157" s="24" t="s">
        <v>174</v>
      </c>
      <c r="AF157" s="31" t="s">
        <v>153</v>
      </c>
      <c r="AG157" s="159"/>
      <c r="AT157" s="31"/>
      <c r="AU157" s="111" t="s">
        <v>746</v>
      </c>
      <c r="BG157" s="24" t="s">
        <v>176</v>
      </c>
      <c r="BT157" s="24" t="s">
        <v>173</v>
      </c>
      <c r="CG157" s="24" t="s">
        <v>174</v>
      </c>
      <c r="CT157" s="31"/>
      <c r="CU157" s="34">
        <v>-273304816</v>
      </c>
      <c r="DG157" s="24" t="s">
        <v>176</v>
      </c>
      <c r="DT157" s="24" t="s">
        <v>176</v>
      </c>
      <c r="EG157" s="24" t="s">
        <v>109</v>
      </c>
      <c r="ET157" s="31" t="s">
        <v>168</v>
      </c>
      <c r="EU157" s="164"/>
      <c r="FG157" s="24" t="s">
        <v>174</v>
      </c>
      <c r="FT157" s="24" t="s">
        <v>176</v>
      </c>
      <c r="GG157" s="31"/>
      <c r="GH157" s="111" t="s">
        <v>1396</v>
      </c>
      <c r="GT157" s="11"/>
      <c r="HC157" s="33" t="s">
        <v>2842</v>
      </c>
      <c r="HD157" s="32" t="s">
        <v>3289</v>
      </c>
    </row>
    <row r="158" spans="6:212" ht="16.5" x14ac:dyDescent="0.25">
      <c r="F158" s="24" t="s">
        <v>176</v>
      </c>
      <c r="S158" s="24" t="s">
        <v>176</v>
      </c>
      <c r="AF158" s="30"/>
      <c r="AG158" s="159"/>
      <c r="AT158" s="31"/>
      <c r="AU158" s="34">
        <v>-400000</v>
      </c>
      <c r="BG158" s="21" t="s">
        <v>177</v>
      </c>
      <c r="BT158" s="24" t="s">
        <v>174</v>
      </c>
      <c r="CG158" s="24" t="s">
        <v>176</v>
      </c>
      <c r="CT158" s="31"/>
      <c r="CU158" s="111" t="s">
        <v>1024</v>
      </c>
      <c r="DG158" s="21" t="s">
        <v>177</v>
      </c>
      <c r="DT158" s="21" t="s">
        <v>177</v>
      </c>
      <c r="EG158" s="24" t="s">
        <v>174</v>
      </c>
      <c r="ET158" s="30"/>
      <c r="EU158" s="164"/>
      <c r="FG158" s="24" t="s">
        <v>176</v>
      </c>
      <c r="FT158" s="21" t="s">
        <v>177</v>
      </c>
      <c r="GG158" s="31"/>
      <c r="GH158" s="34">
        <v>-410418836810191</v>
      </c>
      <c r="GT158" s="11"/>
      <c r="HC158" s="31" t="s">
        <v>2855</v>
      </c>
      <c r="HD158" s="159" t="s">
        <v>3290</v>
      </c>
    </row>
    <row r="159" spans="6:212" ht="33" customHeight="1" x14ac:dyDescent="0.25">
      <c r="F159" s="21" t="s">
        <v>177</v>
      </c>
      <c r="S159" s="21" t="s">
        <v>177</v>
      </c>
      <c r="AF159" s="31" t="s">
        <v>154</v>
      </c>
      <c r="AG159" s="159"/>
      <c r="AT159" s="31"/>
      <c r="AU159" s="111" t="s">
        <v>747</v>
      </c>
      <c r="BG159" s="24" t="s">
        <v>759</v>
      </c>
      <c r="BT159" s="24" t="s">
        <v>109</v>
      </c>
      <c r="CG159" s="21" t="s">
        <v>177</v>
      </c>
      <c r="CT159" s="31"/>
      <c r="CU159" s="34">
        <v>-273304816</v>
      </c>
      <c r="DG159" s="24" t="s">
        <v>759</v>
      </c>
      <c r="DT159" s="24" t="s">
        <v>759</v>
      </c>
      <c r="EG159" s="24" t="s">
        <v>175</v>
      </c>
      <c r="ET159" s="31" t="s">
        <v>169</v>
      </c>
      <c r="EU159" s="164"/>
      <c r="FG159" s="21" t="s">
        <v>177</v>
      </c>
      <c r="FT159" s="24" t="s">
        <v>759</v>
      </c>
      <c r="GG159" s="31"/>
      <c r="GH159" s="111" t="s">
        <v>1397</v>
      </c>
      <c r="GT159" s="11"/>
      <c r="HC159" s="31" t="s">
        <v>2856</v>
      </c>
      <c r="HD159" s="159"/>
    </row>
    <row r="160" spans="6:212" ht="16.5" x14ac:dyDescent="0.25">
      <c r="F160" s="24" t="s">
        <v>178</v>
      </c>
      <c r="S160" s="24" t="s">
        <v>178</v>
      </c>
      <c r="AF160" s="30"/>
      <c r="AG160" s="159"/>
      <c r="AT160" s="31"/>
      <c r="AU160" s="34">
        <v>-23000000</v>
      </c>
      <c r="BG160" s="24" t="s">
        <v>849</v>
      </c>
      <c r="BT160" s="24" t="s">
        <v>174</v>
      </c>
      <c r="CG160" s="24" t="s">
        <v>759</v>
      </c>
      <c r="CT160" s="31"/>
      <c r="CU160" s="111" t="s">
        <v>1025</v>
      </c>
      <c r="DG160" s="24" t="s">
        <v>1095</v>
      </c>
      <c r="DT160" s="24" t="s">
        <v>1144</v>
      </c>
      <c r="EG160" s="24" t="s">
        <v>174</v>
      </c>
      <c r="ET160" s="31" t="s">
        <v>170</v>
      </c>
      <c r="EU160" s="164">
        <v>1818000000</v>
      </c>
      <c r="FG160" s="24" t="s">
        <v>178</v>
      </c>
      <c r="FT160" s="24" t="s">
        <v>1345</v>
      </c>
      <c r="GG160" s="31"/>
      <c r="GH160" s="34">
        <v>-175375852</v>
      </c>
      <c r="GT160" s="11"/>
      <c r="HC160" s="30"/>
      <c r="HD160" s="159"/>
    </row>
    <row r="161" spans="6:212" ht="49.5" x14ac:dyDescent="0.25">
      <c r="F161" s="21" t="s">
        <v>179</v>
      </c>
      <c r="S161" s="21" t="s">
        <v>544</v>
      </c>
      <c r="AF161" s="33" t="s">
        <v>155</v>
      </c>
      <c r="AG161" s="159"/>
      <c r="AT161" s="31"/>
      <c r="AU161" s="111" t="s">
        <v>748</v>
      </c>
      <c r="BG161" s="24" t="s">
        <v>178</v>
      </c>
      <c r="BT161" s="24" t="s">
        <v>175</v>
      </c>
      <c r="CG161" s="24" t="s">
        <v>965</v>
      </c>
      <c r="CT161" s="31"/>
      <c r="CU161" s="34">
        <v>-92000000</v>
      </c>
      <c r="DG161" s="24" t="s">
        <v>178</v>
      </c>
      <c r="DT161" s="113" t="s">
        <v>1145</v>
      </c>
      <c r="EG161" s="24" t="s">
        <v>176</v>
      </c>
      <c r="ET161" s="31" t="s">
        <v>171</v>
      </c>
      <c r="EU161" s="164"/>
      <c r="FG161" s="21" t="s">
        <v>1295</v>
      </c>
      <c r="FT161" s="24" t="s">
        <v>178</v>
      </c>
      <c r="GG161" s="31"/>
      <c r="GH161" s="111" t="s">
        <v>1398</v>
      </c>
      <c r="GT161" s="11"/>
      <c r="HC161" s="31" t="s">
        <v>2857</v>
      </c>
      <c r="HD161" s="159"/>
    </row>
    <row r="162" spans="6:212" ht="16.5" x14ac:dyDescent="0.25">
      <c r="F162" s="21" t="s">
        <v>52</v>
      </c>
      <c r="S162" s="24" t="s">
        <v>180</v>
      </c>
      <c r="AF162" s="31" t="s">
        <v>157</v>
      </c>
      <c r="AG162" s="159" t="s">
        <v>1681</v>
      </c>
      <c r="AT162" s="31"/>
      <c r="AU162" s="34">
        <v>-30000000</v>
      </c>
      <c r="BG162" s="21" t="s">
        <v>850</v>
      </c>
      <c r="BT162" s="24" t="s">
        <v>174</v>
      </c>
      <c r="CG162" s="24" t="s">
        <v>761</v>
      </c>
      <c r="CT162" s="31"/>
      <c r="CU162" s="111" t="s">
        <v>1026</v>
      </c>
      <c r="DG162" s="21" t="s">
        <v>1096</v>
      </c>
      <c r="DT162" s="113" t="s">
        <v>1146</v>
      </c>
      <c r="EG162" s="21" t="s">
        <v>177</v>
      </c>
      <c r="ET162" s="30"/>
      <c r="EU162" s="164"/>
      <c r="FG162" s="24" t="s">
        <v>180</v>
      </c>
      <c r="FT162" s="21" t="s">
        <v>1346</v>
      </c>
      <c r="GG162" s="31"/>
      <c r="GH162" s="34">
        <v>-191781670</v>
      </c>
      <c r="GT162" s="11"/>
      <c r="HC162" s="31" t="s">
        <v>2858</v>
      </c>
      <c r="HD162" s="159" t="s">
        <v>3290</v>
      </c>
    </row>
    <row r="163" spans="6:212" ht="16.5" customHeight="1" x14ac:dyDescent="0.25">
      <c r="F163" s="24" t="s">
        <v>180</v>
      </c>
      <c r="S163" s="21" t="s">
        <v>545</v>
      </c>
      <c r="AF163" s="31" t="s">
        <v>158</v>
      </c>
      <c r="AG163" s="159"/>
      <c r="AT163" s="31"/>
      <c r="AU163" s="111" t="s">
        <v>749</v>
      </c>
      <c r="BG163" s="24" t="s">
        <v>180</v>
      </c>
      <c r="BT163" s="24" t="s">
        <v>176</v>
      </c>
      <c r="CG163" s="24" t="s">
        <v>178</v>
      </c>
      <c r="CT163" s="31"/>
      <c r="CU163" s="34">
        <v>-8977366</v>
      </c>
      <c r="DG163" s="21" t="s">
        <v>1097</v>
      </c>
      <c r="DT163" s="24" t="s">
        <v>761</v>
      </c>
      <c r="EG163" s="24" t="s">
        <v>759</v>
      </c>
      <c r="ET163" s="31" t="s">
        <v>172</v>
      </c>
      <c r="EU163" s="164"/>
      <c r="FG163" s="21" t="s">
        <v>1296</v>
      </c>
      <c r="FT163" s="24" t="s">
        <v>180</v>
      </c>
      <c r="GG163" s="31"/>
      <c r="GH163" s="111" t="s">
        <v>1399</v>
      </c>
      <c r="GT163" s="11"/>
      <c r="HC163" s="31" t="s">
        <v>2859</v>
      </c>
      <c r="HD163" s="159"/>
    </row>
    <row r="164" spans="6:212" ht="16.5" x14ac:dyDescent="0.25">
      <c r="F164" s="21" t="s">
        <v>181</v>
      </c>
      <c r="S164" s="28" t="s">
        <v>546</v>
      </c>
      <c r="AF164" s="30"/>
      <c r="AG164" s="159"/>
      <c r="AT164" s="31"/>
      <c r="AU164" s="34">
        <v>-22000000</v>
      </c>
      <c r="BG164" s="21" t="s">
        <v>851</v>
      </c>
      <c r="BT164" s="21" t="s">
        <v>177</v>
      </c>
      <c r="CG164" s="21" t="s">
        <v>966</v>
      </c>
      <c r="CT164" s="31"/>
      <c r="CU164" s="36" t="s">
        <v>166</v>
      </c>
      <c r="DG164" s="24" t="s">
        <v>180</v>
      </c>
      <c r="DT164" s="24" t="s">
        <v>178</v>
      </c>
      <c r="EG164" s="24" t="s">
        <v>1194</v>
      </c>
      <c r="ET164" s="24" t="s">
        <v>173</v>
      </c>
      <c r="FG164" s="28" t="s">
        <v>1297</v>
      </c>
      <c r="FT164" s="21" t="s">
        <v>677</v>
      </c>
      <c r="GG164" s="31"/>
      <c r="GH164" s="34">
        <v>-420397775</v>
      </c>
      <c r="GT164" s="11" t="s">
        <v>3075</v>
      </c>
      <c r="HC164" s="30"/>
      <c r="HD164" s="159"/>
    </row>
    <row r="165" spans="6:212" ht="115.5" customHeight="1" x14ac:dyDescent="0.25">
      <c r="F165" s="28" t="s">
        <v>182</v>
      </c>
      <c r="S165" s="24" t="s">
        <v>124</v>
      </c>
      <c r="AF165" s="31" t="s">
        <v>159</v>
      </c>
      <c r="AG165" s="159"/>
      <c r="AT165" s="31"/>
      <c r="AU165" s="111" t="s">
        <v>750</v>
      </c>
      <c r="BG165" s="24" t="s">
        <v>124</v>
      </c>
      <c r="BT165" s="24" t="s">
        <v>759</v>
      </c>
      <c r="CG165" s="21" t="s">
        <v>967</v>
      </c>
      <c r="CT165" s="31"/>
      <c r="CU165" s="34">
        <v>9282943566</v>
      </c>
      <c r="DG165" s="21" t="s">
        <v>545</v>
      </c>
      <c r="DT165" s="21" t="s">
        <v>1147</v>
      </c>
      <c r="EG165" s="24" t="s">
        <v>761</v>
      </c>
      <c r="ET165" s="24" t="s">
        <v>174</v>
      </c>
      <c r="FG165" s="24" t="s">
        <v>124</v>
      </c>
      <c r="FT165" s="24" t="s">
        <v>46</v>
      </c>
      <c r="GG165" s="31"/>
      <c r="GH165" s="36" t="s">
        <v>166</v>
      </c>
      <c r="GT165" s="11"/>
      <c r="HC165" s="31" t="s">
        <v>2860</v>
      </c>
      <c r="HD165" s="159"/>
    </row>
    <row r="166" spans="6:212" ht="23.25" x14ac:dyDescent="0.25">
      <c r="F166" s="24" t="s">
        <v>124</v>
      </c>
      <c r="S166" s="21" t="s">
        <v>183</v>
      </c>
      <c r="AF166" s="30"/>
      <c r="AG166" s="159"/>
      <c r="AT166" s="31"/>
      <c r="AU166" s="34">
        <v>-30000000</v>
      </c>
      <c r="BG166" s="21" t="s">
        <v>852</v>
      </c>
      <c r="BT166" s="24" t="s">
        <v>912</v>
      </c>
      <c r="CG166" s="24" t="s">
        <v>180</v>
      </c>
      <c r="CT166" s="31" t="s">
        <v>167</v>
      </c>
      <c r="CU166" s="164">
        <v>10000000000</v>
      </c>
      <c r="DG166" s="28" t="s">
        <v>1098</v>
      </c>
      <c r="DT166" s="21" t="s">
        <v>1148</v>
      </c>
      <c r="EG166" s="113" t="s">
        <v>1195</v>
      </c>
      <c r="ET166" s="24" t="s">
        <v>109</v>
      </c>
      <c r="FG166" s="21" t="s">
        <v>183</v>
      </c>
      <c r="FT166" s="21" t="s">
        <v>185</v>
      </c>
      <c r="GG166" s="31"/>
      <c r="GH166" s="34">
        <v>589263304910157</v>
      </c>
      <c r="GT166" s="138" t="s">
        <v>3076</v>
      </c>
      <c r="HC166" s="24" t="s">
        <v>2861</v>
      </c>
    </row>
    <row r="167" spans="6:212" ht="49.5" x14ac:dyDescent="0.25">
      <c r="F167" s="21" t="s">
        <v>183</v>
      </c>
      <c r="S167" s="28" t="s">
        <v>547</v>
      </c>
      <c r="AF167" s="33" t="s">
        <v>160</v>
      </c>
      <c r="AG167" s="159"/>
      <c r="AT167" s="31"/>
      <c r="AU167" s="111" t="s">
        <v>751</v>
      </c>
      <c r="BG167" s="24" t="s">
        <v>46</v>
      </c>
      <c r="BT167" s="24" t="s">
        <v>761</v>
      </c>
      <c r="CG167" s="21" t="s">
        <v>545</v>
      </c>
      <c r="CT167" s="31" t="s">
        <v>168</v>
      </c>
      <c r="CU167" s="164"/>
      <c r="DG167" s="24" t="s">
        <v>124</v>
      </c>
      <c r="DT167" s="24" t="s">
        <v>180</v>
      </c>
      <c r="EG167" s="24" t="s">
        <v>761</v>
      </c>
      <c r="ET167" s="24" t="s">
        <v>174</v>
      </c>
      <c r="FG167" s="28" t="s">
        <v>1298</v>
      </c>
      <c r="FT167" s="21" t="s">
        <v>680</v>
      </c>
      <c r="GG167" s="31" t="s">
        <v>167</v>
      </c>
      <c r="GH167" s="164">
        <v>999982361335102</v>
      </c>
      <c r="GT167" s="11"/>
      <c r="HC167" s="24" t="s">
        <v>2862</v>
      </c>
    </row>
    <row r="168" spans="6:212" ht="49.5" x14ac:dyDescent="0.25">
      <c r="F168" s="28" t="s">
        <v>184</v>
      </c>
      <c r="S168" s="24" t="s">
        <v>46</v>
      </c>
      <c r="AF168" s="31" t="s">
        <v>161</v>
      </c>
      <c r="AG168" s="159" t="s">
        <v>1682</v>
      </c>
      <c r="AT168" s="31"/>
      <c r="AU168" s="34">
        <v>-30000000</v>
      </c>
      <c r="BG168" s="21" t="s">
        <v>185</v>
      </c>
      <c r="BT168" s="24" t="s">
        <v>178</v>
      </c>
      <c r="CG168" s="22" t="s">
        <v>914</v>
      </c>
      <c r="CT168" s="30"/>
      <c r="CU168" s="164"/>
      <c r="DG168" s="21" t="s">
        <v>1099</v>
      </c>
      <c r="DT168" s="21" t="s">
        <v>1149</v>
      </c>
      <c r="EG168" s="113" t="s">
        <v>1196</v>
      </c>
      <c r="ET168" s="24" t="s">
        <v>175</v>
      </c>
      <c r="FG168" s="24" t="s">
        <v>46</v>
      </c>
      <c r="FT168" s="24" t="s">
        <v>188</v>
      </c>
      <c r="GG168" s="31" t="s">
        <v>168</v>
      </c>
      <c r="GH168" s="164"/>
      <c r="GT168" s="11" t="s">
        <v>3077</v>
      </c>
      <c r="HC168" s="24" t="s">
        <v>591</v>
      </c>
    </row>
    <row r="169" spans="6:212" ht="49.5" x14ac:dyDescent="0.25">
      <c r="F169" s="24" t="s">
        <v>46</v>
      </c>
      <c r="S169" s="21" t="s">
        <v>185</v>
      </c>
      <c r="AF169" s="31" t="s">
        <v>162</v>
      </c>
      <c r="AG169" s="159"/>
      <c r="AT169" s="31"/>
      <c r="AU169" s="111" t="s">
        <v>752</v>
      </c>
      <c r="BG169" s="21" t="s">
        <v>853</v>
      </c>
      <c r="BT169" s="21" t="s">
        <v>913</v>
      </c>
      <c r="CG169" s="24" t="s">
        <v>46</v>
      </c>
      <c r="CT169" s="31" t="s">
        <v>169</v>
      </c>
      <c r="CU169" s="164"/>
      <c r="DG169" s="22" t="s">
        <v>779</v>
      </c>
      <c r="DT169" s="28" t="s">
        <v>1150</v>
      </c>
      <c r="EG169" s="24" t="s">
        <v>178</v>
      </c>
      <c r="ET169" s="24" t="s">
        <v>174</v>
      </c>
      <c r="FG169" s="21" t="s">
        <v>185</v>
      </c>
      <c r="FT169" s="21" t="s">
        <v>185</v>
      </c>
      <c r="GG169" s="30"/>
      <c r="GH169" s="164"/>
      <c r="GT169" s="11" t="s">
        <v>3078</v>
      </c>
      <c r="HC169" s="24" t="s">
        <v>2862</v>
      </c>
    </row>
    <row r="170" spans="6:212" ht="16.5" x14ac:dyDescent="0.25">
      <c r="F170" s="21" t="s">
        <v>185</v>
      </c>
      <c r="S170" s="24" t="s">
        <v>188</v>
      </c>
      <c r="AF170" s="30"/>
      <c r="AG170" s="159"/>
      <c r="AT170" s="31"/>
      <c r="AU170" s="34">
        <v>-30000000</v>
      </c>
      <c r="BG170" s="24" t="s">
        <v>188</v>
      </c>
      <c r="BT170" s="24" t="s">
        <v>180</v>
      </c>
      <c r="CG170" s="21" t="s">
        <v>185</v>
      </c>
      <c r="CT170" s="31" t="s">
        <v>170</v>
      </c>
      <c r="CU170" s="164">
        <v>10000000000</v>
      </c>
      <c r="DG170" s="24" t="s">
        <v>46</v>
      </c>
      <c r="DT170" s="24" t="s">
        <v>124</v>
      </c>
      <c r="EG170" s="21" t="s">
        <v>1197</v>
      </c>
      <c r="ET170" s="24" t="s">
        <v>176</v>
      </c>
      <c r="FG170" s="21" t="s">
        <v>186</v>
      </c>
      <c r="FT170" s="24" t="s">
        <v>191</v>
      </c>
      <c r="GG170" s="31" t="s">
        <v>169</v>
      </c>
      <c r="GH170" s="164"/>
      <c r="GT170" s="142" t="s">
        <v>3079</v>
      </c>
      <c r="HC170" s="24" t="s">
        <v>2863</v>
      </c>
    </row>
    <row r="171" spans="6:212" ht="49.5" x14ac:dyDescent="0.25">
      <c r="F171" s="21" t="s">
        <v>186</v>
      </c>
      <c r="S171" s="21" t="s">
        <v>185</v>
      </c>
      <c r="AF171" s="33" t="s">
        <v>151</v>
      </c>
      <c r="AG171" s="159"/>
      <c r="AT171" s="31"/>
      <c r="AU171" s="111" t="s">
        <v>753</v>
      </c>
      <c r="BG171" s="21" t="s">
        <v>185</v>
      </c>
      <c r="BT171" s="21" t="s">
        <v>545</v>
      </c>
      <c r="CG171" s="24" t="s">
        <v>186</v>
      </c>
      <c r="CT171" s="31" t="s">
        <v>171</v>
      </c>
      <c r="CU171" s="164"/>
      <c r="DG171" s="21" t="s">
        <v>185</v>
      </c>
      <c r="DT171" s="21" t="s">
        <v>1151</v>
      </c>
      <c r="EG171" s="21" t="s">
        <v>1198</v>
      </c>
      <c r="ET171" s="21" t="s">
        <v>177</v>
      </c>
      <c r="FG171" s="21" t="s">
        <v>187</v>
      </c>
      <c r="FT171" s="24" t="s">
        <v>1347</v>
      </c>
      <c r="GG171" s="24" t="s">
        <v>173</v>
      </c>
      <c r="HC171" s="24" t="s">
        <v>2862</v>
      </c>
    </row>
    <row r="172" spans="6:212" ht="16.5" x14ac:dyDescent="0.25">
      <c r="F172" s="21" t="s">
        <v>187</v>
      </c>
      <c r="S172" s="24" t="s">
        <v>189</v>
      </c>
      <c r="AF172" s="31" t="s">
        <v>163</v>
      </c>
      <c r="AG172" s="34">
        <v>447221983</v>
      </c>
      <c r="AT172" s="31"/>
      <c r="AU172" s="34">
        <v>-30000000</v>
      </c>
      <c r="BG172" s="24" t="s">
        <v>191</v>
      </c>
      <c r="BT172" s="22" t="s">
        <v>914</v>
      </c>
      <c r="CG172" s="21" t="s">
        <v>680</v>
      </c>
      <c r="CT172" s="30"/>
      <c r="CU172" s="164"/>
      <c r="DG172" s="21" t="s">
        <v>1100</v>
      </c>
      <c r="DT172" s="24" t="s">
        <v>46</v>
      </c>
      <c r="EG172" s="21" t="s">
        <v>52</v>
      </c>
      <c r="ET172" s="24" t="s">
        <v>178</v>
      </c>
      <c r="FG172" s="24" t="s">
        <v>188</v>
      </c>
      <c r="FT172" s="24" t="s">
        <v>549</v>
      </c>
      <c r="GG172" s="24" t="s">
        <v>174</v>
      </c>
      <c r="GT172" s="162" t="s">
        <v>3080</v>
      </c>
      <c r="GU172" s="162"/>
      <c r="GV172" s="162"/>
      <c r="GW172" s="162"/>
      <c r="GX172" s="162"/>
      <c r="HC172" s="24" t="s">
        <v>2864</v>
      </c>
    </row>
    <row r="173" spans="6:212" ht="49.5" x14ac:dyDescent="0.25">
      <c r="F173" s="24" t="s">
        <v>188</v>
      </c>
      <c r="S173" s="21" t="s">
        <v>190</v>
      </c>
      <c r="AF173" s="31" t="s">
        <v>164</v>
      </c>
      <c r="AG173" s="35" t="s">
        <v>675</v>
      </c>
      <c r="AT173" s="31"/>
      <c r="AU173" s="111" t="s">
        <v>754</v>
      </c>
      <c r="BG173" s="24" t="s">
        <v>854</v>
      </c>
      <c r="BT173" s="24" t="s">
        <v>46</v>
      </c>
      <c r="CG173" s="21" t="s">
        <v>968</v>
      </c>
      <c r="CT173" s="31" t="s">
        <v>172</v>
      </c>
      <c r="CU173" s="164"/>
      <c r="DG173" s="21" t="s">
        <v>853</v>
      </c>
      <c r="DT173" s="21" t="s">
        <v>185</v>
      </c>
      <c r="EG173" s="21" t="s">
        <v>1199</v>
      </c>
      <c r="ET173" s="21" t="s">
        <v>1249</v>
      </c>
      <c r="FG173" s="21" t="s">
        <v>185</v>
      </c>
      <c r="FT173" s="21" t="s">
        <v>682</v>
      </c>
      <c r="GG173" s="24" t="s">
        <v>109</v>
      </c>
      <c r="GT173" s="162"/>
      <c r="GU173" s="162"/>
      <c r="GV173" s="162"/>
      <c r="GW173" s="162"/>
      <c r="GX173" s="162"/>
      <c r="HC173" s="21" t="s">
        <v>2865</v>
      </c>
    </row>
    <row r="174" spans="6:212" ht="16.5" x14ac:dyDescent="0.25">
      <c r="F174" s="21" t="s">
        <v>185</v>
      </c>
      <c r="S174" s="24" t="s">
        <v>191</v>
      </c>
      <c r="AF174" s="30"/>
      <c r="AG174" s="36" t="s">
        <v>166</v>
      </c>
      <c r="AT174" s="31"/>
      <c r="AU174" s="34">
        <v>-30000000</v>
      </c>
      <c r="BG174" s="24" t="s">
        <v>549</v>
      </c>
      <c r="BT174" s="21" t="s">
        <v>185</v>
      </c>
      <c r="CG174" s="21" t="s">
        <v>969</v>
      </c>
      <c r="CT174" s="24" t="s">
        <v>173</v>
      </c>
      <c r="DG174" s="24" t="s">
        <v>188</v>
      </c>
      <c r="DT174" s="21" t="s">
        <v>680</v>
      </c>
      <c r="EG174" s="24" t="s">
        <v>180</v>
      </c>
      <c r="ET174" s="21" t="s">
        <v>52</v>
      </c>
      <c r="FG174" s="24" t="s">
        <v>189</v>
      </c>
      <c r="FT174" s="24" t="s">
        <v>193</v>
      </c>
      <c r="GG174" s="24" t="s">
        <v>174</v>
      </c>
      <c r="GT174" s="11" t="s">
        <v>3081</v>
      </c>
      <c r="HC174" s="24" t="s">
        <v>2866</v>
      </c>
    </row>
    <row r="175" spans="6:212" ht="16.5" x14ac:dyDescent="0.25">
      <c r="F175" s="24" t="s">
        <v>189</v>
      </c>
      <c r="S175" s="24" t="s">
        <v>548</v>
      </c>
      <c r="AF175" s="33" t="s">
        <v>151</v>
      </c>
      <c r="AG175" s="34">
        <v>447221983</v>
      </c>
      <c r="AT175" s="31"/>
      <c r="AU175" s="111" t="s">
        <v>755</v>
      </c>
      <c r="BG175" s="21" t="s">
        <v>855</v>
      </c>
      <c r="BT175" s="21" t="s">
        <v>680</v>
      </c>
      <c r="CG175" s="24" t="s">
        <v>188</v>
      </c>
      <c r="CT175" s="24" t="s">
        <v>174</v>
      </c>
      <c r="DG175" s="21" t="s">
        <v>185</v>
      </c>
      <c r="DT175" s="21" t="s">
        <v>853</v>
      </c>
      <c r="EG175" s="21" t="s">
        <v>545</v>
      </c>
      <c r="ET175" s="21" t="s">
        <v>1249</v>
      </c>
      <c r="FG175" s="21" t="s">
        <v>190</v>
      </c>
      <c r="FT175" s="21" t="s">
        <v>1348</v>
      </c>
      <c r="GG175" s="24" t="s">
        <v>175</v>
      </c>
      <c r="GT175" s="11"/>
      <c r="HC175" s="24" t="s">
        <v>3291</v>
      </c>
    </row>
    <row r="176" spans="6:212" ht="16.5" x14ac:dyDescent="0.25">
      <c r="F176" s="21" t="s">
        <v>190</v>
      </c>
      <c r="S176" s="24" t="s">
        <v>549</v>
      </c>
      <c r="AF176" s="31" t="s">
        <v>167</v>
      </c>
      <c r="AG176" s="164">
        <v>575072210</v>
      </c>
      <c r="AT176" s="31"/>
      <c r="AU176" s="34">
        <v>-30000000</v>
      </c>
      <c r="BG176" s="24" t="s">
        <v>193</v>
      </c>
      <c r="BT176" s="21" t="s">
        <v>853</v>
      </c>
      <c r="CG176" s="21" t="s">
        <v>185</v>
      </c>
      <c r="CT176" s="24" t="s">
        <v>109</v>
      </c>
      <c r="DG176" s="24" t="s">
        <v>191</v>
      </c>
      <c r="DT176" s="24" t="s">
        <v>188</v>
      </c>
      <c r="EG176" s="28" t="s">
        <v>1200</v>
      </c>
      <c r="ET176" s="24" t="s">
        <v>180</v>
      </c>
      <c r="FG176" s="24" t="s">
        <v>191</v>
      </c>
      <c r="FT176" s="24" t="s">
        <v>1153</v>
      </c>
      <c r="GG176" s="24" t="s">
        <v>174</v>
      </c>
      <c r="GT176" s="13" t="s">
        <v>3082</v>
      </c>
      <c r="HC176" s="24" t="s">
        <v>2867</v>
      </c>
    </row>
    <row r="177" spans="6:211" ht="49.5" x14ac:dyDescent="0.25">
      <c r="F177" s="24" t="s">
        <v>191</v>
      </c>
      <c r="S177" s="21" t="s">
        <v>550</v>
      </c>
      <c r="AF177" s="31" t="s">
        <v>168</v>
      </c>
      <c r="AG177" s="164"/>
      <c r="AT177" s="31"/>
      <c r="AU177" s="111" t="s">
        <v>756</v>
      </c>
      <c r="BG177" s="21" t="s">
        <v>551</v>
      </c>
      <c r="BT177" s="24" t="s">
        <v>188</v>
      </c>
      <c r="CG177" s="24" t="s">
        <v>189</v>
      </c>
      <c r="CT177" s="24" t="s">
        <v>174</v>
      </c>
      <c r="DG177" s="24" t="s">
        <v>1101</v>
      </c>
      <c r="DT177" s="21" t="s">
        <v>185</v>
      </c>
      <c r="EG177" s="24" t="s">
        <v>124</v>
      </c>
      <c r="ET177" s="21" t="s">
        <v>1236</v>
      </c>
      <c r="FG177" s="24" t="s">
        <v>1299</v>
      </c>
      <c r="FT177" s="28" t="s">
        <v>1349</v>
      </c>
      <c r="GG177" s="24" t="s">
        <v>176</v>
      </c>
      <c r="GT177" s="11"/>
      <c r="HC177" s="113" t="s">
        <v>3292</v>
      </c>
    </row>
    <row r="178" spans="6:211" ht="23.25" x14ac:dyDescent="0.25">
      <c r="F178" s="24" t="s">
        <v>192</v>
      </c>
      <c r="S178" s="24" t="s">
        <v>193</v>
      </c>
      <c r="AF178" s="30"/>
      <c r="AG178" s="164"/>
      <c r="AT178" s="31"/>
      <c r="AU178" s="34">
        <v>-22000000</v>
      </c>
      <c r="BG178" s="24" t="s">
        <v>856</v>
      </c>
      <c r="BT178" s="21" t="s">
        <v>185</v>
      </c>
      <c r="CG178" s="21" t="s">
        <v>190</v>
      </c>
      <c r="CT178" s="24" t="s">
        <v>175</v>
      </c>
      <c r="DG178" s="24" t="s">
        <v>549</v>
      </c>
      <c r="DT178" s="24" t="s">
        <v>191</v>
      </c>
      <c r="EG178" s="21" t="s">
        <v>183</v>
      </c>
      <c r="ET178" s="22" t="s">
        <v>1250</v>
      </c>
      <c r="FG178" s="24" t="s">
        <v>549</v>
      </c>
      <c r="FT178" s="20"/>
      <c r="GG178" s="21" t="s">
        <v>177</v>
      </c>
      <c r="GT178" s="138" t="s">
        <v>3083</v>
      </c>
      <c r="HC178" s="113" t="s">
        <v>3293</v>
      </c>
    </row>
    <row r="179" spans="6:211" ht="26.25" x14ac:dyDescent="0.25">
      <c r="F179" s="24" t="s">
        <v>193</v>
      </c>
      <c r="S179" s="21" t="s">
        <v>551</v>
      </c>
      <c r="AF179" s="31" t="s">
        <v>169</v>
      </c>
      <c r="AG179" s="164"/>
      <c r="AT179" s="31"/>
      <c r="AU179" s="111" t="s">
        <v>757</v>
      </c>
      <c r="BG179" s="28" t="s">
        <v>857</v>
      </c>
      <c r="BT179" s="24" t="s">
        <v>191</v>
      </c>
      <c r="CG179" s="24" t="s">
        <v>191</v>
      </c>
      <c r="CT179" s="24" t="s">
        <v>174</v>
      </c>
      <c r="DG179" s="21" t="s">
        <v>1102</v>
      </c>
      <c r="DT179" s="24" t="s">
        <v>1152</v>
      </c>
      <c r="EG179" s="24" t="s">
        <v>46</v>
      </c>
      <c r="ET179" s="24" t="s">
        <v>124</v>
      </c>
      <c r="FG179" s="21" t="s">
        <v>1300</v>
      </c>
      <c r="FT179" s="29" t="s">
        <v>1350</v>
      </c>
      <c r="GG179" s="24" t="s">
        <v>759</v>
      </c>
      <c r="GT179" s="11"/>
      <c r="HC179" s="24" t="s">
        <v>2867</v>
      </c>
    </row>
    <row r="180" spans="6:211" ht="16.5" x14ac:dyDescent="0.25">
      <c r="F180" s="21" t="s">
        <v>194</v>
      </c>
      <c r="S180" s="24" t="s">
        <v>552</v>
      </c>
      <c r="AF180" s="31" t="s">
        <v>170</v>
      </c>
      <c r="AG180" s="159" t="s">
        <v>66</v>
      </c>
      <c r="AT180" s="31"/>
      <c r="AU180" s="34">
        <v>-19000000</v>
      </c>
      <c r="BG180" s="20"/>
      <c r="BT180" s="24" t="s">
        <v>915</v>
      </c>
      <c r="CG180" s="24" t="s">
        <v>970</v>
      </c>
      <c r="CT180" s="24" t="s">
        <v>176</v>
      </c>
      <c r="DG180" s="24" t="s">
        <v>193</v>
      </c>
      <c r="DT180" s="24" t="s">
        <v>549</v>
      </c>
      <c r="EG180" s="21" t="s">
        <v>185</v>
      </c>
      <c r="ET180" s="21" t="s">
        <v>183</v>
      </c>
      <c r="FG180" s="24" t="s">
        <v>193</v>
      </c>
      <c r="FT180" s="20"/>
      <c r="GG180" s="24" t="s">
        <v>1400</v>
      </c>
      <c r="GT180" s="11"/>
      <c r="HC180" s="113" t="s">
        <v>3294</v>
      </c>
    </row>
    <row r="181" spans="6:211" ht="49.5" x14ac:dyDescent="0.25">
      <c r="F181" s="24" t="s">
        <v>195</v>
      </c>
      <c r="S181" s="28" t="s">
        <v>553</v>
      </c>
      <c r="AF181" s="31" t="s">
        <v>171</v>
      </c>
      <c r="AG181" s="159"/>
      <c r="AT181" s="31"/>
      <c r="AU181" s="111" t="s">
        <v>758</v>
      </c>
      <c r="BG181" s="29" t="s">
        <v>858</v>
      </c>
      <c r="BT181" s="24" t="s">
        <v>549</v>
      </c>
      <c r="CG181" s="24" t="s">
        <v>549</v>
      </c>
      <c r="CT181" s="21" t="s">
        <v>177</v>
      </c>
      <c r="DG181" s="21" t="s">
        <v>1103</v>
      </c>
      <c r="DT181" s="21" t="s">
        <v>550</v>
      </c>
      <c r="EG181" s="21" t="s">
        <v>186</v>
      </c>
      <c r="ET181" s="28" t="s">
        <v>1251</v>
      </c>
      <c r="FG181" s="21" t="s">
        <v>194</v>
      </c>
      <c r="FT181" s="31" t="s">
        <v>198</v>
      </c>
      <c r="FU181" s="32" t="s">
        <v>2617</v>
      </c>
      <c r="GG181" s="24" t="s">
        <v>761</v>
      </c>
      <c r="GT181" s="11"/>
      <c r="HC181" s="24" t="s">
        <v>178</v>
      </c>
    </row>
    <row r="182" spans="6:211" ht="16.5" x14ac:dyDescent="0.25">
      <c r="F182" s="28" t="s">
        <v>196</v>
      </c>
      <c r="S182" s="20"/>
      <c r="AF182" s="30"/>
      <c r="AG182" s="159"/>
      <c r="AT182" s="31"/>
      <c r="AU182" s="34">
        <v>-23000000</v>
      </c>
      <c r="BG182" s="20"/>
      <c r="BT182" s="21" t="s">
        <v>550</v>
      </c>
      <c r="CG182" s="21" t="s">
        <v>550</v>
      </c>
      <c r="CT182" s="24" t="s">
        <v>759</v>
      </c>
      <c r="DG182" s="24" t="s">
        <v>916</v>
      </c>
      <c r="DT182" s="24" t="s">
        <v>1153</v>
      </c>
      <c r="EG182" s="21" t="s">
        <v>680</v>
      </c>
      <c r="ET182" s="24" t="s">
        <v>46</v>
      </c>
      <c r="FG182" s="24" t="s">
        <v>784</v>
      </c>
      <c r="FT182" s="31" t="s">
        <v>199</v>
      </c>
      <c r="FU182" s="32" t="s">
        <v>2618</v>
      </c>
      <c r="GG182" s="24" t="s">
        <v>178</v>
      </c>
      <c r="GT182" s="11"/>
      <c r="HC182" s="21" t="s">
        <v>3295</v>
      </c>
    </row>
    <row r="183" spans="6:211" ht="26.25" customHeight="1" x14ac:dyDescent="0.25">
      <c r="F183" s="20"/>
      <c r="S183" s="29" t="s">
        <v>554</v>
      </c>
      <c r="AF183" s="31" t="s">
        <v>172</v>
      </c>
      <c r="AG183" s="159"/>
      <c r="AT183" s="31"/>
      <c r="AU183" s="36" t="s">
        <v>166</v>
      </c>
      <c r="BG183" s="31" t="s">
        <v>198</v>
      </c>
      <c r="BH183" s="32" t="s">
        <v>1863</v>
      </c>
      <c r="BT183" s="24" t="s">
        <v>916</v>
      </c>
      <c r="CG183" s="24" t="s">
        <v>193</v>
      </c>
      <c r="CT183" s="24" t="s">
        <v>1027</v>
      </c>
      <c r="DG183" s="22" t="s">
        <v>1104</v>
      </c>
      <c r="DT183" s="28" t="s">
        <v>1154</v>
      </c>
      <c r="EG183" s="21" t="s">
        <v>853</v>
      </c>
      <c r="ET183" s="21" t="s">
        <v>185</v>
      </c>
      <c r="FG183" s="28" t="s">
        <v>1301</v>
      </c>
      <c r="FT183" s="163" t="s">
        <v>200</v>
      </c>
      <c r="FU183" s="36" t="s">
        <v>2619</v>
      </c>
      <c r="GG183" s="21" t="s">
        <v>1401</v>
      </c>
      <c r="GT183" s="11"/>
      <c r="HC183" s="21" t="s">
        <v>52</v>
      </c>
    </row>
    <row r="184" spans="6:211" ht="33" customHeight="1" x14ac:dyDescent="0.25">
      <c r="F184" s="29" t="s">
        <v>197</v>
      </c>
      <c r="S184" s="20"/>
      <c r="AF184" s="24" t="s">
        <v>173</v>
      </c>
      <c r="AT184" s="31"/>
      <c r="AU184" s="34">
        <v>587099971</v>
      </c>
      <c r="BG184" s="31" t="s">
        <v>199</v>
      </c>
      <c r="BH184" s="32" t="s">
        <v>1864</v>
      </c>
      <c r="BT184" s="22" t="s">
        <v>917</v>
      </c>
      <c r="CG184" s="21" t="s">
        <v>971</v>
      </c>
      <c r="CT184" s="24" t="s">
        <v>761</v>
      </c>
      <c r="DG184" s="20"/>
      <c r="DT184" s="24" t="s">
        <v>193</v>
      </c>
      <c r="EG184" s="21" t="s">
        <v>1201</v>
      </c>
      <c r="ET184" s="21" t="s">
        <v>680</v>
      </c>
      <c r="FG184" s="20"/>
      <c r="FT184" s="163"/>
      <c r="FU184" s="32" t="s">
        <v>1351</v>
      </c>
      <c r="GG184" s="21" t="s">
        <v>1402</v>
      </c>
      <c r="GT184" s="11"/>
      <c r="HC184" s="21" t="s">
        <v>3296</v>
      </c>
    </row>
    <row r="185" spans="6:211" ht="26.25" x14ac:dyDescent="0.25">
      <c r="F185" s="20"/>
      <c r="S185" s="31" t="s">
        <v>198</v>
      </c>
      <c r="T185" s="32" t="s">
        <v>1593</v>
      </c>
      <c r="AF185" s="24" t="s">
        <v>174</v>
      </c>
      <c r="AT185" s="31" t="s">
        <v>167</v>
      </c>
      <c r="AU185" s="164">
        <v>1000000000</v>
      </c>
      <c r="BG185" s="163" t="s">
        <v>200</v>
      </c>
      <c r="BH185" s="36" t="s">
        <v>1865</v>
      </c>
      <c r="BT185" s="24" t="s">
        <v>193</v>
      </c>
      <c r="CG185" s="24" t="s">
        <v>552</v>
      </c>
      <c r="CT185" s="113" t="s">
        <v>1028</v>
      </c>
      <c r="DG185" s="29" t="s">
        <v>1105</v>
      </c>
      <c r="DT185" s="21" t="s">
        <v>1103</v>
      </c>
      <c r="EG185" s="21" t="s">
        <v>186</v>
      </c>
      <c r="ET185" s="21" t="s">
        <v>853</v>
      </c>
      <c r="FG185" s="29" t="s">
        <v>1302</v>
      </c>
      <c r="FT185" s="163" t="s">
        <v>202</v>
      </c>
      <c r="FU185" s="36" t="s">
        <v>2620</v>
      </c>
      <c r="GG185" s="24" t="s">
        <v>180</v>
      </c>
      <c r="GT185" s="11"/>
      <c r="HC185" s="24" t="s">
        <v>2868</v>
      </c>
    </row>
    <row r="186" spans="6:211" ht="49.5" x14ac:dyDescent="0.25">
      <c r="F186" s="31" t="s">
        <v>198</v>
      </c>
      <c r="G186" s="32" t="s">
        <v>1491</v>
      </c>
      <c r="S186" s="31" t="s">
        <v>199</v>
      </c>
      <c r="T186" s="32" t="s">
        <v>1594</v>
      </c>
      <c r="AF186" s="24" t="s">
        <v>109</v>
      </c>
      <c r="AT186" s="31" t="s">
        <v>168</v>
      </c>
      <c r="AU186" s="164"/>
      <c r="BG186" s="163"/>
      <c r="BH186" s="32" t="s">
        <v>859</v>
      </c>
      <c r="BT186" s="21" t="s">
        <v>551</v>
      </c>
      <c r="CG186" s="28" t="s">
        <v>972</v>
      </c>
      <c r="CT186" s="113" t="s">
        <v>1029</v>
      </c>
      <c r="DG186" s="20"/>
      <c r="DT186" s="24" t="s">
        <v>195</v>
      </c>
      <c r="EG186" s="21" t="s">
        <v>1202</v>
      </c>
      <c r="ET186" s="21" t="s">
        <v>1252</v>
      </c>
      <c r="FG186" s="20"/>
      <c r="FT186" s="163"/>
      <c r="FU186" s="32" t="s">
        <v>1352</v>
      </c>
      <c r="GG186" s="21" t="s">
        <v>545</v>
      </c>
      <c r="GT186" s="11"/>
      <c r="HC186" s="21" t="s">
        <v>545</v>
      </c>
    </row>
    <row r="187" spans="6:211" ht="16.5" x14ac:dyDescent="0.25">
      <c r="F187" s="31" t="s">
        <v>199</v>
      </c>
      <c r="G187" s="32" t="s">
        <v>1492</v>
      </c>
      <c r="S187" s="163" t="s">
        <v>200</v>
      </c>
      <c r="T187" s="36" t="s">
        <v>1595</v>
      </c>
      <c r="AF187" s="24" t="s">
        <v>174</v>
      </c>
      <c r="AT187" s="30"/>
      <c r="AU187" s="164"/>
      <c r="BG187" s="163" t="s">
        <v>202</v>
      </c>
      <c r="BH187" s="36" t="s">
        <v>1866</v>
      </c>
      <c r="BT187" s="24" t="s">
        <v>918</v>
      </c>
      <c r="CG187" s="20"/>
      <c r="CT187" s="113" t="s">
        <v>1030</v>
      </c>
      <c r="DG187" s="31" t="s">
        <v>198</v>
      </c>
      <c r="DH187" s="32" t="s">
        <v>2207</v>
      </c>
      <c r="DT187" s="28" t="s">
        <v>1155</v>
      </c>
      <c r="EG187" s="24" t="s">
        <v>188</v>
      </c>
      <c r="ET187" s="21" t="s">
        <v>1253</v>
      </c>
      <c r="FG187" s="31" t="s">
        <v>198</v>
      </c>
      <c r="FH187" s="32" t="s">
        <v>2529</v>
      </c>
      <c r="FT187" s="24" t="s">
        <v>204</v>
      </c>
      <c r="GG187" s="28" t="s">
        <v>1403</v>
      </c>
      <c r="GT187" s="11"/>
      <c r="HC187" s="28" t="s">
        <v>3297</v>
      </c>
    </row>
    <row r="188" spans="6:211" ht="26.25" x14ac:dyDescent="0.25">
      <c r="F188" s="163" t="s">
        <v>200</v>
      </c>
      <c r="G188" s="36" t="s">
        <v>1493</v>
      </c>
      <c r="S188" s="163"/>
      <c r="T188" s="32" t="s">
        <v>555</v>
      </c>
      <c r="AF188" s="24" t="s">
        <v>175</v>
      </c>
      <c r="AT188" s="31" t="s">
        <v>169</v>
      </c>
      <c r="AU188" s="164"/>
      <c r="BG188" s="163"/>
      <c r="BH188" s="32" t="s">
        <v>860</v>
      </c>
      <c r="BT188" s="28" t="s">
        <v>919</v>
      </c>
      <c r="CG188" s="29" t="s">
        <v>973</v>
      </c>
      <c r="CT188" s="24" t="s">
        <v>761</v>
      </c>
      <c r="DG188" s="31" t="s">
        <v>199</v>
      </c>
      <c r="DH188" s="32" t="s">
        <v>2208</v>
      </c>
      <c r="DT188" s="20"/>
      <c r="EG188" s="21" t="s">
        <v>185</v>
      </c>
      <c r="ET188" s="24" t="s">
        <v>188</v>
      </c>
      <c r="FG188" s="31" t="s">
        <v>199</v>
      </c>
      <c r="FH188" s="32" t="s">
        <v>2530</v>
      </c>
      <c r="FT188" s="20"/>
      <c r="GG188" s="24" t="s">
        <v>46</v>
      </c>
      <c r="GT188" s="11"/>
      <c r="HC188" s="24" t="s">
        <v>2869</v>
      </c>
    </row>
    <row r="189" spans="6:211" ht="16.5" customHeight="1" x14ac:dyDescent="0.25">
      <c r="F189" s="163"/>
      <c r="G189" s="32" t="s">
        <v>201</v>
      </c>
      <c r="S189" s="163" t="s">
        <v>202</v>
      </c>
      <c r="T189" s="36" t="s">
        <v>1596</v>
      </c>
      <c r="AF189" s="24" t="s">
        <v>174</v>
      </c>
      <c r="AT189" s="31" t="s">
        <v>170</v>
      </c>
      <c r="AU189" s="164">
        <v>1000000000</v>
      </c>
      <c r="BG189" s="24" t="s">
        <v>204</v>
      </c>
      <c r="BT189" s="20"/>
      <c r="CG189" s="20"/>
      <c r="CT189" s="113" t="s">
        <v>1031</v>
      </c>
      <c r="DG189" s="163" t="s">
        <v>200</v>
      </c>
      <c r="DH189" s="36" t="s">
        <v>2209</v>
      </c>
      <c r="DT189" s="29" t="s">
        <v>1156</v>
      </c>
      <c r="EG189" s="24" t="s">
        <v>191</v>
      </c>
      <c r="ET189" s="21" t="s">
        <v>185</v>
      </c>
      <c r="FG189" s="163" t="s">
        <v>200</v>
      </c>
      <c r="FH189" s="36" t="s">
        <v>2531</v>
      </c>
      <c r="FT189" s="29" t="s">
        <v>1353</v>
      </c>
      <c r="GG189" s="21" t="s">
        <v>185</v>
      </c>
      <c r="GT189" s="11"/>
      <c r="HC189" s="21" t="s">
        <v>185</v>
      </c>
    </row>
    <row r="190" spans="6:211" ht="49.5" x14ac:dyDescent="0.25">
      <c r="F190" s="163" t="s">
        <v>202</v>
      </c>
      <c r="G190" s="36" t="s">
        <v>1494</v>
      </c>
      <c r="S190" s="163"/>
      <c r="T190" s="32" t="s">
        <v>556</v>
      </c>
      <c r="AF190" s="24" t="s">
        <v>176</v>
      </c>
      <c r="AT190" s="31" t="s">
        <v>171</v>
      </c>
      <c r="AU190" s="164"/>
      <c r="BG190" s="20"/>
      <c r="BT190" s="29" t="s">
        <v>920</v>
      </c>
      <c r="CG190" s="31" t="s">
        <v>198</v>
      </c>
      <c r="CH190" s="32" t="s">
        <v>2029</v>
      </c>
      <c r="CT190" s="24" t="s">
        <v>761</v>
      </c>
      <c r="DG190" s="163"/>
      <c r="DH190" s="32" t="s">
        <v>1106</v>
      </c>
      <c r="DT190" s="20"/>
      <c r="EG190" s="24" t="s">
        <v>1203</v>
      </c>
      <c r="ET190" s="24" t="s">
        <v>189</v>
      </c>
      <c r="FG190" s="163"/>
      <c r="FH190" s="32" t="s">
        <v>1303</v>
      </c>
      <c r="FT190" s="20"/>
      <c r="GG190" s="21" t="s">
        <v>680</v>
      </c>
      <c r="GT190" s="11"/>
      <c r="HC190" s="21" t="s">
        <v>680</v>
      </c>
    </row>
    <row r="191" spans="6:211" ht="26.25" x14ac:dyDescent="0.25">
      <c r="F191" s="163"/>
      <c r="G191" s="32" t="s">
        <v>203</v>
      </c>
      <c r="S191" s="24" t="s">
        <v>204</v>
      </c>
      <c r="AF191" s="21" t="s">
        <v>177</v>
      </c>
      <c r="AT191" s="30"/>
      <c r="AU191" s="164"/>
      <c r="BG191" s="29" t="s">
        <v>861</v>
      </c>
      <c r="BT191" s="20"/>
      <c r="CG191" s="31" t="s">
        <v>199</v>
      </c>
      <c r="CH191" s="32" t="s">
        <v>2030</v>
      </c>
      <c r="CT191" s="113" t="s">
        <v>1032</v>
      </c>
      <c r="DG191" s="163" t="s">
        <v>202</v>
      </c>
      <c r="DH191" s="36" t="s">
        <v>2210</v>
      </c>
      <c r="DT191" s="31" t="s">
        <v>198</v>
      </c>
      <c r="DU191" s="32" t="s">
        <v>2287</v>
      </c>
      <c r="EG191" s="24" t="s">
        <v>549</v>
      </c>
      <c r="ET191" s="21" t="s">
        <v>190</v>
      </c>
      <c r="FG191" s="163" t="s">
        <v>202</v>
      </c>
      <c r="FH191" s="36" t="s">
        <v>2532</v>
      </c>
      <c r="FT191" s="24" t="s">
        <v>1354</v>
      </c>
      <c r="GG191" s="21" t="s">
        <v>853</v>
      </c>
      <c r="GT191" s="11"/>
      <c r="HC191" s="21" t="s">
        <v>1100</v>
      </c>
    </row>
    <row r="192" spans="6:211" ht="16.5" x14ac:dyDescent="0.25">
      <c r="F192" s="24" t="s">
        <v>204</v>
      </c>
      <c r="S192" s="20"/>
      <c r="AF192" s="24" t="s">
        <v>178</v>
      </c>
      <c r="AT192" s="31" t="s">
        <v>172</v>
      </c>
      <c r="AU192" s="164"/>
      <c r="BG192" s="20"/>
      <c r="BT192" s="31" t="s">
        <v>198</v>
      </c>
      <c r="BU192" s="32" t="s">
        <v>1948</v>
      </c>
      <c r="CG192" s="163" t="s">
        <v>200</v>
      </c>
      <c r="CH192" s="36" t="s">
        <v>2031</v>
      </c>
      <c r="CT192" s="113" t="s">
        <v>1033</v>
      </c>
      <c r="DG192" s="163"/>
      <c r="DH192" s="32" t="s">
        <v>1107</v>
      </c>
      <c r="DT192" s="31" t="s">
        <v>199</v>
      </c>
      <c r="DU192" s="32" t="s">
        <v>2288</v>
      </c>
      <c r="EG192" s="21" t="s">
        <v>550</v>
      </c>
      <c r="ET192" s="24" t="s">
        <v>191</v>
      </c>
      <c r="FG192" s="163"/>
      <c r="FH192" s="32" t="s">
        <v>1304</v>
      </c>
      <c r="FT192" s="37">
        <v>0.78</v>
      </c>
      <c r="GG192" s="24" t="s">
        <v>188</v>
      </c>
      <c r="GT192" s="11"/>
      <c r="HC192" s="21" t="s">
        <v>853</v>
      </c>
    </row>
    <row r="193" spans="6:211" ht="26.25" x14ac:dyDescent="0.25">
      <c r="F193" s="20"/>
      <c r="S193" s="29" t="s">
        <v>557</v>
      </c>
      <c r="AF193" s="21" t="s">
        <v>676</v>
      </c>
      <c r="AT193" s="24" t="s">
        <v>173</v>
      </c>
      <c r="BG193" s="24" t="s">
        <v>862</v>
      </c>
      <c r="BT193" s="31" t="s">
        <v>199</v>
      </c>
      <c r="BU193" s="32" t="s">
        <v>1949</v>
      </c>
      <c r="CG193" s="163"/>
      <c r="CH193" s="32" t="s">
        <v>921</v>
      </c>
      <c r="CT193" s="113" t="s">
        <v>1034</v>
      </c>
      <c r="DG193" s="24" t="s">
        <v>204</v>
      </c>
      <c r="DT193" s="163" t="s">
        <v>200</v>
      </c>
      <c r="DU193" s="36" t="s">
        <v>2289</v>
      </c>
      <c r="EG193" s="24" t="s">
        <v>1153</v>
      </c>
      <c r="ET193" s="24" t="s">
        <v>1254</v>
      </c>
      <c r="FG193" s="24" t="s">
        <v>204</v>
      </c>
      <c r="FT193" s="37">
        <v>0.22</v>
      </c>
      <c r="GG193" s="21" t="s">
        <v>185</v>
      </c>
      <c r="GT193" s="11"/>
      <c r="HC193" s="24" t="s">
        <v>2870</v>
      </c>
    </row>
    <row r="194" spans="6:211" ht="26.25" x14ac:dyDescent="0.25">
      <c r="F194" s="29" t="s">
        <v>205</v>
      </c>
      <c r="S194" s="20"/>
      <c r="AF194" s="24" t="s">
        <v>180</v>
      </c>
      <c r="AT194" s="24" t="s">
        <v>174</v>
      </c>
      <c r="BG194" s="37">
        <v>0.89</v>
      </c>
      <c r="BT194" s="163" t="s">
        <v>200</v>
      </c>
      <c r="BU194" s="36" t="s">
        <v>1950</v>
      </c>
      <c r="CG194" s="163" t="s">
        <v>202</v>
      </c>
      <c r="CH194" s="36" t="s">
        <v>2032</v>
      </c>
      <c r="CT194" s="24" t="s">
        <v>761</v>
      </c>
      <c r="DG194" s="20"/>
      <c r="DT194" s="163"/>
      <c r="DU194" s="32" t="s">
        <v>1157</v>
      </c>
      <c r="EG194" s="28" t="s">
        <v>1204</v>
      </c>
      <c r="ET194" s="24" t="s">
        <v>549</v>
      </c>
      <c r="FG194" s="20"/>
      <c r="FT194" s="28" t="s">
        <v>207</v>
      </c>
      <c r="GG194" s="24" t="s">
        <v>191</v>
      </c>
      <c r="GT194" s="11"/>
      <c r="HC194" s="21" t="s">
        <v>185</v>
      </c>
    </row>
    <row r="195" spans="6:211" ht="26.25" x14ac:dyDescent="0.25">
      <c r="F195" s="20"/>
      <c r="S195" s="24" t="s">
        <v>558</v>
      </c>
      <c r="AF195" s="21" t="s">
        <v>677</v>
      </c>
      <c r="AT195" s="24" t="s">
        <v>109</v>
      </c>
      <c r="BG195" s="37">
        <v>0.11</v>
      </c>
      <c r="BT195" s="163"/>
      <c r="BU195" s="32" t="s">
        <v>921</v>
      </c>
      <c r="CG195" s="163"/>
      <c r="CH195" s="32" t="s">
        <v>974</v>
      </c>
      <c r="CT195" s="24" t="s">
        <v>178</v>
      </c>
      <c r="DG195" s="29" t="s">
        <v>1108</v>
      </c>
      <c r="DT195" s="163" t="s">
        <v>202</v>
      </c>
      <c r="DU195" s="36" t="s">
        <v>2290</v>
      </c>
      <c r="EG195" s="24" t="s">
        <v>193</v>
      </c>
      <c r="ET195" s="21" t="s">
        <v>1255</v>
      </c>
      <c r="FG195" s="29" t="s">
        <v>1305</v>
      </c>
      <c r="FT195" s="20"/>
      <c r="GG195" s="24" t="s">
        <v>1404</v>
      </c>
      <c r="GT195" s="11"/>
      <c r="HC195" s="24" t="s">
        <v>3298</v>
      </c>
    </row>
    <row r="196" spans="6:211" ht="21" x14ac:dyDescent="0.25">
      <c r="F196" s="24" t="s">
        <v>206</v>
      </c>
      <c r="S196" s="37">
        <v>0.83</v>
      </c>
      <c r="AF196" s="28" t="s">
        <v>678</v>
      </c>
      <c r="AT196" s="24" t="s">
        <v>174</v>
      </c>
      <c r="BG196" s="28" t="s">
        <v>690</v>
      </c>
      <c r="BT196" s="163" t="s">
        <v>202</v>
      </c>
      <c r="BU196" s="36" t="s">
        <v>1951</v>
      </c>
      <c r="CG196" s="24" t="s">
        <v>204</v>
      </c>
      <c r="CT196" s="21" t="s">
        <v>1035</v>
      </c>
      <c r="DG196" s="20"/>
      <c r="DT196" s="163"/>
      <c r="DU196" s="32" t="s">
        <v>1158</v>
      </c>
      <c r="EG196" s="21" t="s">
        <v>1205</v>
      </c>
      <c r="ET196" s="24" t="s">
        <v>193</v>
      </c>
      <c r="FG196" s="20"/>
      <c r="FT196" s="126" t="s">
        <v>1355</v>
      </c>
      <c r="GG196" s="24" t="s">
        <v>549</v>
      </c>
      <c r="GT196" s="11"/>
      <c r="HC196" s="21" t="s">
        <v>190</v>
      </c>
    </row>
    <row r="197" spans="6:211" ht="16.5" x14ac:dyDescent="0.25">
      <c r="F197" s="37">
        <v>0.68</v>
      </c>
      <c r="S197" s="37">
        <v>0.17</v>
      </c>
      <c r="AF197" s="24" t="s">
        <v>124</v>
      </c>
      <c r="AT197" s="24" t="s">
        <v>175</v>
      </c>
      <c r="BG197" s="20"/>
      <c r="BT197" s="163"/>
      <c r="BU197" s="32" t="s">
        <v>922</v>
      </c>
      <c r="CG197" s="20"/>
      <c r="CT197" s="21" t="s">
        <v>1036</v>
      </c>
      <c r="DG197" s="24" t="s">
        <v>1109</v>
      </c>
      <c r="DT197" s="24" t="s">
        <v>204</v>
      </c>
      <c r="EG197" s="24" t="s">
        <v>552</v>
      </c>
      <c r="ET197" s="21" t="s">
        <v>1256</v>
      </c>
      <c r="FG197" s="24" t="s">
        <v>1306</v>
      </c>
      <c r="FT197" s="20"/>
      <c r="GG197" s="21" t="s">
        <v>550</v>
      </c>
      <c r="GT197" s="11"/>
      <c r="HC197" s="24" t="s">
        <v>2871</v>
      </c>
    </row>
    <row r="198" spans="6:211" ht="26.25" x14ac:dyDescent="0.25">
      <c r="F198" s="37">
        <v>0.32</v>
      </c>
      <c r="S198" s="28" t="s">
        <v>207</v>
      </c>
      <c r="AF198" s="21" t="s">
        <v>183</v>
      </c>
      <c r="AT198" s="24" t="s">
        <v>174</v>
      </c>
      <c r="BG198" s="126" t="s">
        <v>863</v>
      </c>
      <c r="BT198" s="24" t="s">
        <v>204</v>
      </c>
      <c r="CG198" s="29" t="s">
        <v>975</v>
      </c>
      <c r="CT198" s="24" t="s">
        <v>180</v>
      </c>
      <c r="DG198" s="37">
        <v>0.89</v>
      </c>
      <c r="DT198" s="20"/>
      <c r="EG198" s="28" t="s">
        <v>1206</v>
      </c>
      <c r="ET198" s="24" t="s">
        <v>195</v>
      </c>
      <c r="FG198" s="37">
        <v>0.59</v>
      </c>
      <c r="FT198" s="28" t="s">
        <v>2621</v>
      </c>
      <c r="GG198" s="24" t="s">
        <v>1153</v>
      </c>
      <c r="GT198" s="11"/>
      <c r="HC198" s="24" t="s">
        <v>3299</v>
      </c>
    </row>
    <row r="199" spans="6:211" ht="26.25" x14ac:dyDescent="0.25">
      <c r="F199" s="28" t="s">
        <v>207</v>
      </c>
      <c r="S199" s="20"/>
      <c r="AF199" s="28" t="s">
        <v>679</v>
      </c>
      <c r="AT199" s="24" t="s">
        <v>176</v>
      </c>
      <c r="BG199" s="20"/>
      <c r="BT199" s="20"/>
      <c r="CG199" s="20"/>
      <c r="CT199" s="21" t="s">
        <v>545</v>
      </c>
      <c r="DG199" s="37">
        <v>0.11</v>
      </c>
      <c r="DT199" s="29" t="s">
        <v>1159</v>
      </c>
      <c r="EG199" s="20"/>
      <c r="ET199" s="28" t="s">
        <v>1257</v>
      </c>
      <c r="FG199" s="37">
        <v>0.41</v>
      </c>
      <c r="FT199" s="20"/>
      <c r="GG199" s="28" t="s">
        <v>1405</v>
      </c>
      <c r="GT199" s="11"/>
      <c r="HC199" s="24" t="s">
        <v>2872</v>
      </c>
    </row>
    <row r="200" spans="6:211" ht="26.25" x14ac:dyDescent="0.25">
      <c r="F200" s="20"/>
      <c r="S200" s="125" t="s">
        <v>559</v>
      </c>
      <c r="AF200" s="24" t="s">
        <v>46</v>
      </c>
      <c r="AT200" s="21" t="s">
        <v>177</v>
      </c>
      <c r="BG200" s="28" t="s">
        <v>1867</v>
      </c>
      <c r="BT200" s="29" t="s">
        <v>923</v>
      </c>
      <c r="CG200" s="24" t="s">
        <v>976</v>
      </c>
      <c r="CT200" s="28" t="s">
        <v>1037</v>
      </c>
      <c r="DG200" s="28" t="s">
        <v>690</v>
      </c>
      <c r="DT200" s="20"/>
      <c r="EG200" s="29" t="s">
        <v>1207</v>
      </c>
      <c r="ET200" s="20"/>
      <c r="FG200" s="28" t="s">
        <v>690</v>
      </c>
      <c r="FT200" s="126" t="s">
        <v>1356</v>
      </c>
      <c r="GG200" s="24" t="s">
        <v>193</v>
      </c>
      <c r="GT200" s="11"/>
      <c r="HC200" s="21" t="s">
        <v>2873</v>
      </c>
    </row>
    <row r="201" spans="6:211" ht="26.25" x14ac:dyDescent="0.25">
      <c r="F201" s="125" t="s">
        <v>208</v>
      </c>
      <c r="S201" s="20"/>
      <c r="AF201" s="21" t="s">
        <v>185</v>
      </c>
      <c r="AT201" s="24" t="s">
        <v>759</v>
      </c>
      <c r="BG201" s="20"/>
      <c r="BT201" s="20"/>
      <c r="CG201" s="37">
        <v>0.77</v>
      </c>
      <c r="CT201" s="24" t="s">
        <v>124</v>
      </c>
      <c r="DG201" s="20"/>
      <c r="DT201" s="24" t="s">
        <v>1160</v>
      </c>
      <c r="EG201" s="20"/>
      <c r="ET201" s="29" t="s">
        <v>1258</v>
      </c>
      <c r="FG201" s="20"/>
      <c r="FT201" s="20"/>
      <c r="GG201" s="21" t="s">
        <v>1348</v>
      </c>
      <c r="GT201" s="138" t="s">
        <v>3084</v>
      </c>
      <c r="HC201" s="24" t="s">
        <v>3300</v>
      </c>
    </row>
    <row r="202" spans="6:211" ht="26.25" x14ac:dyDescent="0.25">
      <c r="F202" s="20"/>
      <c r="S202" s="28" t="s">
        <v>560</v>
      </c>
      <c r="AF202" s="21" t="s">
        <v>680</v>
      </c>
      <c r="AT202" s="24" t="s">
        <v>760</v>
      </c>
      <c r="BG202" s="126" t="s">
        <v>864</v>
      </c>
      <c r="BT202" s="24" t="s">
        <v>924</v>
      </c>
      <c r="CG202" s="37">
        <v>0.23</v>
      </c>
      <c r="CT202" s="21" t="s">
        <v>183</v>
      </c>
      <c r="DG202" s="126" t="s">
        <v>1110</v>
      </c>
      <c r="DT202" s="37">
        <v>0.76</v>
      </c>
      <c r="EG202" s="31" t="s">
        <v>198</v>
      </c>
      <c r="EH202" s="32" t="s">
        <v>2369</v>
      </c>
      <c r="ET202" s="20"/>
      <c r="FG202" s="125" t="s">
        <v>1307</v>
      </c>
      <c r="FT202" s="28" t="s">
        <v>2622</v>
      </c>
      <c r="GG202" s="24" t="s">
        <v>916</v>
      </c>
      <c r="GT202" s="11"/>
      <c r="HC202" s="28" t="s">
        <v>3301</v>
      </c>
    </row>
    <row r="203" spans="6:211" ht="18" x14ac:dyDescent="0.25">
      <c r="F203" s="28" t="s">
        <v>209</v>
      </c>
      <c r="S203" s="20"/>
      <c r="AF203" s="24" t="s">
        <v>188</v>
      </c>
      <c r="AT203" s="24" t="s">
        <v>761</v>
      </c>
      <c r="BG203" s="20"/>
      <c r="BT203" s="37">
        <v>0.82</v>
      </c>
      <c r="CG203" s="28" t="s">
        <v>690</v>
      </c>
      <c r="CT203" s="28" t="s">
        <v>1038</v>
      </c>
      <c r="DG203" s="20"/>
      <c r="DT203" s="37">
        <v>0.24</v>
      </c>
      <c r="EG203" s="31" t="s">
        <v>199</v>
      </c>
      <c r="EH203" s="32" t="s">
        <v>2370</v>
      </c>
      <c r="ET203" s="31" t="s">
        <v>198</v>
      </c>
      <c r="EU203" s="32" t="s">
        <v>2453</v>
      </c>
      <c r="FG203" s="20"/>
      <c r="FT203" s="20"/>
      <c r="GG203" s="22" t="s">
        <v>1406</v>
      </c>
      <c r="GT203" s="140" t="s">
        <v>3085</v>
      </c>
      <c r="HC203" s="24" t="s">
        <v>2874</v>
      </c>
    </row>
    <row r="204" spans="6:211" ht="21" x14ac:dyDescent="0.25">
      <c r="F204" s="20"/>
      <c r="S204" s="28" t="s">
        <v>561</v>
      </c>
      <c r="AF204" s="21" t="s">
        <v>185</v>
      </c>
      <c r="AT204" s="113" t="s">
        <v>762</v>
      </c>
      <c r="BG204" s="28" t="s">
        <v>1868</v>
      </c>
      <c r="BT204" s="37">
        <v>0.18</v>
      </c>
      <c r="CG204" s="20"/>
      <c r="CT204" s="24" t="s">
        <v>46</v>
      </c>
      <c r="DG204" s="28" t="s">
        <v>2211</v>
      </c>
      <c r="DT204" s="28" t="s">
        <v>207</v>
      </c>
      <c r="EG204" s="163" t="s">
        <v>200</v>
      </c>
      <c r="EH204" s="36" t="s">
        <v>2371</v>
      </c>
      <c r="ET204" s="31" t="s">
        <v>199</v>
      </c>
      <c r="EU204" s="32" t="s">
        <v>2454</v>
      </c>
      <c r="FG204" s="28" t="s">
        <v>1308</v>
      </c>
      <c r="FT204" s="126" t="s">
        <v>1357</v>
      </c>
      <c r="GG204" s="20"/>
      <c r="GT204" s="11"/>
      <c r="HC204" s="21" t="s">
        <v>3302</v>
      </c>
    </row>
    <row r="205" spans="6:211" ht="33" customHeight="1" x14ac:dyDescent="0.25">
      <c r="F205" s="28" t="s">
        <v>210</v>
      </c>
      <c r="S205" s="20"/>
      <c r="AF205" s="24" t="s">
        <v>189</v>
      </c>
      <c r="AT205" s="24" t="s">
        <v>761</v>
      </c>
      <c r="BG205" s="20"/>
      <c r="BT205" s="28" t="s">
        <v>690</v>
      </c>
      <c r="CG205" s="126" t="s">
        <v>977</v>
      </c>
      <c r="CT205" s="21" t="s">
        <v>185</v>
      </c>
      <c r="DG205" s="20"/>
      <c r="DT205" s="20"/>
      <c r="EG205" s="163"/>
      <c r="EH205" s="32" t="s">
        <v>2372</v>
      </c>
      <c r="ET205" s="163" t="s">
        <v>200</v>
      </c>
      <c r="EU205" s="36" t="s">
        <v>2455</v>
      </c>
      <c r="FG205" s="20"/>
      <c r="FT205" s="20"/>
      <c r="GG205" s="29" t="s">
        <v>1407</v>
      </c>
      <c r="GT205" s="11" t="s">
        <v>3086</v>
      </c>
      <c r="HC205" s="24" t="s">
        <v>3303</v>
      </c>
    </row>
    <row r="206" spans="6:211" ht="21" x14ac:dyDescent="0.25">
      <c r="F206" s="20"/>
      <c r="S206" s="28" t="s">
        <v>562</v>
      </c>
      <c r="AF206" s="21" t="s">
        <v>190</v>
      </c>
      <c r="AT206" s="113" t="s">
        <v>763</v>
      </c>
      <c r="BG206" s="126" t="s">
        <v>865</v>
      </c>
      <c r="BT206" s="20"/>
      <c r="CG206" s="20"/>
      <c r="CT206" s="21" t="s">
        <v>680</v>
      </c>
      <c r="DG206" s="126" t="s">
        <v>1111</v>
      </c>
      <c r="DT206" s="126" t="s">
        <v>1161</v>
      </c>
      <c r="EG206" s="163" t="s">
        <v>202</v>
      </c>
      <c r="EH206" s="36" t="s">
        <v>2373</v>
      </c>
      <c r="ET206" s="163"/>
      <c r="EU206" s="32" t="s">
        <v>2456</v>
      </c>
      <c r="FG206" s="28" t="s">
        <v>1309</v>
      </c>
      <c r="FT206" s="28" t="s">
        <v>2623</v>
      </c>
      <c r="GG206" s="20"/>
      <c r="GT206" s="11"/>
      <c r="HC206" s="28" t="s">
        <v>3304</v>
      </c>
    </row>
    <row r="207" spans="6:211" ht="21" x14ac:dyDescent="0.25">
      <c r="F207" s="28" t="s">
        <v>211</v>
      </c>
      <c r="S207" s="20"/>
      <c r="AF207" s="24" t="s">
        <v>191</v>
      </c>
      <c r="AT207" s="24" t="s">
        <v>761</v>
      </c>
      <c r="BG207" s="20"/>
      <c r="BT207" s="126" t="s">
        <v>925</v>
      </c>
      <c r="CG207" s="28" t="s">
        <v>2033</v>
      </c>
      <c r="CT207" s="21" t="s">
        <v>853</v>
      </c>
      <c r="DG207" s="20"/>
      <c r="DT207" s="20"/>
      <c r="EG207" s="163"/>
      <c r="EH207" s="32" t="s">
        <v>1208</v>
      </c>
      <c r="ET207" s="163" t="s">
        <v>202</v>
      </c>
      <c r="EU207" s="36" t="s">
        <v>2457</v>
      </c>
      <c r="FG207" s="20"/>
      <c r="FT207" s="20"/>
      <c r="GG207" s="31" t="s">
        <v>198</v>
      </c>
      <c r="GH207" s="32" t="s">
        <v>2698</v>
      </c>
      <c r="GT207" s="11" t="s">
        <v>3087</v>
      </c>
      <c r="HC207" s="20"/>
    </row>
    <row r="208" spans="6:211" ht="26.25" x14ac:dyDescent="0.25">
      <c r="F208" s="20"/>
      <c r="S208" s="28" t="s">
        <v>563</v>
      </c>
      <c r="AF208" s="24" t="s">
        <v>681</v>
      </c>
      <c r="AT208" s="113" t="s">
        <v>764</v>
      </c>
      <c r="BG208" s="28" t="s">
        <v>1869</v>
      </c>
      <c r="BT208" s="20"/>
      <c r="CG208" s="20"/>
      <c r="CT208" s="21" t="s">
        <v>1039</v>
      </c>
      <c r="DG208" s="28" t="s">
        <v>2212</v>
      </c>
      <c r="DT208" s="28" t="s">
        <v>2291</v>
      </c>
      <c r="EG208" s="24" t="s">
        <v>204</v>
      </c>
      <c r="ET208" s="163"/>
      <c r="EU208" s="32" t="s">
        <v>1259</v>
      </c>
      <c r="FG208" s="28" t="s">
        <v>1310</v>
      </c>
      <c r="FT208" s="126" t="s">
        <v>1358</v>
      </c>
      <c r="GG208" s="31" t="s">
        <v>199</v>
      </c>
      <c r="GH208" s="32" t="s">
        <v>2699</v>
      </c>
      <c r="GT208" s="11"/>
      <c r="HC208" s="29" t="s">
        <v>3305</v>
      </c>
    </row>
    <row r="209" spans="6:212" ht="21" x14ac:dyDescent="0.25">
      <c r="F209" s="28" t="s">
        <v>212</v>
      </c>
      <c r="S209" s="20"/>
      <c r="AF209" s="24" t="s">
        <v>549</v>
      </c>
      <c r="AT209" s="113" t="s">
        <v>765</v>
      </c>
      <c r="BG209" s="20"/>
      <c r="BT209" s="28" t="s">
        <v>1952</v>
      </c>
      <c r="CG209" s="126" t="s">
        <v>978</v>
      </c>
      <c r="CT209" s="24" t="s">
        <v>188</v>
      </c>
      <c r="DG209" s="20"/>
      <c r="DT209" s="20"/>
      <c r="EG209" s="20"/>
      <c r="ET209" s="24" t="s">
        <v>204</v>
      </c>
      <c r="FG209" s="20"/>
      <c r="FT209" s="20"/>
      <c r="GG209" s="163" t="s">
        <v>200</v>
      </c>
      <c r="GH209" s="36" t="s">
        <v>2700</v>
      </c>
      <c r="GT209" s="11" t="s">
        <v>3088</v>
      </c>
      <c r="HC209" s="20"/>
    </row>
    <row r="210" spans="6:212" ht="26.25" x14ac:dyDescent="0.25">
      <c r="F210" s="20"/>
      <c r="S210" s="28" t="s">
        <v>564</v>
      </c>
      <c r="AF210" s="21" t="s">
        <v>682</v>
      </c>
      <c r="AT210" s="113" t="s">
        <v>766</v>
      </c>
      <c r="BG210" s="126" t="s">
        <v>866</v>
      </c>
      <c r="BT210" s="20"/>
      <c r="CG210" s="20"/>
      <c r="CT210" s="21" t="s">
        <v>185</v>
      </c>
      <c r="DG210" s="126" t="s">
        <v>1112</v>
      </c>
      <c r="DT210" s="126" t="s">
        <v>1162</v>
      </c>
      <c r="EG210" s="29" t="s">
        <v>1209</v>
      </c>
      <c r="ET210" s="20"/>
      <c r="FG210" s="28" t="s">
        <v>1311</v>
      </c>
      <c r="FT210" s="28" t="s">
        <v>2624</v>
      </c>
      <c r="GG210" s="163"/>
      <c r="GH210" s="32" t="s">
        <v>1408</v>
      </c>
      <c r="GT210" s="11"/>
      <c r="HC210" s="31" t="s">
        <v>2875</v>
      </c>
      <c r="HD210" s="32" t="s">
        <v>3306</v>
      </c>
    </row>
    <row r="211" spans="6:212" ht="26.25" x14ac:dyDescent="0.25">
      <c r="F211" s="28" t="s">
        <v>213</v>
      </c>
      <c r="S211" s="20"/>
      <c r="AF211" s="24" t="s">
        <v>193</v>
      </c>
      <c r="AT211" s="113" t="s">
        <v>767</v>
      </c>
      <c r="BG211" s="20"/>
      <c r="BT211" s="126" t="s">
        <v>926</v>
      </c>
      <c r="CG211" s="28" t="s">
        <v>2034</v>
      </c>
      <c r="CT211" s="24" t="s">
        <v>189</v>
      </c>
      <c r="DG211" s="20"/>
      <c r="DT211" s="20"/>
      <c r="EG211" s="20"/>
      <c r="ET211" s="29" t="s">
        <v>1260</v>
      </c>
      <c r="FG211" s="20"/>
      <c r="FT211" s="20"/>
      <c r="GG211" s="163" t="s">
        <v>202</v>
      </c>
      <c r="GH211" s="36" t="s">
        <v>2701</v>
      </c>
      <c r="GT211" s="140" t="s">
        <v>3089</v>
      </c>
      <c r="HC211" s="31" t="s">
        <v>2876</v>
      </c>
      <c r="HD211" s="32" t="s">
        <v>3307</v>
      </c>
    </row>
    <row r="212" spans="6:212" ht="21" x14ac:dyDescent="0.25">
      <c r="F212" s="20"/>
      <c r="S212" s="126" t="s">
        <v>565</v>
      </c>
      <c r="AF212" s="21" t="s">
        <v>551</v>
      </c>
      <c r="AT212" s="113" t="s">
        <v>768</v>
      </c>
      <c r="BG212" s="28" t="s">
        <v>1870</v>
      </c>
      <c r="BT212" s="20"/>
      <c r="CG212" s="20"/>
      <c r="CT212" s="21" t="s">
        <v>190</v>
      </c>
      <c r="DG212" s="28" t="s">
        <v>2213</v>
      </c>
      <c r="DT212" s="28" t="s">
        <v>2292</v>
      </c>
      <c r="EG212" s="24" t="s">
        <v>1210</v>
      </c>
      <c r="ET212" s="20"/>
      <c r="FG212" s="126" t="s">
        <v>1312</v>
      </c>
      <c r="FT212" s="126" t="s">
        <v>1359</v>
      </c>
      <c r="GG212" s="163"/>
      <c r="GH212" s="32" t="s">
        <v>1409</v>
      </c>
      <c r="GT212" s="11"/>
      <c r="HC212" s="163" t="s">
        <v>2877</v>
      </c>
      <c r="HD212" s="36" t="s">
        <v>3308</v>
      </c>
    </row>
    <row r="213" spans="6:212" ht="21" x14ac:dyDescent="0.25">
      <c r="F213" s="126" t="s">
        <v>214</v>
      </c>
      <c r="S213" s="20"/>
      <c r="AF213" s="24" t="s">
        <v>683</v>
      </c>
      <c r="AT213" s="113" t="s">
        <v>769</v>
      </c>
      <c r="BG213" s="20"/>
      <c r="BT213" s="28" t="s">
        <v>1953</v>
      </c>
      <c r="CG213" s="126" t="s">
        <v>979</v>
      </c>
      <c r="CT213" s="24" t="s">
        <v>191</v>
      </c>
      <c r="DG213" s="20"/>
      <c r="DT213" s="20"/>
      <c r="EG213" s="37">
        <v>0.77</v>
      </c>
      <c r="ET213" s="24" t="s">
        <v>1261</v>
      </c>
      <c r="FG213" s="20"/>
      <c r="FT213" s="20"/>
      <c r="GG213" s="24" t="s">
        <v>204</v>
      </c>
      <c r="GT213" s="11" t="s">
        <v>3090</v>
      </c>
      <c r="HC213" s="163"/>
      <c r="HD213" s="32" t="s">
        <v>3309</v>
      </c>
    </row>
    <row r="214" spans="6:212" ht="21" x14ac:dyDescent="0.25">
      <c r="F214" s="20"/>
      <c r="S214" s="28" t="s">
        <v>1597</v>
      </c>
      <c r="AF214" s="28" t="s">
        <v>684</v>
      </c>
      <c r="AT214" s="24" t="s">
        <v>761</v>
      </c>
      <c r="BG214" s="126" t="s">
        <v>867</v>
      </c>
      <c r="BT214" s="20"/>
      <c r="CG214" s="20"/>
      <c r="CT214" s="24" t="s">
        <v>1040</v>
      </c>
      <c r="DG214" s="126" t="s">
        <v>1113</v>
      </c>
      <c r="DT214" s="126" t="s">
        <v>1163</v>
      </c>
      <c r="EG214" s="37">
        <v>0.23</v>
      </c>
      <c r="ET214" s="37">
        <v>0.79</v>
      </c>
      <c r="FG214" s="28" t="s">
        <v>2533</v>
      </c>
      <c r="FT214" s="28" t="s">
        <v>2625</v>
      </c>
      <c r="GG214" s="20"/>
      <c r="GT214" s="11"/>
      <c r="HC214" s="163" t="s">
        <v>2878</v>
      </c>
      <c r="HD214" s="36" t="s">
        <v>3310</v>
      </c>
    </row>
    <row r="215" spans="6:212" ht="26.25" x14ac:dyDescent="0.25">
      <c r="F215" s="28" t="s">
        <v>1495</v>
      </c>
      <c r="S215" s="20"/>
      <c r="AF215" s="20"/>
      <c r="AT215" s="113" t="s">
        <v>770</v>
      </c>
      <c r="BG215" s="20"/>
      <c r="BT215" s="126" t="s">
        <v>927</v>
      </c>
      <c r="CG215" s="28" t="s">
        <v>2035</v>
      </c>
      <c r="CT215" s="24" t="s">
        <v>549</v>
      </c>
      <c r="DG215" s="20"/>
      <c r="DT215" s="20"/>
      <c r="EG215" s="28" t="s">
        <v>690</v>
      </c>
      <c r="ET215" s="37">
        <v>0.21</v>
      </c>
      <c r="FG215" s="20"/>
      <c r="FT215" s="20"/>
      <c r="GG215" s="29" t="s">
        <v>1410</v>
      </c>
      <c r="GT215" s="140" t="s">
        <v>3091</v>
      </c>
      <c r="HC215" s="163"/>
      <c r="HD215" s="32" t="s">
        <v>3311</v>
      </c>
    </row>
    <row r="216" spans="6:212" ht="26.25" x14ac:dyDescent="0.25">
      <c r="F216" s="20"/>
      <c r="S216" s="126" t="s">
        <v>566</v>
      </c>
      <c r="AF216" s="29" t="s">
        <v>685</v>
      </c>
      <c r="AT216" s="24" t="s">
        <v>761</v>
      </c>
      <c r="BG216" s="28" t="s">
        <v>1871</v>
      </c>
      <c r="BT216" s="20"/>
      <c r="CG216" s="20"/>
      <c r="CT216" s="21" t="s">
        <v>550</v>
      </c>
      <c r="DG216" s="28" t="s">
        <v>2214</v>
      </c>
      <c r="DT216" s="28" t="s">
        <v>2293</v>
      </c>
      <c r="EG216" s="20"/>
      <c r="ET216" s="28" t="s">
        <v>690</v>
      </c>
      <c r="FG216" s="126" t="s">
        <v>1313</v>
      </c>
      <c r="FT216" s="126" t="s">
        <v>1360</v>
      </c>
      <c r="GG216" s="20"/>
      <c r="GT216" s="11"/>
      <c r="HC216" s="24" t="s">
        <v>2879</v>
      </c>
    </row>
    <row r="217" spans="6:212" ht="21" x14ac:dyDescent="0.25">
      <c r="F217" s="126" t="s">
        <v>215</v>
      </c>
      <c r="S217" s="20"/>
      <c r="AF217" s="20"/>
      <c r="AT217" s="113" t="s">
        <v>771</v>
      </c>
      <c r="BG217" s="20"/>
      <c r="BT217" s="28" t="s">
        <v>1954</v>
      </c>
      <c r="CG217" s="126" t="s">
        <v>980</v>
      </c>
      <c r="CT217" s="24" t="s">
        <v>552</v>
      </c>
      <c r="DG217" s="20"/>
      <c r="DT217" s="20"/>
      <c r="EG217" s="126" t="s">
        <v>1211</v>
      </c>
      <c r="ET217" s="20"/>
      <c r="FG217" s="20"/>
      <c r="FT217" s="20"/>
      <c r="GG217" s="24" t="s">
        <v>1411</v>
      </c>
      <c r="GT217" s="11" t="s">
        <v>3092</v>
      </c>
      <c r="HC217" s="20"/>
    </row>
    <row r="218" spans="6:212" ht="26.25" x14ac:dyDescent="0.25">
      <c r="F218" s="20"/>
      <c r="S218" s="28" t="s">
        <v>1598</v>
      </c>
      <c r="AF218" s="31" t="s">
        <v>198</v>
      </c>
      <c r="AG218" s="32" t="s">
        <v>1683</v>
      </c>
      <c r="AT218" s="24" t="s">
        <v>761</v>
      </c>
      <c r="BG218" s="126" t="s">
        <v>868</v>
      </c>
      <c r="BT218" s="20"/>
      <c r="CG218" s="20"/>
      <c r="CT218" s="28" t="s">
        <v>1041</v>
      </c>
      <c r="DG218" s="126" t="s">
        <v>1114</v>
      </c>
      <c r="DT218" s="126" t="s">
        <v>1164</v>
      </c>
      <c r="EG218" s="20"/>
      <c r="ET218" s="126" t="s">
        <v>1262</v>
      </c>
      <c r="FG218" s="28" t="s">
        <v>2534</v>
      </c>
      <c r="FT218" s="28" t="s">
        <v>2626</v>
      </c>
      <c r="GG218" s="37">
        <v>0.75</v>
      </c>
      <c r="GT218" s="11"/>
      <c r="HC218" s="29" t="s">
        <v>3312</v>
      </c>
    </row>
    <row r="219" spans="6:212" ht="21" x14ac:dyDescent="0.25">
      <c r="F219" s="28" t="s">
        <v>1496</v>
      </c>
      <c r="S219" s="20"/>
      <c r="AF219" s="31" t="s">
        <v>199</v>
      </c>
      <c r="AG219" s="32" t="s">
        <v>1684</v>
      </c>
      <c r="AT219" s="113" t="s">
        <v>772</v>
      </c>
      <c r="BG219" s="20"/>
      <c r="BT219" s="126" t="s">
        <v>928</v>
      </c>
      <c r="CG219" s="28" t="s">
        <v>2036</v>
      </c>
      <c r="CT219" s="24" t="s">
        <v>193</v>
      </c>
      <c r="DG219" s="20"/>
      <c r="DT219" s="20"/>
      <c r="EG219" s="28" t="s">
        <v>2374</v>
      </c>
      <c r="ET219" s="20"/>
      <c r="FG219" s="20"/>
      <c r="FT219" s="20"/>
      <c r="GG219" s="37">
        <v>0.25</v>
      </c>
      <c r="GT219" s="11" t="s">
        <v>3093</v>
      </c>
      <c r="HC219" s="20"/>
    </row>
    <row r="220" spans="6:212" ht="21" x14ac:dyDescent="0.25">
      <c r="F220" s="20"/>
      <c r="S220" s="126" t="s">
        <v>567</v>
      </c>
      <c r="AF220" s="163" t="s">
        <v>200</v>
      </c>
      <c r="AG220" s="36" t="s">
        <v>1685</v>
      </c>
      <c r="AT220" s="113" t="s">
        <v>773</v>
      </c>
      <c r="BG220" s="28" t="s">
        <v>1872</v>
      </c>
      <c r="BT220" s="20"/>
      <c r="CG220" s="20"/>
      <c r="CT220" s="21" t="s">
        <v>551</v>
      </c>
      <c r="DG220" s="28" t="s">
        <v>2215</v>
      </c>
      <c r="DT220" s="28" t="s">
        <v>2294</v>
      </c>
      <c r="EG220" s="20"/>
      <c r="ET220" s="28" t="s">
        <v>2458</v>
      </c>
      <c r="FG220" s="126" t="s">
        <v>1314</v>
      </c>
      <c r="FT220" s="126" t="s">
        <v>1361</v>
      </c>
      <c r="GG220" s="28" t="s">
        <v>690</v>
      </c>
      <c r="GT220" s="11"/>
      <c r="HC220" s="24" t="s">
        <v>3313</v>
      </c>
    </row>
    <row r="221" spans="6:212" ht="21" x14ac:dyDescent="0.25">
      <c r="F221" s="126" t="s">
        <v>216</v>
      </c>
      <c r="S221" s="20"/>
      <c r="AF221" s="163"/>
      <c r="AG221" s="32" t="s">
        <v>686</v>
      </c>
      <c r="AT221" s="24" t="s">
        <v>761</v>
      </c>
      <c r="BG221" s="20"/>
      <c r="BT221" s="28" t="s">
        <v>1955</v>
      </c>
      <c r="CG221" s="126" t="s">
        <v>981</v>
      </c>
      <c r="CT221" s="24" t="s">
        <v>1042</v>
      </c>
      <c r="DG221" s="20"/>
      <c r="DT221" s="20"/>
      <c r="EG221" s="126" t="s">
        <v>1212</v>
      </c>
      <c r="ET221" s="20"/>
      <c r="FG221" s="20"/>
      <c r="FT221" s="20"/>
      <c r="GG221" s="20"/>
      <c r="GT221" s="11" t="s">
        <v>3094</v>
      </c>
      <c r="HC221" s="37">
        <v>1</v>
      </c>
    </row>
    <row r="222" spans="6:212" ht="26.25" x14ac:dyDescent="0.25">
      <c r="F222" s="20"/>
      <c r="S222" s="28" t="s">
        <v>1599</v>
      </c>
      <c r="AF222" s="163" t="s">
        <v>202</v>
      </c>
      <c r="AG222" s="36" t="s">
        <v>1686</v>
      </c>
      <c r="AT222" s="113" t="s">
        <v>774</v>
      </c>
      <c r="BG222" s="126" t="s">
        <v>869</v>
      </c>
      <c r="BT222" s="20"/>
      <c r="CG222" s="20"/>
      <c r="CT222" s="28" t="s">
        <v>1043</v>
      </c>
      <c r="DG222" s="126" t="s">
        <v>1115</v>
      </c>
      <c r="DT222" s="126" t="s">
        <v>1165</v>
      </c>
      <c r="EG222" s="20"/>
      <c r="ET222" s="126" t="s">
        <v>1263</v>
      </c>
      <c r="FG222" s="28" t="s">
        <v>2535</v>
      </c>
      <c r="FT222" s="28" t="s">
        <v>2627</v>
      </c>
      <c r="GG222" s="125" t="s">
        <v>1412</v>
      </c>
      <c r="GT222" s="11"/>
      <c r="HC222" s="37">
        <v>0</v>
      </c>
    </row>
    <row r="223" spans="6:212" ht="21" x14ac:dyDescent="0.25">
      <c r="F223" s="28" t="s">
        <v>1497</v>
      </c>
      <c r="S223" s="20"/>
      <c r="AF223" s="163"/>
      <c r="AG223" s="32" t="s">
        <v>687</v>
      </c>
      <c r="AT223" s="113" t="s">
        <v>775</v>
      </c>
      <c r="BG223" s="20"/>
      <c r="BT223" s="126" t="s">
        <v>929</v>
      </c>
      <c r="CG223" s="28" t="s">
        <v>2037</v>
      </c>
      <c r="CT223" s="20"/>
      <c r="DG223" s="20"/>
      <c r="DT223" s="20"/>
      <c r="EG223" s="28" t="s">
        <v>2375</v>
      </c>
      <c r="ET223" s="20"/>
      <c r="FG223" s="20"/>
      <c r="FT223" s="20"/>
      <c r="GG223" s="20"/>
      <c r="GT223" s="140" t="s">
        <v>3095</v>
      </c>
      <c r="HC223" s="28" t="s">
        <v>2880</v>
      </c>
    </row>
    <row r="224" spans="6:212" ht="26.25" x14ac:dyDescent="0.25">
      <c r="F224" s="20"/>
      <c r="S224" s="126" t="s">
        <v>568</v>
      </c>
      <c r="AF224" s="24" t="s">
        <v>204</v>
      </c>
      <c r="AT224" s="24" t="s">
        <v>178</v>
      </c>
      <c r="BG224" s="28" t="s">
        <v>1873</v>
      </c>
      <c r="BT224" s="20"/>
      <c r="CG224" s="20"/>
      <c r="CT224" s="29" t="s">
        <v>1044</v>
      </c>
      <c r="DG224" s="28" t="s">
        <v>2216</v>
      </c>
      <c r="DT224" s="28" t="s">
        <v>2295</v>
      </c>
      <c r="EG224" s="20"/>
      <c r="ET224" s="28" t="s">
        <v>2459</v>
      </c>
      <c r="FG224" s="126" t="s">
        <v>1315</v>
      </c>
      <c r="FT224" s="24" t="s">
        <v>222</v>
      </c>
      <c r="GG224" s="28" t="s">
        <v>1413</v>
      </c>
      <c r="GT224" s="11"/>
      <c r="HC224" s="20"/>
    </row>
    <row r="225" spans="6:211" ht="21" x14ac:dyDescent="0.25">
      <c r="F225" s="126" t="s">
        <v>217</v>
      </c>
      <c r="S225" s="20"/>
      <c r="AF225" s="20"/>
      <c r="AT225" s="21" t="s">
        <v>776</v>
      </c>
      <c r="BG225" s="20"/>
      <c r="BT225" s="28" t="s">
        <v>1956</v>
      </c>
      <c r="CG225" s="126" t="s">
        <v>982</v>
      </c>
      <c r="CT225" s="20"/>
      <c r="DG225" s="20"/>
      <c r="DT225" s="20"/>
      <c r="EG225" s="126" t="s">
        <v>1213</v>
      </c>
      <c r="ET225" s="20"/>
      <c r="FG225" s="20"/>
      <c r="FT225" s="20"/>
      <c r="GG225" s="20"/>
      <c r="GT225" s="11" t="s">
        <v>3096</v>
      </c>
      <c r="HC225" s="126" t="s">
        <v>3314</v>
      </c>
    </row>
    <row r="226" spans="6:211" ht="26.25" x14ac:dyDescent="0.25">
      <c r="F226" s="20"/>
      <c r="S226" s="28" t="s">
        <v>1600</v>
      </c>
      <c r="AF226" s="29" t="s">
        <v>688</v>
      </c>
      <c r="AT226" s="21" t="s">
        <v>777</v>
      </c>
      <c r="BG226" s="24" t="s">
        <v>222</v>
      </c>
      <c r="BT226" s="20"/>
      <c r="CG226" s="20"/>
      <c r="CT226" s="31" t="s">
        <v>198</v>
      </c>
      <c r="CU226" s="32" t="s">
        <v>2118</v>
      </c>
      <c r="DG226" s="126" t="s">
        <v>1116</v>
      </c>
      <c r="DT226" s="126" t="s">
        <v>1166</v>
      </c>
      <c r="EG226" s="20"/>
      <c r="ET226" s="126" t="s">
        <v>1264</v>
      </c>
      <c r="FG226" s="28" t="s">
        <v>2536</v>
      </c>
      <c r="FT226" s="29" t="s">
        <v>1362</v>
      </c>
      <c r="GG226" s="28" t="s">
        <v>1414</v>
      </c>
      <c r="GT226" s="11"/>
      <c r="HC226" s="20"/>
    </row>
    <row r="227" spans="6:211" ht="21" x14ac:dyDescent="0.25">
      <c r="F227" s="28" t="s">
        <v>1498</v>
      </c>
      <c r="S227" s="20"/>
      <c r="AF227" s="20"/>
      <c r="AT227" s="24" t="s">
        <v>180</v>
      </c>
      <c r="BG227" s="20"/>
      <c r="BT227" s="126" t="s">
        <v>930</v>
      </c>
      <c r="CG227" s="28" t="s">
        <v>2038</v>
      </c>
      <c r="CT227" s="31" t="s">
        <v>199</v>
      </c>
      <c r="CU227" s="32" t="s">
        <v>2119</v>
      </c>
      <c r="DG227" s="20"/>
      <c r="DT227" s="20"/>
      <c r="EG227" s="28" t="s">
        <v>2376</v>
      </c>
      <c r="ET227" s="20"/>
      <c r="FG227" s="20"/>
      <c r="FT227" s="20"/>
      <c r="GG227" s="20"/>
      <c r="GT227" s="11" t="s">
        <v>3097</v>
      </c>
      <c r="HC227" s="28" t="s">
        <v>3315</v>
      </c>
    </row>
    <row r="228" spans="6:211" ht="26.25" x14ac:dyDescent="0.25">
      <c r="F228" s="20"/>
      <c r="S228" s="126" t="s">
        <v>569</v>
      </c>
      <c r="AF228" s="24" t="s">
        <v>689</v>
      </c>
      <c r="AT228" s="21" t="s">
        <v>545</v>
      </c>
      <c r="BG228" s="29" t="s">
        <v>870</v>
      </c>
      <c r="BT228" s="20"/>
      <c r="CG228" s="20"/>
      <c r="CT228" s="163" t="s">
        <v>200</v>
      </c>
      <c r="CU228" s="36" t="s">
        <v>2120</v>
      </c>
      <c r="DG228" s="28" t="s">
        <v>2217</v>
      </c>
      <c r="DT228" s="28" t="s">
        <v>2296</v>
      </c>
      <c r="EG228" s="20"/>
      <c r="ET228" s="28" t="s">
        <v>2460</v>
      </c>
      <c r="FG228" s="126" t="s">
        <v>1316</v>
      </c>
      <c r="FT228" s="24" t="s">
        <v>224</v>
      </c>
      <c r="GG228" s="28" t="s">
        <v>1415</v>
      </c>
      <c r="GT228" s="11"/>
      <c r="HC228" s="20"/>
    </row>
    <row r="229" spans="6:211" ht="21" x14ac:dyDescent="0.25">
      <c r="F229" s="126" t="s">
        <v>218</v>
      </c>
      <c r="S229" s="20"/>
      <c r="AF229" s="37">
        <v>0.78</v>
      </c>
      <c r="AT229" s="28" t="s">
        <v>778</v>
      </c>
      <c r="BG229" s="20"/>
      <c r="BT229" s="28" t="s">
        <v>1957</v>
      </c>
      <c r="CG229" s="126" t="s">
        <v>983</v>
      </c>
      <c r="CT229" s="163"/>
      <c r="CU229" s="32" t="s">
        <v>1045</v>
      </c>
      <c r="DG229" s="20"/>
      <c r="DT229" s="20"/>
      <c r="EG229" s="126" t="s">
        <v>1214</v>
      </c>
      <c r="ET229" s="20"/>
      <c r="FG229" s="20"/>
      <c r="FT229" s="24" t="s">
        <v>225</v>
      </c>
      <c r="GG229" s="20"/>
      <c r="GT229" s="140" t="s">
        <v>3098</v>
      </c>
      <c r="HC229" s="126" t="s">
        <v>3316</v>
      </c>
    </row>
    <row r="230" spans="6:211" ht="21" x14ac:dyDescent="0.25">
      <c r="F230" s="20"/>
      <c r="S230" s="28" t="s">
        <v>1601</v>
      </c>
      <c r="AF230" s="37">
        <v>0.22</v>
      </c>
      <c r="AT230" s="24" t="s">
        <v>124</v>
      </c>
      <c r="BG230" s="24" t="s">
        <v>224</v>
      </c>
      <c r="BT230" s="20"/>
      <c r="CG230" s="20"/>
      <c r="CT230" s="163" t="s">
        <v>202</v>
      </c>
      <c r="CU230" s="36" t="s">
        <v>2121</v>
      </c>
      <c r="DG230" s="24" t="s">
        <v>222</v>
      </c>
      <c r="DT230" s="126" t="s">
        <v>1167</v>
      </c>
      <c r="EG230" s="20"/>
      <c r="ET230" s="126" t="s">
        <v>1265</v>
      </c>
      <c r="FG230" s="28" t="s">
        <v>2537</v>
      </c>
      <c r="FT230" s="31" t="s">
        <v>226</v>
      </c>
      <c r="FU230" s="31" t="s">
        <v>227</v>
      </c>
      <c r="FV230" s="31"/>
      <c r="FW230" s="31" t="s">
        <v>228</v>
      </c>
      <c r="FX230" s="31" t="s">
        <v>229</v>
      </c>
      <c r="FY230" s="31" t="s">
        <v>230</v>
      </c>
      <c r="FZ230" s="31" t="s">
        <v>231</v>
      </c>
      <c r="GA230" s="31" t="s">
        <v>232</v>
      </c>
      <c r="GB230" s="31" t="s">
        <v>233</v>
      </c>
      <c r="GC230" s="31" t="s">
        <v>234</v>
      </c>
      <c r="GD230" s="31" t="s">
        <v>235</v>
      </c>
      <c r="GE230" s="31" t="s">
        <v>236</v>
      </c>
      <c r="GG230" s="126" t="s">
        <v>1416</v>
      </c>
      <c r="GT230" s="11"/>
      <c r="HC230" s="20"/>
    </row>
    <row r="231" spans="6:211" ht="21" x14ac:dyDescent="0.25">
      <c r="F231" s="28" t="s">
        <v>1499</v>
      </c>
      <c r="S231" s="20"/>
      <c r="AF231" s="28" t="s">
        <v>690</v>
      </c>
      <c r="AT231" s="21" t="s">
        <v>183</v>
      </c>
      <c r="BG231" s="24" t="s">
        <v>225</v>
      </c>
      <c r="BT231" s="126" t="s">
        <v>931</v>
      </c>
      <c r="CG231" s="28" t="s">
        <v>2039</v>
      </c>
      <c r="CT231" s="163"/>
      <c r="CU231" s="32" t="s">
        <v>1046</v>
      </c>
      <c r="DG231" s="20"/>
      <c r="DT231" s="20"/>
      <c r="EG231" s="28" t="s">
        <v>2377</v>
      </c>
      <c r="ET231" s="20"/>
      <c r="FG231" s="20"/>
      <c r="FT231" s="163"/>
      <c r="FU231" s="163"/>
      <c r="FV231" s="163"/>
      <c r="FW231" s="163"/>
      <c r="FX231" s="163"/>
      <c r="FY231" s="163"/>
      <c r="FZ231" s="163"/>
      <c r="GA231" s="163"/>
      <c r="GB231" s="163"/>
      <c r="GC231" s="163"/>
      <c r="GD231" s="163"/>
      <c r="GE231" s="163"/>
      <c r="GG231" s="20"/>
      <c r="GT231" s="11" t="s">
        <v>3099</v>
      </c>
      <c r="HC231" s="28" t="s">
        <v>3317</v>
      </c>
    </row>
    <row r="232" spans="6:211" ht="26.25" x14ac:dyDescent="0.25">
      <c r="F232" s="20"/>
      <c r="S232" s="126" t="s">
        <v>570</v>
      </c>
      <c r="AF232" s="20"/>
      <c r="AT232" s="22" t="s">
        <v>779</v>
      </c>
      <c r="BG232" s="31" t="s">
        <v>226</v>
      </c>
      <c r="BH232" s="31" t="s">
        <v>227</v>
      </c>
      <c r="BI232" s="31"/>
      <c r="BJ232" s="31" t="s">
        <v>228</v>
      </c>
      <c r="BK232" s="31" t="s">
        <v>229</v>
      </c>
      <c r="BL232" s="31" t="s">
        <v>230</v>
      </c>
      <c r="BM232" s="31" t="s">
        <v>231</v>
      </c>
      <c r="BN232" s="31" t="s">
        <v>232</v>
      </c>
      <c r="BO232" s="31" t="s">
        <v>233</v>
      </c>
      <c r="BP232" s="31" t="s">
        <v>234</v>
      </c>
      <c r="BQ232" s="31" t="s">
        <v>235</v>
      </c>
      <c r="BR232" s="31" t="s">
        <v>236</v>
      </c>
      <c r="BT232" s="20"/>
      <c r="CG232" s="20"/>
      <c r="CT232" s="24" t="s">
        <v>204</v>
      </c>
      <c r="DG232" s="29" t="s">
        <v>1117</v>
      </c>
      <c r="DT232" s="28" t="s">
        <v>2297</v>
      </c>
      <c r="EG232" s="20"/>
      <c r="ET232" s="28" t="s">
        <v>2461</v>
      </c>
      <c r="FG232" s="126" t="s">
        <v>1317</v>
      </c>
      <c r="FT232" s="159">
        <v>1</v>
      </c>
      <c r="FU232" s="35" t="s">
        <v>55</v>
      </c>
      <c r="FV232" s="159" t="s">
        <v>237</v>
      </c>
      <c r="FW232" s="160" t="s">
        <v>1363</v>
      </c>
      <c r="FX232" s="159" t="s">
        <v>2218</v>
      </c>
      <c r="FY232" s="159" t="s">
        <v>618</v>
      </c>
      <c r="FZ232" s="159" t="s">
        <v>2628</v>
      </c>
      <c r="GA232" s="159" t="s">
        <v>2629</v>
      </c>
      <c r="GB232" s="159" t="s">
        <v>2630</v>
      </c>
      <c r="GC232" s="159" t="s">
        <v>2631</v>
      </c>
      <c r="GD232" s="159" t="s">
        <v>239</v>
      </c>
      <c r="GE232" s="161"/>
      <c r="GG232" s="28" t="s">
        <v>2702</v>
      </c>
      <c r="GT232" s="11"/>
      <c r="HC232" s="20"/>
    </row>
    <row r="233" spans="6:211" ht="26.25" x14ac:dyDescent="0.25">
      <c r="F233" s="126" t="s">
        <v>219</v>
      </c>
      <c r="S233" s="20"/>
      <c r="AF233" s="125" t="s">
        <v>691</v>
      </c>
      <c r="AT233" s="24" t="s">
        <v>46</v>
      </c>
      <c r="BG233" s="163"/>
      <c r="BH233" s="163"/>
      <c r="BI233" s="163"/>
      <c r="BJ233" s="163"/>
      <c r="BK233" s="163"/>
      <c r="BL233" s="163"/>
      <c r="BM233" s="163"/>
      <c r="BN233" s="163"/>
      <c r="BO233" s="163"/>
      <c r="BP233" s="163"/>
      <c r="BQ233" s="163"/>
      <c r="BR233" s="163"/>
      <c r="BT233" s="28" t="s">
        <v>1958</v>
      </c>
      <c r="CG233" s="126" t="s">
        <v>984</v>
      </c>
      <c r="CT233" s="20"/>
      <c r="DG233" s="20"/>
      <c r="DT233" s="20"/>
      <c r="EG233" s="126" t="s">
        <v>1215</v>
      </c>
      <c r="ET233" s="20"/>
      <c r="FG233" s="20"/>
      <c r="FT233" s="159"/>
      <c r="FU233" s="35" t="s">
        <v>55</v>
      </c>
      <c r="FV233" s="159"/>
      <c r="FW233" s="160"/>
      <c r="FX233" s="159"/>
      <c r="FY233" s="159"/>
      <c r="FZ233" s="159"/>
      <c r="GA233" s="159"/>
      <c r="GB233" s="159"/>
      <c r="GC233" s="159"/>
      <c r="GD233" s="159"/>
      <c r="GE233" s="161"/>
      <c r="GG233" s="20"/>
      <c r="GT233" s="140" t="s">
        <v>3100</v>
      </c>
      <c r="HC233" s="126" t="s">
        <v>3318</v>
      </c>
    </row>
    <row r="234" spans="6:211" ht="26.25" x14ac:dyDescent="0.25">
      <c r="F234" s="20"/>
      <c r="S234" s="28" t="s">
        <v>1602</v>
      </c>
      <c r="AF234" s="20"/>
      <c r="AT234" s="21" t="s">
        <v>185</v>
      </c>
      <c r="BG234" s="159">
        <v>1</v>
      </c>
      <c r="BH234" s="35" t="s">
        <v>243</v>
      </c>
      <c r="BI234" s="159" t="s">
        <v>237</v>
      </c>
      <c r="BJ234" s="160" t="s">
        <v>871</v>
      </c>
      <c r="BK234" s="159" t="s">
        <v>1874</v>
      </c>
      <c r="BL234" s="159" t="s">
        <v>873</v>
      </c>
      <c r="BM234" s="159" t="s">
        <v>1875</v>
      </c>
      <c r="BN234" s="159" t="s">
        <v>1876</v>
      </c>
      <c r="BO234" s="159" t="s">
        <v>1877</v>
      </c>
      <c r="BP234" s="159" t="s">
        <v>1878</v>
      </c>
      <c r="BQ234" s="159" t="s">
        <v>239</v>
      </c>
      <c r="BR234" s="161"/>
      <c r="BT234" s="20"/>
      <c r="CG234" s="20"/>
      <c r="CT234" s="29" t="s">
        <v>1047</v>
      </c>
      <c r="DG234" s="24" t="s">
        <v>224</v>
      </c>
      <c r="DT234" s="24" t="s">
        <v>222</v>
      </c>
      <c r="EG234" s="20"/>
      <c r="ET234" s="126" t="s">
        <v>1266</v>
      </c>
      <c r="FG234" s="28" t="s">
        <v>2538</v>
      </c>
      <c r="FT234" s="159">
        <v>2</v>
      </c>
      <c r="FU234" s="35" t="s">
        <v>712</v>
      </c>
      <c r="FV234" s="159" t="s">
        <v>237</v>
      </c>
      <c r="FW234" s="160" t="s">
        <v>1363</v>
      </c>
      <c r="FX234" s="159" t="s">
        <v>2195</v>
      </c>
      <c r="FY234" s="159" t="s">
        <v>618</v>
      </c>
      <c r="FZ234" s="159" t="s">
        <v>2632</v>
      </c>
      <c r="GA234" s="159" t="s">
        <v>2633</v>
      </c>
      <c r="GB234" s="159" t="s">
        <v>2634</v>
      </c>
      <c r="GC234" s="159" t="s">
        <v>940</v>
      </c>
      <c r="GD234" s="159" t="s">
        <v>239</v>
      </c>
      <c r="GE234" s="161"/>
      <c r="GG234" s="126" t="s">
        <v>1417</v>
      </c>
      <c r="GT234" s="11"/>
      <c r="HC234" s="20"/>
    </row>
    <row r="235" spans="6:211" ht="21" x14ac:dyDescent="0.25">
      <c r="F235" s="28" t="s">
        <v>220</v>
      </c>
      <c r="S235" s="20"/>
      <c r="AF235" s="28" t="s">
        <v>692</v>
      </c>
      <c r="AT235" s="21" t="s">
        <v>680</v>
      </c>
      <c r="BG235" s="159"/>
      <c r="BH235" s="35" t="s">
        <v>243</v>
      </c>
      <c r="BI235" s="159"/>
      <c r="BJ235" s="160"/>
      <c r="BK235" s="159"/>
      <c r="BL235" s="159"/>
      <c r="BM235" s="159"/>
      <c r="BN235" s="159"/>
      <c r="BO235" s="159"/>
      <c r="BP235" s="159"/>
      <c r="BQ235" s="159"/>
      <c r="BR235" s="161"/>
      <c r="BT235" s="126" t="s">
        <v>932</v>
      </c>
      <c r="CG235" s="22" t="s">
        <v>985</v>
      </c>
      <c r="CT235" s="20"/>
      <c r="DG235" s="24" t="s">
        <v>225</v>
      </c>
      <c r="DT235" s="20"/>
      <c r="EG235" s="28" t="s">
        <v>2378</v>
      </c>
      <c r="ET235" s="20"/>
      <c r="FG235" s="20"/>
      <c r="FT235" s="159"/>
      <c r="FU235" s="35" t="s">
        <v>712</v>
      </c>
      <c r="FV235" s="159"/>
      <c r="FW235" s="160"/>
      <c r="FX235" s="159"/>
      <c r="FY235" s="159"/>
      <c r="FZ235" s="159"/>
      <c r="GA235" s="159"/>
      <c r="GB235" s="159"/>
      <c r="GC235" s="159"/>
      <c r="GD235" s="159"/>
      <c r="GE235" s="161"/>
      <c r="GG235" s="20"/>
      <c r="GT235" s="11" t="s">
        <v>3101</v>
      </c>
      <c r="HC235" s="28" t="s">
        <v>3319</v>
      </c>
    </row>
    <row r="236" spans="6:211" ht="26.25" x14ac:dyDescent="0.25">
      <c r="F236" s="20"/>
      <c r="S236" s="126" t="s">
        <v>571</v>
      </c>
      <c r="AF236" s="20"/>
      <c r="AT236" s="24" t="s">
        <v>188</v>
      </c>
      <c r="BG236" s="159">
        <v>2</v>
      </c>
      <c r="BH236" s="35" t="s">
        <v>55</v>
      </c>
      <c r="BI236" s="159" t="s">
        <v>237</v>
      </c>
      <c r="BJ236" s="160" t="s">
        <v>871</v>
      </c>
      <c r="BK236" s="159" t="s">
        <v>1879</v>
      </c>
      <c r="BL236" s="159" t="s">
        <v>872</v>
      </c>
      <c r="BM236" s="159" t="s">
        <v>1880</v>
      </c>
      <c r="BN236" s="159" t="s">
        <v>1881</v>
      </c>
      <c r="BO236" s="159" t="s">
        <v>1882</v>
      </c>
      <c r="BP236" s="159" t="s">
        <v>1883</v>
      </c>
      <c r="BQ236" s="159" t="s">
        <v>239</v>
      </c>
      <c r="BR236" s="161"/>
      <c r="BT236" s="20"/>
      <c r="CG236" s="112"/>
      <c r="CT236" s="24" t="s">
        <v>1048</v>
      </c>
      <c r="DG236" s="31" t="s">
        <v>226</v>
      </c>
      <c r="DH236" s="31" t="s">
        <v>227</v>
      </c>
      <c r="DI236" s="31"/>
      <c r="DJ236" s="31" t="s">
        <v>228</v>
      </c>
      <c r="DK236" s="31" t="s">
        <v>229</v>
      </c>
      <c r="DL236" s="31" t="s">
        <v>230</v>
      </c>
      <c r="DM236" s="31" t="s">
        <v>231</v>
      </c>
      <c r="DN236" s="31" t="s">
        <v>232</v>
      </c>
      <c r="DO236" s="31" t="s">
        <v>233</v>
      </c>
      <c r="DP236" s="31" t="s">
        <v>234</v>
      </c>
      <c r="DQ236" s="31" t="s">
        <v>235</v>
      </c>
      <c r="DR236" s="31" t="s">
        <v>236</v>
      </c>
      <c r="DT236" s="29" t="s">
        <v>1168</v>
      </c>
      <c r="EG236" s="20"/>
      <c r="ET236" s="28" t="s">
        <v>2462</v>
      </c>
      <c r="FG236" s="126" t="s">
        <v>1318</v>
      </c>
      <c r="FT236" s="159">
        <v>3</v>
      </c>
      <c r="FU236" s="35" t="s">
        <v>713</v>
      </c>
      <c r="FV236" s="159" t="s">
        <v>237</v>
      </c>
      <c r="FW236" s="160" t="s">
        <v>1363</v>
      </c>
      <c r="FX236" s="159" t="s">
        <v>2195</v>
      </c>
      <c r="FY236" s="159" t="s">
        <v>618</v>
      </c>
      <c r="FZ236" s="159" t="s">
        <v>2635</v>
      </c>
      <c r="GA236" s="159" t="s">
        <v>2636</v>
      </c>
      <c r="GB236" s="159" t="s">
        <v>2637</v>
      </c>
      <c r="GC236" s="159" t="s">
        <v>1271</v>
      </c>
      <c r="GD236" s="159" t="s">
        <v>239</v>
      </c>
      <c r="GE236" s="161"/>
      <c r="GG236" s="28" t="s">
        <v>2703</v>
      </c>
      <c r="GT236" s="11"/>
      <c r="HC236" s="20"/>
    </row>
    <row r="237" spans="6:211" ht="21" x14ac:dyDescent="0.25">
      <c r="F237" s="126" t="s">
        <v>221</v>
      </c>
      <c r="S237" s="20"/>
      <c r="AF237" s="28" t="s">
        <v>693</v>
      </c>
      <c r="AT237" s="21" t="s">
        <v>185</v>
      </c>
      <c r="BG237" s="159"/>
      <c r="BH237" s="35" t="s">
        <v>55</v>
      </c>
      <c r="BI237" s="159"/>
      <c r="BJ237" s="160"/>
      <c r="BK237" s="159"/>
      <c r="BL237" s="159"/>
      <c r="BM237" s="159"/>
      <c r="BN237" s="159"/>
      <c r="BO237" s="159"/>
      <c r="BP237" s="159"/>
      <c r="BQ237" s="159"/>
      <c r="BR237" s="161"/>
      <c r="BT237" s="22" t="s">
        <v>933</v>
      </c>
      <c r="CG237" s="28" t="s">
        <v>986</v>
      </c>
      <c r="CT237" s="37">
        <v>0.76</v>
      </c>
      <c r="DG237" s="163"/>
      <c r="DH237" s="163"/>
      <c r="DI237" s="163"/>
      <c r="DJ237" s="163"/>
      <c r="DK237" s="163"/>
      <c r="DL237" s="163"/>
      <c r="DM237" s="163"/>
      <c r="DN237" s="163"/>
      <c r="DO237" s="163"/>
      <c r="DP237" s="163"/>
      <c r="DQ237" s="163"/>
      <c r="DR237" s="163"/>
      <c r="DT237" s="20"/>
      <c r="EG237" s="126" t="s">
        <v>1216</v>
      </c>
      <c r="ET237" s="20"/>
      <c r="FG237" s="20"/>
      <c r="FT237" s="159"/>
      <c r="FU237" s="35" t="s">
        <v>713</v>
      </c>
      <c r="FV237" s="159"/>
      <c r="FW237" s="160"/>
      <c r="FX237" s="159"/>
      <c r="FY237" s="159"/>
      <c r="FZ237" s="159"/>
      <c r="GA237" s="159"/>
      <c r="GB237" s="159"/>
      <c r="GC237" s="159"/>
      <c r="GD237" s="159"/>
      <c r="GE237" s="161"/>
      <c r="GG237" s="20"/>
      <c r="GT237" s="11" t="s">
        <v>3102</v>
      </c>
      <c r="HC237" s="126" t="s">
        <v>3320</v>
      </c>
    </row>
    <row r="238" spans="6:211" ht="21" x14ac:dyDescent="0.25">
      <c r="F238" s="20"/>
      <c r="S238" s="22" t="s">
        <v>1603</v>
      </c>
      <c r="AF238" s="20"/>
      <c r="AT238" s="24" t="s">
        <v>189</v>
      </c>
      <c r="BG238" s="159">
        <v>3</v>
      </c>
      <c r="BH238" s="35" t="s">
        <v>646</v>
      </c>
      <c r="BI238" s="159" t="s">
        <v>237</v>
      </c>
      <c r="BJ238" s="160" t="s">
        <v>871</v>
      </c>
      <c r="BK238" s="159" t="s">
        <v>1884</v>
      </c>
      <c r="BL238" s="159" t="s">
        <v>238</v>
      </c>
      <c r="BM238" s="159" t="s">
        <v>1885</v>
      </c>
      <c r="BN238" s="159" t="s">
        <v>1886</v>
      </c>
      <c r="BO238" s="159" t="s">
        <v>1887</v>
      </c>
      <c r="BP238" s="159" t="s">
        <v>1888</v>
      </c>
      <c r="BQ238" s="159" t="s">
        <v>239</v>
      </c>
      <c r="BR238" s="161"/>
      <c r="BT238" s="112"/>
      <c r="CG238" s="20"/>
      <c r="CT238" s="37">
        <v>0.24</v>
      </c>
      <c r="DG238" s="159">
        <v>1</v>
      </c>
      <c r="DH238" s="35" t="s">
        <v>242</v>
      </c>
      <c r="DI238" s="159" t="s">
        <v>237</v>
      </c>
      <c r="DJ238" s="160" t="s">
        <v>1118</v>
      </c>
      <c r="DK238" s="159" t="s">
        <v>2218</v>
      </c>
      <c r="DL238" s="159" t="s">
        <v>711</v>
      </c>
      <c r="DM238" s="159" t="s">
        <v>2219</v>
      </c>
      <c r="DN238" s="159" t="s">
        <v>2220</v>
      </c>
      <c r="DO238" s="159" t="s">
        <v>2221</v>
      </c>
      <c r="DP238" s="159" t="s">
        <v>2222</v>
      </c>
      <c r="DQ238" s="159" t="s">
        <v>239</v>
      </c>
      <c r="DR238" s="161"/>
      <c r="DT238" s="24" t="s">
        <v>224</v>
      </c>
      <c r="EG238" s="20"/>
      <c r="ET238" s="126" t="s">
        <v>1267</v>
      </c>
      <c r="FG238" s="28" t="s">
        <v>2539</v>
      </c>
      <c r="FT238" s="159">
        <v>4</v>
      </c>
      <c r="FU238" s="35" t="s">
        <v>242</v>
      </c>
      <c r="FV238" s="159" t="s">
        <v>237</v>
      </c>
      <c r="FW238" s="160" t="s">
        <v>1363</v>
      </c>
      <c r="FX238" s="159" t="s">
        <v>2195</v>
      </c>
      <c r="FY238" s="159" t="s">
        <v>618</v>
      </c>
      <c r="FZ238" s="159" t="s">
        <v>2638</v>
      </c>
      <c r="GA238" s="159" t="s">
        <v>2639</v>
      </c>
      <c r="GB238" s="159" t="s">
        <v>2640</v>
      </c>
      <c r="GC238" s="159" t="s">
        <v>2641</v>
      </c>
      <c r="GD238" s="159" t="s">
        <v>239</v>
      </c>
      <c r="GE238" s="161"/>
      <c r="GG238" s="126" t="s">
        <v>1418</v>
      </c>
      <c r="GT238" s="11"/>
      <c r="HC238" s="20"/>
    </row>
    <row r="239" spans="6:211" ht="15" customHeight="1" x14ac:dyDescent="0.25">
      <c r="F239" s="22" t="s">
        <v>1500</v>
      </c>
      <c r="S239" s="20"/>
      <c r="AF239" s="28" t="s">
        <v>694</v>
      </c>
      <c r="AT239" s="21" t="s">
        <v>190</v>
      </c>
      <c r="BG239" s="159"/>
      <c r="BH239" s="35" t="s">
        <v>646</v>
      </c>
      <c r="BI239" s="159"/>
      <c r="BJ239" s="160"/>
      <c r="BK239" s="159"/>
      <c r="BL239" s="159"/>
      <c r="BM239" s="159"/>
      <c r="BN239" s="159"/>
      <c r="BO239" s="159"/>
      <c r="BP239" s="159"/>
      <c r="BQ239" s="159"/>
      <c r="BR239" s="161"/>
      <c r="BT239" s="28" t="s">
        <v>934</v>
      </c>
      <c r="CG239" s="24" t="s">
        <v>222</v>
      </c>
      <c r="CT239" s="28" t="s">
        <v>690</v>
      </c>
      <c r="DG239" s="159"/>
      <c r="DH239" s="35" t="s">
        <v>242</v>
      </c>
      <c r="DI239" s="159"/>
      <c r="DJ239" s="160"/>
      <c r="DK239" s="159"/>
      <c r="DL239" s="159"/>
      <c r="DM239" s="159"/>
      <c r="DN239" s="159"/>
      <c r="DO239" s="159"/>
      <c r="DP239" s="159"/>
      <c r="DQ239" s="159"/>
      <c r="DR239" s="161"/>
      <c r="DT239" s="24" t="s">
        <v>225</v>
      </c>
      <c r="EG239" s="28" t="s">
        <v>2379</v>
      </c>
      <c r="ET239" s="20"/>
      <c r="FG239" s="20"/>
      <c r="FT239" s="159"/>
      <c r="FU239" s="35" t="s">
        <v>242</v>
      </c>
      <c r="FV239" s="159"/>
      <c r="FW239" s="160"/>
      <c r="FX239" s="159"/>
      <c r="FY239" s="159"/>
      <c r="FZ239" s="159"/>
      <c r="GA239" s="159"/>
      <c r="GB239" s="159"/>
      <c r="GC239" s="159"/>
      <c r="GD239" s="159"/>
      <c r="GE239" s="161"/>
      <c r="GG239" s="20"/>
      <c r="GT239" s="140" t="s">
        <v>3103</v>
      </c>
      <c r="HC239" s="28" t="s">
        <v>3321</v>
      </c>
    </row>
    <row r="240" spans="6:211" ht="16.5" x14ac:dyDescent="0.25">
      <c r="F240" s="20"/>
      <c r="S240" s="24" t="s">
        <v>222</v>
      </c>
      <c r="AF240" s="20"/>
      <c r="AT240" s="24" t="s">
        <v>191</v>
      </c>
      <c r="BG240" s="159">
        <v>4</v>
      </c>
      <c r="BH240" s="35" t="s">
        <v>875</v>
      </c>
      <c r="BI240" s="159" t="s">
        <v>876</v>
      </c>
      <c r="BJ240" s="160" t="s">
        <v>877</v>
      </c>
      <c r="BK240" s="159" t="s">
        <v>1853</v>
      </c>
      <c r="BL240" s="159" t="s">
        <v>617</v>
      </c>
      <c r="BM240" s="159" t="s">
        <v>1889</v>
      </c>
      <c r="BN240" s="159" t="s">
        <v>1890</v>
      </c>
      <c r="BO240" s="159" t="s">
        <v>1891</v>
      </c>
      <c r="BP240" s="159" t="s">
        <v>1450</v>
      </c>
      <c r="BQ240" s="159" t="s">
        <v>239</v>
      </c>
      <c r="BR240" s="161"/>
      <c r="BT240" s="20"/>
      <c r="CG240" s="20"/>
      <c r="CT240" s="20"/>
      <c r="DG240" s="159">
        <v>2</v>
      </c>
      <c r="DH240" s="35" t="s">
        <v>705</v>
      </c>
      <c r="DI240" s="159" t="s">
        <v>237</v>
      </c>
      <c r="DJ240" s="160" t="s">
        <v>1118</v>
      </c>
      <c r="DK240" s="159" t="s">
        <v>2223</v>
      </c>
      <c r="DL240" s="159" t="s">
        <v>618</v>
      </c>
      <c r="DM240" s="159" t="s">
        <v>2224</v>
      </c>
      <c r="DN240" s="159" t="s">
        <v>2225</v>
      </c>
      <c r="DO240" s="159" t="s">
        <v>2226</v>
      </c>
      <c r="DP240" s="159" t="s">
        <v>1966</v>
      </c>
      <c r="DQ240" s="159" t="s">
        <v>239</v>
      </c>
      <c r="DR240" s="161"/>
      <c r="DT240" s="31" t="s">
        <v>226</v>
      </c>
      <c r="DU240" s="31" t="s">
        <v>227</v>
      </c>
      <c r="DV240" s="31"/>
      <c r="DW240" s="31" t="s">
        <v>228</v>
      </c>
      <c r="DX240" s="31" t="s">
        <v>229</v>
      </c>
      <c r="DY240" s="31" t="s">
        <v>230</v>
      </c>
      <c r="DZ240" s="31" t="s">
        <v>231</v>
      </c>
      <c r="EA240" s="31" t="s">
        <v>232</v>
      </c>
      <c r="EB240" s="31" t="s">
        <v>233</v>
      </c>
      <c r="EC240" s="31" t="s">
        <v>234</v>
      </c>
      <c r="ED240" s="31" t="s">
        <v>235</v>
      </c>
      <c r="EE240" s="31" t="s">
        <v>236</v>
      </c>
      <c r="EG240" s="20"/>
      <c r="ET240" s="28" t="s">
        <v>2463</v>
      </c>
      <c r="FG240" s="24" t="s">
        <v>222</v>
      </c>
      <c r="FT240" s="159">
        <v>5</v>
      </c>
      <c r="FU240" s="35" t="s">
        <v>805</v>
      </c>
      <c r="FV240" s="159" t="s">
        <v>237</v>
      </c>
      <c r="FW240" s="160" t="s">
        <v>1363</v>
      </c>
      <c r="FX240" s="159" t="s">
        <v>2223</v>
      </c>
      <c r="FY240" s="159" t="s">
        <v>639</v>
      </c>
      <c r="FZ240" s="159" t="s">
        <v>2642</v>
      </c>
      <c r="GA240" s="159" t="s">
        <v>2643</v>
      </c>
      <c r="GB240" s="159" t="s">
        <v>2644</v>
      </c>
      <c r="GC240" s="159" t="s">
        <v>2645</v>
      </c>
      <c r="GD240" s="159" t="s">
        <v>239</v>
      </c>
      <c r="GE240" s="161"/>
      <c r="GG240" s="28" t="s">
        <v>2704</v>
      </c>
      <c r="GT240" s="11"/>
      <c r="HC240" s="20"/>
    </row>
    <row r="241" spans="6:211" ht="26.25" x14ac:dyDescent="0.25">
      <c r="F241" s="24" t="s">
        <v>222</v>
      </c>
      <c r="S241" s="20"/>
      <c r="AF241" s="28" t="s">
        <v>695</v>
      </c>
      <c r="AT241" s="24" t="s">
        <v>780</v>
      </c>
      <c r="BG241" s="159"/>
      <c r="BH241" s="35" t="s">
        <v>875</v>
      </c>
      <c r="BI241" s="159"/>
      <c r="BJ241" s="160"/>
      <c r="BK241" s="159"/>
      <c r="BL241" s="159"/>
      <c r="BM241" s="159"/>
      <c r="BN241" s="159"/>
      <c r="BO241" s="159"/>
      <c r="BP241" s="159"/>
      <c r="BQ241" s="159"/>
      <c r="BR241" s="161"/>
      <c r="BT241" s="24" t="s">
        <v>222</v>
      </c>
      <c r="CG241" s="29" t="s">
        <v>987</v>
      </c>
      <c r="CT241" s="125" t="s">
        <v>1049</v>
      </c>
      <c r="DG241" s="159"/>
      <c r="DH241" s="35" t="s">
        <v>705</v>
      </c>
      <c r="DI241" s="159"/>
      <c r="DJ241" s="160"/>
      <c r="DK241" s="159"/>
      <c r="DL241" s="159"/>
      <c r="DM241" s="159"/>
      <c r="DN241" s="159"/>
      <c r="DO241" s="159"/>
      <c r="DP241" s="159"/>
      <c r="DQ241" s="159"/>
      <c r="DR241" s="161"/>
      <c r="DT241" s="163"/>
      <c r="DU241" s="163"/>
      <c r="DV241" s="163"/>
      <c r="DW241" s="163"/>
      <c r="DX241" s="163"/>
      <c r="DY241" s="163"/>
      <c r="DZ241" s="163"/>
      <c r="EA241" s="163"/>
      <c r="EB241" s="163"/>
      <c r="EC241" s="163"/>
      <c r="ED241" s="163"/>
      <c r="EE241" s="163"/>
      <c r="EG241" s="126" t="s">
        <v>1217</v>
      </c>
      <c r="ET241" s="20"/>
      <c r="FG241" s="20"/>
      <c r="FT241" s="159"/>
      <c r="FU241" s="35" t="s">
        <v>805</v>
      </c>
      <c r="FV241" s="159"/>
      <c r="FW241" s="160"/>
      <c r="FX241" s="159"/>
      <c r="FY241" s="159"/>
      <c r="FZ241" s="159"/>
      <c r="GA241" s="159"/>
      <c r="GB241" s="159"/>
      <c r="GC241" s="159"/>
      <c r="GD241" s="159"/>
      <c r="GE241" s="161"/>
      <c r="GG241" s="20"/>
      <c r="GT241" s="13" t="s">
        <v>3104</v>
      </c>
      <c r="HC241" s="126" t="s">
        <v>3322</v>
      </c>
    </row>
    <row r="242" spans="6:211" ht="26.25" x14ac:dyDescent="0.25">
      <c r="F242" s="20"/>
      <c r="S242" s="29" t="s">
        <v>572</v>
      </c>
      <c r="AF242" s="20"/>
      <c r="AT242" s="24" t="s">
        <v>549</v>
      </c>
      <c r="BG242" s="159">
        <v>5</v>
      </c>
      <c r="BH242" s="35" t="s">
        <v>705</v>
      </c>
      <c r="BI242" s="159" t="s">
        <v>237</v>
      </c>
      <c r="BJ242" s="160" t="s">
        <v>871</v>
      </c>
      <c r="BK242" s="159" t="s">
        <v>1853</v>
      </c>
      <c r="BL242" s="159" t="s">
        <v>628</v>
      </c>
      <c r="BM242" s="159" t="s">
        <v>1892</v>
      </c>
      <c r="BN242" s="159" t="s">
        <v>1893</v>
      </c>
      <c r="BO242" s="159" t="s">
        <v>1894</v>
      </c>
      <c r="BP242" s="159" t="s">
        <v>1895</v>
      </c>
      <c r="BQ242" s="159" t="s">
        <v>239</v>
      </c>
      <c r="BR242" s="161"/>
      <c r="BT242" s="20"/>
      <c r="CG242" s="20"/>
      <c r="CT242" s="20"/>
      <c r="DG242" s="159">
        <v>3</v>
      </c>
      <c r="DH242" s="35" t="s">
        <v>244</v>
      </c>
      <c r="DI242" s="159" t="s">
        <v>237</v>
      </c>
      <c r="DJ242" s="160" t="s">
        <v>1118</v>
      </c>
      <c r="DK242" s="159" t="s">
        <v>2195</v>
      </c>
      <c r="DL242" s="159" t="s">
        <v>872</v>
      </c>
      <c r="DM242" s="159" t="s">
        <v>2227</v>
      </c>
      <c r="DN242" s="159" t="s">
        <v>2228</v>
      </c>
      <c r="DO242" s="159" t="s">
        <v>2229</v>
      </c>
      <c r="DP242" s="159" t="s">
        <v>2230</v>
      </c>
      <c r="DQ242" s="159" t="s">
        <v>239</v>
      </c>
      <c r="DR242" s="161"/>
      <c r="DT242" s="159">
        <v>1</v>
      </c>
      <c r="DU242" s="35" t="s">
        <v>242</v>
      </c>
      <c r="DV242" s="159" t="s">
        <v>237</v>
      </c>
      <c r="DW242" s="160" t="s">
        <v>1169</v>
      </c>
      <c r="DX242" s="159" t="s">
        <v>2272</v>
      </c>
      <c r="DY242" s="159" t="s">
        <v>618</v>
      </c>
      <c r="DZ242" s="159" t="s">
        <v>2298</v>
      </c>
      <c r="EA242" s="159" t="s">
        <v>2299</v>
      </c>
      <c r="EB242" s="159" t="s">
        <v>2300</v>
      </c>
      <c r="EC242" s="159" t="s">
        <v>2301</v>
      </c>
      <c r="ED242" s="159" t="s">
        <v>239</v>
      </c>
      <c r="EE242" s="161"/>
      <c r="EG242" s="20"/>
      <c r="ET242" s="126" t="s">
        <v>1268</v>
      </c>
      <c r="FG242" s="29" t="s">
        <v>1319</v>
      </c>
      <c r="FT242" s="159">
        <v>6</v>
      </c>
      <c r="FU242" s="35" t="s">
        <v>1323</v>
      </c>
      <c r="FV242" s="159" t="s">
        <v>237</v>
      </c>
      <c r="FW242" s="160" t="s">
        <v>1363</v>
      </c>
      <c r="FX242" s="159" t="s">
        <v>2195</v>
      </c>
      <c r="FY242" s="159" t="s">
        <v>1469</v>
      </c>
      <c r="FZ242" s="159" t="s">
        <v>2646</v>
      </c>
      <c r="GA242" s="159" t="s">
        <v>2647</v>
      </c>
      <c r="GB242" s="159" t="s">
        <v>2648</v>
      </c>
      <c r="GC242" s="159" t="s">
        <v>2649</v>
      </c>
      <c r="GD242" s="159" t="s">
        <v>239</v>
      </c>
      <c r="GE242" s="161"/>
      <c r="GG242" s="126" t="s">
        <v>1419</v>
      </c>
      <c r="GT242" s="11"/>
      <c r="HC242" s="20"/>
    </row>
    <row r="243" spans="6:211" ht="26.25" x14ac:dyDescent="0.25">
      <c r="F243" s="29" t="s">
        <v>223</v>
      </c>
      <c r="S243" s="20"/>
      <c r="AF243" s="28" t="s">
        <v>696</v>
      </c>
      <c r="AT243" s="21" t="s">
        <v>550</v>
      </c>
      <c r="BG243" s="159"/>
      <c r="BH243" s="35" t="s">
        <v>705</v>
      </c>
      <c r="BI243" s="159"/>
      <c r="BJ243" s="160"/>
      <c r="BK243" s="159"/>
      <c r="BL243" s="159"/>
      <c r="BM243" s="159"/>
      <c r="BN243" s="159"/>
      <c r="BO243" s="159"/>
      <c r="BP243" s="159"/>
      <c r="BQ243" s="159"/>
      <c r="BR243" s="161"/>
      <c r="BT243" s="29" t="s">
        <v>935</v>
      </c>
      <c r="CG243" s="24" t="s">
        <v>224</v>
      </c>
      <c r="CT243" s="28" t="s">
        <v>1050</v>
      </c>
      <c r="DG243" s="159"/>
      <c r="DH243" s="35" t="s">
        <v>244</v>
      </c>
      <c r="DI243" s="159"/>
      <c r="DJ243" s="160"/>
      <c r="DK243" s="159"/>
      <c r="DL243" s="159"/>
      <c r="DM243" s="159"/>
      <c r="DN243" s="159"/>
      <c r="DO243" s="159"/>
      <c r="DP243" s="159"/>
      <c r="DQ243" s="159"/>
      <c r="DR243" s="161"/>
      <c r="DT243" s="159"/>
      <c r="DU243" s="35" t="s">
        <v>242</v>
      </c>
      <c r="DV243" s="159"/>
      <c r="DW243" s="160"/>
      <c r="DX243" s="159"/>
      <c r="DY243" s="159"/>
      <c r="DZ243" s="159"/>
      <c r="EA243" s="159"/>
      <c r="EB243" s="159"/>
      <c r="EC243" s="159"/>
      <c r="ED243" s="159"/>
      <c r="EE243" s="161"/>
      <c r="EG243" s="28" t="s">
        <v>2380</v>
      </c>
      <c r="ET243" s="20"/>
      <c r="FG243" s="20"/>
      <c r="FT243" s="159"/>
      <c r="FU243" s="35" t="s">
        <v>1323</v>
      </c>
      <c r="FV243" s="159"/>
      <c r="FW243" s="160"/>
      <c r="FX243" s="159"/>
      <c r="FY243" s="159"/>
      <c r="FZ243" s="159"/>
      <c r="GA243" s="159"/>
      <c r="GB243" s="159"/>
      <c r="GC243" s="159"/>
      <c r="GD243" s="159"/>
      <c r="GE243" s="161"/>
      <c r="GG243" s="20"/>
      <c r="GT243" s="13" t="s">
        <v>3105</v>
      </c>
      <c r="HC243" s="28" t="s">
        <v>3323</v>
      </c>
    </row>
    <row r="244" spans="6:211" ht="15" customHeight="1" x14ac:dyDescent="0.25">
      <c r="F244" s="20"/>
      <c r="S244" s="24" t="s">
        <v>224</v>
      </c>
      <c r="AF244" s="20"/>
      <c r="AT244" s="24" t="s">
        <v>781</v>
      </c>
      <c r="BG244" s="159">
        <v>6</v>
      </c>
      <c r="BH244" s="35" t="s">
        <v>245</v>
      </c>
      <c r="BI244" s="159" t="s">
        <v>237</v>
      </c>
      <c r="BJ244" s="160" t="s">
        <v>871</v>
      </c>
      <c r="BK244" s="159" t="s">
        <v>1874</v>
      </c>
      <c r="BL244" s="159" t="s">
        <v>878</v>
      </c>
      <c r="BM244" s="159" t="s">
        <v>1896</v>
      </c>
      <c r="BN244" s="159" t="s">
        <v>1897</v>
      </c>
      <c r="BO244" s="159" t="s">
        <v>1898</v>
      </c>
      <c r="BP244" s="159" t="s">
        <v>1899</v>
      </c>
      <c r="BQ244" s="159" t="s">
        <v>239</v>
      </c>
      <c r="BR244" s="161"/>
      <c r="BT244" s="20"/>
      <c r="CG244" s="24" t="s">
        <v>225</v>
      </c>
      <c r="CT244" s="20"/>
      <c r="DG244" s="159">
        <v>4</v>
      </c>
      <c r="DH244" s="35" t="s">
        <v>55</v>
      </c>
      <c r="DI244" s="159" t="s">
        <v>237</v>
      </c>
      <c r="DJ244" s="160" t="s">
        <v>1118</v>
      </c>
      <c r="DK244" s="159" t="s">
        <v>2231</v>
      </c>
      <c r="DL244" s="159" t="s">
        <v>872</v>
      </c>
      <c r="DM244" s="159" t="s">
        <v>2232</v>
      </c>
      <c r="DN244" s="159" t="s">
        <v>2233</v>
      </c>
      <c r="DO244" s="159" t="s">
        <v>2234</v>
      </c>
      <c r="DP244" s="159" t="s">
        <v>2235</v>
      </c>
      <c r="DQ244" s="159" t="s">
        <v>239</v>
      </c>
      <c r="DR244" s="161"/>
      <c r="DT244" s="159">
        <v>2</v>
      </c>
      <c r="DU244" s="35" t="s">
        <v>574</v>
      </c>
      <c r="DV244" s="159" t="s">
        <v>237</v>
      </c>
      <c r="DW244" s="160" t="s">
        <v>1169</v>
      </c>
      <c r="DX244" s="159" t="s">
        <v>1179</v>
      </c>
      <c r="DY244" s="159" t="s">
        <v>618</v>
      </c>
      <c r="DZ244" s="159" t="s">
        <v>2302</v>
      </c>
      <c r="EA244" s="159" t="s">
        <v>2303</v>
      </c>
      <c r="EB244" s="159" t="s">
        <v>2304</v>
      </c>
      <c r="EC244" s="159" t="s">
        <v>2305</v>
      </c>
      <c r="ED244" s="159" t="s">
        <v>239</v>
      </c>
      <c r="EE244" s="161"/>
      <c r="EG244" s="20"/>
      <c r="ET244" s="28" t="s">
        <v>2464</v>
      </c>
      <c r="FG244" s="24" t="s">
        <v>224</v>
      </c>
      <c r="FT244" s="159">
        <v>7</v>
      </c>
      <c r="FU244" s="35" t="s">
        <v>705</v>
      </c>
      <c r="FV244" s="159" t="s">
        <v>237</v>
      </c>
      <c r="FW244" s="160" t="s">
        <v>1363</v>
      </c>
      <c r="FX244" s="159" t="s">
        <v>2195</v>
      </c>
      <c r="FY244" s="159" t="s">
        <v>940</v>
      </c>
      <c r="FZ244" s="159" t="s">
        <v>2650</v>
      </c>
      <c r="GA244" s="159" t="s">
        <v>2651</v>
      </c>
      <c r="GB244" s="159" t="s">
        <v>2652</v>
      </c>
      <c r="GC244" s="159" t="s">
        <v>2653</v>
      </c>
      <c r="GD244" s="159" t="s">
        <v>239</v>
      </c>
      <c r="GE244" s="161"/>
      <c r="GG244" s="28" t="s">
        <v>2705</v>
      </c>
      <c r="GT244" s="11"/>
      <c r="HC244" s="20"/>
    </row>
    <row r="245" spans="6:211" ht="21" x14ac:dyDescent="0.25">
      <c r="F245" s="24" t="s">
        <v>224</v>
      </c>
      <c r="S245" s="24" t="s">
        <v>225</v>
      </c>
      <c r="AF245" s="126" t="s">
        <v>697</v>
      </c>
      <c r="AT245" s="28" t="s">
        <v>782</v>
      </c>
      <c r="BG245" s="159"/>
      <c r="BH245" s="35" t="s">
        <v>245</v>
      </c>
      <c r="BI245" s="159"/>
      <c r="BJ245" s="160"/>
      <c r="BK245" s="159"/>
      <c r="BL245" s="159"/>
      <c r="BM245" s="159"/>
      <c r="BN245" s="159"/>
      <c r="BO245" s="159"/>
      <c r="BP245" s="159"/>
      <c r="BQ245" s="159"/>
      <c r="BR245" s="161"/>
      <c r="BT245" s="24" t="s">
        <v>224</v>
      </c>
      <c r="CG245" s="31" t="s">
        <v>226</v>
      </c>
      <c r="CH245" s="31" t="s">
        <v>227</v>
      </c>
      <c r="CI245" s="31"/>
      <c r="CJ245" s="31" t="s">
        <v>228</v>
      </c>
      <c r="CK245" s="31" t="s">
        <v>229</v>
      </c>
      <c r="CL245" s="31" t="s">
        <v>230</v>
      </c>
      <c r="CM245" s="31" t="s">
        <v>231</v>
      </c>
      <c r="CN245" s="31" t="s">
        <v>232</v>
      </c>
      <c r="CO245" s="31" t="s">
        <v>233</v>
      </c>
      <c r="CP245" s="31" t="s">
        <v>234</v>
      </c>
      <c r="CQ245" s="31" t="s">
        <v>235</v>
      </c>
      <c r="CR245" s="31" t="s">
        <v>236</v>
      </c>
      <c r="CT245" s="28" t="s">
        <v>1051</v>
      </c>
      <c r="DG245" s="159"/>
      <c r="DH245" s="35" t="s">
        <v>55</v>
      </c>
      <c r="DI245" s="159"/>
      <c r="DJ245" s="160"/>
      <c r="DK245" s="159"/>
      <c r="DL245" s="159"/>
      <c r="DM245" s="159"/>
      <c r="DN245" s="159"/>
      <c r="DO245" s="159"/>
      <c r="DP245" s="159"/>
      <c r="DQ245" s="159"/>
      <c r="DR245" s="161"/>
      <c r="DT245" s="159"/>
      <c r="DU245" s="35" t="s">
        <v>574</v>
      </c>
      <c r="DV245" s="159"/>
      <c r="DW245" s="160"/>
      <c r="DX245" s="159"/>
      <c r="DY245" s="159"/>
      <c r="DZ245" s="159"/>
      <c r="EA245" s="159"/>
      <c r="EB245" s="159"/>
      <c r="EC245" s="159"/>
      <c r="ED245" s="159"/>
      <c r="EE245" s="161"/>
      <c r="EG245" s="126" t="s">
        <v>1218</v>
      </c>
      <c r="ET245" s="20"/>
      <c r="FG245" s="24" t="s">
        <v>225</v>
      </c>
      <c r="FT245" s="159"/>
      <c r="FU245" s="35" t="s">
        <v>705</v>
      </c>
      <c r="FV245" s="159"/>
      <c r="FW245" s="160"/>
      <c r="FX245" s="159"/>
      <c r="FY245" s="159"/>
      <c r="FZ245" s="159"/>
      <c r="GA245" s="159"/>
      <c r="GB245" s="159"/>
      <c r="GC245" s="159"/>
      <c r="GD245" s="159"/>
      <c r="GE245" s="161"/>
      <c r="GG245" s="20"/>
      <c r="GT245" s="13" t="s">
        <v>3106</v>
      </c>
      <c r="HC245" s="126" t="s">
        <v>3324</v>
      </c>
    </row>
    <row r="246" spans="6:211" ht="33" customHeight="1" x14ac:dyDescent="0.25">
      <c r="F246" s="24" t="s">
        <v>225</v>
      </c>
      <c r="S246" s="31" t="s">
        <v>226</v>
      </c>
      <c r="T246" s="31" t="s">
        <v>227</v>
      </c>
      <c r="U246" s="31"/>
      <c r="V246" s="31" t="s">
        <v>228</v>
      </c>
      <c r="W246" s="31" t="s">
        <v>229</v>
      </c>
      <c r="X246" s="31" t="s">
        <v>230</v>
      </c>
      <c r="Y246" s="31" t="s">
        <v>231</v>
      </c>
      <c r="Z246" s="31" t="s">
        <v>232</v>
      </c>
      <c r="AA246" s="31" t="s">
        <v>233</v>
      </c>
      <c r="AB246" s="31" t="s">
        <v>234</v>
      </c>
      <c r="AC246" s="31" t="s">
        <v>235</v>
      </c>
      <c r="AD246" s="31" t="s">
        <v>236</v>
      </c>
      <c r="AF246" s="20"/>
      <c r="AT246" s="24" t="s">
        <v>193</v>
      </c>
      <c r="BG246" s="159">
        <v>7</v>
      </c>
      <c r="BH246" s="35" t="s">
        <v>713</v>
      </c>
      <c r="BI246" s="159" t="s">
        <v>237</v>
      </c>
      <c r="BJ246" s="160" t="s">
        <v>871</v>
      </c>
      <c r="BK246" s="159" t="s">
        <v>1853</v>
      </c>
      <c r="BL246" s="159" t="s">
        <v>878</v>
      </c>
      <c r="BM246" s="159" t="s">
        <v>1900</v>
      </c>
      <c r="BN246" s="159" t="s">
        <v>1901</v>
      </c>
      <c r="BO246" s="159" t="s">
        <v>1902</v>
      </c>
      <c r="BP246" s="159" t="s">
        <v>1903</v>
      </c>
      <c r="BQ246" s="159" t="s">
        <v>239</v>
      </c>
      <c r="BR246" s="161"/>
      <c r="BT246" s="24" t="s">
        <v>225</v>
      </c>
      <c r="CG246" s="163"/>
      <c r="CH246" s="163"/>
      <c r="CI246" s="163"/>
      <c r="CJ246" s="163"/>
      <c r="CK246" s="163"/>
      <c r="CL246" s="163"/>
      <c r="CM246" s="163"/>
      <c r="CN246" s="163"/>
      <c r="CO246" s="163"/>
      <c r="CP246" s="163"/>
      <c r="CQ246" s="163"/>
      <c r="CR246" s="163"/>
      <c r="CT246" s="20"/>
      <c r="DG246" s="159">
        <v>5</v>
      </c>
      <c r="DH246" s="35" t="s">
        <v>937</v>
      </c>
      <c r="DI246" s="159" t="s">
        <v>237</v>
      </c>
      <c r="DJ246" s="160" t="s">
        <v>1118</v>
      </c>
      <c r="DK246" s="159" t="s">
        <v>2195</v>
      </c>
      <c r="DL246" s="159" t="s">
        <v>872</v>
      </c>
      <c r="DM246" s="159" t="s">
        <v>2236</v>
      </c>
      <c r="DN246" s="159" t="s">
        <v>2237</v>
      </c>
      <c r="DO246" s="159" t="s">
        <v>2238</v>
      </c>
      <c r="DP246" s="159" t="s">
        <v>2160</v>
      </c>
      <c r="DQ246" s="159" t="s">
        <v>239</v>
      </c>
      <c r="DR246" s="161"/>
      <c r="DT246" s="159">
        <v>3</v>
      </c>
      <c r="DU246" s="35" t="s">
        <v>55</v>
      </c>
      <c r="DV246" s="159" t="s">
        <v>237</v>
      </c>
      <c r="DW246" s="160" t="s">
        <v>1169</v>
      </c>
      <c r="DX246" s="159" t="s">
        <v>2272</v>
      </c>
      <c r="DY246" s="159" t="s">
        <v>618</v>
      </c>
      <c r="DZ246" s="159" t="s">
        <v>2306</v>
      </c>
      <c r="EA246" s="159" t="s">
        <v>2307</v>
      </c>
      <c r="EB246" s="159" t="s">
        <v>2308</v>
      </c>
      <c r="EC246" s="159" t="s">
        <v>2309</v>
      </c>
      <c r="ED246" s="159" t="s">
        <v>239</v>
      </c>
      <c r="EE246" s="161"/>
      <c r="EG246" s="20"/>
      <c r="ET246" s="24" t="s">
        <v>222</v>
      </c>
      <c r="FG246" s="31" t="s">
        <v>226</v>
      </c>
      <c r="FH246" s="31" t="s">
        <v>227</v>
      </c>
      <c r="FI246" s="31"/>
      <c r="FJ246" s="31" t="s">
        <v>228</v>
      </c>
      <c r="FK246" s="31" t="s">
        <v>229</v>
      </c>
      <c r="FL246" s="31" t="s">
        <v>230</v>
      </c>
      <c r="FM246" s="31" t="s">
        <v>231</v>
      </c>
      <c r="FN246" s="31" t="s">
        <v>232</v>
      </c>
      <c r="FO246" s="31" t="s">
        <v>233</v>
      </c>
      <c r="FP246" s="31" t="s">
        <v>234</v>
      </c>
      <c r="FQ246" s="31" t="s">
        <v>235</v>
      </c>
      <c r="FR246" s="31" t="s">
        <v>236</v>
      </c>
      <c r="FT246" s="159">
        <v>8</v>
      </c>
      <c r="FU246" s="35" t="s">
        <v>2654</v>
      </c>
      <c r="FV246" s="159" t="s">
        <v>237</v>
      </c>
      <c r="FW246" s="160" t="s">
        <v>1363</v>
      </c>
      <c r="FX246" s="159" t="s">
        <v>2218</v>
      </c>
      <c r="FY246" s="159" t="s">
        <v>711</v>
      </c>
      <c r="FZ246" s="159" t="s">
        <v>2655</v>
      </c>
      <c r="GA246" s="159" t="s">
        <v>2656</v>
      </c>
      <c r="GB246" s="159" t="s">
        <v>2657</v>
      </c>
      <c r="GC246" s="159" t="s">
        <v>2658</v>
      </c>
      <c r="GD246" s="159" t="s">
        <v>239</v>
      </c>
      <c r="GE246" s="161"/>
      <c r="GG246" s="126" t="s">
        <v>1420</v>
      </c>
      <c r="GT246" s="11"/>
      <c r="HC246" s="20"/>
    </row>
    <row r="247" spans="6:211" ht="33" customHeight="1" x14ac:dyDescent="0.25">
      <c r="F247" s="31" t="s">
        <v>226</v>
      </c>
      <c r="G247" s="31" t="s">
        <v>227</v>
      </c>
      <c r="H247" s="31"/>
      <c r="I247" s="31" t="s">
        <v>228</v>
      </c>
      <c r="J247" s="31" t="s">
        <v>229</v>
      </c>
      <c r="K247" s="31" t="s">
        <v>230</v>
      </c>
      <c r="L247" s="31" t="s">
        <v>231</v>
      </c>
      <c r="M247" s="31" t="s">
        <v>232</v>
      </c>
      <c r="N247" s="31" t="s">
        <v>233</v>
      </c>
      <c r="O247" s="31" t="s">
        <v>234</v>
      </c>
      <c r="P247" s="31" t="s">
        <v>235</v>
      </c>
      <c r="Q247" s="31" t="s">
        <v>236</v>
      </c>
      <c r="S247" s="163"/>
      <c r="T247" s="163"/>
      <c r="U247" s="163"/>
      <c r="V247" s="163"/>
      <c r="W247" s="163"/>
      <c r="X247" s="163"/>
      <c r="Y247" s="163"/>
      <c r="Z247" s="163"/>
      <c r="AA247" s="163"/>
      <c r="AB247" s="163"/>
      <c r="AC247" s="163"/>
      <c r="AD247" s="163"/>
      <c r="AF247" s="28" t="s">
        <v>1687</v>
      </c>
      <c r="AT247" s="21" t="s">
        <v>783</v>
      </c>
      <c r="BG247" s="159"/>
      <c r="BH247" s="35" t="s">
        <v>713</v>
      </c>
      <c r="BI247" s="159"/>
      <c r="BJ247" s="160"/>
      <c r="BK247" s="159"/>
      <c r="BL247" s="159"/>
      <c r="BM247" s="159"/>
      <c r="BN247" s="159"/>
      <c r="BO247" s="159"/>
      <c r="BP247" s="159"/>
      <c r="BQ247" s="159"/>
      <c r="BR247" s="161"/>
      <c r="BT247" s="31" t="s">
        <v>226</v>
      </c>
      <c r="BU247" s="31" t="s">
        <v>227</v>
      </c>
      <c r="BV247" s="31"/>
      <c r="BW247" s="31" t="s">
        <v>228</v>
      </c>
      <c r="BX247" s="31" t="s">
        <v>229</v>
      </c>
      <c r="BY247" s="31" t="s">
        <v>230</v>
      </c>
      <c r="BZ247" s="31" t="s">
        <v>231</v>
      </c>
      <c r="CA247" s="31" t="s">
        <v>232</v>
      </c>
      <c r="CB247" s="31" t="s">
        <v>233</v>
      </c>
      <c r="CC247" s="31" t="s">
        <v>234</v>
      </c>
      <c r="CD247" s="31" t="s">
        <v>235</v>
      </c>
      <c r="CE247" s="31" t="s">
        <v>236</v>
      </c>
      <c r="CG247" s="159">
        <v>1</v>
      </c>
      <c r="CH247" s="35" t="s">
        <v>242</v>
      </c>
      <c r="CI247" s="159" t="s">
        <v>237</v>
      </c>
      <c r="CJ247" s="160" t="s">
        <v>988</v>
      </c>
      <c r="CK247" s="159" t="s">
        <v>2040</v>
      </c>
      <c r="CL247" s="159" t="s">
        <v>618</v>
      </c>
      <c r="CM247" s="159" t="s">
        <v>2041</v>
      </c>
      <c r="CN247" s="159" t="s">
        <v>2042</v>
      </c>
      <c r="CO247" s="159" t="s">
        <v>2043</v>
      </c>
      <c r="CP247" s="159" t="s">
        <v>2044</v>
      </c>
      <c r="CQ247" s="159" t="s">
        <v>239</v>
      </c>
      <c r="CR247" s="161"/>
      <c r="CT247" s="28" t="s">
        <v>1052</v>
      </c>
      <c r="DG247" s="159"/>
      <c r="DH247" s="35" t="s">
        <v>937</v>
      </c>
      <c r="DI247" s="159"/>
      <c r="DJ247" s="160"/>
      <c r="DK247" s="159"/>
      <c r="DL247" s="159"/>
      <c r="DM247" s="159"/>
      <c r="DN247" s="159"/>
      <c r="DO247" s="159"/>
      <c r="DP247" s="159"/>
      <c r="DQ247" s="159"/>
      <c r="DR247" s="161"/>
      <c r="DT247" s="159"/>
      <c r="DU247" s="35" t="s">
        <v>55</v>
      </c>
      <c r="DV247" s="159"/>
      <c r="DW247" s="160"/>
      <c r="DX247" s="159"/>
      <c r="DY247" s="159"/>
      <c r="DZ247" s="159"/>
      <c r="EA247" s="159"/>
      <c r="EB247" s="159"/>
      <c r="EC247" s="159"/>
      <c r="ED247" s="159"/>
      <c r="EE247" s="161"/>
      <c r="EG247" s="22" t="s">
        <v>1219</v>
      </c>
      <c r="ET247" s="20"/>
      <c r="FG247" s="163"/>
      <c r="FH247" s="163"/>
      <c r="FI247" s="163"/>
      <c r="FJ247" s="163"/>
      <c r="FK247" s="163"/>
      <c r="FL247" s="163"/>
      <c r="FM247" s="163"/>
      <c r="FN247" s="163"/>
      <c r="FO247" s="163"/>
      <c r="FP247" s="163"/>
      <c r="FQ247" s="163"/>
      <c r="FR247" s="163"/>
      <c r="FT247" s="159"/>
      <c r="FU247" s="35" t="s">
        <v>2654</v>
      </c>
      <c r="FV247" s="159"/>
      <c r="FW247" s="160"/>
      <c r="FX247" s="159"/>
      <c r="FY247" s="159"/>
      <c r="FZ247" s="159"/>
      <c r="GA247" s="159"/>
      <c r="GB247" s="159"/>
      <c r="GC247" s="159"/>
      <c r="GD247" s="159"/>
      <c r="GE247" s="161"/>
      <c r="GG247" s="20"/>
      <c r="GT247" s="13" t="s">
        <v>3107</v>
      </c>
      <c r="HC247" s="28" t="s">
        <v>3325</v>
      </c>
    </row>
    <row r="248" spans="6:211" ht="26.25" x14ac:dyDescent="0.25">
      <c r="F248" s="163"/>
      <c r="G248" s="163"/>
      <c r="H248" s="163"/>
      <c r="I248" s="163"/>
      <c r="J248" s="163"/>
      <c r="K248" s="163"/>
      <c r="L248" s="163"/>
      <c r="M248" s="163"/>
      <c r="N248" s="163"/>
      <c r="O248" s="163"/>
      <c r="P248" s="163"/>
      <c r="Q248" s="163"/>
      <c r="S248" s="159">
        <v>1</v>
      </c>
      <c r="T248" s="35" t="s">
        <v>55</v>
      </c>
      <c r="U248" s="159" t="s">
        <v>237</v>
      </c>
      <c r="V248" s="160" t="s">
        <v>573</v>
      </c>
      <c r="W248" s="159" t="s">
        <v>1604</v>
      </c>
      <c r="X248" s="159" t="s">
        <v>238</v>
      </c>
      <c r="Y248" s="159" t="s">
        <v>1605</v>
      </c>
      <c r="Z248" s="159" t="s">
        <v>1606</v>
      </c>
      <c r="AA248" s="159" t="s">
        <v>1607</v>
      </c>
      <c r="AB248" s="159" t="s">
        <v>1608</v>
      </c>
      <c r="AC248" s="159" t="s">
        <v>239</v>
      </c>
      <c r="AD248" s="161"/>
      <c r="AF248" s="20"/>
      <c r="AT248" s="24" t="s">
        <v>784</v>
      </c>
      <c r="BG248" s="159">
        <v>8</v>
      </c>
      <c r="BH248" s="35" t="s">
        <v>875</v>
      </c>
      <c r="BI248" s="159" t="s">
        <v>876</v>
      </c>
      <c r="BJ248" s="160" t="s">
        <v>879</v>
      </c>
      <c r="BK248" s="159" t="s">
        <v>1904</v>
      </c>
      <c r="BL248" s="159" t="s">
        <v>617</v>
      </c>
      <c r="BM248" s="159" t="s">
        <v>1905</v>
      </c>
      <c r="BN248" s="159" t="s">
        <v>1906</v>
      </c>
      <c r="BO248" s="159" t="s">
        <v>1907</v>
      </c>
      <c r="BP248" s="159" t="s">
        <v>1458</v>
      </c>
      <c r="BQ248" s="159" t="s">
        <v>239</v>
      </c>
      <c r="BR248" s="161"/>
      <c r="BT248" s="163"/>
      <c r="BU248" s="163"/>
      <c r="BV248" s="163"/>
      <c r="BW248" s="163"/>
      <c r="BX248" s="163"/>
      <c r="BY248" s="163"/>
      <c r="BZ248" s="163"/>
      <c r="CA248" s="163"/>
      <c r="CB248" s="163"/>
      <c r="CC248" s="163"/>
      <c r="CD248" s="163"/>
      <c r="CE248" s="163"/>
      <c r="CG248" s="159"/>
      <c r="CH248" s="35" t="s">
        <v>242</v>
      </c>
      <c r="CI248" s="159"/>
      <c r="CJ248" s="160"/>
      <c r="CK248" s="159"/>
      <c r="CL248" s="159"/>
      <c r="CM248" s="159"/>
      <c r="CN248" s="159"/>
      <c r="CO248" s="159"/>
      <c r="CP248" s="159"/>
      <c r="CQ248" s="159"/>
      <c r="CR248" s="161"/>
      <c r="CT248" s="20"/>
      <c r="DG248" s="159">
        <v>6</v>
      </c>
      <c r="DH248" s="35" t="s">
        <v>707</v>
      </c>
      <c r="DI248" s="159" t="s">
        <v>237</v>
      </c>
      <c r="DJ248" s="160" t="s">
        <v>1118</v>
      </c>
      <c r="DK248" s="159" t="s">
        <v>2218</v>
      </c>
      <c r="DL248" s="159" t="s">
        <v>872</v>
      </c>
      <c r="DM248" s="159" t="s">
        <v>2239</v>
      </c>
      <c r="DN248" s="159" t="s">
        <v>2240</v>
      </c>
      <c r="DO248" s="159" t="s">
        <v>2241</v>
      </c>
      <c r="DP248" s="159" t="s">
        <v>1443</v>
      </c>
      <c r="DQ248" s="159" t="s">
        <v>239</v>
      </c>
      <c r="DR248" s="161"/>
      <c r="DT248" s="159">
        <v>4</v>
      </c>
      <c r="DU248" s="35" t="s">
        <v>705</v>
      </c>
      <c r="DV248" s="159" t="s">
        <v>237</v>
      </c>
      <c r="DW248" s="160" t="s">
        <v>1169</v>
      </c>
      <c r="DX248" s="159" t="s">
        <v>1179</v>
      </c>
      <c r="DY248" s="159" t="s">
        <v>618</v>
      </c>
      <c r="DZ248" s="159" t="s">
        <v>2310</v>
      </c>
      <c r="EA248" s="159" t="s">
        <v>2311</v>
      </c>
      <c r="EB248" s="159" t="s">
        <v>2312</v>
      </c>
      <c r="EC248" s="159" t="s">
        <v>2313</v>
      </c>
      <c r="ED248" s="159" t="s">
        <v>239</v>
      </c>
      <c r="EE248" s="161"/>
      <c r="EG248" s="112"/>
      <c r="ET248" s="29" t="s">
        <v>1269</v>
      </c>
      <c r="FG248" s="159">
        <v>1</v>
      </c>
      <c r="FH248" s="35" t="s">
        <v>989</v>
      </c>
      <c r="FI248" s="159" t="s">
        <v>237</v>
      </c>
      <c r="FJ248" s="160" t="s">
        <v>2540</v>
      </c>
      <c r="FK248" s="159" t="s">
        <v>2541</v>
      </c>
      <c r="FL248" s="159" t="s">
        <v>238</v>
      </c>
      <c r="FM248" s="159" t="s">
        <v>2542</v>
      </c>
      <c r="FN248" s="159" t="s">
        <v>2543</v>
      </c>
      <c r="FO248" s="159" t="s">
        <v>2544</v>
      </c>
      <c r="FP248" s="159" t="s">
        <v>1171</v>
      </c>
      <c r="FQ248" s="159" t="s">
        <v>239</v>
      </c>
      <c r="FR248" s="161"/>
      <c r="FT248" s="159">
        <v>9</v>
      </c>
      <c r="FU248" s="35" t="s">
        <v>937</v>
      </c>
      <c r="FV248" s="159" t="s">
        <v>237</v>
      </c>
      <c r="FW248" s="160" t="s">
        <v>1363</v>
      </c>
      <c r="FX248" s="159" t="s">
        <v>2195</v>
      </c>
      <c r="FY248" s="159" t="s">
        <v>618</v>
      </c>
      <c r="FZ248" s="159" t="s">
        <v>2659</v>
      </c>
      <c r="GA248" s="159" t="s">
        <v>2660</v>
      </c>
      <c r="GB248" s="159" t="s">
        <v>2661</v>
      </c>
      <c r="GC248" s="159" t="s">
        <v>2662</v>
      </c>
      <c r="GD248" s="159" t="s">
        <v>239</v>
      </c>
      <c r="GE248" s="161"/>
      <c r="GG248" s="28" t="s">
        <v>2706</v>
      </c>
      <c r="GT248" s="11"/>
      <c r="HC248" s="20"/>
    </row>
    <row r="249" spans="6:211" ht="15" customHeight="1" x14ac:dyDescent="0.25">
      <c r="F249" s="159">
        <v>1</v>
      </c>
      <c r="G249" s="35" t="s">
        <v>55</v>
      </c>
      <c r="H249" s="159" t="s">
        <v>237</v>
      </c>
      <c r="I249" s="160" t="s">
        <v>240</v>
      </c>
      <c r="J249" s="159" t="s">
        <v>1501</v>
      </c>
      <c r="K249" s="159" t="s">
        <v>238</v>
      </c>
      <c r="L249" s="159" t="s">
        <v>1502</v>
      </c>
      <c r="M249" s="159" t="s">
        <v>1503</v>
      </c>
      <c r="N249" s="159" t="s">
        <v>1504</v>
      </c>
      <c r="O249" s="159" t="s">
        <v>1505</v>
      </c>
      <c r="P249" s="159" t="s">
        <v>239</v>
      </c>
      <c r="Q249" s="161"/>
      <c r="S249" s="159"/>
      <c r="T249" s="35" t="s">
        <v>55</v>
      </c>
      <c r="U249" s="159"/>
      <c r="V249" s="160"/>
      <c r="W249" s="159"/>
      <c r="X249" s="159"/>
      <c r="Y249" s="159"/>
      <c r="Z249" s="159"/>
      <c r="AA249" s="159"/>
      <c r="AB249" s="159"/>
      <c r="AC249" s="159"/>
      <c r="AD249" s="161"/>
      <c r="AF249" s="126" t="s">
        <v>698</v>
      </c>
      <c r="AT249" s="28" t="s">
        <v>785</v>
      </c>
      <c r="BG249" s="159"/>
      <c r="BH249" s="35" t="s">
        <v>875</v>
      </c>
      <c r="BI249" s="159"/>
      <c r="BJ249" s="160"/>
      <c r="BK249" s="159"/>
      <c r="BL249" s="159"/>
      <c r="BM249" s="159"/>
      <c r="BN249" s="159"/>
      <c r="BO249" s="159"/>
      <c r="BP249" s="159"/>
      <c r="BQ249" s="159"/>
      <c r="BR249" s="161"/>
      <c r="BT249" s="159">
        <v>1</v>
      </c>
      <c r="BU249" s="35" t="s">
        <v>937</v>
      </c>
      <c r="BV249" s="159" t="s">
        <v>237</v>
      </c>
      <c r="BW249" s="160" t="s">
        <v>936</v>
      </c>
      <c r="BX249" s="159" t="s">
        <v>1377</v>
      </c>
      <c r="BY249" s="159" t="s">
        <v>238</v>
      </c>
      <c r="BZ249" s="159" t="s">
        <v>1959</v>
      </c>
      <c r="CA249" s="159" t="s">
        <v>1960</v>
      </c>
      <c r="CB249" s="159" t="s">
        <v>1961</v>
      </c>
      <c r="CC249" s="159" t="s">
        <v>1962</v>
      </c>
      <c r="CD249" s="159" t="s">
        <v>239</v>
      </c>
      <c r="CE249" s="161"/>
      <c r="CG249" s="159">
        <v>2</v>
      </c>
      <c r="CH249" s="35" t="s">
        <v>244</v>
      </c>
      <c r="CI249" s="159" t="s">
        <v>237</v>
      </c>
      <c r="CJ249" s="160" t="s">
        <v>988</v>
      </c>
      <c r="CK249" s="159" t="s">
        <v>2045</v>
      </c>
      <c r="CL249" s="159" t="s">
        <v>618</v>
      </c>
      <c r="CM249" s="159" t="s">
        <v>2046</v>
      </c>
      <c r="CN249" s="159" t="s">
        <v>2047</v>
      </c>
      <c r="CO249" s="159" t="s">
        <v>2048</v>
      </c>
      <c r="CP249" s="159" t="s">
        <v>2049</v>
      </c>
      <c r="CQ249" s="159" t="s">
        <v>239</v>
      </c>
      <c r="CR249" s="161"/>
      <c r="CT249" s="28" t="s">
        <v>1053</v>
      </c>
      <c r="DG249" s="159"/>
      <c r="DH249" s="35" t="s">
        <v>707</v>
      </c>
      <c r="DI249" s="159"/>
      <c r="DJ249" s="160"/>
      <c r="DK249" s="159"/>
      <c r="DL249" s="159"/>
      <c r="DM249" s="159"/>
      <c r="DN249" s="159"/>
      <c r="DO249" s="159"/>
      <c r="DP249" s="159"/>
      <c r="DQ249" s="159"/>
      <c r="DR249" s="161"/>
      <c r="DT249" s="159"/>
      <c r="DU249" s="35" t="s">
        <v>705</v>
      </c>
      <c r="DV249" s="159"/>
      <c r="DW249" s="160"/>
      <c r="DX249" s="159"/>
      <c r="DY249" s="159"/>
      <c r="DZ249" s="159"/>
      <c r="EA249" s="159"/>
      <c r="EB249" s="159"/>
      <c r="EC249" s="159"/>
      <c r="ED249" s="159"/>
      <c r="EE249" s="161"/>
      <c r="EG249" s="28" t="s">
        <v>1220</v>
      </c>
      <c r="ET249" s="20"/>
      <c r="FG249" s="159"/>
      <c r="FH249" s="35" t="s">
        <v>989</v>
      </c>
      <c r="FI249" s="159"/>
      <c r="FJ249" s="160"/>
      <c r="FK249" s="159"/>
      <c r="FL249" s="159"/>
      <c r="FM249" s="159"/>
      <c r="FN249" s="159"/>
      <c r="FO249" s="159"/>
      <c r="FP249" s="159"/>
      <c r="FQ249" s="159"/>
      <c r="FR249" s="161"/>
      <c r="FT249" s="159"/>
      <c r="FU249" s="35" t="s">
        <v>937</v>
      </c>
      <c r="FV249" s="159"/>
      <c r="FW249" s="160"/>
      <c r="FX249" s="159"/>
      <c r="FY249" s="159"/>
      <c r="FZ249" s="159"/>
      <c r="GA249" s="159"/>
      <c r="GB249" s="159"/>
      <c r="GC249" s="159"/>
      <c r="GD249" s="159"/>
      <c r="GE249" s="161"/>
      <c r="GG249" s="20"/>
      <c r="GT249" s="13" t="s">
        <v>3108</v>
      </c>
      <c r="HC249" s="126" t="s">
        <v>3326</v>
      </c>
    </row>
    <row r="250" spans="6:211" ht="15" customHeight="1" x14ac:dyDescent="0.25">
      <c r="F250" s="159"/>
      <c r="G250" s="35" t="s">
        <v>55</v>
      </c>
      <c r="H250" s="159"/>
      <c r="I250" s="160"/>
      <c r="J250" s="159"/>
      <c r="K250" s="159"/>
      <c r="L250" s="159"/>
      <c r="M250" s="159"/>
      <c r="N250" s="159"/>
      <c r="O250" s="159"/>
      <c r="P250" s="159"/>
      <c r="Q250" s="161"/>
      <c r="S250" s="159">
        <v>2</v>
      </c>
      <c r="T250" s="35" t="s">
        <v>242</v>
      </c>
      <c r="U250" s="159" t="s">
        <v>237</v>
      </c>
      <c r="V250" s="160" t="s">
        <v>573</v>
      </c>
      <c r="W250" s="159" t="s">
        <v>1609</v>
      </c>
      <c r="X250" s="159" t="s">
        <v>238</v>
      </c>
      <c r="Y250" s="159" t="s">
        <v>1610</v>
      </c>
      <c r="Z250" s="159" t="s">
        <v>1611</v>
      </c>
      <c r="AA250" s="159" t="s">
        <v>1612</v>
      </c>
      <c r="AB250" s="159" t="s">
        <v>1613</v>
      </c>
      <c r="AC250" s="159" t="s">
        <v>239</v>
      </c>
      <c r="AD250" s="161"/>
      <c r="AF250" s="20"/>
      <c r="AT250" s="20"/>
      <c r="BG250" s="159">
        <v>9</v>
      </c>
      <c r="BH250" s="35" t="s">
        <v>875</v>
      </c>
      <c r="BI250" s="159" t="s">
        <v>876</v>
      </c>
      <c r="BJ250" s="160" t="s">
        <v>1451</v>
      </c>
      <c r="BK250" s="159" t="s">
        <v>821</v>
      </c>
      <c r="BL250" s="159" t="s">
        <v>617</v>
      </c>
      <c r="BM250" s="159" t="s">
        <v>1908</v>
      </c>
      <c r="BN250" s="159" t="s">
        <v>1909</v>
      </c>
      <c r="BO250" s="159" t="s">
        <v>1910</v>
      </c>
      <c r="BP250" s="159" t="s">
        <v>1911</v>
      </c>
      <c r="BQ250" s="159" t="s">
        <v>239</v>
      </c>
      <c r="BR250" s="161"/>
      <c r="BT250" s="159"/>
      <c r="BU250" s="35" t="s">
        <v>937</v>
      </c>
      <c r="BV250" s="159"/>
      <c r="BW250" s="160"/>
      <c r="BX250" s="159"/>
      <c r="BY250" s="159"/>
      <c r="BZ250" s="159"/>
      <c r="CA250" s="159"/>
      <c r="CB250" s="159"/>
      <c r="CC250" s="159"/>
      <c r="CD250" s="159"/>
      <c r="CE250" s="161"/>
      <c r="CG250" s="159"/>
      <c r="CH250" s="35" t="s">
        <v>244</v>
      </c>
      <c r="CI250" s="159"/>
      <c r="CJ250" s="160"/>
      <c r="CK250" s="159"/>
      <c r="CL250" s="159"/>
      <c r="CM250" s="159"/>
      <c r="CN250" s="159"/>
      <c r="CO250" s="159"/>
      <c r="CP250" s="159"/>
      <c r="CQ250" s="159"/>
      <c r="CR250" s="161"/>
      <c r="CT250" s="20"/>
      <c r="DG250" s="159">
        <v>7</v>
      </c>
      <c r="DH250" s="35" t="s">
        <v>245</v>
      </c>
      <c r="DI250" s="159" t="s">
        <v>237</v>
      </c>
      <c r="DJ250" s="160" t="s">
        <v>1118</v>
      </c>
      <c r="DK250" s="159" t="s">
        <v>2223</v>
      </c>
      <c r="DL250" s="159" t="s">
        <v>618</v>
      </c>
      <c r="DM250" s="159" t="s">
        <v>2242</v>
      </c>
      <c r="DN250" s="159" t="s">
        <v>2243</v>
      </c>
      <c r="DO250" s="159" t="s">
        <v>2244</v>
      </c>
      <c r="DP250" s="159" t="s">
        <v>2245</v>
      </c>
      <c r="DQ250" s="159" t="s">
        <v>239</v>
      </c>
      <c r="DR250" s="161"/>
      <c r="DT250" s="159">
        <v>5</v>
      </c>
      <c r="DU250" s="35" t="s">
        <v>707</v>
      </c>
      <c r="DV250" s="159" t="s">
        <v>237</v>
      </c>
      <c r="DW250" s="160" t="s">
        <v>1169</v>
      </c>
      <c r="DX250" s="159" t="s">
        <v>1179</v>
      </c>
      <c r="DY250" s="159" t="s">
        <v>618</v>
      </c>
      <c r="DZ250" s="159" t="s">
        <v>2314</v>
      </c>
      <c r="EA250" s="159" t="s">
        <v>2315</v>
      </c>
      <c r="EB250" s="159" t="s">
        <v>2316</v>
      </c>
      <c r="EC250" s="159" t="s">
        <v>2317</v>
      </c>
      <c r="ED250" s="159" t="s">
        <v>239</v>
      </c>
      <c r="EE250" s="161"/>
      <c r="EG250" s="20"/>
      <c r="ET250" s="24" t="s">
        <v>224</v>
      </c>
      <c r="FG250" s="159">
        <v>2</v>
      </c>
      <c r="FH250" s="35" t="s">
        <v>55</v>
      </c>
      <c r="FI250" s="159" t="s">
        <v>237</v>
      </c>
      <c r="FJ250" s="160" t="s">
        <v>1320</v>
      </c>
      <c r="FK250" s="159" t="s">
        <v>2545</v>
      </c>
      <c r="FL250" s="159" t="s">
        <v>618</v>
      </c>
      <c r="FM250" s="159" t="s">
        <v>2546</v>
      </c>
      <c r="FN250" s="159" t="s">
        <v>2547</v>
      </c>
      <c r="FO250" s="159" t="s">
        <v>2548</v>
      </c>
      <c r="FP250" s="159" t="s">
        <v>2549</v>
      </c>
      <c r="FQ250" s="159" t="s">
        <v>239</v>
      </c>
      <c r="FR250" s="161"/>
      <c r="FT250" s="159">
        <v>10</v>
      </c>
      <c r="FU250" s="35" t="s">
        <v>1428</v>
      </c>
      <c r="FV250" s="159" t="s">
        <v>237</v>
      </c>
      <c r="FW250" s="160" t="s">
        <v>1363</v>
      </c>
      <c r="FX250" s="159" t="s">
        <v>2195</v>
      </c>
      <c r="FY250" s="159" t="s">
        <v>238</v>
      </c>
      <c r="FZ250" s="159" t="s">
        <v>2663</v>
      </c>
      <c r="GA250" s="159" t="s">
        <v>2664</v>
      </c>
      <c r="GB250" s="159" t="s">
        <v>2665</v>
      </c>
      <c r="GC250" s="159" t="s">
        <v>2160</v>
      </c>
      <c r="GD250" s="159" t="s">
        <v>239</v>
      </c>
      <c r="GE250" s="161"/>
      <c r="GG250" s="126" t="s">
        <v>1421</v>
      </c>
      <c r="GT250" s="11"/>
      <c r="HC250" s="20"/>
    </row>
    <row r="251" spans="6:211" ht="15" customHeight="1" x14ac:dyDescent="0.25">
      <c r="F251" s="159">
        <v>2</v>
      </c>
      <c r="G251" s="35" t="s">
        <v>241</v>
      </c>
      <c r="H251" s="159" t="s">
        <v>237</v>
      </c>
      <c r="I251" s="160" t="s">
        <v>60</v>
      </c>
      <c r="J251" s="159" t="s">
        <v>1506</v>
      </c>
      <c r="K251" s="159" t="s">
        <v>238</v>
      </c>
      <c r="L251" s="159" t="s">
        <v>1507</v>
      </c>
      <c r="M251" s="159" t="s">
        <v>1508</v>
      </c>
      <c r="N251" s="159" t="s">
        <v>1509</v>
      </c>
      <c r="O251" s="159" t="s">
        <v>826</v>
      </c>
      <c r="P251" s="159" t="s">
        <v>239</v>
      </c>
      <c r="Q251" s="161"/>
      <c r="S251" s="159"/>
      <c r="T251" s="35" t="s">
        <v>242</v>
      </c>
      <c r="U251" s="159"/>
      <c r="V251" s="160"/>
      <c r="W251" s="159"/>
      <c r="X251" s="159"/>
      <c r="Y251" s="159"/>
      <c r="Z251" s="159"/>
      <c r="AA251" s="159"/>
      <c r="AB251" s="159"/>
      <c r="AC251" s="159"/>
      <c r="AD251" s="161"/>
      <c r="AF251" s="28" t="s">
        <v>1688</v>
      </c>
      <c r="AT251" s="29" t="s">
        <v>786</v>
      </c>
      <c r="BG251" s="159"/>
      <c r="BH251" s="35" t="s">
        <v>875</v>
      </c>
      <c r="BI251" s="159"/>
      <c r="BJ251" s="160"/>
      <c r="BK251" s="159"/>
      <c r="BL251" s="159"/>
      <c r="BM251" s="159"/>
      <c r="BN251" s="159"/>
      <c r="BO251" s="159"/>
      <c r="BP251" s="159"/>
      <c r="BQ251" s="159"/>
      <c r="BR251" s="161"/>
      <c r="BT251" s="159">
        <v>2</v>
      </c>
      <c r="BU251" s="35" t="s">
        <v>55</v>
      </c>
      <c r="BV251" s="159" t="s">
        <v>237</v>
      </c>
      <c r="BW251" s="160" t="s">
        <v>936</v>
      </c>
      <c r="BX251" s="159" t="s">
        <v>830</v>
      </c>
      <c r="BY251" s="159" t="s">
        <v>238</v>
      </c>
      <c r="BZ251" s="159" t="s">
        <v>1963</v>
      </c>
      <c r="CA251" s="159" t="s">
        <v>1964</v>
      </c>
      <c r="CB251" s="159" t="s">
        <v>1965</v>
      </c>
      <c r="CC251" s="159" t="s">
        <v>1966</v>
      </c>
      <c r="CD251" s="159" t="s">
        <v>239</v>
      </c>
      <c r="CE251" s="161"/>
      <c r="CG251" s="159">
        <v>3</v>
      </c>
      <c r="CH251" s="35" t="s">
        <v>989</v>
      </c>
      <c r="CI251" s="159" t="s">
        <v>237</v>
      </c>
      <c r="CJ251" s="160" t="s">
        <v>988</v>
      </c>
      <c r="CK251" s="159" t="s">
        <v>2050</v>
      </c>
      <c r="CL251" s="159" t="s">
        <v>711</v>
      </c>
      <c r="CM251" s="159" t="s">
        <v>2051</v>
      </c>
      <c r="CN251" s="159" t="s">
        <v>2052</v>
      </c>
      <c r="CO251" s="159" t="s">
        <v>2053</v>
      </c>
      <c r="CP251" s="159" t="s">
        <v>880</v>
      </c>
      <c r="CQ251" s="159" t="s">
        <v>239</v>
      </c>
      <c r="CR251" s="161"/>
      <c r="CT251" s="28" t="s">
        <v>1054</v>
      </c>
      <c r="DG251" s="159"/>
      <c r="DH251" s="35" t="s">
        <v>245</v>
      </c>
      <c r="DI251" s="159"/>
      <c r="DJ251" s="160"/>
      <c r="DK251" s="159"/>
      <c r="DL251" s="159"/>
      <c r="DM251" s="159"/>
      <c r="DN251" s="159"/>
      <c r="DO251" s="159"/>
      <c r="DP251" s="159"/>
      <c r="DQ251" s="159"/>
      <c r="DR251" s="161"/>
      <c r="DT251" s="159"/>
      <c r="DU251" s="35" t="s">
        <v>707</v>
      </c>
      <c r="DV251" s="159"/>
      <c r="DW251" s="160"/>
      <c r="DX251" s="159"/>
      <c r="DY251" s="159"/>
      <c r="DZ251" s="159"/>
      <c r="EA251" s="159"/>
      <c r="EB251" s="159"/>
      <c r="EC251" s="159"/>
      <c r="ED251" s="159"/>
      <c r="EE251" s="161"/>
      <c r="EG251" s="24" t="s">
        <v>222</v>
      </c>
      <c r="ET251" s="24" t="s">
        <v>225</v>
      </c>
      <c r="FG251" s="159"/>
      <c r="FH251" s="35" t="s">
        <v>55</v>
      </c>
      <c r="FI251" s="159"/>
      <c r="FJ251" s="160"/>
      <c r="FK251" s="159"/>
      <c r="FL251" s="159"/>
      <c r="FM251" s="159"/>
      <c r="FN251" s="159"/>
      <c r="FO251" s="159"/>
      <c r="FP251" s="159"/>
      <c r="FQ251" s="159"/>
      <c r="FR251" s="161"/>
      <c r="FT251" s="159"/>
      <c r="FU251" s="35" t="s">
        <v>1428</v>
      </c>
      <c r="FV251" s="159"/>
      <c r="FW251" s="160"/>
      <c r="FX251" s="159"/>
      <c r="FY251" s="159"/>
      <c r="FZ251" s="159"/>
      <c r="GA251" s="159"/>
      <c r="GB251" s="159"/>
      <c r="GC251" s="159"/>
      <c r="GD251" s="159"/>
      <c r="GE251" s="161"/>
      <c r="GG251" s="20"/>
      <c r="GT251" s="11"/>
      <c r="HC251" s="28" t="s">
        <v>3327</v>
      </c>
    </row>
    <row r="252" spans="6:211" ht="15" customHeight="1" x14ac:dyDescent="0.25">
      <c r="F252" s="159"/>
      <c r="G252" s="35" t="s">
        <v>241</v>
      </c>
      <c r="H252" s="159"/>
      <c r="I252" s="160"/>
      <c r="J252" s="159"/>
      <c r="K252" s="159"/>
      <c r="L252" s="159"/>
      <c r="M252" s="159"/>
      <c r="N252" s="159"/>
      <c r="O252" s="159"/>
      <c r="P252" s="159"/>
      <c r="Q252" s="161"/>
      <c r="S252" s="159">
        <v>3</v>
      </c>
      <c r="T252" s="35" t="s">
        <v>245</v>
      </c>
      <c r="U252" s="159" t="s">
        <v>237</v>
      </c>
      <c r="V252" s="160" t="s">
        <v>573</v>
      </c>
      <c r="W252" s="159" t="s">
        <v>1614</v>
      </c>
      <c r="X252" s="159" t="s">
        <v>238</v>
      </c>
      <c r="Y252" s="159" t="s">
        <v>1615</v>
      </c>
      <c r="Z252" s="159" t="s">
        <v>1616</v>
      </c>
      <c r="AA252" s="159" t="s">
        <v>1617</v>
      </c>
      <c r="AB252" s="159" t="s">
        <v>585</v>
      </c>
      <c r="AC252" s="159" t="s">
        <v>239</v>
      </c>
      <c r="AD252" s="161"/>
      <c r="AF252" s="20"/>
      <c r="AT252" s="20"/>
      <c r="BG252" s="159">
        <v>10</v>
      </c>
      <c r="BH252" s="35" t="s">
        <v>710</v>
      </c>
      <c r="BI252" s="159" t="s">
        <v>237</v>
      </c>
      <c r="BJ252" s="160" t="s">
        <v>871</v>
      </c>
      <c r="BK252" s="159" t="s">
        <v>1884</v>
      </c>
      <c r="BL252" s="159" t="s">
        <v>872</v>
      </c>
      <c r="BM252" s="159" t="s">
        <v>1912</v>
      </c>
      <c r="BN252" s="159" t="s">
        <v>1913</v>
      </c>
      <c r="BO252" s="159" t="s">
        <v>1914</v>
      </c>
      <c r="BP252" s="159" t="s">
        <v>878</v>
      </c>
      <c r="BQ252" s="159" t="s">
        <v>239</v>
      </c>
      <c r="BR252" s="161"/>
      <c r="BT252" s="159"/>
      <c r="BU252" s="35" t="s">
        <v>55</v>
      </c>
      <c r="BV252" s="159"/>
      <c r="BW252" s="160"/>
      <c r="BX252" s="159"/>
      <c r="BY252" s="159"/>
      <c r="BZ252" s="159"/>
      <c r="CA252" s="159"/>
      <c r="CB252" s="159"/>
      <c r="CC252" s="159"/>
      <c r="CD252" s="159"/>
      <c r="CE252" s="161"/>
      <c r="CG252" s="159"/>
      <c r="CH252" s="35" t="s">
        <v>989</v>
      </c>
      <c r="CI252" s="159"/>
      <c r="CJ252" s="160"/>
      <c r="CK252" s="159"/>
      <c r="CL252" s="159"/>
      <c r="CM252" s="159"/>
      <c r="CN252" s="159"/>
      <c r="CO252" s="159"/>
      <c r="CP252" s="159"/>
      <c r="CQ252" s="159"/>
      <c r="CR252" s="161"/>
      <c r="CT252" s="20"/>
      <c r="DG252" s="159">
        <v>8</v>
      </c>
      <c r="DH252" s="35" t="s">
        <v>243</v>
      </c>
      <c r="DI252" s="159" t="s">
        <v>237</v>
      </c>
      <c r="DJ252" s="160" t="s">
        <v>1118</v>
      </c>
      <c r="DK252" s="159" t="s">
        <v>2218</v>
      </c>
      <c r="DL252" s="159" t="s">
        <v>940</v>
      </c>
      <c r="DM252" s="159" t="s">
        <v>2246</v>
      </c>
      <c r="DN252" s="159" t="s">
        <v>2247</v>
      </c>
      <c r="DO252" s="159" t="s">
        <v>2248</v>
      </c>
      <c r="DP252" s="159" t="s">
        <v>2249</v>
      </c>
      <c r="DQ252" s="159" t="s">
        <v>239</v>
      </c>
      <c r="DR252" s="161"/>
      <c r="DT252" s="159">
        <v>6</v>
      </c>
      <c r="DU252" s="35" t="s">
        <v>1170</v>
      </c>
      <c r="DV252" s="159" t="s">
        <v>237</v>
      </c>
      <c r="DW252" s="160" t="s">
        <v>1169</v>
      </c>
      <c r="DX252" s="159" t="s">
        <v>2272</v>
      </c>
      <c r="DY252" s="159" t="s">
        <v>618</v>
      </c>
      <c r="DZ252" s="159" t="s">
        <v>2318</v>
      </c>
      <c r="EA252" s="159" t="s">
        <v>2319</v>
      </c>
      <c r="EB252" s="159" t="s">
        <v>2320</v>
      </c>
      <c r="EC252" s="159" t="s">
        <v>2321</v>
      </c>
      <c r="ED252" s="159" t="s">
        <v>239</v>
      </c>
      <c r="EE252" s="161"/>
      <c r="EG252" s="20"/>
      <c r="ET252" s="31" t="s">
        <v>226</v>
      </c>
      <c r="EU252" s="31" t="s">
        <v>227</v>
      </c>
      <c r="EV252" s="31"/>
      <c r="EW252" s="31" t="s">
        <v>228</v>
      </c>
      <c r="EX252" s="31" t="s">
        <v>229</v>
      </c>
      <c r="EY252" s="31" t="s">
        <v>230</v>
      </c>
      <c r="EZ252" s="31" t="s">
        <v>231</v>
      </c>
      <c r="FA252" s="31" t="s">
        <v>232</v>
      </c>
      <c r="FB252" s="31" t="s">
        <v>233</v>
      </c>
      <c r="FC252" s="31" t="s">
        <v>234</v>
      </c>
      <c r="FD252" s="31" t="s">
        <v>235</v>
      </c>
      <c r="FE252" s="31" t="s">
        <v>236</v>
      </c>
      <c r="FG252" s="159">
        <v>3</v>
      </c>
      <c r="FH252" s="35" t="s">
        <v>705</v>
      </c>
      <c r="FI252" s="159" t="s">
        <v>237</v>
      </c>
      <c r="FJ252" s="160" t="s">
        <v>1320</v>
      </c>
      <c r="FK252" s="159" t="s">
        <v>2550</v>
      </c>
      <c r="FL252" s="159" t="s">
        <v>618</v>
      </c>
      <c r="FM252" s="159" t="s">
        <v>2551</v>
      </c>
      <c r="FN252" s="159" t="s">
        <v>2552</v>
      </c>
      <c r="FO252" s="159" t="s">
        <v>2553</v>
      </c>
      <c r="FP252" s="159" t="s">
        <v>2554</v>
      </c>
      <c r="FQ252" s="159" t="s">
        <v>239</v>
      </c>
      <c r="FR252" s="161"/>
      <c r="FT252" s="24" t="s">
        <v>2666</v>
      </c>
      <c r="GG252" s="28" t="s">
        <v>2707</v>
      </c>
      <c r="GT252" s="11"/>
      <c r="HC252" s="20"/>
    </row>
    <row r="253" spans="6:211" ht="15" customHeight="1" x14ac:dyDescent="0.25">
      <c r="F253" s="159">
        <v>3</v>
      </c>
      <c r="G253" s="35" t="s">
        <v>56</v>
      </c>
      <c r="H253" s="159" t="s">
        <v>237</v>
      </c>
      <c r="I253" s="160" t="s">
        <v>60</v>
      </c>
      <c r="J253" s="159" t="s">
        <v>1510</v>
      </c>
      <c r="K253" s="159" t="s">
        <v>238</v>
      </c>
      <c r="L253" s="159" t="s">
        <v>1511</v>
      </c>
      <c r="M253" s="159" t="s">
        <v>1512</v>
      </c>
      <c r="N253" s="159" t="s">
        <v>1513</v>
      </c>
      <c r="O253" s="159" t="s">
        <v>1514</v>
      </c>
      <c r="P253" s="159" t="s">
        <v>239</v>
      </c>
      <c r="Q253" s="161"/>
      <c r="S253" s="159"/>
      <c r="T253" s="35" t="s">
        <v>245</v>
      </c>
      <c r="U253" s="159"/>
      <c r="V253" s="160"/>
      <c r="W253" s="159"/>
      <c r="X253" s="159"/>
      <c r="Y253" s="159"/>
      <c r="Z253" s="159"/>
      <c r="AA253" s="159"/>
      <c r="AB253" s="159"/>
      <c r="AC253" s="159"/>
      <c r="AD253" s="161"/>
      <c r="AF253" s="126" t="s">
        <v>699</v>
      </c>
      <c r="AT253" s="31" t="s">
        <v>198</v>
      </c>
      <c r="AU253" s="32" t="s">
        <v>1779</v>
      </c>
      <c r="BG253" s="159"/>
      <c r="BH253" s="35" t="s">
        <v>710</v>
      </c>
      <c r="BI253" s="159"/>
      <c r="BJ253" s="160"/>
      <c r="BK253" s="159"/>
      <c r="BL253" s="159"/>
      <c r="BM253" s="159"/>
      <c r="BN253" s="159"/>
      <c r="BO253" s="159"/>
      <c r="BP253" s="159"/>
      <c r="BQ253" s="159"/>
      <c r="BR253" s="161"/>
      <c r="BT253" s="159">
        <v>3</v>
      </c>
      <c r="BU253" s="35" t="s">
        <v>705</v>
      </c>
      <c r="BV253" s="159" t="s">
        <v>237</v>
      </c>
      <c r="BW253" s="160" t="s">
        <v>936</v>
      </c>
      <c r="BX253" s="159" t="s">
        <v>830</v>
      </c>
      <c r="BY253" s="159" t="s">
        <v>618</v>
      </c>
      <c r="BZ253" s="159" t="s">
        <v>1967</v>
      </c>
      <c r="CA253" s="159" t="s">
        <v>1968</v>
      </c>
      <c r="CB253" s="159" t="s">
        <v>1969</v>
      </c>
      <c r="CC253" s="159" t="s">
        <v>1970</v>
      </c>
      <c r="CD253" s="159" t="s">
        <v>239</v>
      </c>
      <c r="CE253" s="161"/>
      <c r="CG253" s="159">
        <v>4</v>
      </c>
      <c r="CH253" s="35" t="s">
        <v>55</v>
      </c>
      <c r="CI253" s="159" t="s">
        <v>237</v>
      </c>
      <c r="CJ253" s="160" t="s">
        <v>988</v>
      </c>
      <c r="CK253" s="159" t="s">
        <v>2054</v>
      </c>
      <c r="CL253" s="159" t="s">
        <v>618</v>
      </c>
      <c r="CM253" s="159" t="s">
        <v>2055</v>
      </c>
      <c r="CN253" s="159" t="s">
        <v>2056</v>
      </c>
      <c r="CO253" s="159" t="s">
        <v>2057</v>
      </c>
      <c r="CP253" s="159" t="s">
        <v>2058</v>
      </c>
      <c r="CQ253" s="159" t="s">
        <v>239</v>
      </c>
      <c r="CR253" s="161"/>
      <c r="CT253" s="126" t="s">
        <v>1055</v>
      </c>
      <c r="DG253" s="159"/>
      <c r="DH253" s="35" t="s">
        <v>243</v>
      </c>
      <c r="DI253" s="159"/>
      <c r="DJ253" s="160"/>
      <c r="DK253" s="159"/>
      <c r="DL253" s="159"/>
      <c r="DM253" s="159"/>
      <c r="DN253" s="159"/>
      <c r="DO253" s="159"/>
      <c r="DP253" s="159"/>
      <c r="DQ253" s="159"/>
      <c r="DR253" s="161"/>
      <c r="DT253" s="159"/>
      <c r="DU253" s="35" t="s">
        <v>1170</v>
      </c>
      <c r="DV253" s="159"/>
      <c r="DW253" s="160"/>
      <c r="DX253" s="159"/>
      <c r="DY253" s="159"/>
      <c r="DZ253" s="159"/>
      <c r="EA253" s="159"/>
      <c r="EB253" s="159"/>
      <c r="EC253" s="159"/>
      <c r="ED253" s="159"/>
      <c r="EE253" s="161"/>
      <c r="EG253" s="29" t="s">
        <v>1221</v>
      </c>
      <c r="ET253" s="163"/>
      <c r="EU253" s="163"/>
      <c r="EV253" s="163"/>
      <c r="EW253" s="163"/>
      <c r="EX253" s="163"/>
      <c r="EY253" s="163"/>
      <c r="EZ253" s="163"/>
      <c r="FA253" s="163"/>
      <c r="FB253" s="163"/>
      <c r="FC253" s="163"/>
      <c r="FD253" s="163"/>
      <c r="FE253" s="163"/>
      <c r="FG253" s="159"/>
      <c r="FH253" s="35" t="s">
        <v>705</v>
      </c>
      <c r="FI253" s="159"/>
      <c r="FJ253" s="160"/>
      <c r="FK253" s="159"/>
      <c r="FL253" s="159"/>
      <c r="FM253" s="159"/>
      <c r="FN253" s="159"/>
      <c r="FO253" s="159"/>
      <c r="FP253" s="159"/>
      <c r="FQ253" s="159"/>
      <c r="FR253" s="161"/>
      <c r="FT253" s="24" t="s">
        <v>2667</v>
      </c>
      <c r="GG253" s="20"/>
      <c r="GT253" s="11"/>
      <c r="HC253" s="126" t="s">
        <v>3328</v>
      </c>
    </row>
    <row r="254" spans="6:211" ht="15" customHeight="1" x14ac:dyDescent="0.25">
      <c r="F254" s="159"/>
      <c r="G254" s="35" t="s">
        <v>56</v>
      </c>
      <c r="H254" s="159"/>
      <c r="I254" s="160"/>
      <c r="J254" s="159"/>
      <c r="K254" s="159"/>
      <c r="L254" s="159"/>
      <c r="M254" s="159"/>
      <c r="N254" s="159"/>
      <c r="O254" s="159"/>
      <c r="P254" s="159"/>
      <c r="Q254" s="161"/>
      <c r="S254" s="159">
        <v>4</v>
      </c>
      <c r="T254" s="35" t="s">
        <v>245</v>
      </c>
      <c r="U254" s="159" t="s">
        <v>237</v>
      </c>
      <c r="V254" s="160" t="s">
        <v>637</v>
      </c>
      <c r="W254" s="159" t="s">
        <v>1618</v>
      </c>
      <c r="X254" s="159" t="s">
        <v>238</v>
      </c>
      <c r="Y254" s="159" t="s">
        <v>1619</v>
      </c>
      <c r="Z254" s="159" t="s">
        <v>1620</v>
      </c>
      <c r="AA254" s="159" t="s">
        <v>1621</v>
      </c>
      <c r="AB254" s="159" t="s">
        <v>238</v>
      </c>
      <c r="AC254" s="159" t="s">
        <v>239</v>
      </c>
      <c r="AD254" s="161"/>
      <c r="AF254" s="20"/>
      <c r="AT254" s="31" t="s">
        <v>199</v>
      </c>
      <c r="AU254" s="32" t="s">
        <v>1780</v>
      </c>
      <c r="BG254" s="24" t="s">
        <v>881</v>
      </c>
      <c r="BT254" s="159"/>
      <c r="BU254" s="35" t="s">
        <v>705</v>
      </c>
      <c r="BV254" s="159"/>
      <c r="BW254" s="160"/>
      <c r="BX254" s="159"/>
      <c r="BY254" s="159"/>
      <c r="BZ254" s="159"/>
      <c r="CA254" s="159"/>
      <c r="CB254" s="159"/>
      <c r="CC254" s="159"/>
      <c r="CD254" s="159"/>
      <c r="CE254" s="161"/>
      <c r="CG254" s="159"/>
      <c r="CH254" s="35" t="s">
        <v>55</v>
      </c>
      <c r="CI254" s="159"/>
      <c r="CJ254" s="160"/>
      <c r="CK254" s="159"/>
      <c r="CL254" s="159"/>
      <c r="CM254" s="159"/>
      <c r="CN254" s="159"/>
      <c r="CO254" s="159"/>
      <c r="CP254" s="159"/>
      <c r="CQ254" s="159"/>
      <c r="CR254" s="161"/>
      <c r="CT254" s="20"/>
      <c r="DG254" s="159">
        <v>9</v>
      </c>
      <c r="DH254" s="35" t="s">
        <v>713</v>
      </c>
      <c r="DI254" s="159" t="s">
        <v>237</v>
      </c>
      <c r="DJ254" s="160" t="s">
        <v>1118</v>
      </c>
      <c r="DK254" s="159" t="s">
        <v>2218</v>
      </c>
      <c r="DL254" s="159" t="s">
        <v>872</v>
      </c>
      <c r="DM254" s="159" t="s">
        <v>2250</v>
      </c>
      <c r="DN254" s="159" t="s">
        <v>2251</v>
      </c>
      <c r="DO254" s="159" t="s">
        <v>2252</v>
      </c>
      <c r="DP254" s="159" t="s">
        <v>2253</v>
      </c>
      <c r="DQ254" s="159" t="s">
        <v>239</v>
      </c>
      <c r="DR254" s="161"/>
      <c r="DT254" s="159">
        <v>7</v>
      </c>
      <c r="DU254" s="35" t="s">
        <v>243</v>
      </c>
      <c r="DV254" s="159" t="s">
        <v>237</v>
      </c>
      <c r="DW254" s="160" t="s">
        <v>1169</v>
      </c>
      <c r="DX254" s="159" t="s">
        <v>1179</v>
      </c>
      <c r="DY254" s="159" t="s">
        <v>711</v>
      </c>
      <c r="DZ254" s="159" t="s">
        <v>2322</v>
      </c>
      <c r="EA254" s="159" t="s">
        <v>2323</v>
      </c>
      <c r="EB254" s="159" t="s">
        <v>2324</v>
      </c>
      <c r="EC254" s="159" t="s">
        <v>2325</v>
      </c>
      <c r="ED254" s="159" t="s">
        <v>239</v>
      </c>
      <c r="EE254" s="161"/>
      <c r="EG254" s="20"/>
      <c r="ET254" s="159">
        <v>1</v>
      </c>
      <c r="EU254" s="35" t="s">
        <v>242</v>
      </c>
      <c r="EV254" s="159" t="s">
        <v>237</v>
      </c>
      <c r="EW254" s="160" t="s">
        <v>1270</v>
      </c>
      <c r="EX254" s="159" t="s">
        <v>2465</v>
      </c>
      <c r="EY254" s="159" t="s">
        <v>711</v>
      </c>
      <c r="EZ254" s="159" t="s">
        <v>2466</v>
      </c>
      <c r="FA254" s="159" t="s">
        <v>2467</v>
      </c>
      <c r="FB254" s="159" t="s">
        <v>2468</v>
      </c>
      <c r="FC254" s="159" t="s">
        <v>2469</v>
      </c>
      <c r="FD254" s="159" t="s">
        <v>239</v>
      </c>
      <c r="FE254" s="161"/>
      <c r="FG254" s="159">
        <v>4</v>
      </c>
      <c r="FH254" s="35" t="s">
        <v>56</v>
      </c>
      <c r="FI254" s="159" t="s">
        <v>237</v>
      </c>
      <c r="FJ254" s="160" t="s">
        <v>1322</v>
      </c>
      <c r="FK254" s="159" t="s">
        <v>2555</v>
      </c>
      <c r="FL254" s="159" t="s">
        <v>238</v>
      </c>
      <c r="FM254" s="159" t="s">
        <v>2556</v>
      </c>
      <c r="FN254" s="159" t="s">
        <v>2557</v>
      </c>
      <c r="FO254" s="159" t="s">
        <v>2558</v>
      </c>
      <c r="FP254" s="159" t="s">
        <v>1120</v>
      </c>
      <c r="FQ254" s="159" t="s">
        <v>239</v>
      </c>
      <c r="FR254" s="161"/>
      <c r="FT254" s="24" t="s">
        <v>247</v>
      </c>
      <c r="GG254" s="126" t="s">
        <v>1422</v>
      </c>
      <c r="GT254" s="11"/>
      <c r="HC254" s="20"/>
    </row>
    <row r="255" spans="6:211" ht="15" customHeight="1" x14ac:dyDescent="0.25">
      <c r="F255" s="159">
        <v>4</v>
      </c>
      <c r="G255" s="35" t="s">
        <v>243</v>
      </c>
      <c r="H255" s="159" t="s">
        <v>237</v>
      </c>
      <c r="I255" s="160" t="s">
        <v>240</v>
      </c>
      <c r="J255" s="159" t="s">
        <v>1515</v>
      </c>
      <c r="K255" s="159" t="s">
        <v>238</v>
      </c>
      <c r="L255" s="159" t="s">
        <v>1516</v>
      </c>
      <c r="M255" s="159" t="s">
        <v>1517</v>
      </c>
      <c r="N255" s="159" t="s">
        <v>1518</v>
      </c>
      <c r="O255" s="159" t="s">
        <v>1519</v>
      </c>
      <c r="P255" s="159" t="s">
        <v>239</v>
      </c>
      <c r="Q255" s="161"/>
      <c r="S255" s="159"/>
      <c r="T255" s="35" t="s">
        <v>245</v>
      </c>
      <c r="U255" s="159"/>
      <c r="V255" s="160"/>
      <c r="W255" s="159"/>
      <c r="X255" s="159"/>
      <c r="Y255" s="159"/>
      <c r="Z255" s="159"/>
      <c r="AA255" s="159"/>
      <c r="AB255" s="159"/>
      <c r="AC255" s="159"/>
      <c r="AD255" s="161"/>
      <c r="AF255" s="28" t="s">
        <v>1689</v>
      </c>
      <c r="AT255" s="163" t="s">
        <v>200</v>
      </c>
      <c r="AU255" s="36" t="s">
        <v>1781</v>
      </c>
      <c r="BG255" s="24" t="s">
        <v>882</v>
      </c>
      <c r="BT255" s="159">
        <v>4</v>
      </c>
      <c r="BU255" s="35" t="s">
        <v>244</v>
      </c>
      <c r="BV255" s="159" t="s">
        <v>237</v>
      </c>
      <c r="BW255" s="160" t="s">
        <v>936</v>
      </c>
      <c r="BX255" s="159" t="s">
        <v>830</v>
      </c>
      <c r="BY255" s="159" t="s">
        <v>238</v>
      </c>
      <c r="BZ255" s="159" t="s">
        <v>1971</v>
      </c>
      <c r="CA255" s="159" t="s">
        <v>1972</v>
      </c>
      <c r="CB255" s="159" t="s">
        <v>1973</v>
      </c>
      <c r="CC255" s="159" t="s">
        <v>1903</v>
      </c>
      <c r="CD255" s="159" t="s">
        <v>239</v>
      </c>
      <c r="CE255" s="161"/>
      <c r="CG255" s="159">
        <v>5</v>
      </c>
      <c r="CH255" s="35" t="s">
        <v>712</v>
      </c>
      <c r="CI255" s="159" t="s">
        <v>237</v>
      </c>
      <c r="CJ255" s="160" t="s">
        <v>988</v>
      </c>
      <c r="CK255" s="159" t="s">
        <v>2059</v>
      </c>
      <c r="CL255" s="159" t="s">
        <v>618</v>
      </c>
      <c r="CM255" s="159" t="s">
        <v>2055</v>
      </c>
      <c r="CN255" s="159" t="s">
        <v>2056</v>
      </c>
      <c r="CO255" s="159" t="s">
        <v>2060</v>
      </c>
      <c r="CP255" s="159" t="s">
        <v>880</v>
      </c>
      <c r="CQ255" s="159" t="s">
        <v>239</v>
      </c>
      <c r="CR255" s="161"/>
      <c r="CT255" s="28" t="s">
        <v>2122</v>
      </c>
      <c r="DG255" s="159"/>
      <c r="DH255" s="35" t="s">
        <v>713</v>
      </c>
      <c r="DI255" s="159"/>
      <c r="DJ255" s="160"/>
      <c r="DK255" s="159"/>
      <c r="DL255" s="159"/>
      <c r="DM255" s="159"/>
      <c r="DN255" s="159"/>
      <c r="DO255" s="159"/>
      <c r="DP255" s="159"/>
      <c r="DQ255" s="159"/>
      <c r="DR255" s="161"/>
      <c r="DT255" s="159"/>
      <c r="DU255" s="35" t="s">
        <v>243</v>
      </c>
      <c r="DV255" s="159"/>
      <c r="DW255" s="160"/>
      <c r="DX255" s="159"/>
      <c r="DY255" s="159"/>
      <c r="DZ255" s="159"/>
      <c r="EA255" s="159"/>
      <c r="EB255" s="159"/>
      <c r="EC255" s="159"/>
      <c r="ED255" s="159"/>
      <c r="EE255" s="161"/>
      <c r="EG255" s="24" t="s">
        <v>224</v>
      </c>
      <c r="ET255" s="159"/>
      <c r="EU255" s="35" t="s">
        <v>242</v>
      </c>
      <c r="EV255" s="159"/>
      <c r="EW255" s="160"/>
      <c r="EX255" s="159"/>
      <c r="EY255" s="159"/>
      <c r="EZ255" s="159"/>
      <c r="FA255" s="159"/>
      <c r="FB255" s="159"/>
      <c r="FC255" s="159"/>
      <c r="FD255" s="159"/>
      <c r="FE255" s="161"/>
      <c r="FG255" s="159"/>
      <c r="FH255" s="35" t="s">
        <v>56</v>
      </c>
      <c r="FI255" s="159"/>
      <c r="FJ255" s="160"/>
      <c r="FK255" s="159"/>
      <c r="FL255" s="159"/>
      <c r="FM255" s="159"/>
      <c r="FN255" s="159"/>
      <c r="FO255" s="159"/>
      <c r="FP255" s="159"/>
      <c r="FQ255" s="159"/>
      <c r="FR255" s="161"/>
      <c r="FT255" s="24">
        <v>10</v>
      </c>
      <c r="GG255" s="20"/>
      <c r="GT255" s="11"/>
      <c r="HC255" s="22" t="s">
        <v>3329</v>
      </c>
    </row>
    <row r="256" spans="6:211" ht="15" customHeight="1" x14ac:dyDescent="0.25">
      <c r="F256" s="159"/>
      <c r="G256" s="35" t="s">
        <v>243</v>
      </c>
      <c r="H256" s="159"/>
      <c r="I256" s="160"/>
      <c r="J256" s="159"/>
      <c r="K256" s="159"/>
      <c r="L256" s="159"/>
      <c r="M256" s="159"/>
      <c r="N256" s="159"/>
      <c r="O256" s="159"/>
      <c r="P256" s="159"/>
      <c r="Q256" s="161"/>
      <c r="S256" s="159">
        <v>5</v>
      </c>
      <c r="T256" s="35" t="s">
        <v>574</v>
      </c>
      <c r="U256" s="159" t="s">
        <v>237</v>
      </c>
      <c r="V256" s="160" t="s">
        <v>573</v>
      </c>
      <c r="W256" s="159" t="s">
        <v>1622</v>
      </c>
      <c r="X256" s="159" t="s">
        <v>238</v>
      </c>
      <c r="Y256" s="159" t="s">
        <v>1623</v>
      </c>
      <c r="Z256" s="159" t="s">
        <v>1624</v>
      </c>
      <c r="AA256" s="159" t="s">
        <v>1625</v>
      </c>
      <c r="AB256" s="159" t="s">
        <v>1626</v>
      </c>
      <c r="AC256" s="159" t="s">
        <v>239</v>
      </c>
      <c r="AD256" s="161"/>
      <c r="AF256" s="20"/>
      <c r="AT256" s="163"/>
      <c r="AU256" s="32" t="s">
        <v>787</v>
      </c>
      <c r="BG256" s="24" t="s">
        <v>247</v>
      </c>
      <c r="BT256" s="159"/>
      <c r="BU256" s="35" t="s">
        <v>244</v>
      </c>
      <c r="BV256" s="159"/>
      <c r="BW256" s="160"/>
      <c r="BX256" s="159"/>
      <c r="BY256" s="159"/>
      <c r="BZ256" s="159"/>
      <c r="CA256" s="159"/>
      <c r="CB256" s="159"/>
      <c r="CC256" s="159"/>
      <c r="CD256" s="159"/>
      <c r="CE256" s="161"/>
      <c r="CG256" s="159"/>
      <c r="CH256" s="35" t="s">
        <v>712</v>
      </c>
      <c r="CI256" s="159"/>
      <c r="CJ256" s="160"/>
      <c r="CK256" s="159"/>
      <c r="CL256" s="159"/>
      <c r="CM256" s="159"/>
      <c r="CN256" s="159"/>
      <c r="CO256" s="159"/>
      <c r="CP256" s="159"/>
      <c r="CQ256" s="159"/>
      <c r="CR256" s="161"/>
      <c r="CT256" s="20"/>
      <c r="DG256" s="159">
        <v>10</v>
      </c>
      <c r="DH256" s="35" t="s">
        <v>2254</v>
      </c>
      <c r="DI256" s="159" t="s">
        <v>237</v>
      </c>
      <c r="DJ256" s="160" t="s">
        <v>1118</v>
      </c>
      <c r="DK256" s="159" t="s">
        <v>2195</v>
      </c>
      <c r="DL256" s="159" t="s">
        <v>872</v>
      </c>
      <c r="DM256" s="159" t="s">
        <v>2255</v>
      </c>
      <c r="DN256" s="159" t="s">
        <v>2256</v>
      </c>
      <c r="DO256" s="159" t="s">
        <v>2257</v>
      </c>
      <c r="DP256" s="159" t="s">
        <v>874</v>
      </c>
      <c r="DQ256" s="159" t="s">
        <v>239</v>
      </c>
      <c r="DR256" s="161"/>
      <c r="DT256" s="159">
        <v>8</v>
      </c>
      <c r="DU256" s="35" t="s">
        <v>244</v>
      </c>
      <c r="DV256" s="159" t="s">
        <v>237</v>
      </c>
      <c r="DW256" s="160" t="s">
        <v>1169</v>
      </c>
      <c r="DX256" s="159" t="s">
        <v>1179</v>
      </c>
      <c r="DY256" s="159" t="s">
        <v>618</v>
      </c>
      <c r="DZ256" s="159" t="s">
        <v>2326</v>
      </c>
      <c r="EA256" s="159" t="s">
        <v>2327</v>
      </c>
      <c r="EB256" s="159" t="s">
        <v>2328</v>
      </c>
      <c r="EC256" s="159" t="s">
        <v>1449</v>
      </c>
      <c r="ED256" s="159" t="s">
        <v>239</v>
      </c>
      <c r="EE256" s="161"/>
      <c r="EG256" s="24" t="s">
        <v>225</v>
      </c>
      <c r="ET256" s="159">
        <v>2</v>
      </c>
      <c r="EU256" s="35" t="s">
        <v>55</v>
      </c>
      <c r="EV256" s="159" t="s">
        <v>237</v>
      </c>
      <c r="EW256" s="160" t="s">
        <v>1270</v>
      </c>
      <c r="EX256" s="159" t="s">
        <v>2465</v>
      </c>
      <c r="EY256" s="159" t="s">
        <v>618</v>
      </c>
      <c r="EZ256" s="159" t="s">
        <v>2470</v>
      </c>
      <c r="FA256" s="159" t="s">
        <v>2471</v>
      </c>
      <c r="FB256" s="159" t="s">
        <v>2472</v>
      </c>
      <c r="FC256" s="159" t="s">
        <v>2473</v>
      </c>
      <c r="FD256" s="159" t="s">
        <v>239</v>
      </c>
      <c r="FE256" s="161"/>
      <c r="FG256" s="159">
        <v>5</v>
      </c>
      <c r="FH256" s="35" t="s">
        <v>242</v>
      </c>
      <c r="FI256" s="159" t="s">
        <v>237</v>
      </c>
      <c r="FJ256" s="160" t="s">
        <v>1320</v>
      </c>
      <c r="FK256" s="159" t="s">
        <v>2559</v>
      </c>
      <c r="FL256" s="159" t="s">
        <v>711</v>
      </c>
      <c r="FM256" s="159" t="s">
        <v>2560</v>
      </c>
      <c r="FN256" s="159" t="s">
        <v>2561</v>
      </c>
      <c r="FO256" s="159" t="s">
        <v>2562</v>
      </c>
      <c r="FP256" s="159" t="s">
        <v>1468</v>
      </c>
      <c r="FQ256" s="159" t="s">
        <v>239</v>
      </c>
      <c r="FR256" s="161"/>
      <c r="FT256" s="28">
        <v>10</v>
      </c>
      <c r="GG256" s="28" t="s">
        <v>2708</v>
      </c>
      <c r="GT256" s="11"/>
      <c r="HC256" s="112"/>
    </row>
    <row r="257" spans="6:222" ht="15" customHeight="1" x14ac:dyDescent="0.25">
      <c r="F257" s="159">
        <v>5</v>
      </c>
      <c r="G257" s="35" t="s">
        <v>242</v>
      </c>
      <c r="H257" s="159" t="s">
        <v>237</v>
      </c>
      <c r="I257" s="160" t="s">
        <v>240</v>
      </c>
      <c r="J257" s="159" t="s">
        <v>1520</v>
      </c>
      <c r="K257" s="159" t="s">
        <v>238</v>
      </c>
      <c r="L257" s="159" t="s">
        <v>1521</v>
      </c>
      <c r="M257" s="159" t="s">
        <v>1522</v>
      </c>
      <c r="N257" s="159" t="s">
        <v>1523</v>
      </c>
      <c r="O257" s="159" t="s">
        <v>1524</v>
      </c>
      <c r="P257" s="159" t="s">
        <v>239</v>
      </c>
      <c r="Q257" s="161"/>
      <c r="S257" s="159"/>
      <c r="T257" s="35" t="s">
        <v>574</v>
      </c>
      <c r="U257" s="159"/>
      <c r="V257" s="160"/>
      <c r="W257" s="159"/>
      <c r="X257" s="159"/>
      <c r="Y257" s="159"/>
      <c r="Z257" s="159"/>
      <c r="AA257" s="159"/>
      <c r="AB257" s="159"/>
      <c r="AC257" s="159"/>
      <c r="AD257" s="161"/>
      <c r="AF257" s="126" t="s">
        <v>700</v>
      </c>
      <c r="AT257" s="163" t="s">
        <v>202</v>
      </c>
      <c r="AU257" s="36" t="s">
        <v>1782</v>
      </c>
      <c r="BG257" s="24">
        <v>10</v>
      </c>
      <c r="BT257" s="159">
        <v>5</v>
      </c>
      <c r="BU257" s="35" t="s">
        <v>713</v>
      </c>
      <c r="BV257" s="159" t="s">
        <v>237</v>
      </c>
      <c r="BW257" s="160" t="s">
        <v>936</v>
      </c>
      <c r="BX257" s="159" t="s">
        <v>1377</v>
      </c>
      <c r="BY257" s="159" t="s">
        <v>618</v>
      </c>
      <c r="BZ257" s="159" t="s">
        <v>1974</v>
      </c>
      <c r="CA257" s="159" t="s">
        <v>1975</v>
      </c>
      <c r="CB257" s="159" t="s">
        <v>1976</v>
      </c>
      <c r="CC257" s="159" t="s">
        <v>727</v>
      </c>
      <c r="CD257" s="159" t="s">
        <v>239</v>
      </c>
      <c r="CE257" s="161"/>
      <c r="CG257" s="159">
        <v>6</v>
      </c>
      <c r="CH257" s="35" t="s">
        <v>243</v>
      </c>
      <c r="CI257" s="159" t="s">
        <v>237</v>
      </c>
      <c r="CJ257" s="160" t="s">
        <v>988</v>
      </c>
      <c r="CK257" s="159" t="s">
        <v>2061</v>
      </c>
      <c r="CL257" s="159" t="s">
        <v>1469</v>
      </c>
      <c r="CM257" s="159" t="s">
        <v>2062</v>
      </c>
      <c r="CN257" s="159" t="s">
        <v>2063</v>
      </c>
      <c r="CO257" s="159" t="s">
        <v>2064</v>
      </c>
      <c r="CP257" s="159" t="s">
        <v>2065</v>
      </c>
      <c r="CQ257" s="159" t="s">
        <v>239</v>
      </c>
      <c r="CR257" s="161"/>
      <c r="CT257" s="126" t="s">
        <v>1056</v>
      </c>
      <c r="DG257" s="159"/>
      <c r="DH257" s="35" t="s">
        <v>2254</v>
      </c>
      <c r="DI257" s="159"/>
      <c r="DJ257" s="160"/>
      <c r="DK257" s="159"/>
      <c r="DL257" s="159"/>
      <c r="DM257" s="159"/>
      <c r="DN257" s="159"/>
      <c r="DO257" s="159"/>
      <c r="DP257" s="159"/>
      <c r="DQ257" s="159"/>
      <c r="DR257" s="161"/>
      <c r="DT257" s="159"/>
      <c r="DU257" s="35" t="s">
        <v>244</v>
      </c>
      <c r="DV257" s="159"/>
      <c r="DW257" s="160"/>
      <c r="DX257" s="159"/>
      <c r="DY257" s="159"/>
      <c r="DZ257" s="159"/>
      <c r="EA257" s="159"/>
      <c r="EB257" s="159"/>
      <c r="EC257" s="159"/>
      <c r="ED257" s="159"/>
      <c r="EE257" s="161"/>
      <c r="EG257" s="31" t="s">
        <v>226</v>
      </c>
      <c r="EH257" s="31" t="s">
        <v>227</v>
      </c>
      <c r="EI257" s="31"/>
      <c r="EJ257" s="31" t="s">
        <v>228</v>
      </c>
      <c r="EK257" s="31" t="s">
        <v>229</v>
      </c>
      <c r="EL257" s="31" t="s">
        <v>230</v>
      </c>
      <c r="EM257" s="31" t="s">
        <v>231</v>
      </c>
      <c r="EN257" s="31" t="s">
        <v>232</v>
      </c>
      <c r="EO257" s="31" t="s">
        <v>233</v>
      </c>
      <c r="EP257" s="31" t="s">
        <v>234</v>
      </c>
      <c r="EQ257" s="31" t="s">
        <v>235</v>
      </c>
      <c r="ER257" s="31" t="s">
        <v>236</v>
      </c>
      <c r="ET257" s="159"/>
      <c r="EU257" s="35" t="s">
        <v>55</v>
      </c>
      <c r="EV257" s="159"/>
      <c r="EW257" s="160"/>
      <c r="EX257" s="159"/>
      <c r="EY257" s="159"/>
      <c r="EZ257" s="159"/>
      <c r="FA257" s="159"/>
      <c r="FB257" s="159"/>
      <c r="FC257" s="159"/>
      <c r="FD257" s="159"/>
      <c r="FE257" s="161"/>
      <c r="FG257" s="159"/>
      <c r="FH257" s="35" t="s">
        <v>242</v>
      </c>
      <c r="FI257" s="159"/>
      <c r="FJ257" s="160"/>
      <c r="FK257" s="159"/>
      <c r="FL257" s="159"/>
      <c r="FM257" s="159"/>
      <c r="FN257" s="159"/>
      <c r="FO257" s="159"/>
      <c r="FP257" s="159"/>
      <c r="FQ257" s="159"/>
      <c r="FR257" s="161"/>
      <c r="FT257" s="28">
        <v>50</v>
      </c>
      <c r="GG257" s="20"/>
      <c r="GT257" s="11"/>
      <c r="HC257" s="28" t="s">
        <v>3330</v>
      </c>
    </row>
    <row r="258" spans="6:222" ht="15" customHeight="1" x14ac:dyDescent="0.25">
      <c r="F258" s="159"/>
      <c r="G258" s="35" t="s">
        <v>242</v>
      </c>
      <c r="H258" s="159"/>
      <c r="I258" s="160"/>
      <c r="J258" s="159"/>
      <c r="K258" s="159"/>
      <c r="L258" s="159"/>
      <c r="M258" s="159"/>
      <c r="N258" s="159"/>
      <c r="O258" s="159"/>
      <c r="P258" s="159"/>
      <c r="Q258" s="161"/>
      <c r="S258" s="159">
        <v>6</v>
      </c>
      <c r="T258" s="35" t="s">
        <v>646</v>
      </c>
      <c r="U258" s="159" t="s">
        <v>237</v>
      </c>
      <c r="V258" s="160" t="s">
        <v>573</v>
      </c>
      <c r="W258" s="159" t="s">
        <v>1627</v>
      </c>
      <c r="X258" s="159" t="s">
        <v>238</v>
      </c>
      <c r="Y258" s="159" t="s">
        <v>1628</v>
      </c>
      <c r="Z258" s="159" t="s">
        <v>1629</v>
      </c>
      <c r="AA258" s="159" t="s">
        <v>1630</v>
      </c>
      <c r="AB258" s="159" t="s">
        <v>810</v>
      </c>
      <c r="AC258" s="159" t="s">
        <v>239</v>
      </c>
      <c r="AD258" s="161"/>
      <c r="AF258" s="20"/>
      <c r="AT258" s="163"/>
      <c r="AU258" s="32" t="s">
        <v>788</v>
      </c>
      <c r="BG258" s="28">
        <v>10</v>
      </c>
      <c r="BT258" s="159"/>
      <c r="BU258" s="35" t="s">
        <v>713</v>
      </c>
      <c r="BV258" s="159"/>
      <c r="BW258" s="160"/>
      <c r="BX258" s="159"/>
      <c r="BY258" s="159"/>
      <c r="BZ258" s="159"/>
      <c r="CA258" s="159"/>
      <c r="CB258" s="159"/>
      <c r="CC258" s="159"/>
      <c r="CD258" s="159"/>
      <c r="CE258" s="161"/>
      <c r="CG258" s="159"/>
      <c r="CH258" s="35" t="s">
        <v>243</v>
      </c>
      <c r="CI258" s="159"/>
      <c r="CJ258" s="160"/>
      <c r="CK258" s="159"/>
      <c r="CL258" s="159"/>
      <c r="CM258" s="159"/>
      <c r="CN258" s="159"/>
      <c r="CO258" s="159"/>
      <c r="CP258" s="159"/>
      <c r="CQ258" s="159"/>
      <c r="CR258" s="161"/>
      <c r="CT258" s="20"/>
      <c r="DG258" s="24" t="s">
        <v>2258</v>
      </c>
      <c r="DT258" s="159">
        <v>9</v>
      </c>
      <c r="DU258" s="35" t="s">
        <v>937</v>
      </c>
      <c r="DV258" s="159" t="s">
        <v>237</v>
      </c>
      <c r="DW258" s="160" t="s">
        <v>1169</v>
      </c>
      <c r="DX258" s="159" t="s">
        <v>2272</v>
      </c>
      <c r="DY258" s="159" t="s">
        <v>618</v>
      </c>
      <c r="DZ258" s="159" t="s">
        <v>2329</v>
      </c>
      <c r="EA258" s="159" t="s">
        <v>2330</v>
      </c>
      <c r="EB258" s="159" t="s">
        <v>2331</v>
      </c>
      <c r="EC258" s="159" t="s">
        <v>2332</v>
      </c>
      <c r="ED258" s="159" t="s">
        <v>239</v>
      </c>
      <c r="EE258" s="161"/>
      <c r="EG258" s="163"/>
      <c r="EH258" s="163"/>
      <c r="EI258" s="163"/>
      <c r="EJ258" s="163"/>
      <c r="EK258" s="163"/>
      <c r="EL258" s="163"/>
      <c r="EM258" s="163"/>
      <c r="EN258" s="163"/>
      <c r="EO258" s="163"/>
      <c r="EP258" s="163"/>
      <c r="EQ258" s="163"/>
      <c r="ER258" s="163"/>
      <c r="ET258" s="159">
        <v>3</v>
      </c>
      <c r="EU258" s="35" t="s">
        <v>713</v>
      </c>
      <c r="EV258" s="159" t="s">
        <v>237</v>
      </c>
      <c r="EW258" s="160" t="s">
        <v>1270</v>
      </c>
      <c r="EX258" s="159" t="s">
        <v>2465</v>
      </c>
      <c r="EY258" s="159" t="s">
        <v>618</v>
      </c>
      <c r="EZ258" s="159" t="s">
        <v>2474</v>
      </c>
      <c r="FA258" s="159" t="s">
        <v>2475</v>
      </c>
      <c r="FB258" s="159" t="s">
        <v>2476</v>
      </c>
      <c r="FC258" s="159" t="s">
        <v>1460</v>
      </c>
      <c r="FD258" s="159" t="s">
        <v>239</v>
      </c>
      <c r="FE258" s="161"/>
      <c r="FG258" s="159">
        <v>6</v>
      </c>
      <c r="FH258" s="35" t="s">
        <v>805</v>
      </c>
      <c r="FI258" s="159" t="s">
        <v>237</v>
      </c>
      <c r="FJ258" s="160" t="s">
        <v>1320</v>
      </c>
      <c r="FK258" s="159" t="s">
        <v>2563</v>
      </c>
      <c r="FL258" s="159" t="s">
        <v>873</v>
      </c>
      <c r="FM258" s="159" t="s">
        <v>2564</v>
      </c>
      <c r="FN258" s="159" t="s">
        <v>2565</v>
      </c>
      <c r="FO258" s="159" t="s">
        <v>2566</v>
      </c>
      <c r="FP258" s="159" t="s">
        <v>2567</v>
      </c>
      <c r="FQ258" s="159" t="s">
        <v>239</v>
      </c>
      <c r="FR258" s="161"/>
      <c r="FT258" s="28">
        <v>100</v>
      </c>
      <c r="GG258" s="126" t="s">
        <v>1423</v>
      </c>
      <c r="GT258" s="11"/>
      <c r="HC258" s="20"/>
    </row>
    <row r="259" spans="6:222" ht="15" customHeight="1" x14ac:dyDescent="0.25">
      <c r="F259" s="159">
        <v>6</v>
      </c>
      <c r="G259" s="35" t="s">
        <v>245</v>
      </c>
      <c r="H259" s="159" t="s">
        <v>237</v>
      </c>
      <c r="I259" s="160" t="s">
        <v>240</v>
      </c>
      <c r="J259" s="159" t="s">
        <v>1525</v>
      </c>
      <c r="K259" s="159" t="s">
        <v>238</v>
      </c>
      <c r="L259" s="159" t="s">
        <v>1526</v>
      </c>
      <c r="M259" s="159" t="s">
        <v>1527</v>
      </c>
      <c r="N259" s="159" t="s">
        <v>1528</v>
      </c>
      <c r="O259" s="159" t="s">
        <v>1529</v>
      </c>
      <c r="P259" s="159" t="s">
        <v>239</v>
      </c>
      <c r="Q259" s="161"/>
      <c r="S259" s="159"/>
      <c r="T259" s="35" t="s">
        <v>646</v>
      </c>
      <c r="U259" s="159"/>
      <c r="V259" s="160"/>
      <c r="W259" s="159"/>
      <c r="X259" s="159"/>
      <c r="Y259" s="159"/>
      <c r="Z259" s="159"/>
      <c r="AA259" s="159"/>
      <c r="AB259" s="159"/>
      <c r="AC259" s="159"/>
      <c r="AD259" s="161"/>
      <c r="AF259" s="28" t="s">
        <v>1690</v>
      </c>
      <c r="AT259" s="24" t="s">
        <v>204</v>
      </c>
      <c r="BG259" s="28">
        <v>50</v>
      </c>
      <c r="BT259" s="159">
        <v>6</v>
      </c>
      <c r="BU259" s="35" t="s">
        <v>941</v>
      </c>
      <c r="BV259" s="159" t="s">
        <v>237</v>
      </c>
      <c r="BW259" s="160" t="s">
        <v>936</v>
      </c>
      <c r="BX259" s="159" t="s">
        <v>1377</v>
      </c>
      <c r="BY259" s="159" t="s">
        <v>618</v>
      </c>
      <c r="BZ259" s="159" t="s">
        <v>1977</v>
      </c>
      <c r="CA259" s="159" t="s">
        <v>1978</v>
      </c>
      <c r="CB259" s="159" t="s">
        <v>1979</v>
      </c>
      <c r="CC259" s="159" t="s">
        <v>1980</v>
      </c>
      <c r="CD259" s="159" t="s">
        <v>239</v>
      </c>
      <c r="CE259" s="161"/>
      <c r="CG259" s="159">
        <v>7</v>
      </c>
      <c r="CH259" s="35" t="s">
        <v>575</v>
      </c>
      <c r="CI259" s="159" t="s">
        <v>237</v>
      </c>
      <c r="CJ259" s="160" t="s">
        <v>988</v>
      </c>
      <c r="CK259" s="159" t="s">
        <v>2066</v>
      </c>
      <c r="CL259" s="159" t="s">
        <v>872</v>
      </c>
      <c r="CM259" s="159" t="s">
        <v>2067</v>
      </c>
      <c r="CN259" s="159" t="s">
        <v>2068</v>
      </c>
      <c r="CO259" s="159" t="s">
        <v>2069</v>
      </c>
      <c r="CP259" s="159" t="s">
        <v>1444</v>
      </c>
      <c r="CQ259" s="159" t="s">
        <v>239</v>
      </c>
      <c r="CR259" s="161"/>
      <c r="CT259" s="28" t="s">
        <v>2123</v>
      </c>
      <c r="DG259" s="24" t="s">
        <v>1122</v>
      </c>
      <c r="DT259" s="159"/>
      <c r="DU259" s="35" t="s">
        <v>937</v>
      </c>
      <c r="DV259" s="159"/>
      <c r="DW259" s="160"/>
      <c r="DX259" s="159"/>
      <c r="DY259" s="159"/>
      <c r="DZ259" s="159"/>
      <c r="EA259" s="159"/>
      <c r="EB259" s="159"/>
      <c r="EC259" s="159"/>
      <c r="ED259" s="159"/>
      <c r="EE259" s="161"/>
      <c r="EG259" s="159">
        <v>1</v>
      </c>
      <c r="EH259" s="35" t="s">
        <v>242</v>
      </c>
      <c r="EI259" s="159" t="s">
        <v>237</v>
      </c>
      <c r="EJ259" s="160" t="s">
        <v>1222</v>
      </c>
      <c r="EK259" s="159" t="s">
        <v>2381</v>
      </c>
      <c r="EL259" s="159" t="s">
        <v>238</v>
      </c>
      <c r="EM259" s="159" t="s">
        <v>2382</v>
      </c>
      <c r="EN259" s="159" t="s">
        <v>2383</v>
      </c>
      <c r="EO259" s="159" t="s">
        <v>2384</v>
      </c>
      <c r="EP259" s="159" t="s">
        <v>2385</v>
      </c>
      <c r="EQ259" s="159" t="s">
        <v>239</v>
      </c>
      <c r="ER259" s="161"/>
      <c r="ET259" s="159"/>
      <c r="EU259" s="35" t="s">
        <v>713</v>
      </c>
      <c r="EV259" s="159"/>
      <c r="EW259" s="160"/>
      <c r="EX259" s="159"/>
      <c r="EY259" s="159"/>
      <c r="EZ259" s="159"/>
      <c r="FA259" s="159"/>
      <c r="FB259" s="159"/>
      <c r="FC259" s="159"/>
      <c r="FD259" s="159"/>
      <c r="FE259" s="161"/>
      <c r="FG259" s="159"/>
      <c r="FH259" s="35" t="s">
        <v>805</v>
      </c>
      <c r="FI259" s="159"/>
      <c r="FJ259" s="160"/>
      <c r="FK259" s="159"/>
      <c r="FL259" s="159"/>
      <c r="FM259" s="159"/>
      <c r="FN259" s="159"/>
      <c r="FO259" s="159"/>
      <c r="FP259" s="159"/>
      <c r="FQ259" s="159"/>
      <c r="FR259" s="161"/>
      <c r="FT259" s="20"/>
      <c r="GG259" s="20"/>
      <c r="GT259" s="11"/>
      <c r="HC259" s="24" t="s">
        <v>2881</v>
      </c>
    </row>
    <row r="260" spans="6:222" ht="15" customHeight="1" x14ac:dyDescent="0.25">
      <c r="F260" s="159"/>
      <c r="G260" s="35" t="s">
        <v>245</v>
      </c>
      <c r="H260" s="159"/>
      <c r="I260" s="160"/>
      <c r="J260" s="159"/>
      <c r="K260" s="159"/>
      <c r="L260" s="159"/>
      <c r="M260" s="159"/>
      <c r="N260" s="159"/>
      <c r="O260" s="159"/>
      <c r="P260" s="159"/>
      <c r="Q260" s="161"/>
      <c r="S260" s="159">
        <v>7</v>
      </c>
      <c r="T260" s="35" t="s">
        <v>56</v>
      </c>
      <c r="U260" s="159" t="s">
        <v>237</v>
      </c>
      <c r="V260" s="160" t="s">
        <v>69</v>
      </c>
      <c r="W260" s="159" t="s">
        <v>1631</v>
      </c>
      <c r="X260" s="159" t="s">
        <v>238</v>
      </c>
      <c r="Y260" s="159" t="s">
        <v>1632</v>
      </c>
      <c r="Z260" s="159" t="s">
        <v>1633</v>
      </c>
      <c r="AA260" s="159" t="s">
        <v>1634</v>
      </c>
      <c r="AB260" s="159" t="s">
        <v>1223</v>
      </c>
      <c r="AC260" s="159" t="s">
        <v>239</v>
      </c>
      <c r="AD260" s="161"/>
      <c r="AF260" s="20"/>
      <c r="AT260" s="20"/>
      <c r="BG260" s="28">
        <v>100</v>
      </c>
      <c r="BT260" s="159"/>
      <c r="BU260" s="35" t="s">
        <v>941</v>
      </c>
      <c r="BV260" s="159"/>
      <c r="BW260" s="160"/>
      <c r="BX260" s="159"/>
      <c r="BY260" s="159"/>
      <c r="BZ260" s="159"/>
      <c r="CA260" s="159"/>
      <c r="CB260" s="159"/>
      <c r="CC260" s="159"/>
      <c r="CD260" s="159"/>
      <c r="CE260" s="161"/>
      <c r="CG260" s="159"/>
      <c r="CH260" s="35" t="s">
        <v>575</v>
      </c>
      <c r="CI260" s="159"/>
      <c r="CJ260" s="160"/>
      <c r="CK260" s="159"/>
      <c r="CL260" s="159"/>
      <c r="CM260" s="159"/>
      <c r="CN260" s="159"/>
      <c r="CO260" s="159"/>
      <c r="CP260" s="159"/>
      <c r="CQ260" s="159"/>
      <c r="CR260" s="161"/>
      <c r="CT260" s="20"/>
      <c r="DG260" s="24" t="s">
        <v>247</v>
      </c>
      <c r="DT260" s="159">
        <v>10</v>
      </c>
      <c r="DU260" s="35" t="s">
        <v>709</v>
      </c>
      <c r="DV260" s="159" t="s">
        <v>237</v>
      </c>
      <c r="DW260" s="160" t="s">
        <v>1169</v>
      </c>
      <c r="DX260" s="159" t="s">
        <v>2272</v>
      </c>
      <c r="DY260" s="159" t="s">
        <v>618</v>
      </c>
      <c r="DZ260" s="159" t="s">
        <v>2333</v>
      </c>
      <c r="EA260" s="159" t="s">
        <v>2334</v>
      </c>
      <c r="EB260" s="159" t="s">
        <v>2335</v>
      </c>
      <c r="EC260" s="159" t="s">
        <v>1171</v>
      </c>
      <c r="ED260" s="159" t="s">
        <v>239</v>
      </c>
      <c r="EE260" s="161"/>
      <c r="EG260" s="159"/>
      <c r="EH260" s="35" t="s">
        <v>242</v>
      </c>
      <c r="EI260" s="159"/>
      <c r="EJ260" s="160"/>
      <c r="EK260" s="159"/>
      <c r="EL260" s="159"/>
      <c r="EM260" s="159"/>
      <c r="EN260" s="159"/>
      <c r="EO260" s="159"/>
      <c r="EP260" s="159"/>
      <c r="EQ260" s="159"/>
      <c r="ER260" s="161"/>
      <c r="ET260" s="159">
        <v>4</v>
      </c>
      <c r="EU260" s="35" t="s">
        <v>705</v>
      </c>
      <c r="EV260" s="159" t="s">
        <v>237</v>
      </c>
      <c r="EW260" s="160" t="s">
        <v>1270</v>
      </c>
      <c r="EX260" s="159" t="s">
        <v>2465</v>
      </c>
      <c r="EY260" s="159" t="s">
        <v>711</v>
      </c>
      <c r="EZ260" s="159" t="s">
        <v>2477</v>
      </c>
      <c r="FA260" s="159" t="s">
        <v>2478</v>
      </c>
      <c r="FB260" s="159" t="s">
        <v>2479</v>
      </c>
      <c r="FC260" s="159" t="s">
        <v>1271</v>
      </c>
      <c r="FD260" s="159" t="s">
        <v>239</v>
      </c>
      <c r="FE260" s="161"/>
      <c r="FG260" s="159">
        <v>7</v>
      </c>
      <c r="FH260" s="35" t="s">
        <v>713</v>
      </c>
      <c r="FI260" s="159" t="s">
        <v>237</v>
      </c>
      <c r="FJ260" s="160" t="s">
        <v>1320</v>
      </c>
      <c r="FK260" s="159" t="s">
        <v>2568</v>
      </c>
      <c r="FL260" s="159" t="s">
        <v>618</v>
      </c>
      <c r="FM260" s="159" t="s">
        <v>2569</v>
      </c>
      <c r="FN260" s="159" t="s">
        <v>2570</v>
      </c>
      <c r="FO260" s="159" t="s">
        <v>2571</v>
      </c>
      <c r="FP260" s="159" t="s">
        <v>1895</v>
      </c>
      <c r="FQ260" s="159" t="s">
        <v>239</v>
      </c>
      <c r="FR260" s="161"/>
      <c r="FT260" s="29" t="s">
        <v>1364</v>
      </c>
      <c r="GG260" s="22" t="s">
        <v>1424</v>
      </c>
      <c r="GT260" s="11"/>
      <c r="HC260" s="20"/>
    </row>
    <row r="261" spans="6:222" ht="15" customHeight="1" x14ac:dyDescent="0.25">
      <c r="F261" s="159">
        <v>7</v>
      </c>
      <c r="G261" s="35" t="s">
        <v>55</v>
      </c>
      <c r="H261" s="159" t="s">
        <v>237</v>
      </c>
      <c r="I261" s="160" t="s">
        <v>1530</v>
      </c>
      <c r="J261" s="159" t="s">
        <v>1531</v>
      </c>
      <c r="K261" s="159" t="s">
        <v>618</v>
      </c>
      <c r="L261" s="159" t="s">
        <v>1532</v>
      </c>
      <c r="M261" s="159" t="s">
        <v>1533</v>
      </c>
      <c r="N261" s="159" t="s">
        <v>1534</v>
      </c>
      <c r="O261" s="159" t="s">
        <v>872</v>
      </c>
      <c r="P261" s="159" t="s">
        <v>239</v>
      </c>
      <c r="Q261" s="161"/>
      <c r="S261" s="159"/>
      <c r="T261" s="35" t="s">
        <v>56</v>
      </c>
      <c r="U261" s="159"/>
      <c r="V261" s="160"/>
      <c r="W261" s="159"/>
      <c r="X261" s="159"/>
      <c r="Y261" s="159"/>
      <c r="Z261" s="159"/>
      <c r="AA261" s="159"/>
      <c r="AB261" s="159"/>
      <c r="AC261" s="159"/>
      <c r="AD261" s="161"/>
      <c r="AF261" s="126" t="s">
        <v>701</v>
      </c>
      <c r="AT261" s="29" t="s">
        <v>789</v>
      </c>
      <c r="BG261" s="20"/>
      <c r="BT261" s="159">
        <v>7</v>
      </c>
      <c r="BU261" s="35" t="s">
        <v>939</v>
      </c>
      <c r="BV261" s="159" t="s">
        <v>237</v>
      </c>
      <c r="BW261" s="160" t="s">
        <v>936</v>
      </c>
      <c r="BX261" s="159" t="s">
        <v>1981</v>
      </c>
      <c r="BY261" s="159" t="s">
        <v>873</v>
      </c>
      <c r="BZ261" s="159" t="s">
        <v>1982</v>
      </c>
      <c r="CA261" s="159" t="s">
        <v>1983</v>
      </c>
      <c r="CB261" s="159" t="s">
        <v>1984</v>
      </c>
      <c r="CC261" s="159" t="s">
        <v>1985</v>
      </c>
      <c r="CD261" s="159" t="s">
        <v>239</v>
      </c>
      <c r="CE261" s="161"/>
      <c r="CG261" s="159">
        <v>8</v>
      </c>
      <c r="CH261" s="35" t="s">
        <v>575</v>
      </c>
      <c r="CI261" s="159" t="s">
        <v>237</v>
      </c>
      <c r="CJ261" s="160" t="s">
        <v>990</v>
      </c>
      <c r="CK261" s="159" t="s">
        <v>2070</v>
      </c>
      <c r="CL261" s="159" t="s">
        <v>940</v>
      </c>
      <c r="CM261" s="159" t="s">
        <v>2071</v>
      </c>
      <c r="CN261" s="159" t="s">
        <v>2072</v>
      </c>
      <c r="CO261" s="159" t="s">
        <v>2073</v>
      </c>
      <c r="CP261" s="159" t="s">
        <v>1799</v>
      </c>
      <c r="CQ261" s="159" t="s">
        <v>239</v>
      </c>
      <c r="CR261" s="161"/>
      <c r="CT261" s="126" t="s">
        <v>1057</v>
      </c>
      <c r="DG261" s="24">
        <v>10</v>
      </c>
      <c r="DT261" s="159"/>
      <c r="DU261" s="35" t="s">
        <v>709</v>
      </c>
      <c r="DV261" s="159"/>
      <c r="DW261" s="160"/>
      <c r="DX261" s="159"/>
      <c r="DY261" s="159"/>
      <c r="DZ261" s="159"/>
      <c r="EA261" s="159"/>
      <c r="EB261" s="159"/>
      <c r="EC261" s="159"/>
      <c r="ED261" s="159"/>
      <c r="EE261" s="161"/>
      <c r="EG261" s="159">
        <v>2</v>
      </c>
      <c r="EH261" s="35" t="s">
        <v>55</v>
      </c>
      <c r="EI261" s="159" t="s">
        <v>237</v>
      </c>
      <c r="EJ261" s="160" t="s">
        <v>1222</v>
      </c>
      <c r="EK261" s="159" t="s">
        <v>2386</v>
      </c>
      <c r="EL261" s="159" t="s">
        <v>238</v>
      </c>
      <c r="EM261" s="159" t="s">
        <v>2387</v>
      </c>
      <c r="EN261" s="159" t="s">
        <v>2388</v>
      </c>
      <c r="EO261" s="159" t="s">
        <v>2389</v>
      </c>
      <c r="EP261" s="159" t="s">
        <v>2390</v>
      </c>
      <c r="EQ261" s="159" t="s">
        <v>239</v>
      </c>
      <c r="ER261" s="161"/>
      <c r="ET261" s="159"/>
      <c r="EU261" s="35" t="s">
        <v>705</v>
      </c>
      <c r="EV261" s="159"/>
      <c r="EW261" s="160"/>
      <c r="EX261" s="159"/>
      <c r="EY261" s="159"/>
      <c r="EZ261" s="159"/>
      <c r="FA261" s="159"/>
      <c r="FB261" s="159"/>
      <c r="FC261" s="159"/>
      <c r="FD261" s="159"/>
      <c r="FE261" s="161"/>
      <c r="FG261" s="159"/>
      <c r="FH261" s="35" t="s">
        <v>713</v>
      </c>
      <c r="FI261" s="159"/>
      <c r="FJ261" s="160"/>
      <c r="FK261" s="159"/>
      <c r="FL261" s="159"/>
      <c r="FM261" s="159"/>
      <c r="FN261" s="159"/>
      <c r="FO261" s="159"/>
      <c r="FP261" s="159"/>
      <c r="FQ261" s="159"/>
      <c r="FR261" s="161"/>
      <c r="FT261" s="20"/>
      <c r="GG261" s="112"/>
      <c r="GT261" s="138" t="s">
        <v>3109</v>
      </c>
      <c r="HC261" s="29" t="s">
        <v>3331</v>
      </c>
    </row>
    <row r="262" spans="6:222" ht="15" customHeight="1" x14ac:dyDescent="0.25">
      <c r="F262" s="159"/>
      <c r="G262" s="35" t="s">
        <v>55</v>
      </c>
      <c r="H262" s="159"/>
      <c r="I262" s="160"/>
      <c r="J262" s="159"/>
      <c r="K262" s="159"/>
      <c r="L262" s="159"/>
      <c r="M262" s="159"/>
      <c r="N262" s="159"/>
      <c r="O262" s="159"/>
      <c r="P262" s="159"/>
      <c r="Q262" s="161"/>
      <c r="S262" s="159">
        <v>8</v>
      </c>
      <c r="T262" s="35" t="s">
        <v>244</v>
      </c>
      <c r="U262" s="159" t="s">
        <v>237</v>
      </c>
      <c r="V262" s="160" t="s">
        <v>573</v>
      </c>
      <c r="W262" s="159" t="s">
        <v>1635</v>
      </c>
      <c r="X262" s="159" t="s">
        <v>238</v>
      </c>
      <c r="Y262" s="159" t="s">
        <v>1636</v>
      </c>
      <c r="Z262" s="159" t="s">
        <v>1637</v>
      </c>
      <c r="AA262" s="159" t="s">
        <v>1638</v>
      </c>
      <c r="AB262" s="159" t="s">
        <v>1639</v>
      </c>
      <c r="AC262" s="159" t="s">
        <v>239</v>
      </c>
      <c r="AD262" s="161"/>
      <c r="AF262" s="20"/>
      <c r="AT262" s="20"/>
      <c r="BG262" s="29" t="s">
        <v>1915</v>
      </c>
      <c r="BT262" s="159"/>
      <c r="BU262" s="35" t="s">
        <v>939</v>
      </c>
      <c r="BV262" s="159"/>
      <c r="BW262" s="160"/>
      <c r="BX262" s="159"/>
      <c r="BY262" s="159"/>
      <c r="BZ262" s="159"/>
      <c r="CA262" s="159"/>
      <c r="CB262" s="159"/>
      <c r="CC262" s="159"/>
      <c r="CD262" s="159"/>
      <c r="CE262" s="161"/>
      <c r="CG262" s="159"/>
      <c r="CH262" s="35" t="s">
        <v>575</v>
      </c>
      <c r="CI262" s="159"/>
      <c r="CJ262" s="160"/>
      <c r="CK262" s="159"/>
      <c r="CL262" s="159"/>
      <c r="CM262" s="159"/>
      <c r="CN262" s="159"/>
      <c r="CO262" s="159"/>
      <c r="CP262" s="159"/>
      <c r="CQ262" s="159"/>
      <c r="CR262" s="161"/>
      <c r="CT262" s="20"/>
      <c r="DG262" s="28">
        <v>10</v>
      </c>
      <c r="DT262" s="24" t="s">
        <v>2336</v>
      </c>
      <c r="EG262" s="159"/>
      <c r="EH262" s="35" t="s">
        <v>55</v>
      </c>
      <c r="EI262" s="159"/>
      <c r="EJ262" s="160"/>
      <c r="EK262" s="159"/>
      <c r="EL262" s="159"/>
      <c r="EM262" s="159"/>
      <c r="EN262" s="159"/>
      <c r="EO262" s="159"/>
      <c r="EP262" s="159"/>
      <c r="EQ262" s="159"/>
      <c r="ER262" s="161"/>
      <c r="ET262" s="159">
        <v>5</v>
      </c>
      <c r="EU262" s="35" t="s">
        <v>243</v>
      </c>
      <c r="EV262" s="159" t="s">
        <v>237</v>
      </c>
      <c r="EW262" s="160" t="s">
        <v>1270</v>
      </c>
      <c r="EX262" s="159" t="s">
        <v>2465</v>
      </c>
      <c r="EY262" s="159" t="s">
        <v>711</v>
      </c>
      <c r="EZ262" s="159" t="s">
        <v>2480</v>
      </c>
      <c r="FA262" s="159" t="s">
        <v>2481</v>
      </c>
      <c r="FB262" s="159" t="s">
        <v>2482</v>
      </c>
      <c r="FC262" s="159" t="s">
        <v>2483</v>
      </c>
      <c r="FD262" s="159" t="s">
        <v>239</v>
      </c>
      <c r="FE262" s="161"/>
      <c r="FG262" s="159">
        <v>8</v>
      </c>
      <c r="FH262" s="35" t="s">
        <v>575</v>
      </c>
      <c r="FI262" s="159" t="s">
        <v>237</v>
      </c>
      <c r="FJ262" s="160" t="s">
        <v>1322</v>
      </c>
      <c r="FK262" s="159" t="s">
        <v>2572</v>
      </c>
      <c r="FL262" s="159" t="s">
        <v>618</v>
      </c>
      <c r="FM262" s="159" t="s">
        <v>2573</v>
      </c>
      <c r="FN262" s="159" t="s">
        <v>2574</v>
      </c>
      <c r="FO262" s="159" t="s">
        <v>2575</v>
      </c>
      <c r="FP262" s="159" t="s">
        <v>2576</v>
      </c>
      <c r="FQ262" s="159" t="s">
        <v>239</v>
      </c>
      <c r="FR262" s="161"/>
      <c r="FT262" s="21" t="s">
        <v>1227</v>
      </c>
      <c r="GG262" s="28" t="s">
        <v>1425</v>
      </c>
      <c r="GT262" s="11"/>
      <c r="HC262" s="20"/>
    </row>
    <row r="263" spans="6:222" ht="15" customHeight="1" x14ac:dyDescent="0.25">
      <c r="F263" s="159">
        <v>8</v>
      </c>
      <c r="G263" s="35" t="s">
        <v>244</v>
      </c>
      <c r="H263" s="159" t="s">
        <v>237</v>
      </c>
      <c r="I263" s="160" t="s">
        <v>240</v>
      </c>
      <c r="J263" s="159" t="s">
        <v>1535</v>
      </c>
      <c r="K263" s="159" t="s">
        <v>238</v>
      </c>
      <c r="L263" s="159" t="s">
        <v>1536</v>
      </c>
      <c r="M263" s="159" t="s">
        <v>1537</v>
      </c>
      <c r="N263" s="159" t="s">
        <v>1538</v>
      </c>
      <c r="O263" s="159" t="s">
        <v>1539</v>
      </c>
      <c r="P263" s="159" t="s">
        <v>239</v>
      </c>
      <c r="Q263" s="161"/>
      <c r="S263" s="159"/>
      <c r="T263" s="35" t="s">
        <v>244</v>
      </c>
      <c r="U263" s="159"/>
      <c r="V263" s="160"/>
      <c r="W263" s="159"/>
      <c r="X263" s="159"/>
      <c r="Y263" s="159"/>
      <c r="Z263" s="159"/>
      <c r="AA263" s="159"/>
      <c r="AB263" s="159"/>
      <c r="AC263" s="159"/>
      <c r="AD263" s="161"/>
      <c r="AF263" s="28" t="s">
        <v>1691</v>
      </c>
      <c r="AT263" s="24" t="s">
        <v>790</v>
      </c>
      <c r="BG263" s="20"/>
      <c r="BT263" s="159">
        <v>8</v>
      </c>
      <c r="BU263" s="35" t="s">
        <v>943</v>
      </c>
      <c r="BV263" s="159" t="s">
        <v>237</v>
      </c>
      <c r="BW263" s="160" t="s">
        <v>936</v>
      </c>
      <c r="BX263" s="159" t="s">
        <v>1377</v>
      </c>
      <c r="BY263" s="159" t="s">
        <v>618</v>
      </c>
      <c r="BZ263" s="159" t="s">
        <v>1986</v>
      </c>
      <c r="CA263" s="159" t="s">
        <v>1987</v>
      </c>
      <c r="CB263" s="159" t="s">
        <v>1988</v>
      </c>
      <c r="CC263" s="159" t="s">
        <v>1989</v>
      </c>
      <c r="CD263" s="159" t="s">
        <v>239</v>
      </c>
      <c r="CE263" s="161"/>
      <c r="CG263" s="159">
        <v>9</v>
      </c>
      <c r="CH263" s="35" t="s">
        <v>246</v>
      </c>
      <c r="CI263" s="159" t="s">
        <v>237</v>
      </c>
      <c r="CJ263" s="160" t="s">
        <v>988</v>
      </c>
      <c r="CK263" s="159" t="s">
        <v>2074</v>
      </c>
      <c r="CL263" s="159" t="s">
        <v>618</v>
      </c>
      <c r="CM263" s="159" t="s">
        <v>2075</v>
      </c>
      <c r="CN263" s="159" t="s">
        <v>2076</v>
      </c>
      <c r="CO263" s="159" t="s">
        <v>2077</v>
      </c>
      <c r="CP263" s="159" t="s">
        <v>2078</v>
      </c>
      <c r="CQ263" s="159" t="s">
        <v>239</v>
      </c>
      <c r="CR263" s="161"/>
      <c r="CT263" s="28" t="s">
        <v>2124</v>
      </c>
      <c r="DG263" s="28">
        <v>50</v>
      </c>
      <c r="DT263" s="24" t="s">
        <v>2337</v>
      </c>
      <c r="EG263" s="159">
        <v>3</v>
      </c>
      <c r="EH263" s="35" t="s">
        <v>709</v>
      </c>
      <c r="EI263" s="159" t="s">
        <v>237</v>
      </c>
      <c r="EJ263" s="160" t="s">
        <v>1222</v>
      </c>
      <c r="EK263" s="159" t="s">
        <v>2381</v>
      </c>
      <c r="EL263" s="159" t="s">
        <v>711</v>
      </c>
      <c r="EM263" s="159" t="s">
        <v>2391</v>
      </c>
      <c r="EN263" s="159" t="s">
        <v>2392</v>
      </c>
      <c r="EO263" s="159" t="s">
        <v>2393</v>
      </c>
      <c r="EP263" s="159" t="s">
        <v>2230</v>
      </c>
      <c r="EQ263" s="159" t="s">
        <v>239</v>
      </c>
      <c r="ER263" s="161"/>
      <c r="ET263" s="159"/>
      <c r="EU263" s="35" t="s">
        <v>243</v>
      </c>
      <c r="EV263" s="159"/>
      <c r="EW263" s="160"/>
      <c r="EX263" s="159"/>
      <c r="EY263" s="159"/>
      <c r="EZ263" s="159"/>
      <c r="FA263" s="159"/>
      <c r="FB263" s="159"/>
      <c r="FC263" s="159"/>
      <c r="FD263" s="159"/>
      <c r="FE263" s="161"/>
      <c r="FG263" s="159"/>
      <c r="FH263" s="35" t="s">
        <v>575</v>
      </c>
      <c r="FI263" s="159"/>
      <c r="FJ263" s="160"/>
      <c r="FK263" s="159"/>
      <c r="FL263" s="159"/>
      <c r="FM263" s="159"/>
      <c r="FN263" s="159"/>
      <c r="FO263" s="159"/>
      <c r="FP263" s="159"/>
      <c r="FQ263" s="159"/>
      <c r="FR263" s="161"/>
      <c r="FT263" s="21" t="s">
        <v>1227</v>
      </c>
      <c r="GG263" s="20"/>
      <c r="GT263" s="143" t="s">
        <v>3110</v>
      </c>
      <c r="HC263" s="24" t="s">
        <v>2882</v>
      </c>
    </row>
    <row r="264" spans="6:222" ht="15" customHeight="1" x14ac:dyDescent="0.25">
      <c r="F264" s="159"/>
      <c r="G264" s="35" t="s">
        <v>244</v>
      </c>
      <c r="H264" s="159"/>
      <c r="I264" s="160"/>
      <c r="J264" s="159"/>
      <c r="K264" s="159"/>
      <c r="L264" s="159"/>
      <c r="M264" s="159"/>
      <c r="N264" s="159"/>
      <c r="O264" s="159"/>
      <c r="P264" s="159"/>
      <c r="Q264" s="161"/>
      <c r="S264" s="159">
        <v>9</v>
      </c>
      <c r="T264" s="35" t="s">
        <v>241</v>
      </c>
      <c r="U264" s="159" t="s">
        <v>237</v>
      </c>
      <c r="V264" s="160" t="s">
        <v>69</v>
      </c>
      <c r="W264" s="159" t="s">
        <v>1640</v>
      </c>
      <c r="X264" s="159" t="s">
        <v>618</v>
      </c>
      <c r="Y264" s="159" t="s">
        <v>1641</v>
      </c>
      <c r="Z264" s="159" t="s">
        <v>1642</v>
      </c>
      <c r="AA264" s="159" t="s">
        <v>1643</v>
      </c>
      <c r="AB264" s="159" t="s">
        <v>1644</v>
      </c>
      <c r="AC264" s="159" t="s">
        <v>239</v>
      </c>
      <c r="AD264" s="161"/>
      <c r="AF264" s="20"/>
      <c r="AT264" s="37">
        <v>0.78</v>
      </c>
      <c r="BG264" s="21" t="s">
        <v>1916</v>
      </c>
      <c r="BT264" s="159"/>
      <c r="BU264" s="35" t="s">
        <v>943</v>
      </c>
      <c r="BV264" s="159"/>
      <c r="BW264" s="160"/>
      <c r="BX264" s="159"/>
      <c r="BY264" s="159"/>
      <c r="BZ264" s="159"/>
      <c r="CA264" s="159"/>
      <c r="CB264" s="159"/>
      <c r="CC264" s="159"/>
      <c r="CD264" s="159"/>
      <c r="CE264" s="161"/>
      <c r="CG264" s="159"/>
      <c r="CH264" s="35" t="s">
        <v>246</v>
      </c>
      <c r="CI264" s="159"/>
      <c r="CJ264" s="160"/>
      <c r="CK264" s="159"/>
      <c r="CL264" s="159"/>
      <c r="CM264" s="159"/>
      <c r="CN264" s="159"/>
      <c r="CO264" s="159"/>
      <c r="CP264" s="159"/>
      <c r="CQ264" s="159"/>
      <c r="CR264" s="161"/>
      <c r="CT264" s="20"/>
      <c r="DG264" s="28">
        <v>100</v>
      </c>
      <c r="DT264" s="24" t="s">
        <v>247</v>
      </c>
      <c r="EG264" s="159"/>
      <c r="EH264" s="35" t="s">
        <v>709</v>
      </c>
      <c r="EI264" s="159"/>
      <c r="EJ264" s="160"/>
      <c r="EK264" s="159"/>
      <c r="EL264" s="159"/>
      <c r="EM264" s="159"/>
      <c r="EN264" s="159"/>
      <c r="EO264" s="159"/>
      <c r="EP264" s="159"/>
      <c r="EQ264" s="159"/>
      <c r="ER264" s="161"/>
      <c r="ET264" s="159">
        <v>6</v>
      </c>
      <c r="EU264" s="35" t="s">
        <v>55</v>
      </c>
      <c r="EV264" s="159" t="s">
        <v>237</v>
      </c>
      <c r="EW264" s="160" t="s">
        <v>2484</v>
      </c>
      <c r="EX264" s="159" t="s">
        <v>2465</v>
      </c>
      <c r="EY264" s="159" t="s">
        <v>711</v>
      </c>
      <c r="EZ264" s="159" t="s">
        <v>2485</v>
      </c>
      <c r="FA264" s="159" t="s">
        <v>2486</v>
      </c>
      <c r="FB264" s="159" t="s">
        <v>2487</v>
      </c>
      <c r="FC264" s="159" t="s">
        <v>1524</v>
      </c>
      <c r="FD264" s="159" t="s">
        <v>239</v>
      </c>
      <c r="FE264" s="161"/>
      <c r="FG264" s="159">
        <v>9</v>
      </c>
      <c r="FH264" s="35" t="s">
        <v>245</v>
      </c>
      <c r="FI264" s="159" t="s">
        <v>237</v>
      </c>
      <c r="FJ264" s="160" t="s">
        <v>1320</v>
      </c>
      <c r="FK264" s="159" t="s">
        <v>2577</v>
      </c>
      <c r="FL264" s="159" t="s">
        <v>618</v>
      </c>
      <c r="FM264" s="159" t="s">
        <v>2578</v>
      </c>
      <c r="FN264" s="159" t="s">
        <v>2579</v>
      </c>
      <c r="FO264" s="159" t="s">
        <v>2580</v>
      </c>
      <c r="FP264" s="159" t="s">
        <v>2581</v>
      </c>
      <c r="FQ264" s="159" t="s">
        <v>239</v>
      </c>
      <c r="FR264" s="161"/>
      <c r="FT264" s="21" t="s">
        <v>577</v>
      </c>
      <c r="GG264" s="24" t="s">
        <v>222</v>
      </c>
      <c r="GT264" s="11"/>
      <c r="HC264" s="24" t="s">
        <v>2883</v>
      </c>
    </row>
    <row r="265" spans="6:222" ht="15" customHeight="1" x14ac:dyDescent="0.25">
      <c r="F265" s="159">
        <v>9</v>
      </c>
      <c r="G265" s="35" t="s">
        <v>246</v>
      </c>
      <c r="H265" s="159" t="s">
        <v>237</v>
      </c>
      <c r="I265" s="160" t="s">
        <v>240</v>
      </c>
      <c r="J265" s="159" t="s">
        <v>1540</v>
      </c>
      <c r="K265" s="159" t="s">
        <v>238</v>
      </c>
      <c r="L265" s="159" t="s">
        <v>1541</v>
      </c>
      <c r="M265" s="159" t="s">
        <v>1542</v>
      </c>
      <c r="N265" s="159" t="s">
        <v>1543</v>
      </c>
      <c r="O265" s="159" t="s">
        <v>1544</v>
      </c>
      <c r="P265" s="159" t="s">
        <v>239</v>
      </c>
      <c r="Q265" s="161"/>
      <c r="S265" s="159"/>
      <c r="T265" s="35" t="s">
        <v>241</v>
      </c>
      <c r="U265" s="159"/>
      <c r="V265" s="160"/>
      <c r="W265" s="159"/>
      <c r="X265" s="159"/>
      <c r="Y265" s="159"/>
      <c r="Z265" s="159"/>
      <c r="AA265" s="159"/>
      <c r="AB265" s="159"/>
      <c r="AC265" s="159"/>
      <c r="AD265" s="161"/>
      <c r="AF265" s="126" t="s">
        <v>702</v>
      </c>
      <c r="AT265" s="37">
        <v>0.22</v>
      </c>
      <c r="BG265" s="21" t="s">
        <v>1916</v>
      </c>
      <c r="BT265" s="159">
        <v>9</v>
      </c>
      <c r="BU265" s="35" t="s">
        <v>709</v>
      </c>
      <c r="BV265" s="159" t="s">
        <v>237</v>
      </c>
      <c r="BW265" s="160" t="s">
        <v>936</v>
      </c>
      <c r="BX265" s="159" t="s">
        <v>1377</v>
      </c>
      <c r="BY265" s="159" t="s">
        <v>238</v>
      </c>
      <c r="BZ265" s="159" t="s">
        <v>1990</v>
      </c>
      <c r="CA265" s="159" t="s">
        <v>1991</v>
      </c>
      <c r="CB265" s="159" t="s">
        <v>1992</v>
      </c>
      <c r="CC265" s="159" t="s">
        <v>1993</v>
      </c>
      <c r="CD265" s="159" t="s">
        <v>239</v>
      </c>
      <c r="CE265" s="161"/>
      <c r="CG265" s="159">
        <v>10</v>
      </c>
      <c r="CH265" s="35" t="s">
        <v>646</v>
      </c>
      <c r="CI265" s="159" t="s">
        <v>237</v>
      </c>
      <c r="CJ265" s="160" t="s">
        <v>988</v>
      </c>
      <c r="CK265" s="159" t="s">
        <v>2079</v>
      </c>
      <c r="CL265" s="159" t="s">
        <v>618</v>
      </c>
      <c r="CM265" s="159" t="s">
        <v>2080</v>
      </c>
      <c r="CN265" s="159" t="s">
        <v>2081</v>
      </c>
      <c r="CO265" s="159" t="s">
        <v>2082</v>
      </c>
      <c r="CP265" s="159" t="s">
        <v>2083</v>
      </c>
      <c r="CQ265" s="159" t="s">
        <v>239</v>
      </c>
      <c r="CR265" s="161"/>
      <c r="CT265" s="126" t="s">
        <v>1058</v>
      </c>
      <c r="DG265" s="20"/>
      <c r="DT265" s="24">
        <v>10</v>
      </c>
      <c r="EG265" s="159">
        <v>4</v>
      </c>
      <c r="EH265" s="35" t="s">
        <v>1170</v>
      </c>
      <c r="EI265" s="159" t="s">
        <v>237</v>
      </c>
      <c r="EJ265" s="160" t="s">
        <v>1222</v>
      </c>
      <c r="EK265" s="159" t="s">
        <v>2394</v>
      </c>
      <c r="EL265" s="159" t="s">
        <v>238</v>
      </c>
      <c r="EM265" s="159" t="s">
        <v>2395</v>
      </c>
      <c r="EN265" s="159" t="s">
        <v>2396</v>
      </c>
      <c r="EO265" s="159" t="s">
        <v>2397</v>
      </c>
      <c r="EP265" s="159" t="s">
        <v>2398</v>
      </c>
      <c r="EQ265" s="159" t="s">
        <v>239</v>
      </c>
      <c r="ER265" s="161"/>
      <c r="ET265" s="159"/>
      <c r="EU265" s="35" t="s">
        <v>55</v>
      </c>
      <c r="EV265" s="159"/>
      <c r="EW265" s="160"/>
      <c r="EX265" s="159"/>
      <c r="EY265" s="159"/>
      <c r="EZ265" s="159"/>
      <c r="FA265" s="159"/>
      <c r="FB265" s="159"/>
      <c r="FC265" s="159"/>
      <c r="FD265" s="159"/>
      <c r="FE265" s="161"/>
      <c r="FG265" s="159"/>
      <c r="FH265" s="35" t="s">
        <v>245</v>
      </c>
      <c r="FI265" s="159"/>
      <c r="FJ265" s="160"/>
      <c r="FK265" s="159"/>
      <c r="FL265" s="159"/>
      <c r="FM265" s="159"/>
      <c r="FN265" s="159"/>
      <c r="FO265" s="159"/>
      <c r="FP265" s="159"/>
      <c r="FQ265" s="159"/>
      <c r="FR265" s="161"/>
      <c r="FT265" s="21" t="s">
        <v>948</v>
      </c>
      <c r="GG265" s="20"/>
      <c r="GT265" s="140" t="s">
        <v>3111</v>
      </c>
      <c r="HC265" s="31" t="s">
        <v>226</v>
      </c>
      <c r="HD265" s="31" t="s">
        <v>2884</v>
      </c>
      <c r="HE265" s="31"/>
      <c r="HF265" s="31" t="s">
        <v>2885</v>
      </c>
      <c r="HG265" s="31" t="s">
        <v>2886</v>
      </c>
      <c r="HH265" s="31" t="s">
        <v>230</v>
      </c>
      <c r="HI265" s="31" t="s">
        <v>2887</v>
      </c>
      <c r="HJ265" s="31" t="s">
        <v>2888</v>
      </c>
      <c r="HK265" s="31" t="s">
        <v>2889</v>
      </c>
      <c r="HL265" s="31" t="s">
        <v>234</v>
      </c>
      <c r="HM265" s="31" t="s">
        <v>2890</v>
      </c>
      <c r="HN265" s="31" t="s">
        <v>2891</v>
      </c>
    </row>
    <row r="266" spans="6:222" ht="15" customHeight="1" x14ac:dyDescent="0.25">
      <c r="F266" s="159"/>
      <c r="G266" s="35" t="s">
        <v>246</v>
      </c>
      <c r="H266" s="159"/>
      <c r="I266" s="160"/>
      <c r="J266" s="159"/>
      <c r="K266" s="159"/>
      <c r="L266" s="159"/>
      <c r="M266" s="159"/>
      <c r="N266" s="159"/>
      <c r="O266" s="159"/>
      <c r="P266" s="159"/>
      <c r="Q266" s="161"/>
      <c r="S266" s="159">
        <v>10</v>
      </c>
      <c r="T266" s="35" t="s">
        <v>575</v>
      </c>
      <c r="U266" s="159" t="s">
        <v>237</v>
      </c>
      <c r="V266" s="160" t="s">
        <v>69</v>
      </c>
      <c r="W266" s="159" t="s">
        <v>1645</v>
      </c>
      <c r="X266" s="159" t="s">
        <v>238</v>
      </c>
      <c r="Y266" s="159" t="s">
        <v>1646</v>
      </c>
      <c r="Z266" s="159" t="s">
        <v>1647</v>
      </c>
      <c r="AA266" s="159" t="s">
        <v>1648</v>
      </c>
      <c r="AB266" s="159" t="s">
        <v>1461</v>
      </c>
      <c r="AC266" s="159" t="s">
        <v>239</v>
      </c>
      <c r="AD266" s="161"/>
      <c r="AF266" s="20"/>
      <c r="AT266" s="28" t="s">
        <v>690</v>
      </c>
      <c r="BG266" s="21" t="s">
        <v>649</v>
      </c>
      <c r="BT266" s="159"/>
      <c r="BU266" s="35" t="s">
        <v>709</v>
      </c>
      <c r="BV266" s="159"/>
      <c r="BW266" s="160"/>
      <c r="BX266" s="159"/>
      <c r="BY266" s="159"/>
      <c r="BZ266" s="159"/>
      <c r="CA266" s="159"/>
      <c r="CB266" s="159"/>
      <c r="CC266" s="159"/>
      <c r="CD266" s="159"/>
      <c r="CE266" s="161"/>
      <c r="CG266" s="159"/>
      <c r="CH266" s="35" t="s">
        <v>646</v>
      </c>
      <c r="CI266" s="159"/>
      <c r="CJ266" s="160"/>
      <c r="CK266" s="159"/>
      <c r="CL266" s="159"/>
      <c r="CM266" s="159"/>
      <c r="CN266" s="159"/>
      <c r="CO266" s="159"/>
      <c r="CP266" s="159"/>
      <c r="CQ266" s="159"/>
      <c r="CR266" s="161"/>
      <c r="CT266" s="20"/>
      <c r="DG266" s="29" t="s">
        <v>1123</v>
      </c>
      <c r="DT266" s="28">
        <v>10</v>
      </c>
      <c r="EG266" s="159"/>
      <c r="EH266" s="35" t="s">
        <v>1170</v>
      </c>
      <c r="EI266" s="159"/>
      <c r="EJ266" s="160"/>
      <c r="EK266" s="159"/>
      <c r="EL266" s="159"/>
      <c r="EM266" s="159"/>
      <c r="EN266" s="159"/>
      <c r="EO266" s="159"/>
      <c r="EP266" s="159"/>
      <c r="EQ266" s="159"/>
      <c r="ER266" s="161"/>
      <c r="ET266" s="159">
        <v>7</v>
      </c>
      <c r="EU266" s="35" t="s">
        <v>244</v>
      </c>
      <c r="EV266" s="159" t="s">
        <v>237</v>
      </c>
      <c r="EW266" s="160" t="s">
        <v>1270</v>
      </c>
      <c r="EX266" s="159" t="s">
        <v>626</v>
      </c>
      <c r="EY266" s="159" t="s">
        <v>238</v>
      </c>
      <c r="EZ266" s="159" t="s">
        <v>2488</v>
      </c>
      <c r="FA266" s="159" t="s">
        <v>2489</v>
      </c>
      <c r="FB266" s="159" t="s">
        <v>2490</v>
      </c>
      <c r="FC266" s="159" t="s">
        <v>1456</v>
      </c>
      <c r="FD266" s="159" t="s">
        <v>239</v>
      </c>
      <c r="FE266" s="161"/>
      <c r="FG266" s="159">
        <v>10</v>
      </c>
      <c r="FH266" s="35" t="s">
        <v>243</v>
      </c>
      <c r="FI266" s="159" t="s">
        <v>237</v>
      </c>
      <c r="FJ266" s="160" t="s">
        <v>1320</v>
      </c>
      <c r="FK266" s="159" t="s">
        <v>2582</v>
      </c>
      <c r="FL266" s="159" t="s">
        <v>618</v>
      </c>
      <c r="FM266" s="159" t="s">
        <v>2583</v>
      </c>
      <c r="FN266" s="159" t="s">
        <v>2584</v>
      </c>
      <c r="FO266" s="159" t="s">
        <v>2585</v>
      </c>
      <c r="FP266" s="159" t="s">
        <v>2586</v>
      </c>
      <c r="FQ266" s="159" t="s">
        <v>239</v>
      </c>
      <c r="FR266" s="161"/>
      <c r="FT266" s="24" t="s">
        <v>250</v>
      </c>
      <c r="GG266" s="29" t="s">
        <v>1426</v>
      </c>
      <c r="GT266" s="11"/>
      <c r="HC266" s="163"/>
      <c r="HD266" s="163"/>
      <c r="HE266" s="163"/>
      <c r="HF266" s="163"/>
      <c r="HG266" s="163"/>
      <c r="HH266" s="163"/>
      <c r="HI266" s="163"/>
      <c r="HJ266" s="163"/>
      <c r="HK266" s="163"/>
      <c r="HL266" s="163"/>
      <c r="HM266" s="163"/>
      <c r="HN266" s="163"/>
    </row>
    <row r="267" spans="6:222" ht="15" customHeight="1" x14ac:dyDescent="0.25">
      <c r="F267" s="159">
        <v>10</v>
      </c>
      <c r="G267" s="35" t="s">
        <v>1545</v>
      </c>
      <c r="H267" s="159" t="s">
        <v>237</v>
      </c>
      <c r="I267" s="160" t="s">
        <v>60</v>
      </c>
      <c r="J267" s="159" t="s">
        <v>1546</v>
      </c>
      <c r="K267" s="159" t="s">
        <v>618</v>
      </c>
      <c r="L267" s="159" t="s">
        <v>1547</v>
      </c>
      <c r="M267" s="159" t="s">
        <v>1548</v>
      </c>
      <c r="N267" s="159" t="s">
        <v>1549</v>
      </c>
      <c r="O267" s="159" t="s">
        <v>1550</v>
      </c>
      <c r="P267" s="159" t="s">
        <v>239</v>
      </c>
      <c r="Q267" s="161"/>
      <c r="S267" s="159"/>
      <c r="T267" s="35" t="s">
        <v>575</v>
      </c>
      <c r="U267" s="159"/>
      <c r="V267" s="160"/>
      <c r="W267" s="159"/>
      <c r="X267" s="159"/>
      <c r="Y267" s="159"/>
      <c r="Z267" s="159"/>
      <c r="AA267" s="159"/>
      <c r="AB267" s="159"/>
      <c r="AC267" s="159"/>
      <c r="AD267" s="161"/>
      <c r="AF267" s="28" t="s">
        <v>1692</v>
      </c>
      <c r="AT267" s="20"/>
      <c r="BG267" s="21" t="s">
        <v>814</v>
      </c>
      <c r="BT267" s="159">
        <v>10</v>
      </c>
      <c r="BU267" s="35" t="s">
        <v>805</v>
      </c>
      <c r="BV267" s="159" t="s">
        <v>237</v>
      </c>
      <c r="BW267" s="160" t="s">
        <v>936</v>
      </c>
      <c r="BX267" s="159" t="s">
        <v>1377</v>
      </c>
      <c r="BY267" s="159" t="s">
        <v>628</v>
      </c>
      <c r="BZ267" s="159" t="s">
        <v>1994</v>
      </c>
      <c r="CA267" s="159" t="s">
        <v>1995</v>
      </c>
      <c r="CB267" s="159" t="s">
        <v>1996</v>
      </c>
      <c r="CC267" s="159" t="s">
        <v>1447</v>
      </c>
      <c r="CD267" s="159" t="s">
        <v>239</v>
      </c>
      <c r="CE267" s="161"/>
      <c r="CG267" s="24" t="s">
        <v>2084</v>
      </c>
      <c r="CT267" s="28" t="s">
        <v>2125</v>
      </c>
      <c r="DG267" s="20"/>
      <c r="DT267" s="28">
        <v>50</v>
      </c>
      <c r="EG267" s="159">
        <v>5</v>
      </c>
      <c r="EH267" s="35" t="s">
        <v>937</v>
      </c>
      <c r="EI267" s="159" t="s">
        <v>237</v>
      </c>
      <c r="EJ267" s="160" t="s">
        <v>1222</v>
      </c>
      <c r="EK267" s="159" t="s">
        <v>2399</v>
      </c>
      <c r="EL267" s="159" t="s">
        <v>711</v>
      </c>
      <c r="EM267" s="159" t="s">
        <v>2400</v>
      </c>
      <c r="EN267" s="159" t="s">
        <v>2401</v>
      </c>
      <c r="EO267" s="159" t="s">
        <v>2402</v>
      </c>
      <c r="EP267" s="159" t="s">
        <v>938</v>
      </c>
      <c r="EQ267" s="159" t="s">
        <v>239</v>
      </c>
      <c r="ER267" s="161"/>
      <c r="ET267" s="159"/>
      <c r="EU267" s="35" t="s">
        <v>244</v>
      </c>
      <c r="EV267" s="159"/>
      <c r="EW267" s="160"/>
      <c r="EX267" s="159"/>
      <c r="EY267" s="159"/>
      <c r="EZ267" s="159"/>
      <c r="FA267" s="159"/>
      <c r="FB267" s="159"/>
      <c r="FC267" s="159"/>
      <c r="FD267" s="159"/>
      <c r="FE267" s="161"/>
      <c r="FG267" s="159"/>
      <c r="FH267" s="35" t="s">
        <v>243</v>
      </c>
      <c r="FI267" s="159"/>
      <c r="FJ267" s="160"/>
      <c r="FK267" s="159"/>
      <c r="FL267" s="159"/>
      <c r="FM267" s="159"/>
      <c r="FN267" s="159"/>
      <c r="FO267" s="159"/>
      <c r="FP267" s="159"/>
      <c r="FQ267" s="159"/>
      <c r="FR267" s="161"/>
      <c r="FT267" s="20"/>
      <c r="GG267" s="20"/>
      <c r="GT267" s="13" t="s">
        <v>535</v>
      </c>
      <c r="HC267" s="159">
        <v>1</v>
      </c>
      <c r="HD267" s="35" t="s">
        <v>989</v>
      </c>
      <c r="HE267" s="159" t="s">
        <v>237</v>
      </c>
      <c r="HF267" s="160" t="s">
        <v>3332</v>
      </c>
      <c r="HG267" s="159" t="s">
        <v>3249</v>
      </c>
      <c r="HH267" s="159" t="s">
        <v>873</v>
      </c>
      <c r="HI267" s="159" t="s">
        <v>3333</v>
      </c>
      <c r="HJ267" s="159" t="s">
        <v>3334</v>
      </c>
      <c r="HK267" s="159" t="s">
        <v>3335</v>
      </c>
      <c r="HL267" s="159" t="s">
        <v>3336</v>
      </c>
      <c r="HM267" s="159" t="s">
        <v>2892</v>
      </c>
      <c r="HN267" s="161"/>
    </row>
    <row r="268" spans="6:222" ht="15" customHeight="1" x14ac:dyDescent="0.25">
      <c r="F268" s="159"/>
      <c r="G268" s="35" t="s">
        <v>1545</v>
      </c>
      <c r="H268" s="159"/>
      <c r="I268" s="160"/>
      <c r="J268" s="159"/>
      <c r="K268" s="159"/>
      <c r="L268" s="159"/>
      <c r="M268" s="159"/>
      <c r="N268" s="159"/>
      <c r="O268" s="159"/>
      <c r="P268" s="159"/>
      <c r="Q268" s="161"/>
      <c r="S268" s="24" t="s">
        <v>1649</v>
      </c>
      <c r="AF268" s="20"/>
      <c r="AT268" s="125" t="s">
        <v>791</v>
      </c>
      <c r="BG268" s="24" t="s">
        <v>250</v>
      </c>
      <c r="BT268" s="159"/>
      <c r="BU268" s="35" t="s">
        <v>805</v>
      </c>
      <c r="BV268" s="159"/>
      <c r="BW268" s="160"/>
      <c r="BX268" s="159"/>
      <c r="BY268" s="159"/>
      <c r="BZ268" s="159"/>
      <c r="CA268" s="159"/>
      <c r="CB268" s="159"/>
      <c r="CC268" s="159"/>
      <c r="CD268" s="159"/>
      <c r="CE268" s="161"/>
      <c r="CG268" s="24" t="s">
        <v>991</v>
      </c>
      <c r="CT268" s="20"/>
      <c r="DG268" s="21" t="s">
        <v>2259</v>
      </c>
      <c r="DT268" s="28">
        <v>100</v>
      </c>
      <c r="EG268" s="159"/>
      <c r="EH268" s="35" t="s">
        <v>937</v>
      </c>
      <c r="EI268" s="159"/>
      <c r="EJ268" s="160"/>
      <c r="EK268" s="159"/>
      <c r="EL268" s="159"/>
      <c r="EM268" s="159"/>
      <c r="EN268" s="159"/>
      <c r="EO268" s="159"/>
      <c r="EP268" s="159"/>
      <c r="EQ268" s="159"/>
      <c r="ER268" s="161"/>
      <c r="ET268" s="159">
        <v>8</v>
      </c>
      <c r="EU268" s="35" t="s">
        <v>241</v>
      </c>
      <c r="EV268" s="159" t="s">
        <v>237</v>
      </c>
      <c r="EW268" s="160" t="s">
        <v>1272</v>
      </c>
      <c r="EX268" s="159" t="s">
        <v>2465</v>
      </c>
      <c r="EY268" s="159" t="s">
        <v>878</v>
      </c>
      <c r="EZ268" s="159" t="s">
        <v>2491</v>
      </c>
      <c r="FA268" s="159" t="s">
        <v>2492</v>
      </c>
      <c r="FB268" s="159" t="s">
        <v>2493</v>
      </c>
      <c r="FC268" s="159" t="s">
        <v>2494</v>
      </c>
      <c r="FD268" s="159" t="s">
        <v>239</v>
      </c>
      <c r="FE268" s="161"/>
      <c r="FG268" s="24" t="s">
        <v>2587</v>
      </c>
      <c r="FT268" s="29" t="s">
        <v>1365</v>
      </c>
      <c r="GG268" s="24" t="s">
        <v>224</v>
      </c>
      <c r="GT268" s="13" t="s">
        <v>58</v>
      </c>
      <c r="HC268" s="159"/>
      <c r="HD268" s="35" t="s">
        <v>989</v>
      </c>
      <c r="HE268" s="159"/>
      <c r="HF268" s="160"/>
      <c r="HG268" s="159"/>
      <c r="HH268" s="159"/>
      <c r="HI268" s="159"/>
      <c r="HJ268" s="159"/>
      <c r="HK268" s="159"/>
      <c r="HL268" s="159"/>
      <c r="HM268" s="159"/>
      <c r="HN268" s="161"/>
    </row>
    <row r="269" spans="6:222" ht="21" x14ac:dyDescent="0.25">
      <c r="F269" s="24" t="s">
        <v>1551</v>
      </c>
      <c r="S269" s="24" t="s">
        <v>648</v>
      </c>
      <c r="AF269" s="126" t="s">
        <v>703</v>
      </c>
      <c r="AT269" s="20"/>
      <c r="BG269" s="20"/>
      <c r="BT269" s="24" t="s">
        <v>944</v>
      </c>
      <c r="CG269" s="24" t="s">
        <v>247</v>
      </c>
      <c r="CT269" s="126" t="s">
        <v>1059</v>
      </c>
      <c r="DG269" s="21" t="s">
        <v>2259</v>
      </c>
      <c r="DT269" s="20"/>
      <c r="EG269" s="159">
        <v>6</v>
      </c>
      <c r="EH269" s="35" t="s">
        <v>244</v>
      </c>
      <c r="EI269" s="159" t="s">
        <v>237</v>
      </c>
      <c r="EJ269" s="160" t="s">
        <v>1222</v>
      </c>
      <c r="EK269" s="159" t="s">
        <v>2359</v>
      </c>
      <c r="EL269" s="159" t="s">
        <v>238</v>
      </c>
      <c r="EM269" s="159" t="s">
        <v>2403</v>
      </c>
      <c r="EN269" s="159" t="s">
        <v>2404</v>
      </c>
      <c r="EO269" s="159" t="s">
        <v>2405</v>
      </c>
      <c r="EP269" s="159" t="s">
        <v>1454</v>
      </c>
      <c r="EQ269" s="159" t="s">
        <v>239</v>
      </c>
      <c r="ER269" s="161"/>
      <c r="ET269" s="159"/>
      <c r="EU269" s="35" t="s">
        <v>241</v>
      </c>
      <c r="EV269" s="159"/>
      <c r="EW269" s="160"/>
      <c r="EX269" s="159"/>
      <c r="EY269" s="159"/>
      <c r="EZ269" s="159"/>
      <c r="FA269" s="159"/>
      <c r="FB269" s="159"/>
      <c r="FC269" s="159"/>
      <c r="FD269" s="159"/>
      <c r="FE269" s="161"/>
      <c r="FG269" s="24" t="s">
        <v>1324</v>
      </c>
      <c r="FT269" s="20"/>
      <c r="GG269" s="24" t="s">
        <v>225</v>
      </c>
      <c r="GT269" s="13" t="s">
        <v>10</v>
      </c>
      <c r="HC269" s="159">
        <v>2</v>
      </c>
      <c r="HD269" s="35" t="s">
        <v>244</v>
      </c>
      <c r="HE269" s="159" t="s">
        <v>237</v>
      </c>
      <c r="HF269" s="160" t="s">
        <v>3332</v>
      </c>
      <c r="HG269" s="159" t="s">
        <v>3249</v>
      </c>
      <c r="HH269" s="159" t="s">
        <v>940</v>
      </c>
      <c r="HI269" s="159" t="s">
        <v>3337</v>
      </c>
      <c r="HJ269" s="159" t="s">
        <v>3338</v>
      </c>
      <c r="HK269" s="159" t="s">
        <v>3339</v>
      </c>
      <c r="HL269" s="159" t="s">
        <v>628</v>
      </c>
      <c r="HM269" s="159" t="s">
        <v>2892</v>
      </c>
      <c r="HN269" s="161"/>
    </row>
    <row r="270" spans="6:222" ht="26.25" x14ac:dyDescent="0.25">
      <c r="F270" s="24" t="s">
        <v>1552</v>
      </c>
      <c r="S270" s="24" t="s">
        <v>247</v>
      </c>
      <c r="AF270" s="20"/>
      <c r="AT270" s="28" t="s">
        <v>792</v>
      </c>
      <c r="BG270" s="29" t="s">
        <v>890</v>
      </c>
      <c r="BT270" s="24" t="s">
        <v>945</v>
      </c>
      <c r="CG270" s="24">
        <v>10</v>
      </c>
      <c r="CT270" s="20"/>
      <c r="DG270" s="21" t="s">
        <v>649</v>
      </c>
      <c r="DT270" s="29" t="s">
        <v>1172</v>
      </c>
      <c r="EG270" s="159"/>
      <c r="EH270" s="35" t="s">
        <v>244</v>
      </c>
      <c r="EI270" s="159"/>
      <c r="EJ270" s="160"/>
      <c r="EK270" s="159"/>
      <c r="EL270" s="159"/>
      <c r="EM270" s="159"/>
      <c r="EN270" s="159"/>
      <c r="EO270" s="159"/>
      <c r="EP270" s="159"/>
      <c r="EQ270" s="159"/>
      <c r="ER270" s="161"/>
      <c r="ET270" s="159">
        <v>9</v>
      </c>
      <c r="EU270" s="35" t="s">
        <v>575</v>
      </c>
      <c r="EV270" s="159" t="s">
        <v>237</v>
      </c>
      <c r="EW270" s="160" t="s">
        <v>1272</v>
      </c>
      <c r="EX270" s="159" t="s">
        <v>2465</v>
      </c>
      <c r="EY270" s="159" t="s">
        <v>878</v>
      </c>
      <c r="EZ270" s="159" t="s">
        <v>2495</v>
      </c>
      <c r="FA270" s="159" t="s">
        <v>2496</v>
      </c>
      <c r="FB270" s="159" t="s">
        <v>2497</v>
      </c>
      <c r="FC270" s="159" t="s">
        <v>1903</v>
      </c>
      <c r="FD270" s="159" t="s">
        <v>239</v>
      </c>
      <c r="FE270" s="161"/>
      <c r="FG270" s="24" t="s">
        <v>247</v>
      </c>
      <c r="FT270" s="21" t="s">
        <v>1366</v>
      </c>
      <c r="GG270" s="31" t="s">
        <v>226</v>
      </c>
      <c r="GH270" s="31" t="s">
        <v>227</v>
      </c>
      <c r="GI270" s="31"/>
      <c r="GJ270" s="31" t="s">
        <v>228</v>
      </c>
      <c r="GK270" s="31" t="s">
        <v>229</v>
      </c>
      <c r="GL270" s="31" t="s">
        <v>230</v>
      </c>
      <c r="GM270" s="31" t="s">
        <v>231</v>
      </c>
      <c r="GN270" s="31" t="s">
        <v>232</v>
      </c>
      <c r="GO270" s="31" t="s">
        <v>233</v>
      </c>
      <c r="GP270" s="31" t="s">
        <v>234</v>
      </c>
      <c r="GQ270" s="31" t="s">
        <v>235</v>
      </c>
      <c r="GR270" s="31" t="s">
        <v>236</v>
      </c>
      <c r="GT270" s="13" t="s">
        <v>3112</v>
      </c>
      <c r="HC270" s="159"/>
      <c r="HD270" s="35" t="s">
        <v>244</v>
      </c>
      <c r="HE270" s="159"/>
      <c r="HF270" s="160"/>
      <c r="HG270" s="159"/>
      <c r="HH270" s="159"/>
      <c r="HI270" s="159"/>
      <c r="HJ270" s="159"/>
      <c r="HK270" s="159"/>
      <c r="HL270" s="159"/>
      <c r="HM270" s="159"/>
      <c r="HN270" s="161"/>
    </row>
    <row r="271" spans="6:222" ht="16.5" x14ac:dyDescent="0.25">
      <c r="F271" s="24" t="s">
        <v>247</v>
      </c>
      <c r="S271" s="24">
        <v>10</v>
      </c>
      <c r="AF271" s="28" t="s">
        <v>1693</v>
      </c>
      <c r="AT271" s="20"/>
      <c r="BG271" s="20"/>
      <c r="BT271" s="24" t="s">
        <v>247</v>
      </c>
      <c r="CG271" s="28">
        <v>10</v>
      </c>
      <c r="CT271" s="28" t="s">
        <v>2126</v>
      </c>
      <c r="DG271" s="21" t="s">
        <v>2260</v>
      </c>
      <c r="DT271" s="20"/>
      <c r="EG271" s="159">
        <v>7</v>
      </c>
      <c r="EH271" s="35" t="s">
        <v>241</v>
      </c>
      <c r="EI271" s="159" t="s">
        <v>237</v>
      </c>
      <c r="EJ271" s="160" t="s">
        <v>2406</v>
      </c>
      <c r="EK271" s="159" t="s">
        <v>2381</v>
      </c>
      <c r="EL271" s="159" t="s">
        <v>711</v>
      </c>
      <c r="EM271" s="159" t="s">
        <v>2407</v>
      </c>
      <c r="EN271" s="159" t="s">
        <v>2408</v>
      </c>
      <c r="EO271" s="159" t="s">
        <v>2409</v>
      </c>
      <c r="EP271" s="159" t="s">
        <v>2410</v>
      </c>
      <c r="EQ271" s="159" t="s">
        <v>239</v>
      </c>
      <c r="ER271" s="161"/>
      <c r="ET271" s="159"/>
      <c r="EU271" s="35" t="s">
        <v>575</v>
      </c>
      <c r="EV271" s="159"/>
      <c r="EW271" s="160"/>
      <c r="EX271" s="159"/>
      <c r="EY271" s="159"/>
      <c r="EZ271" s="159"/>
      <c r="FA271" s="159"/>
      <c r="FB271" s="159"/>
      <c r="FC271" s="159"/>
      <c r="FD271" s="159"/>
      <c r="FE271" s="161"/>
      <c r="FG271" s="24">
        <v>10</v>
      </c>
      <c r="FT271" s="21" t="s">
        <v>2668</v>
      </c>
      <c r="GG271" s="163"/>
      <c r="GH271" s="163"/>
      <c r="GI271" s="163"/>
      <c r="GJ271" s="163"/>
      <c r="GK271" s="163"/>
      <c r="GL271" s="163"/>
      <c r="GM271" s="163"/>
      <c r="GN271" s="163"/>
      <c r="GO271" s="163"/>
      <c r="GP271" s="163"/>
      <c r="GQ271" s="163"/>
      <c r="GR271" s="163"/>
      <c r="GT271" s="13" t="s">
        <v>1379</v>
      </c>
      <c r="HC271" s="159">
        <v>3</v>
      </c>
      <c r="HD271" s="35" t="s">
        <v>937</v>
      </c>
      <c r="HE271" s="159" t="s">
        <v>237</v>
      </c>
      <c r="HF271" s="160" t="s">
        <v>3332</v>
      </c>
      <c r="HG271" s="159" t="s">
        <v>3249</v>
      </c>
      <c r="HH271" s="159" t="s">
        <v>940</v>
      </c>
      <c r="HI271" s="159" t="s">
        <v>3340</v>
      </c>
      <c r="HJ271" s="159" t="s">
        <v>3341</v>
      </c>
      <c r="HK271" s="159" t="s">
        <v>3342</v>
      </c>
      <c r="HL271" s="159" t="s">
        <v>3343</v>
      </c>
      <c r="HM271" s="159" t="s">
        <v>2892</v>
      </c>
      <c r="HN271" s="161"/>
    </row>
    <row r="272" spans="6:222" ht="15" customHeight="1" x14ac:dyDescent="0.25">
      <c r="F272" s="24">
        <v>10</v>
      </c>
      <c r="S272" s="28">
        <v>10</v>
      </c>
      <c r="AF272" s="20"/>
      <c r="AT272" s="28" t="s">
        <v>793</v>
      </c>
      <c r="BG272" s="21" t="s">
        <v>891</v>
      </c>
      <c r="BT272" s="24">
        <v>10</v>
      </c>
      <c r="CG272" s="28">
        <v>50</v>
      </c>
      <c r="CT272" s="20"/>
      <c r="DG272" s="21" t="s">
        <v>2261</v>
      </c>
      <c r="DT272" s="21" t="s">
        <v>2338</v>
      </c>
      <c r="EG272" s="159"/>
      <c r="EH272" s="35" t="s">
        <v>241</v>
      </c>
      <c r="EI272" s="159"/>
      <c r="EJ272" s="160"/>
      <c r="EK272" s="159"/>
      <c r="EL272" s="159"/>
      <c r="EM272" s="159"/>
      <c r="EN272" s="159"/>
      <c r="EO272" s="159"/>
      <c r="EP272" s="159"/>
      <c r="EQ272" s="159"/>
      <c r="ER272" s="161"/>
      <c r="ET272" s="159">
        <v>10</v>
      </c>
      <c r="EU272" s="35" t="s">
        <v>245</v>
      </c>
      <c r="EV272" s="159" t="s">
        <v>237</v>
      </c>
      <c r="EW272" s="160" t="s">
        <v>1270</v>
      </c>
      <c r="EX272" s="159" t="s">
        <v>2465</v>
      </c>
      <c r="EY272" s="159" t="s">
        <v>873</v>
      </c>
      <c r="EZ272" s="159" t="s">
        <v>2498</v>
      </c>
      <c r="FA272" s="159" t="s">
        <v>2499</v>
      </c>
      <c r="FB272" s="159" t="s">
        <v>2500</v>
      </c>
      <c r="FC272" s="159" t="s">
        <v>2501</v>
      </c>
      <c r="FD272" s="159" t="s">
        <v>239</v>
      </c>
      <c r="FE272" s="161"/>
      <c r="FG272" s="28">
        <v>10</v>
      </c>
      <c r="FT272" s="21" t="s">
        <v>1367</v>
      </c>
      <c r="GG272" s="159">
        <v>1</v>
      </c>
      <c r="GH272" s="35" t="s">
        <v>242</v>
      </c>
      <c r="GI272" s="159" t="s">
        <v>237</v>
      </c>
      <c r="GJ272" s="160" t="s">
        <v>1427</v>
      </c>
      <c r="GK272" s="159" t="s">
        <v>2709</v>
      </c>
      <c r="GL272" s="159" t="s">
        <v>238</v>
      </c>
      <c r="GM272" s="159" t="s">
        <v>2710</v>
      </c>
      <c r="GN272" s="159" t="s">
        <v>2711</v>
      </c>
      <c r="GO272" s="159" t="s">
        <v>2712</v>
      </c>
      <c r="GP272" s="159" t="s">
        <v>1119</v>
      </c>
      <c r="GQ272" s="159" t="s">
        <v>239</v>
      </c>
      <c r="GR272" s="161"/>
      <c r="GT272" s="13" t="s">
        <v>1387</v>
      </c>
      <c r="HC272" s="159"/>
      <c r="HD272" s="35" t="s">
        <v>937</v>
      </c>
      <c r="HE272" s="159"/>
      <c r="HF272" s="160"/>
      <c r="HG272" s="159"/>
      <c r="HH272" s="159"/>
      <c r="HI272" s="159"/>
      <c r="HJ272" s="159"/>
      <c r="HK272" s="159"/>
      <c r="HL272" s="159"/>
      <c r="HM272" s="159"/>
      <c r="HN272" s="161"/>
    </row>
    <row r="273" spans="6:222" ht="21" x14ac:dyDescent="0.25">
      <c r="F273" s="28">
        <v>10</v>
      </c>
      <c r="S273" s="28">
        <v>50</v>
      </c>
      <c r="AF273" s="24" t="s">
        <v>222</v>
      </c>
      <c r="AT273" s="20"/>
      <c r="BG273" s="21" t="s">
        <v>1917</v>
      </c>
      <c r="BT273" s="28">
        <v>10</v>
      </c>
      <c r="CG273" s="28">
        <v>100</v>
      </c>
      <c r="CT273" s="126" t="s">
        <v>1060</v>
      </c>
      <c r="DG273" s="21" t="s">
        <v>2261</v>
      </c>
      <c r="DT273" s="21" t="s">
        <v>2338</v>
      </c>
      <c r="EG273" s="159">
        <v>8</v>
      </c>
      <c r="EH273" s="35" t="s">
        <v>713</v>
      </c>
      <c r="EI273" s="159" t="s">
        <v>237</v>
      </c>
      <c r="EJ273" s="160" t="s">
        <v>1222</v>
      </c>
      <c r="EK273" s="159" t="s">
        <v>2381</v>
      </c>
      <c r="EL273" s="159" t="s">
        <v>711</v>
      </c>
      <c r="EM273" s="159" t="s">
        <v>2411</v>
      </c>
      <c r="EN273" s="159" t="s">
        <v>2412</v>
      </c>
      <c r="EO273" s="159" t="s">
        <v>2413</v>
      </c>
      <c r="EP273" s="159" t="s">
        <v>2414</v>
      </c>
      <c r="EQ273" s="159" t="s">
        <v>239</v>
      </c>
      <c r="ER273" s="161"/>
      <c r="ET273" s="159"/>
      <c r="EU273" s="35" t="s">
        <v>245</v>
      </c>
      <c r="EV273" s="159"/>
      <c r="EW273" s="160"/>
      <c r="EX273" s="159"/>
      <c r="EY273" s="159"/>
      <c r="EZ273" s="159"/>
      <c r="FA273" s="159"/>
      <c r="FB273" s="159"/>
      <c r="FC273" s="159"/>
      <c r="FD273" s="159"/>
      <c r="FE273" s="161"/>
      <c r="FG273" s="28">
        <v>50</v>
      </c>
      <c r="FT273" s="38">
        <v>2.57</v>
      </c>
      <c r="GG273" s="159"/>
      <c r="GH273" s="35" t="s">
        <v>242</v>
      </c>
      <c r="GI273" s="159"/>
      <c r="GJ273" s="160"/>
      <c r="GK273" s="159"/>
      <c r="GL273" s="159"/>
      <c r="GM273" s="159"/>
      <c r="GN273" s="159"/>
      <c r="GO273" s="159"/>
      <c r="GP273" s="159"/>
      <c r="GQ273" s="159"/>
      <c r="GR273" s="161"/>
      <c r="GT273" s="13" t="s">
        <v>3113</v>
      </c>
      <c r="HC273" s="159">
        <v>4</v>
      </c>
      <c r="HD273" s="35" t="s">
        <v>1069</v>
      </c>
      <c r="HE273" s="159" t="s">
        <v>237</v>
      </c>
      <c r="HF273" s="160" t="s">
        <v>3332</v>
      </c>
      <c r="HG273" s="159" t="s">
        <v>3249</v>
      </c>
      <c r="HH273" s="159" t="s">
        <v>940</v>
      </c>
      <c r="HI273" s="159" t="s">
        <v>3344</v>
      </c>
      <c r="HJ273" s="159" t="s">
        <v>3345</v>
      </c>
      <c r="HK273" s="159" t="s">
        <v>3346</v>
      </c>
      <c r="HL273" s="159" t="s">
        <v>3347</v>
      </c>
      <c r="HM273" s="159" t="s">
        <v>2892</v>
      </c>
      <c r="HN273" s="161"/>
    </row>
    <row r="274" spans="6:222" ht="21" x14ac:dyDescent="0.25">
      <c r="F274" s="28">
        <v>50</v>
      </c>
      <c r="S274" s="28">
        <v>100</v>
      </c>
      <c r="AF274" s="20"/>
      <c r="AT274" s="126" t="s">
        <v>794</v>
      </c>
      <c r="BG274" s="21" t="s">
        <v>892</v>
      </c>
      <c r="BT274" s="28">
        <v>50</v>
      </c>
      <c r="CG274" s="20"/>
      <c r="CT274" s="20"/>
      <c r="DG274" s="21" t="s">
        <v>620</v>
      </c>
      <c r="DT274" s="21" t="s">
        <v>717</v>
      </c>
      <c r="EG274" s="159"/>
      <c r="EH274" s="35" t="s">
        <v>713</v>
      </c>
      <c r="EI274" s="159"/>
      <c r="EJ274" s="160"/>
      <c r="EK274" s="159"/>
      <c r="EL274" s="159"/>
      <c r="EM274" s="159"/>
      <c r="EN274" s="159"/>
      <c r="EO274" s="159"/>
      <c r="EP274" s="159"/>
      <c r="EQ274" s="159"/>
      <c r="ER274" s="161"/>
      <c r="ET274" s="24" t="s">
        <v>1273</v>
      </c>
      <c r="FG274" s="28">
        <v>100</v>
      </c>
      <c r="FT274" s="21" t="s">
        <v>1368</v>
      </c>
      <c r="GG274" s="159">
        <v>2</v>
      </c>
      <c r="GH274" s="35" t="s">
        <v>243</v>
      </c>
      <c r="GI274" s="159" t="s">
        <v>237</v>
      </c>
      <c r="GJ274" s="160" t="s">
        <v>1427</v>
      </c>
      <c r="GK274" s="159" t="s">
        <v>2713</v>
      </c>
      <c r="GL274" s="159" t="s">
        <v>618</v>
      </c>
      <c r="GM274" s="159" t="s">
        <v>2714</v>
      </c>
      <c r="GN274" s="159" t="s">
        <v>2715</v>
      </c>
      <c r="GO274" s="159" t="s">
        <v>2716</v>
      </c>
      <c r="GP274" s="159" t="s">
        <v>2717</v>
      </c>
      <c r="GQ274" s="159" t="s">
        <v>239</v>
      </c>
      <c r="GR274" s="161"/>
      <c r="GT274" s="13" t="s">
        <v>724</v>
      </c>
      <c r="HC274" s="159"/>
      <c r="HD274" s="35" t="s">
        <v>1069</v>
      </c>
      <c r="HE274" s="159"/>
      <c r="HF274" s="160"/>
      <c r="HG274" s="159"/>
      <c r="HH274" s="159"/>
      <c r="HI274" s="159"/>
      <c r="HJ274" s="159"/>
      <c r="HK274" s="159"/>
      <c r="HL274" s="159"/>
      <c r="HM274" s="159"/>
      <c r="HN274" s="161"/>
    </row>
    <row r="275" spans="6:222" ht="26.25" x14ac:dyDescent="0.25">
      <c r="F275" s="28">
        <v>100</v>
      </c>
      <c r="S275" s="20"/>
      <c r="AF275" s="29" t="s">
        <v>704</v>
      </c>
      <c r="AT275" s="20"/>
      <c r="BG275" s="38">
        <v>2.4500000000000002</v>
      </c>
      <c r="BT275" s="28">
        <v>100</v>
      </c>
      <c r="CG275" s="29" t="s">
        <v>883</v>
      </c>
      <c r="CT275" s="28" t="s">
        <v>2127</v>
      </c>
      <c r="DG275" s="21" t="s">
        <v>2262</v>
      </c>
      <c r="DT275" s="21" t="s">
        <v>2339</v>
      </c>
      <c r="EG275" s="159">
        <v>9</v>
      </c>
      <c r="EH275" s="35" t="s">
        <v>1428</v>
      </c>
      <c r="EI275" s="159" t="s">
        <v>237</v>
      </c>
      <c r="EJ275" s="160" t="s">
        <v>1222</v>
      </c>
      <c r="EK275" s="159" t="s">
        <v>2381</v>
      </c>
      <c r="EL275" s="159" t="s">
        <v>238</v>
      </c>
      <c r="EM275" s="159" t="s">
        <v>2415</v>
      </c>
      <c r="EN275" s="159" t="s">
        <v>2416</v>
      </c>
      <c r="EO275" s="159" t="s">
        <v>2417</v>
      </c>
      <c r="EP275" s="159" t="s">
        <v>1524</v>
      </c>
      <c r="EQ275" s="159" t="s">
        <v>239</v>
      </c>
      <c r="ER275" s="161"/>
      <c r="ET275" s="24" t="s">
        <v>1274</v>
      </c>
      <c r="FG275" s="20"/>
      <c r="FT275" s="42">
        <v>14.3</v>
      </c>
      <c r="GG275" s="159"/>
      <c r="GH275" s="35" t="s">
        <v>243</v>
      </c>
      <c r="GI275" s="159"/>
      <c r="GJ275" s="160"/>
      <c r="GK275" s="159"/>
      <c r="GL275" s="159"/>
      <c r="GM275" s="159"/>
      <c r="GN275" s="159"/>
      <c r="GO275" s="159"/>
      <c r="GP275" s="159"/>
      <c r="GQ275" s="159"/>
      <c r="GR275" s="161"/>
      <c r="GT275" s="13" t="s">
        <v>67</v>
      </c>
      <c r="HC275" s="159">
        <v>5</v>
      </c>
      <c r="HD275" s="35" t="s">
        <v>1170</v>
      </c>
      <c r="HE275" s="159" t="s">
        <v>237</v>
      </c>
      <c r="HF275" s="160" t="s">
        <v>3332</v>
      </c>
      <c r="HG275" s="159" t="s">
        <v>3249</v>
      </c>
      <c r="HH275" s="159" t="s">
        <v>940</v>
      </c>
      <c r="HI275" s="159" t="s">
        <v>3348</v>
      </c>
      <c r="HJ275" s="159" t="s">
        <v>3349</v>
      </c>
      <c r="HK275" s="159" t="s">
        <v>3350</v>
      </c>
      <c r="HL275" s="159" t="s">
        <v>3351</v>
      </c>
      <c r="HM275" s="159" t="s">
        <v>2892</v>
      </c>
      <c r="HN275" s="161"/>
    </row>
    <row r="276" spans="6:222" ht="26.25" x14ac:dyDescent="0.25">
      <c r="F276" s="20"/>
      <c r="S276" s="29" t="s">
        <v>576</v>
      </c>
      <c r="AF276" s="20"/>
      <c r="AT276" s="28" t="s">
        <v>1783</v>
      </c>
      <c r="BG276" s="21" t="s">
        <v>893</v>
      </c>
      <c r="BT276" s="20"/>
      <c r="CG276" s="20"/>
      <c r="CT276" s="20"/>
      <c r="DG276" s="21" t="s">
        <v>643</v>
      </c>
      <c r="DT276" s="21" t="s">
        <v>2340</v>
      </c>
      <c r="EG276" s="159"/>
      <c r="EH276" s="35" t="s">
        <v>1428</v>
      </c>
      <c r="EI276" s="159"/>
      <c r="EJ276" s="160"/>
      <c r="EK276" s="159"/>
      <c r="EL276" s="159"/>
      <c r="EM276" s="159"/>
      <c r="EN276" s="159"/>
      <c r="EO276" s="159"/>
      <c r="EP276" s="159"/>
      <c r="EQ276" s="159"/>
      <c r="ER276" s="161"/>
      <c r="ET276" s="24" t="s">
        <v>247</v>
      </c>
      <c r="FG276" s="29" t="s">
        <v>1325</v>
      </c>
      <c r="FT276" s="20"/>
      <c r="GG276" s="159">
        <v>3</v>
      </c>
      <c r="GH276" s="35" t="s">
        <v>707</v>
      </c>
      <c r="GI276" s="159" t="s">
        <v>237</v>
      </c>
      <c r="GJ276" s="160" t="s">
        <v>1427</v>
      </c>
      <c r="GK276" s="159" t="s">
        <v>2718</v>
      </c>
      <c r="GL276" s="159" t="s">
        <v>872</v>
      </c>
      <c r="GM276" s="159" t="s">
        <v>2719</v>
      </c>
      <c r="GN276" s="159" t="s">
        <v>2720</v>
      </c>
      <c r="GO276" s="159" t="s">
        <v>2721</v>
      </c>
      <c r="GP276" s="159" t="s">
        <v>642</v>
      </c>
      <c r="GQ276" s="159" t="s">
        <v>239</v>
      </c>
      <c r="GR276" s="161"/>
      <c r="GT276" s="13" t="s">
        <v>3114</v>
      </c>
      <c r="HC276" s="159"/>
      <c r="HD276" s="35" t="s">
        <v>1170</v>
      </c>
      <c r="HE276" s="159"/>
      <c r="HF276" s="160"/>
      <c r="HG276" s="159"/>
      <c r="HH276" s="159"/>
      <c r="HI276" s="159"/>
      <c r="HJ276" s="159"/>
      <c r="HK276" s="159"/>
      <c r="HL276" s="159"/>
      <c r="HM276" s="159"/>
      <c r="HN276" s="161"/>
    </row>
    <row r="277" spans="6:222" ht="26.25" x14ac:dyDescent="0.25">
      <c r="F277" s="29" t="s">
        <v>248</v>
      </c>
      <c r="S277" s="20"/>
      <c r="AF277" s="24" t="s">
        <v>224</v>
      </c>
      <c r="AT277" s="20"/>
      <c r="BG277" s="42">
        <v>13.6</v>
      </c>
      <c r="BT277" s="29" t="s">
        <v>946</v>
      </c>
      <c r="CG277" s="21" t="s">
        <v>884</v>
      </c>
      <c r="CT277" s="126" t="s">
        <v>1061</v>
      </c>
      <c r="DG277" s="21" t="s">
        <v>643</v>
      </c>
      <c r="DT277" s="21" t="s">
        <v>2340</v>
      </c>
      <c r="EG277" s="159">
        <v>10</v>
      </c>
      <c r="EH277" s="35" t="s">
        <v>1224</v>
      </c>
      <c r="EI277" s="159" t="s">
        <v>237</v>
      </c>
      <c r="EJ277" s="160" t="s">
        <v>1222</v>
      </c>
      <c r="EK277" s="159" t="s">
        <v>2418</v>
      </c>
      <c r="EL277" s="159" t="s">
        <v>940</v>
      </c>
      <c r="EM277" s="159" t="s">
        <v>2419</v>
      </c>
      <c r="EN277" s="159" t="s">
        <v>2420</v>
      </c>
      <c r="EO277" s="159" t="s">
        <v>2421</v>
      </c>
      <c r="EP277" s="159" t="s">
        <v>627</v>
      </c>
      <c r="EQ277" s="159" t="s">
        <v>239</v>
      </c>
      <c r="ER277" s="161"/>
      <c r="ET277" s="24">
        <v>10</v>
      </c>
      <c r="FG277" s="20"/>
      <c r="FT277" s="40" t="s">
        <v>255</v>
      </c>
      <c r="GG277" s="159"/>
      <c r="GH277" s="35" t="s">
        <v>707</v>
      </c>
      <c r="GI277" s="159"/>
      <c r="GJ277" s="160"/>
      <c r="GK277" s="159"/>
      <c r="GL277" s="159"/>
      <c r="GM277" s="159"/>
      <c r="GN277" s="159"/>
      <c r="GO277" s="159"/>
      <c r="GP277" s="159"/>
      <c r="GQ277" s="159"/>
      <c r="GR277" s="161"/>
      <c r="GT277" s="13" t="s">
        <v>3115</v>
      </c>
      <c r="HC277" s="159">
        <v>6</v>
      </c>
      <c r="HD277" s="35" t="s">
        <v>55</v>
      </c>
      <c r="HE277" s="159" t="s">
        <v>237</v>
      </c>
      <c r="HF277" s="160" t="s">
        <v>3332</v>
      </c>
      <c r="HG277" s="159" t="s">
        <v>3249</v>
      </c>
      <c r="HH277" s="159" t="s">
        <v>940</v>
      </c>
      <c r="HI277" s="159" t="s">
        <v>3352</v>
      </c>
      <c r="HJ277" s="159" t="s">
        <v>3353</v>
      </c>
      <c r="HK277" s="159" t="s">
        <v>3354</v>
      </c>
      <c r="HL277" s="159" t="s">
        <v>1453</v>
      </c>
      <c r="HM277" s="159" t="s">
        <v>2892</v>
      </c>
      <c r="HN277" s="161"/>
    </row>
    <row r="278" spans="6:222" ht="21" x14ac:dyDescent="0.25">
      <c r="F278" s="20"/>
      <c r="S278" s="21" t="s">
        <v>1650</v>
      </c>
      <c r="AF278" s="24" t="s">
        <v>225</v>
      </c>
      <c r="AT278" s="126" t="s">
        <v>795</v>
      </c>
      <c r="BG278" s="20"/>
      <c r="BT278" s="20"/>
      <c r="CG278" s="21" t="s">
        <v>884</v>
      </c>
      <c r="CT278" s="20"/>
      <c r="DG278" s="21" t="s">
        <v>577</v>
      </c>
      <c r="DT278" s="21" t="s">
        <v>577</v>
      </c>
      <c r="EG278" s="159"/>
      <c r="EH278" s="35" t="s">
        <v>1224</v>
      </c>
      <c r="EI278" s="159"/>
      <c r="EJ278" s="160"/>
      <c r="EK278" s="159"/>
      <c r="EL278" s="159"/>
      <c r="EM278" s="159"/>
      <c r="EN278" s="159"/>
      <c r="EO278" s="159"/>
      <c r="EP278" s="159"/>
      <c r="EQ278" s="159"/>
      <c r="ER278" s="161"/>
      <c r="ET278" s="28">
        <v>10</v>
      </c>
      <c r="FG278" s="21" t="s">
        <v>1653</v>
      </c>
      <c r="FT278" s="20"/>
      <c r="GG278" s="159">
        <v>4</v>
      </c>
      <c r="GH278" s="35" t="s">
        <v>244</v>
      </c>
      <c r="GI278" s="159" t="s">
        <v>237</v>
      </c>
      <c r="GJ278" s="160" t="s">
        <v>1427</v>
      </c>
      <c r="GK278" s="159" t="s">
        <v>2722</v>
      </c>
      <c r="GL278" s="159" t="s">
        <v>872</v>
      </c>
      <c r="GM278" s="159" t="s">
        <v>2723</v>
      </c>
      <c r="GN278" s="159" t="s">
        <v>2724</v>
      </c>
      <c r="GO278" s="159" t="s">
        <v>2725</v>
      </c>
      <c r="GP278" s="159" t="s">
        <v>2726</v>
      </c>
      <c r="GQ278" s="159" t="s">
        <v>239</v>
      </c>
      <c r="GR278" s="161"/>
      <c r="GT278" s="13" t="s">
        <v>3116</v>
      </c>
      <c r="HC278" s="159"/>
      <c r="HD278" s="35" t="s">
        <v>55</v>
      </c>
      <c r="HE278" s="159"/>
      <c r="HF278" s="160"/>
      <c r="HG278" s="159"/>
      <c r="HH278" s="159"/>
      <c r="HI278" s="159"/>
      <c r="HJ278" s="159"/>
      <c r="HK278" s="159"/>
      <c r="HL278" s="159"/>
      <c r="HM278" s="159"/>
      <c r="HN278" s="161"/>
    </row>
    <row r="279" spans="6:222" ht="21" x14ac:dyDescent="0.25">
      <c r="F279" s="21" t="s">
        <v>1553</v>
      </c>
      <c r="S279" s="21" t="s">
        <v>1650</v>
      </c>
      <c r="AF279" s="31" t="s">
        <v>226</v>
      </c>
      <c r="AG279" s="31" t="s">
        <v>227</v>
      </c>
      <c r="AH279" s="31"/>
      <c r="AI279" s="31" t="s">
        <v>228</v>
      </c>
      <c r="AJ279" s="31" t="s">
        <v>229</v>
      </c>
      <c r="AK279" s="31" t="s">
        <v>230</v>
      </c>
      <c r="AL279" s="31" t="s">
        <v>231</v>
      </c>
      <c r="AM279" s="31" t="s">
        <v>232</v>
      </c>
      <c r="AN279" s="31" t="s">
        <v>233</v>
      </c>
      <c r="AO279" s="31" t="s">
        <v>234</v>
      </c>
      <c r="AP279" s="31" t="s">
        <v>235</v>
      </c>
      <c r="AQ279" s="31" t="s">
        <v>236</v>
      </c>
      <c r="AT279" s="20"/>
      <c r="BG279" s="40" t="s">
        <v>255</v>
      </c>
      <c r="BT279" s="21" t="s">
        <v>947</v>
      </c>
      <c r="CG279" s="21" t="s">
        <v>885</v>
      </c>
      <c r="CT279" s="28" t="s">
        <v>2128</v>
      </c>
      <c r="DG279" s="21" t="s">
        <v>948</v>
      </c>
      <c r="DT279" s="21" t="s">
        <v>814</v>
      </c>
      <c r="EG279" s="24" t="s">
        <v>2422</v>
      </c>
      <c r="ET279" s="28">
        <v>50</v>
      </c>
      <c r="FG279" s="21" t="s">
        <v>1653</v>
      </c>
      <c r="FT279" s="21" t="s">
        <v>1369</v>
      </c>
      <c r="GG279" s="159"/>
      <c r="GH279" s="35" t="s">
        <v>244</v>
      </c>
      <c r="GI279" s="159"/>
      <c r="GJ279" s="160"/>
      <c r="GK279" s="159"/>
      <c r="GL279" s="159"/>
      <c r="GM279" s="159"/>
      <c r="GN279" s="159"/>
      <c r="GO279" s="159"/>
      <c r="GP279" s="159"/>
      <c r="GQ279" s="159"/>
      <c r="GR279" s="161"/>
      <c r="GT279" s="13" t="s">
        <v>3117</v>
      </c>
      <c r="HC279" s="159">
        <v>7</v>
      </c>
      <c r="HD279" s="35" t="s">
        <v>246</v>
      </c>
      <c r="HE279" s="159" t="s">
        <v>237</v>
      </c>
      <c r="HF279" s="160" t="s">
        <v>3332</v>
      </c>
      <c r="HG279" s="159" t="s">
        <v>3249</v>
      </c>
      <c r="HH279" s="159" t="s">
        <v>872</v>
      </c>
      <c r="HI279" s="159" t="s">
        <v>3355</v>
      </c>
      <c r="HJ279" s="159" t="s">
        <v>3356</v>
      </c>
      <c r="HK279" s="159" t="s">
        <v>3357</v>
      </c>
      <c r="HL279" s="159" t="s">
        <v>3358</v>
      </c>
      <c r="HM279" s="159" t="s">
        <v>2892</v>
      </c>
      <c r="HN279" s="161"/>
    </row>
    <row r="280" spans="6:222" ht="16.5" x14ac:dyDescent="0.25">
      <c r="F280" s="21" t="s">
        <v>1553</v>
      </c>
      <c r="S280" s="21" t="s">
        <v>577</v>
      </c>
      <c r="AF280" s="163"/>
      <c r="AG280" s="163"/>
      <c r="AH280" s="163"/>
      <c r="AI280" s="163"/>
      <c r="AJ280" s="163"/>
      <c r="AK280" s="163"/>
      <c r="AL280" s="163"/>
      <c r="AM280" s="163"/>
      <c r="AN280" s="163"/>
      <c r="AO280" s="163"/>
      <c r="AP280" s="163"/>
      <c r="AQ280" s="163"/>
      <c r="AT280" s="28" t="s">
        <v>1784</v>
      </c>
      <c r="BG280" s="20"/>
      <c r="BT280" s="21" t="s">
        <v>947</v>
      </c>
      <c r="CG280" s="21" t="s">
        <v>886</v>
      </c>
      <c r="CT280" s="20"/>
      <c r="DG280" s="21" t="s">
        <v>812</v>
      </c>
      <c r="DT280" s="21" t="s">
        <v>1173</v>
      </c>
      <c r="EG280" s="24" t="s">
        <v>1225</v>
      </c>
      <c r="ET280" s="28">
        <v>100</v>
      </c>
      <c r="FG280" s="21" t="s">
        <v>649</v>
      </c>
      <c r="FT280" s="21" t="s">
        <v>2669</v>
      </c>
      <c r="GG280" s="159">
        <v>5</v>
      </c>
      <c r="GH280" s="35" t="s">
        <v>55</v>
      </c>
      <c r="GI280" s="159" t="s">
        <v>237</v>
      </c>
      <c r="GJ280" s="160" t="s">
        <v>1427</v>
      </c>
      <c r="GK280" s="159" t="s">
        <v>2727</v>
      </c>
      <c r="GL280" s="159" t="s">
        <v>872</v>
      </c>
      <c r="GM280" s="159" t="s">
        <v>2728</v>
      </c>
      <c r="GN280" s="159" t="s">
        <v>2729</v>
      </c>
      <c r="GO280" s="159" t="s">
        <v>2730</v>
      </c>
      <c r="GP280" s="159" t="s">
        <v>2731</v>
      </c>
      <c r="GQ280" s="159" t="s">
        <v>239</v>
      </c>
      <c r="GR280" s="161"/>
      <c r="GT280" s="13" t="s">
        <v>1129</v>
      </c>
      <c r="HC280" s="159"/>
      <c r="HD280" s="35" t="s">
        <v>246</v>
      </c>
      <c r="HE280" s="159"/>
      <c r="HF280" s="160"/>
      <c r="HG280" s="159"/>
      <c r="HH280" s="159"/>
      <c r="HI280" s="159"/>
      <c r="HJ280" s="159"/>
      <c r="HK280" s="159"/>
      <c r="HL280" s="159"/>
      <c r="HM280" s="159"/>
      <c r="HN280" s="161"/>
    </row>
    <row r="281" spans="6:222" ht="21" x14ac:dyDescent="0.25">
      <c r="F281" s="21" t="s">
        <v>249</v>
      </c>
      <c r="S281" s="21" t="s">
        <v>1651</v>
      </c>
      <c r="AF281" s="159">
        <v>1</v>
      </c>
      <c r="AG281" s="35" t="s">
        <v>55</v>
      </c>
      <c r="AH281" s="159" t="s">
        <v>237</v>
      </c>
      <c r="AI281" s="160" t="s">
        <v>706</v>
      </c>
      <c r="AJ281" s="159" t="s">
        <v>1694</v>
      </c>
      <c r="AK281" s="159" t="s">
        <v>618</v>
      </c>
      <c r="AL281" s="159" t="s">
        <v>1695</v>
      </c>
      <c r="AM281" s="159" t="s">
        <v>1696</v>
      </c>
      <c r="AN281" s="159" t="s">
        <v>1697</v>
      </c>
      <c r="AO281" s="159" t="s">
        <v>1698</v>
      </c>
      <c r="AP281" s="159" t="s">
        <v>239</v>
      </c>
      <c r="AQ281" s="161"/>
      <c r="AT281" s="20"/>
      <c r="BG281" s="21" t="s">
        <v>894</v>
      </c>
      <c r="BT281" s="21" t="s">
        <v>649</v>
      </c>
      <c r="CG281" s="21" t="s">
        <v>887</v>
      </c>
      <c r="CT281" s="126" t="s">
        <v>1062</v>
      </c>
      <c r="DG281" s="21" t="s">
        <v>812</v>
      </c>
      <c r="DT281" s="21" t="s">
        <v>1173</v>
      </c>
      <c r="EG281" s="24" t="s">
        <v>247</v>
      </c>
      <c r="ET281" s="20"/>
      <c r="FG281" s="21" t="s">
        <v>1651</v>
      </c>
      <c r="FT281" s="21" t="s">
        <v>2112</v>
      </c>
      <c r="GG281" s="159"/>
      <c r="GH281" s="35" t="s">
        <v>55</v>
      </c>
      <c r="GI281" s="159"/>
      <c r="GJ281" s="160"/>
      <c r="GK281" s="159"/>
      <c r="GL281" s="159"/>
      <c r="GM281" s="159"/>
      <c r="GN281" s="159"/>
      <c r="GO281" s="159"/>
      <c r="GP281" s="159"/>
      <c r="GQ281" s="159"/>
      <c r="GR281" s="161"/>
      <c r="GT281" s="13" t="s">
        <v>3118</v>
      </c>
      <c r="HC281" s="159">
        <v>8</v>
      </c>
      <c r="HD281" s="35" t="s">
        <v>243</v>
      </c>
      <c r="HE281" s="159" t="s">
        <v>237</v>
      </c>
      <c r="HF281" s="160" t="s">
        <v>3332</v>
      </c>
      <c r="HG281" s="159" t="s">
        <v>3249</v>
      </c>
      <c r="HH281" s="159" t="s">
        <v>628</v>
      </c>
      <c r="HI281" s="159" t="s">
        <v>3359</v>
      </c>
      <c r="HJ281" s="159" t="s">
        <v>3360</v>
      </c>
      <c r="HK281" s="159" t="s">
        <v>3361</v>
      </c>
      <c r="HL281" s="159" t="s">
        <v>1465</v>
      </c>
      <c r="HM281" s="159" t="s">
        <v>2892</v>
      </c>
      <c r="HN281" s="161"/>
    </row>
    <row r="282" spans="6:222" ht="26.25" x14ac:dyDescent="0.25">
      <c r="F282" s="21" t="s">
        <v>1554</v>
      </c>
      <c r="S282" s="21" t="s">
        <v>1652</v>
      </c>
      <c r="AF282" s="159"/>
      <c r="AG282" s="35" t="s">
        <v>55</v>
      </c>
      <c r="AH282" s="159"/>
      <c r="AI282" s="160"/>
      <c r="AJ282" s="159"/>
      <c r="AK282" s="159"/>
      <c r="AL282" s="159"/>
      <c r="AM282" s="159"/>
      <c r="AN282" s="159"/>
      <c r="AO282" s="159"/>
      <c r="AP282" s="159"/>
      <c r="AQ282" s="161"/>
      <c r="AT282" s="126" t="s">
        <v>796</v>
      </c>
      <c r="BG282" s="21" t="s">
        <v>1918</v>
      </c>
      <c r="BT282" s="21" t="s">
        <v>1074</v>
      </c>
      <c r="CG282" s="21" t="s">
        <v>887</v>
      </c>
      <c r="CT282" s="20"/>
      <c r="DG282" s="21" t="s">
        <v>577</v>
      </c>
      <c r="DT282" s="21" t="s">
        <v>717</v>
      </c>
      <c r="EG282" s="24">
        <v>10</v>
      </c>
      <c r="ET282" s="29" t="s">
        <v>1275</v>
      </c>
      <c r="FG282" s="21" t="s">
        <v>1744</v>
      </c>
      <c r="FT282" s="21" t="s">
        <v>1371</v>
      </c>
      <c r="GG282" s="159">
        <v>6</v>
      </c>
      <c r="GH282" s="35" t="s">
        <v>709</v>
      </c>
      <c r="GI282" s="159" t="s">
        <v>237</v>
      </c>
      <c r="GJ282" s="160" t="s">
        <v>1427</v>
      </c>
      <c r="GK282" s="159" t="s">
        <v>2732</v>
      </c>
      <c r="GL282" s="159" t="s">
        <v>1121</v>
      </c>
      <c r="GM282" s="159" t="s">
        <v>2733</v>
      </c>
      <c r="GN282" s="159" t="s">
        <v>2734</v>
      </c>
      <c r="GO282" s="159" t="s">
        <v>2735</v>
      </c>
      <c r="GP282" s="159" t="s">
        <v>628</v>
      </c>
      <c r="GQ282" s="159" t="s">
        <v>239</v>
      </c>
      <c r="GR282" s="161"/>
      <c r="GT282" s="13" t="s">
        <v>3119</v>
      </c>
      <c r="HC282" s="159"/>
      <c r="HD282" s="35" t="s">
        <v>243</v>
      </c>
      <c r="HE282" s="159"/>
      <c r="HF282" s="160"/>
      <c r="HG282" s="159"/>
      <c r="HH282" s="159"/>
      <c r="HI282" s="159"/>
      <c r="HJ282" s="159"/>
      <c r="HK282" s="159"/>
      <c r="HL282" s="159"/>
      <c r="HM282" s="159"/>
      <c r="HN282" s="161"/>
    </row>
    <row r="283" spans="6:222" ht="15" customHeight="1" x14ac:dyDescent="0.25">
      <c r="F283" s="21" t="s">
        <v>1555</v>
      </c>
      <c r="S283" s="21" t="s">
        <v>1652</v>
      </c>
      <c r="AF283" s="159">
        <v>2</v>
      </c>
      <c r="AG283" s="35" t="s">
        <v>707</v>
      </c>
      <c r="AH283" s="159" t="s">
        <v>237</v>
      </c>
      <c r="AI283" s="160" t="s">
        <v>706</v>
      </c>
      <c r="AJ283" s="159" t="s">
        <v>1699</v>
      </c>
      <c r="AK283" s="159" t="s">
        <v>618</v>
      </c>
      <c r="AL283" s="159" t="s">
        <v>1700</v>
      </c>
      <c r="AM283" s="159" t="s">
        <v>1701</v>
      </c>
      <c r="AN283" s="159" t="s">
        <v>1702</v>
      </c>
      <c r="AO283" s="159" t="s">
        <v>1703</v>
      </c>
      <c r="AP283" s="159" t="s">
        <v>239</v>
      </c>
      <c r="AQ283" s="161"/>
      <c r="AT283" s="20"/>
      <c r="BG283" s="21" t="s">
        <v>627</v>
      </c>
      <c r="BT283" s="24" t="s">
        <v>250</v>
      </c>
      <c r="CG283" s="21" t="s">
        <v>885</v>
      </c>
      <c r="CT283" s="22" t="s">
        <v>1063</v>
      </c>
      <c r="DG283" s="21" t="s">
        <v>1124</v>
      </c>
      <c r="DT283" s="21" t="s">
        <v>948</v>
      </c>
      <c r="EG283" s="28">
        <v>10</v>
      </c>
      <c r="ET283" s="20"/>
      <c r="FG283" s="21" t="s">
        <v>1744</v>
      </c>
      <c r="FT283" s="21" t="s">
        <v>2670</v>
      </c>
      <c r="GG283" s="159"/>
      <c r="GH283" s="35" t="s">
        <v>709</v>
      </c>
      <c r="GI283" s="159"/>
      <c r="GJ283" s="160"/>
      <c r="GK283" s="159"/>
      <c r="GL283" s="159"/>
      <c r="GM283" s="159"/>
      <c r="GN283" s="159"/>
      <c r="GO283" s="159"/>
      <c r="GP283" s="159"/>
      <c r="GQ283" s="159"/>
      <c r="GR283" s="161"/>
      <c r="GT283" s="13" t="s">
        <v>625</v>
      </c>
      <c r="HC283" s="159">
        <v>9</v>
      </c>
      <c r="HD283" s="35" t="s">
        <v>245</v>
      </c>
      <c r="HE283" s="159" t="s">
        <v>237</v>
      </c>
      <c r="HF283" s="160" t="s">
        <v>3332</v>
      </c>
      <c r="HG283" s="159" t="s">
        <v>3249</v>
      </c>
      <c r="HH283" s="159" t="s">
        <v>940</v>
      </c>
      <c r="HI283" s="159" t="s">
        <v>3362</v>
      </c>
      <c r="HJ283" s="159" t="s">
        <v>3363</v>
      </c>
      <c r="HK283" s="159" t="s">
        <v>3364</v>
      </c>
      <c r="HL283" s="159" t="s">
        <v>3365</v>
      </c>
      <c r="HM283" s="159" t="s">
        <v>2892</v>
      </c>
      <c r="HN283" s="161"/>
    </row>
    <row r="284" spans="6:222" ht="15" customHeight="1" x14ac:dyDescent="0.25">
      <c r="F284" s="21" t="s">
        <v>1555</v>
      </c>
      <c r="S284" s="21" t="s">
        <v>649</v>
      </c>
      <c r="AF284" s="159"/>
      <c r="AG284" s="35" t="s">
        <v>707</v>
      </c>
      <c r="AH284" s="159"/>
      <c r="AI284" s="160"/>
      <c r="AJ284" s="159"/>
      <c r="AK284" s="159"/>
      <c r="AL284" s="159"/>
      <c r="AM284" s="159"/>
      <c r="AN284" s="159"/>
      <c r="AO284" s="159"/>
      <c r="AP284" s="159"/>
      <c r="AQ284" s="161"/>
      <c r="AT284" s="28" t="s">
        <v>1785</v>
      </c>
      <c r="BG284" s="21" t="s">
        <v>895</v>
      </c>
      <c r="BT284" s="20"/>
      <c r="CG284" s="21" t="s">
        <v>886</v>
      </c>
      <c r="CT284" s="112"/>
      <c r="DG284" s="24" t="s">
        <v>250</v>
      </c>
      <c r="DT284" s="21" t="s">
        <v>1174</v>
      </c>
      <c r="EG284" s="28">
        <v>50</v>
      </c>
      <c r="ET284" s="21" t="s">
        <v>1276</v>
      </c>
      <c r="FG284" s="21" t="s">
        <v>577</v>
      </c>
      <c r="FT284" s="21" t="s">
        <v>725</v>
      </c>
      <c r="GG284" s="159">
        <v>7</v>
      </c>
      <c r="GH284" s="35" t="s">
        <v>941</v>
      </c>
      <c r="GI284" s="159" t="s">
        <v>237</v>
      </c>
      <c r="GJ284" s="160" t="s">
        <v>1427</v>
      </c>
      <c r="GK284" s="159" t="s">
        <v>2736</v>
      </c>
      <c r="GL284" s="159" t="s">
        <v>618</v>
      </c>
      <c r="GM284" s="159" t="s">
        <v>2737</v>
      </c>
      <c r="GN284" s="159" t="s">
        <v>2738</v>
      </c>
      <c r="GO284" s="159" t="s">
        <v>2739</v>
      </c>
      <c r="GP284" s="159" t="s">
        <v>1443</v>
      </c>
      <c r="GQ284" s="159" t="s">
        <v>239</v>
      </c>
      <c r="GR284" s="161"/>
      <c r="GT284" s="13" t="s">
        <v>653</v>
      </c>
      <c r="HC284" s="159"/>
      <c r="HD284" s="35" t="s">
        <v>245</v>
      </c>
      <c r="HE284" s="159"/>
      <c r="HF284" s="160"/>
      <c r="HG284" s="159"/>
      <c r="HH284" s="159"/>
      <c r="HI284" s="159"/>
      <c r="HJ284" s="159"/>
      <c r="HK284" s="159"/>
      <c r="HL284" s="159"/>
      <c r="HM284" s="159"/>
      <c r="HN284" s="161"/>
    </row>
    <row r="285" spans="6:222" ht="26.25" x14ac:dyDescent="0.25">
      <c r="F285" s="21" t="s">
        <v>717</v>
      </c>
      <c r="S285" s="21" t="s">
        <v>1651</v>
      </c>
      <c r="AF285" s="159">
        <v>3</v>
      </c>
      <c r="AG285" s="35" t="s">
        <v>242</v>
      </c>
      <c r="AH285" s="159" t="s">
        <v>237</v>
      </c>
      <c r="AI285" s="160" t="s">
        <v>706</v>
      </c>
      <c r="AJ285" s="159" t="s">
        <v>1704</v>
      </c>
      <c r="AK285" s="159" t="s">
        <v>618</v>
      </c>
      <c r="AL285" s="159" t="s">
        <v>1705</v>
      </c>
      <c r="AM285" s="159" t="s">
        <v>1706</v>
      </c>
      <c r="AN285" s="159" t="s">
        <v>1707</v>
      </c>
      <c r="AO285" s="159" t="s">
        <v>1708</v>
      </c>
      <c r="AP285" s="159" t="s">
        <v>239</v>
      </c>
      <c r="AQ285" s="161"/>
      <c r="AT285" s="20"/>
      <c r="BG285" s="21" t="s">
        <v>1919</v>
      </c>
      <c r="BT285" s="29" t="s">
        <v>949</v>
      </c>
      <c r="CG285" s="21" t="s">
        <v>888</v>
      </c>
      <c r="CT285" s="28" t="s">
        <v>1064</v>
      </c>
      <c r="DG285" s="20"/>
      <c r="DT285" s="21" t="s">
        <v>1174</v>
      </c>
      <c r="EG285" s="28">
        <v>100</v>
      </c>
      <c r="ET285" s="21" t="s">
        <v>1276</v>
      </c>
      <c r="FG285" s="21" t="s">
        <v>1745</v>
      </c>
      <c r="FT285" s="21" t="s">
        <v>1373</v>
      </c>
      <c r="GG285" s="159"/>
      <c r="GH285" s="35" t="s">
        <v>941</v>
      </c>
      <c r="GI285" s="159"/>
      <c r="GJ285" s="160"/>
      <c r="GK285" s="159"/>
      <c r="GL285" s="159"/>
      <c r="GM285" s="159"/>
      <c r="GN285" s="159"/>
      <c r="GO285" s="159"/>
      <c r="GP285" s="159"/>
      <c r="GQ285" s="159"/>
      <c r="GR285" s="161"/>
      <c r="GT285" s="13" t="s">
        <v>3120</v>
      </c>
      <c r="HC285" s="159">
        <v>10</v>
      </c>
      <c r="HD285" s="35" t="s">
        <v>56</v>
      </c>
      <c r="HE285" s="159" t="s">
        <v>237</v>
      </c>
      <c r="HF285" s="160" t="s">
        <v>3366</v>
      </c>
      <c r="HG285" s="159" t="s">
        <v>3367</v>
      </c>
      <c r="HH285" s="159" t="s">
        <v>940</v>
      </c>
      <c r="HI285" s="159" t="s">
        <v>3368</v>
      </c>
      <c r="HJ285" s="159" t="s">
        <v>3369</v>
      </c>
      <c r="HK285" s="159" t="s">
        <v>3370</v>
      </c>
      <c r="HL285" s="159" t="s">
        <v>3371</v>
      </c>
      <c r="HM285" s="159" t="s">
        <v>2892</v>
      </c>
      <c r="HN285" s="161"/>
    </row>
    <row r="286" spans="6:222" ht="26.25" x14ac:dyDescent="0.25">
      <c r="F286" s="21" t="s">
        <v>1554</v>
      </c>
      <c r="S286" s="21" t="s">
        <v>1653</v>
      </c>
      <c r="AF286" s="159"/>
      <c r="AG286" s="35" t="s">
        <v>242</v>
      </c>
      <c r="AH286" s="159"/>
      <c r="AI286" s="160"/>
      <c r="AJ286" s="159"/>
      <c r="AK286" s="159"/>
      <c r="AL286" s="159"/>
      <c r="AM286" s="159"/>
      <c r="AN286" s="159"/>
      <c r="AO286" s="159"/>
      <c r="AP286" s="159"/>
      <c r="AQ286" s="161"/>
      <c r="AT286" s="126" t="s">
        <v>797</v>
      </c>
      <c r="BG286" s="21" t="s">
        <v>631</v>
      </c>
      <c r="BT286" s="20"/>
      <c r="CG286" s="21" t="s">
        <v>888</v>
      </c>
      <c r="CT286" s="20"/>
      <c r="DG286" s="29" t="s">
        <v>1125</v>
      </c>
      <c r="DT286" s="21" t="s">
        <v>717</v>
      </c>
      <c r="EG286" s="20"/>
      <c r="ET286" s="21" t="s">
        <v>717</v>
      </c>
      <c r="FG286" s="21" t="s">
        <v>2261</v>
      </c>
      <c r="FT286" s="21" t="s">
        <v>2671</v>
      </c>
      <c r="GG286" s="159">
        <v>8</v>
      </c>
      <c r="GH286" s="35" t="s">
        <v>241</v>
      </c>
      <c r="GI286" s="159" t="s">
        <v>237</v>
      </c>
      <c r="GJ286" s="160" t="s">
        <v>1470</v>
      </c>
      <c r="GK286" s="159" t="s">
        <v>2740</v>
      </c>
      <c r="GL286" s="159" t="s">
        <v>1121</v>
      </c>
      <c r="GM286" s="159" t="s">
        <v>2741</v>
      </c>
      <c r="GN286" s="159" t="s">
        <v>2742</v>
      </c>
      <c r="GO286" s="159" t="s">
        <v>2743</v>
      </c>
      <c r="GP286" s="159" t="s">
        <v>2744</v>
      </c>
      <c r="GQ286" s="159" t="s">
        <v>239</v>
      </c>
      <c r="GR286" s="161"/>
      <c r="GT286" s="13" t="s">
        <v>1082</v>
      </c>
      <c r="HC286" s="159"/>
      <c r="HD286" s="35" t="s">
        <v>56</v>
      </c>
      <c r="HE286" s="159"/>
      <c r="HF286" s="160"/>
      <c r="HG286" s="159"/>
      <c r="HH286" s="159"/>
      <c r="HI286" s="159"/>
      <c r="HJ286" s="159"/>
      <c r="HK286" s="159"/>
      <c r="HL286" s="159"/>
      <c r="HM286" s="159"/>
      <c r="HN286" s="161"/>
    </row>
    <row r="287" spans="6:222" ht="26.25" x14ac:dyDescent="0.25">
      <c r="F287" s="21" t="s">
        <v>1556</v>
      </c>
      <c r="S287" s="21" t="s">
        <v>1653</v>
      </c>
      <c r="AF287" s="159">
        <v>4</v>
      </c>
      <c r="AG287" s="35" t="s">
        <v>713</v>
      </c>
      <c r="AH287" s="159" t="s">
        <v>237</v>
      </c>
      <c r="AI287" s="160" t="s">
        <v>706</v>
      </c>
      <c r="AJ287" s="159" t="s">
        <v>1709</v>
      </c>
      <c r="AK287" s="159" t="s">
        <v>238</v>
      </c>
      <c r="AL287" s="159" t="s">
        <v>1710</v>
      </c>
      <c r="AM287" s="159" t="s">
        <v>1711</v>
      </c>
      <c r="AN287" s="159" t="s">
        <v>1712</v>
      </c>
      <c r="AO287" s="159" t="s">
        <v>1713</v>
      </c>
      <c r="AP287" s="159" t="s">
        <v>239</v>
      </c>
      <c r="AQ287" s="161"/>
      <c r="AT287" s="20"/>
      <c r="BG287" s="21" t="s">
        <v>896</v>
      </c>
      <c r="BT287" s="21" t="s">
        <v>950</v>
      </c>
      <c r="CG287" s="21" t="s">
        <v>885</v>
      </c>
      <c r="CT287" s="24" t="s">
        <v>222</v>
      </c>
      <c r="DG287" s="20"/>
      <c r="DT287" s="21" t="s">
        <v>948</v>
      </c>
      <c r="EG287" s="29" t="s">
        <v>1226</v>
      </c>
      <c r="ET287" s="21" t="s">
        <v>816</v>
      </c>
      <c r="FG287" s="21" t="s">
        <v>2261</v>
      </c>
      <c r="FT287" s="21" t="s">
        <v>624</v>
      </c>
      <c r="GG287" s="159"/>
      <c r="GH287" s="35" t="s">
        <v>241</v>
      </c>
      <c r="GI287" s="159"/>
      <c r="GJ287" s="160"/>
      <c r="GK287" s="159"/>
      <c r="GL287" s="159"/>
      <c r="GM287" s="159"/>
      <c r="GN287" s="159"/>
      <c r="GO287" s="159"/>
      <c r="GP287" s="159"/>
      <c r="GQ287" s="159"/>
      <c r="GR287" s="161"/>
      <c r="GT287" s="13" t="s">
        <v>3121</v>
      </c>
      <c r="HC287" s="24" t="s">
        <v>3372</v>
      </c>
    </row>
    <row r="288" spans="6:222" ht="15" customHeight="1" x14ac:dyDescent="0.25">
      <c r="F288" s="21" t="s">
        <v>1556</v>
      </c>
      <c r="S288" s="21" t="s">
        <v>649</v>
      </c>
      <c r="AF288" s="159"/>
      <c r="AG288" s="35" t="s">
        <v>713</v>
      </c>
      <c r="AH288" s="159"/>
      <c r="AI288" s="160"/>
      <c r="AJ288" s="159"/>
      <c r="AK288" s="159"/>
      <c r="AL288" s="159"/>
      <c r="AM288" s="159"/>
      <c r="AN288" s="159"/>
      <c r="AO288" s="159"/>
      <c r="AP288" s="159"/>
      <c r="AQ288" s="161"/>
      <c r="AT288" s="28" t="s">
        <v>1786</v>
      </c>
      <c r="BG288" s="21" t="s">
        <v>1920</v>
      </c>
      <c r="BT288" s="21" t="s">
        <v>1997</v>
      </c>
      <c r="CG288" s="21" t="s">
        <v>886</v>
      </c>
      <c r="CT288" s="20"/>
      <c r="DG288" s="21" t="s">
        <v>1126</v>
      </c>
      <c r="DT288" s="24" t="s">
        <v>250</v>
      </c>
      <c r="EG288" s="20"/>
      <c r="ET288" s="21" t="s">
        <v>1277</v>
      </c>
      <c r="FG288" s="21" t="s">
        <v>620</v>
      </c>
      <c r="FT288" s="21" t="s">
        <v>1374</v>
      </c>
      <c r="GG288" s="159">
        <v>9</v>
      </c>
      <c r="GH288" s="35" t="s">
        <v>705</v>
      </c>
      <c r="GI288" s="159" t="s">
        <v>237</v>
      </c>
      <c r="GJ288" s="160" t="s">
        <v>1427</v>
      </c>
      <c r="GK288" s="159" t="s">
        <v>2745</v>
      </c>
      <c r="GL288" s="159" t="s">
        <v>873</v>
      </c>
      <c r="GM288" s="159" t="s">
        <v>2746</v>
      </c>
      <c r="GN288" s="159" t="s">
        <v>2747</v>
      </c>
      <c r="GO288" s="159" t="s">
        <v>2748</v>
      </c>
      <c r="GP288" s="159" t="s">
        <v>2749</v>
      </c>
      <c r="GQ288" s="159" t="s">
        <v>239</v>
      </c>
      <c r="GR288" s="161"/>
      <c r="GT288" s="13" t="s">
        <v>3122</v>
      </c>
      <c r="HC288" s="24" t="s">
        <v>3373</v>
      </c>
    </row>
    <row r="289" spans="6:211" ht="26.25" x14ac:dyDescent="0.25">
      <c r="F289" s="21" t="s">
        <v>717</v>
      </c>
      <c r="S289" s="21" t="s">
        <v>1651</v>
      </c>
      <c r="AF289" s="159">
        <v>5</v>
      </c>
      <c r="AG289" s="35" t="s">
        <v>709</v>
      </c>
      <c r="AH289" s="159" t="s">
        <v>237</v>
      </c>
      <c r="AI289" s="160" t="s">
        <v>706</v>
      </c>
      <c r="AJ289" s="159" t="s">
        <v>1714</v>
      </c>
      <c r="AK289" s="159" t="s">
        <v>618</v>
      </c>
      <c r="AL289" s="159" t="s">
        <v>1715</v>
      </c>
      <c r="AM289" s="159" t="s">
        <v>1716</v>
      </c>
      <c r="AN289" s="159" t="s">
        <v>1717</v>
      </c>
      <c r="AO289" s="159" t="s">
        <v>628</v>
      </c>
      <c r="AP289" s="159" t="s">
        <v>239</v>
      </c>
      <c r="AQ289" s="161"/>
      <c r="AT289" s="20"/>
      <c r="BG289" s="21" t="s">
        <v>826</v>
      </c>
      <c r="BT289" s="21" t="s">
        <v>951</v>
      </c>
      <c r="CG289" s="21" t="s">
        <v>889</v>
      </c>
      <c r="CT289" s="29" t="s">
        <v>1065</v>
      </c>
      <c r="DG289" s="21" t="s">
        <v>2263</v>
      </c>
      <c r="DT289" s="20"/>
      <c r="EG289" s="21" t="s">
        <v>1227</v>
      </c>
      <c r="ET289" s="21" t="s">
        <v>1277</v>
      </c>
      <c r="FG289" s="21" t="s">
        <v>2262</v>
      </c>
      <c r="FT289" s="21" t="s">
        <v>2672</v>
      </c>
      <c r="GG289" s="159"/>
      <c r="GH289" s="35" t="s">
        <v>705</v>
      </c>
      <c r="GI289" s="159"/>
      <c r="GJ289" s="160"/>
      <c r="GK289" s="159"/>
      <c r="GL289" s="159"/>
      <c r="GM289" s="159"/>
      <c r="GN289" s="159"/>
      <c r="GO289" s="159"/>
      <c r="GP289" s="159"/>
      <c r="GQ289" s="159"/>
      <c r="GR289" s="161"/>
      <c r="GT289" s="13" t="s">
        <v>3123</v>
      </c>
      <c r="HC289" s="24" t="s">
        <v>2894</v>
      </c>
    </row>
    <row r="290" spans="6:211" ht="26.25" x14ac:dyDescent="0.25">
      <c r="F290" s="21" t="s">
        <v>1228</v>
      </c>
      <c r="S290" s="21" t="s">
        <v>1654</v>
      </c>
      <c r="AF290" s="159"/>
      <c r="AG290" s="35" t="s">
        <v>709</v>
      </c>
      <c r="AH290" s="159"/>
      <c r="AI290" s="160"/>
      <c r="AJ290" s="159"/>
      <c r="AK290" s="159"/>
      <c r="AL290" s="159"/>
      <c r="AM290" s="159"/>
      <c r="AN290" s="159"/>
      <c r="AO290" s="159"/>
      <c r="AP290" s="159"/>
      <c r="AQ290" s="161"/>
      <c r="AT290" s="126" t="s">
        <v>798</v>
      </c>
      <c r="BG290" s="21" t="s">
        <v>57</v>
      </c>
      <c r="BT290" s="38">
        <v>1.95</v>
      </c>
      <c r="CG290" s="21" t="s">
        <v>889</v>
      </c>
      <c r="CT290" s="20"/>
      <c r="DG290" s="21" t="s">
        <v>1127</v>
      </c>
      <c r="DT290" s="29" t="s">
        <v>1175</v>
      </c>
      <c r="EG290" s="21" t="s">
        <v>1227</v>
      </c>
      <c r="ET290" s="21" t="s">
        <v>620</v>
      </c>
      <c r="FG290" s="21" t="s">
        <v>1326</v>
      </c>
      <c r="FT290" s="21" t="s">
        <v>1435</v>
      </c>
      <c r="GG290" s="159">
        <v>10</v>
      </c>
      <c r="GH290" s="35" t="s">
        <v>1323</v>
      </c>
      <c r="GI290" s="159" t="s">
        <v>237</v>
      </c>
      <c r="GJ290" s="160" t="s">
        <v>1427</v>
      </c>
      <c r="GK290" s="159" t="s">
        <v>2750</v>
      </c>
      <c r="GL290" s="159" t="s">
        <v>872</v>
      </c>
      <c r="GM290" s="159" t="s">
        <v>2751</v>
      </c>
      <c r="GN290" s="159" t="s">
        <v>2752</v>
      </c>
      <c r="GO290" s="159" t="s">
        <v>2753</v>
      </c>
      <c r="GP290" s="159" t="s">
        <v>647</v>
      </c>
      <c r="GQ290" s="159" t="s">
        <v>239</v>
      </c>
      <c r="GR290" s="161"/>
      <c r="GT290" s="13" t="s">
        <v>3124</v>
      </c>
      <c r="HC290" s="24">
        <v>10</v>
      </c>
    </row>
    <row r="291" spans="6:211" ht="15" customHeight="1" x14ac:dyDescent="0.25">
      <c r="F291" s="21" t="s">
        <v>1557</v>
      </c>
      <c r="S291" s="21" t="s">
        <v>1654</v>
      </c>
      <c r="AF291" s="159">
        <v>6</v>
      </c>
      <c r="AG291" s="35" t="s">
        <v>705</v>
      </c>
      <c r="AH291" s="159" t="s">
        <v>237</v>
      </c>
      <c r="AI291" s="160" t="s">
        <v>706</v>
      </c>
      <c r="AJ291" s="159" t="s">
        <v>1718</v>
      </c>
      <c r="AK291" s="159" t="s">
        <v>618</v>
      </c>
      <c r="AL291" s="159" t="s">
        <v>1719</v>
      </c>
      <c r="AM291" s="159" t="s">
        <v>1720</v>
      </c>
      <c r="AN291" s="159" t="s">
        <v>1721</v>
      </c>
      <c r="AO291" s="159" t="s">
        <v>632</v>
      </c>
      <c r="AP291" s="159" t="s">
        <v>239</v>
      </c>
      <c r="AQ291" s="161"/>
      <c r="AT291" s="20"/>
      <c r="BG291" s="21" t="s">
        <v>1921</v>
      </c>
      <c r="BT291" s="21" t="s">
        <v>952</v>
      </c>
      <c r="CG291" s="21" t="s">
        <v>885</v>
      </c>
      <c r="CT291" s="24" t="s">
        <v>224</v>
      </c>
      <c r="DG291" s="38">
        <v>2.58</v>
      </c>
      <c r="DT291" s="20"/>
      <c r="EG291" s="21" t="s">
        <v>577</v>
      </c>
      <c r="ET291" s="21" t="s">
        <v>2502</v>
      </c>
      <c r="FG291" s="21" t="s">
        <v>1326</v>
      </c>
      <c r="FT291" s="21" t="s">
        <v>1376</v>
      </c>
      <c r="GG291" s="159"/>
      <c r="GH291" s="35" t="s">
        <v>1323</v>
      </c>
      <c r="GI291" s="159"/>
      <c r="GJ291" s="160"/>
      <c r="GK291" s="159"/>
      <c r="GL291" s="159"/>
      <c r="GM291" s="159"/>
      <c r="GN291" s="159"/>
      <c r="GO291" s="159"/>
      <c r="GP291" s="159"/>
      <c r="GQ291" s="159"/>
      <c r="GR291" s="161"/>
      <c r="GT291" s="13" t="s">
        <v>3125</v>
      </c>
      <c r="HC291" s="28">
        <v>10</v>
      </c>
    </row>
    <row r="292" spans="6:211" ht="15" customHeight="1" x14ac:dyDescent="0.25">
      <c r="F292" s="21" t="s">
        <v>1557</v>
      </c>
      <c r="S292" s="21" t="s">
        <v>620</v>
      </c>
      <c r="AF292" s="159"/>
      <c r="AG292" s="35" t="s">
        <v>705</v>
      </c>
      <c r="AH292" s="159"/>
      <c r="AI292" s="160"/>
      <c r="AJ292" s="159"/>
      <c r="AK292" s="159"/>
      <c r="AL292" s="159"/>
      <c r="AM292" s="159"/>
      <c r="AN292" s="159"/>
      <c r="AO292" s="159"/>
      <c r="AP292" s="159"/>
      <c r="AQ292" s="161"/>
      <c r="AT292" s="28" t="s">
        <v>1787</v>
      </c>
      <c r="BG292" s="21" t="s">
        <v>1570</v>
      </c>
      <c r="BT292" s="42">
        <v>10.82</v>
      </c>
      <c r="CG292" s="21" t="s">
        <v>886</v>
      </c>
      <c r="CT292" s="24" t="s">
        <v>225</v>
      </c>
      <c r="DG292" s="21" t="s">
        <v>1128</v>
      </c>
      <c r="DT292" s="21" t="s">
        <v>1176</v>
      </c>
      <c r="EG292" s="21" t="s">
        <v>948</v>
      </c>
      <c r="ET292" s="24" t="s">
        <v>250</v>
      </c>
      <c r="FG292" s="21" t="s">
        <v>717</v>
      </c>
      <c r="FT292" s="21" t="s">
        <v>2673</v>
      </c>
      <c r="GG292" s="24" t="s">
        <v>2754</v>
      </c>
      <c r="GT292" s="13" t="s">
        <v>635</v>
      </c>
      <c r="HC292" s="28">
        <v>50</v>
      </c>
    </row>
    <row r="293" spans="6:211" ht="16.5" x14ac:dyDescent="0.25">
      <c r="F293" s="21" t="s">
        <v>249</v>
      </c>
      <c r="S293" s="21" t="s">
        <v>1558</v>
      </c>
      <c r="AF293" s="159">
        <v>7</v>
      </c>
      <c r="AG293" s="35" t="s">
        <v>56</v>
      </c>
      <c r="AH293" s="159" t="s">
        <v>237</v>
      </c>
      <c r="AI293" s="160" t="s">
        <v>1448</v>
      </c>
      <c r="AJ293" s="159" t="s">
        <v>1718</v>
      </c>
      <c r="AK293" s="159" t="s">
        <v>618</v>
      </c>
      <c r="AL293" s="159" t="s">
        <v>1722</v>
      </c>
      <c r="AM293" s="159" t="s">
        <v>1723</v>
      </c>
      <c r="AN293" s="159" t="s">
        <v>1724</v>
      </c>
      <c r="AO293" s="159" t="s">
        <v>1725</v>
      </c>
      <c r="AP293" s="159" t="s">
        <v>239</v>
      </c>
      <c r="AQ293" s="161"/>
      <c r="AT293" s="20"/>
      <c r="BG293" s="21" t="s">
        <v>58</v>
      </c>
      <c r="BT293" s="20"/>
      <c r="CG293" s="24" t="s">
        <v>250</v>
      </c>
      <c r="CT293" s="31" t="s">
        <v>226</v>
      </c>
      <c r="CU293" s="31" t="s">
        <v>227</v>
      </c>
      <c r="CV293" s="31"/>
      <c r="CW293" s="31" t="s">
        <v>228</v>
      </c>
      <c r="CX293" s="31" t="s">
        <v>229</v>
      </c>
      <c r="CY293" s="31" t="s">
        <v>230</v>
      </c>
      <c r="CZ293" s="31" t="s">
        <v>231</v>
      </c>
      <c r="DA293" s="31" t="s">
        <v>232</v>
      </c>
      <c r="DB293" s="31" t="s">
        <v>233</v>
      </c>
      <c r="DC293" s="31" t="s">
        <v>234</v>
      </c>
      <c r="DD293" s="31" t="s">
        <v>235</v>
      </c>
      <c r="DE293" s="31" t="s">
        <v>236</v>
      </c>
      <c r="DG293" s="42">
        <v>14.33</v>
      </c>
      <c r="DT293" s="21" t="s">
        <v>2341</v>
      </c>
      <c r="EG293" s="24" t="s">
        <v>250</v>
      </c>
      <c r="ET293" s="20"/>
      <c r="FG293" s="21" t="s">
        <v>1124</v>
      </c>
      <c r="FT293" s="21" t="s">
        <v>2674</v>
      </c>
      <c r="GG293" s="24" t="s">
        <v>2755</v>
      </c>
      <c r="GT293" s="13" t="s">
        <v>3126</v>
      </c>
      <c r="HC293" s="28">
        <v>100</v>
      </c>
    </row>
    <row r="294" spans="6:211" ht="26.25" x14ac:dyDescent="0.25">
      <c r="F294" s="21" t="s">
        <v>1558</v>
      </c>
      <c r="S294" s="24" t="s">
        <v>250</v>
      </c>
      <c r="AF294" s="159"/>
      <c r="AG294" s="35" t="s">
        <v>56</v>
      </c>
      <c r="AH294" s="159"/>
      <c r="AI294" s="160"/>
      <c r="AJ294" s="159"/>
      <c r="AK294" s="159"/>
      <c r="AL294" s="159"/>
      <c r="AM294" s="159"/>
      <c r="AN294" s="159"/>
      <c r="AO294" s="159"/>
      <c r="AP294" s="159"/>
      <c r="AQ294" s="161"/>
      <c r="AT294" s="126" t="s">
        <v>799</v>
      </c>
      <c r="BG294" s="21" t="s">
        <v>1922</v>
      </c>
      <c r="BT294" s="40" t="s">
        <v>255</v>
      </c>
      <c r="CG294" s="20"/>
      <c r="CT294" s="163"/>
      <c r="CU294" s="163"/>
      <c r="CV294" s="163"/>
      <c r="CW294" s="163"/>
      <c r="CX294" s="163"/>
      <c r="CY294" s="163"/>
      <c r="CZ294" s="163"/>
      <c r="DA294" s="163"/>
      <c r="DB294" s="163"/>
      <c r="DC294" s="163"/>
      <c r="DD294" s="163"/>
      <c r="DE294" s="163"/>
      <c r="DG294" s="20"/>
      <c r="DT294" s="21" t="s">
        <v>1177</v>
      </c>
      <c r="EG294" s="20"/>
      <c r="ET294" s="29" t="s">
        <v>1278</v>
      </c>
      <c r="FG294" s="24" t="s">
        <v>250</v>
      </c>
      <c r="FT294" s="20"/>
      <c r="GG294" s="24" t="s">
        <v>247</v>
      </c>
      <c r="GT294" s="13" t="s">
        <v>3127</v>
      </c>
      <c r="HC294" s="20"/>
    </row>
    <row r="295" spans="6:211" ht="26.25" x14ac:dyDescent="0.25">
      <c r="F295" s="24" t="s">
        <v>250</v>
      </c>
      <c r="S295" s="20"/>
      <c r="AF295" s="159">
        <v>8</v>
      </c>
      <c r="AG295" s="35" t="s">
        <v>241</v>
      </c>
      <c r="AH295" s="159" t="s">
        <v>237</v>
      </c>
      <c r="AI295" s="160" t="s">
        <v>1448</v>
      </c>
      <c r="AJ295" s="159" t="s">
        <v>1726</v>
      </c>
      <c r="AK295" s="159" t="s">
        <v>618</v>
      </c>
      <c r="AL295" s="159" t="s">
        <v>1727</v>
      </c>
      <c r="AM295" s="159" t="s">
        <v>1728</v>
      </c>
      <c r="AN295" s="159" t="s">
        <v>1729</v>
      </c>
      <c r="AO295" s="159" t="s">
        <v>1730</v>
      </c>
      <c r="AP295" s="159" t="s">
        <v>239</v>
      </c>
      <c r="AQ295" s="161"/>
      <c r="AT295" s="20"/>
      <c r="BG295" s="21" t="s">
        <v>961</v>
      </c>
      <c r="BT295" s="20"/>
      <c r="CG295" s="29" t="s">
        <v>992</v>
      </c>
      <c r="CT295" s="159">
        <v>1</v>
      </c>
      <c r="CU295" s="35" t="s">
        <v>575</v>
      </c>
      <c r="CV295" s="159" t="s">
        <v>237</v>
      </c>
      <c r="CW295" s="160" t="s">
        <v>1459</v>
      </c>
      <c r="CX295" s="159" t="s">
        <v>2129</v>
      </c>
      <c r="CY295" s="159" t="s">
        <v>238</v>
      </c>
      <c r="CZ295" s="159" t="s">
        <v>2130</v>
      </c>
      <c r="DA295" s="159" t="s">
        <v>2131</v>
      </c>
      <c r="DB295" s="159" t="s">
        <v>2132</v>
      </c>
      <c r="DC295" s="159" t="s">
        <v>942</v>
      </c>
      <c r="DD295" s="159" t="s">
        <v>239</v>
      </c>
      <c r="DE295" s="161"/>
      <c r="DG295" s="40" t="s">
        <v>255</v>
      </c>
      <c r="DT295" s="38">
        <v>0.96850000000000003</v>
      </c>
      <c r="EG295" s="29" t="s">
        <v>1229</v>
      </c>
      <c r="ET295" s="20"/>
      <c r="FG295" s="20"/>
      <c r="FT295" s="40" t="s">
        <v>259</v>
      </c>
      <c r="GG295" s="24">
        <v>10</v>
      </c>
      <c r="GT295" s="13" t="s">
        <v>68</v>
      </c>
      <c r="HC295" s="29" t="s">
        <v>3374</v>
      </c>
    </row>
    <row r="296" spans="6:211" ht="26.25" x14ac:dyDescent="0.25">
      <c r="F296" s="20"/>
      <c r="S296" s="29" t="s">
        <v>578</v>
      </c>
      <c r="AF296" s="159"/>
      <c r="AG296" s="35" t="s">
        <v>241</v>
      </c>
      <c r="AH296" s="159"/>
      <c r="AI296" s="160"/>
      <c r="AJ296" s="159"/>
      <c r="AK296" s="159"/>
      <c r="AL296" s="159"/>
      <c r="AM296" s="159"/>
      <c r="AN296" s="159"/>
      <c r="AO296" s="159"/>
      <c r="AP296" s="159"/>
      <c r="AQ296" s="161"/>
      <c r="AT296" s="28" t="s">
        <v>1788</v>
      </c>
      <c r="BG296" s="20"/>
      <c r="BT296" s="21" t="s">
        <v>630</v>
      </c>
      <c r="CG296" s="20"/>
      <c r="CT296" s="159"/>
      <c r="CU296" s="35" t="s">
        <v>575</v>
      </c>
      <c r="CV296" s="159"/>
      <c r="CW296" s="160"/>
      <c r="CX296" s="159"/>
      <c r="CY296" s="159"/>
      <c r="CZ296" s="159"/>
      <c r="DA296" s="159"/>
      <c r="DB296" s="159"/>
      <c r="DC296" s="159"/>
      <c r="DD296" s="159"/>
      <c r="DE296" s="161"/>
      <c r="DG296" s="20"/>
      <c r="DT296" s="21" t="s">
        <v>1178</v>
      </c>
      <c r="EG296" s="20"/>
      <c r="ET296" s="21" t="s">
        <v>1279</v>
      </c>
      <c r="FG296" s="29" t="s">
        <v>1327</v>
      </c>
      <c r="FT296" s="20"/>
      <c r="GG296" s="28">
        <v>10</v>
      </c>
      <c r="GT296" s="13" t="s">
        <v>658</v>
      </c>
      <c r="HC296" s="20"/>
    </row>
    <row r="297" spans="6:211" ht="26.25" x14ac:dyDescent="0.25">
      <c r="F297" s="29" t="s">
        <v>251</v>
      </c>
      <c r="S297" s="20"/>
      <c r="AF297" s="159">
        <v>9</v>
      </c>
      <c r="AG297" s="35" t="s">
        <v>246</v>
      </c>
      <c r="AH297" s="159" t="s">
        <v>237</v>
      </c>
      <c r="AI297" s="160" t="s">
        <v>706</v>
      </c>
      <c r="AJ297" s="159" t="s">
        <v>831</v>
      </c>
      <c r="AK297" s="159" t="s">
        <v>238</v>
      </c>
      <c r="AL297" s="159" t="s">
        <v>1731</v>
      </c>
      <c r="AM297" s="159" t="s">
        <v>1732</v>
      </c>
      <c r="AN297" s="159" t="s">
        <v>1733</v>
      </c>
      <c r="AO297" s="159" t="s">
        <v>671</v>
      </c>
      <c r="AP297" s="159" t="s">
        <v>239</v>
      </c>
      <c r="AQ297" s="161"/>
      <c r="AT297" s="20"/>
      <c r="BG297" s="40" t="s">
        <v>259</v>
      </c>
      <c r="BT297" s="21" t="s">
        <v>1998</v>
      </c>
      <c r="CG297" s="21" t="s">
        <v>993</v>
      </c>
      <c r="CT297" s="159">
        <v>2</v>
      </c>
      <c r="CU297" s="35" t="s">
        <v>242</v>
      </c>
      <c r="CV297" s="159" t="s">
        <v>237</v>
      </c>
      <c r="CW297" s="160" t="s">
        <v>1066</v>
      </c>
      <c r="CX297" s="159" t="s">
        <v>2133</v>
      </c>
      <c r="CY297" s="159" t="s">
        <v>238</v>
      </c>
      <c r="CZ297" s="159" t="s">
        <v>2134</v>
      </c>
      <c r="DA297" s="159" t="s">
        <v>2135</v>
      </c>
      <c r="DB297" s="159" t="s">
        <v>2136</v>
      </c>
      <c r="DC297" s="159" t="s">
        <v>2137</v>
      </c>
      <c r="DD297" s="159" t="s">
        <v>239</v>
      </c>
      <c r="DE297" s="161"/>
      <c r="DG297" s="21" t="s">
        <v>1129</v>
      </c>
      <c r="DT297" s="42">
        <v>5.38</v>
      </c>
      <c r="EG297" s="21" t="s">
        <v>1230</v>
      </c>
      <c r="ET297" s="21" t="s">
        <v>2503</v>
      </c>
      <c r="FG297" s="20"/>
      <c r="FT297" s="21" t="s">
        <v>59</v>
      </c>
      <c r="GG297" s="28">
        <v>50</v>
      </c>
      <c r="GT297" s="13" t="s">
        <v>3128</v>
      </c>
      <c r="HC297" s="21" t="s">
        <v>3375</v>
      </c>
    </row>
    <row r="298" spans="6:211" ht="21" x14ac:dyDescent="0.25">
      <c r="F298" s="20"/>
      <c r="S298" s="21" t="s">
        <v>579</v>
      </c>
      <c r="AF298" s="159"/>
      <c r="AG298" s="35" t="s">
        <v>246</v>
      </c>
      <c r="AH298" s="159"/>
      <c r="AI298" s="160"/>
      <c r="AJ298" s="159"/>
      <c r="AK298" s="159"/>
      <c r="AL298" s="159"/>
      <c r="AM298" s="159"/>
      <c r="AN298" s="159"/>
      <c r="AO298" s="159"/>
      <c r="AP298" s="159"/>
      <c r="AQ298" s="161"/>
      <c r="AT298" s="126" t="s">
        <v>800</v>
      </c>
      <c r="BG298" s="20"/>
      <c r="BT298" s="21" t="s">
        <v>1658</v>
      </c>
      <c r="CG298" s="21" t="s">
        <v>2085</v>
      </c>
      <c r="CT298" s="159"/>
      <c r="CU298" s="35" t="s">
        <v>242</v>
      </c>
      <c r="CV298" s="159"/>
      <c r="CW298" s="160"/>
      <c r="CX298" s="159"/>
      <c r="CY298" s="159"/>
      <c r="CZ298" s="159"/>
      <c r="DA298" s="159"/>
      <c r="DB298" s="159"/>
      <c r="DC298" s="159"/>
      <c r="DD298" s="159"/>
      <c r="DE298" s="161"/>
      <c r="DG298" s="21" t="s">
        <v>2264</v>
      </c>
      <c r="DT298" s="20"/>
      <c r="EG298" s="21" t="s">
        <v>2423</v>
      </c>
      <c r="ET298" s="21" t="s">
        <v>1280</v>
      </c>
      <c r="FG298" s="21" t="s">
        <v>1328</v>
      </c>
      <c r="FT298" s="21" t="s">
        <v>2675</v>
      </c>
      <c r="GG298" s="28">
        <v>100</v>
      </c>
      <c r="GT298" s="13" t="s">
        <v>2601</v>
      </c>
      <c r="HC298" s="21" t="s">
        <v>3375</v>
      </c>
    </row>
    <row r="299" spans="6:211" ht="21" x14ac:dyDescent="0.25">
      <c r="F299" s="21" t="s">
        <v>252</v>
      </c>
      <c r="S299" s="21" t="s">
        <v>1655</v>
      </c>
      <c r="AF299" s="159">
        <v>10</v>
      </c>
      <c r="AG299" s="35" t="s">
        <v>245</v>
      </c>
      <c r="AH299" s="159" t="s">
        <v>237</v>
      </c>
      <c r="AI299" s="160" t="s">
        <v>706</v>
      </c>
      <c r="AJ299" s="159" t="s">
        <v>1734</v>
      </c>
      <c r="AK299" s="159" t="s">
        <v>618</v>
      </c>
      <c r="AL299" s="159" t="s">
        <v>1735</v>
      </c>
      <c r="AM299" s="159" t="s">
        <v>1736</v>
      </c>
      <c r="AN299" s="159" t="s">
        <v>1737</v>
      </c>
      <c r="AO299" s="159" t="s">
        <v>1738</v>
      </c>
      <c r="AP299" s="159" t="s">
        <v>239</v>
      </c>
      <c r="AQ299" s="161"/>
      <c r="AT299" s="20"/>
      <c r="BG299" s="21" t="s">
        <v>59</v>
      </c>
      <c r="BT299" s="21" t="s">
        <v>837</v>
      </c>
      <c r="CG299" s="21" t="s">
        <v>994</v>
      </c>
      <c r="CT299" s="159">
        <v>3</v>
      </c>
      <c r="CU299" s="35" t="s">
        <v>937</v>
      </c>
      <c r="CV299" s="159" t="s">
        <v>237</v>
      </c>
      <c r="CW299" s="160" t="s">
        <v>1066</v>
      </c>
      <c r="CX299" s="159" t="s">
        <v>2138</v>
      </c>
      <c r="CY299" s="159" t="s">
        <v>238</v>
      </c>
      <c r="CZ299" s="159" t="s">
        <v>2139</v>
      </c>
      <c r="DA299" s="159" t="s">
        <v>2140</v>
      </c>
      <c r="DB299" s="159" t="s">
        <v>2141</v>
      </c>
      <c r="DC299" s="159" t="s">
        <v>1807</v>
      </c>
      <c r="DD299" s="159" t="s">
        <v>239</v>
      </c>
      <c r="DE299" s="161"/>
      <c r="DG299" s="21" t="s">
        <v>726</v>
      </c>
      <c r="DT299" s="40" t="s">
        <v>255</v>
      </c>
      <c r="EG299" s="21" t="s">
        <v>1231</v>
      </c>
      <c r="ET299" s="38">
        <v>1.97</v>
      </c>
      <c r="FG299" s="21" t="s">
        <v>2588</v>
      </c>
      <c r="FT299" s="21" t="s">
        <v>1435</v>
      </c>
      <c r="GG299" s="20"/>
      <c r="GT299" s="13" t="s">
        <v>3129</v>
      </c>
      <c r="HC299" s="21" t="s">
        <v>3376</v>
      </c>
    </row>
    <row r="300" spans="6:211" ht="26.25" x14ac:dyDescent="0.25">
      <c r="F300" s="21" t="s">
        <v>1559</v>
      </c>
      <c r="S300" s="21" t="s">
        <v>580</v>
      </c>
      <c r="AF300" s="159"/>
      <c r="AG300" s="35" t="s">
        <v>245</v>
      </c>
      <c r="AH300" s="159"/>
      <c r="AI300" s="160"/>
      <c r="AJ300" s="159"/>
      <c r="AK300" s="159"/>
      <c r="AL300" s="159"/>
      <c r="AM300" s="159"/>
      <c r="AN300" s="159"/>
      <c r="AO300" s="159"/>
      <c r="AP300" s="159"/>
      <c r="AQ300" s="161"/>
      <c r="AT300" s="28" t="s">
        <v>1789</v>
      </c>
      <c r="BG300" s="21" t="s">
        <v>1923</v>
      </c>
      <c r="BT300" s="21" t="s">
        <v>1999</v>
      </c>
      <c r="CG300" s="38">
        <v>3.9530000000000003E-2</v>
      </c>
      <c r="CT300" s="159"/>
      <c r="CU300" s="35" t="s">
        <v>937</v>
      </c>
      <c r="CV300" s="159"/>
      <c r="CW300" s="160"/>
      <c r="CX300" s="159"/>
      <c r="CY300" s="159"/>
      <c r="CZ300" s="159"/>
      <c r="DA300" s="159"/>
      <c r="DB300" s="159"/>
      <c r="DC300" s="159"/>
      <c r="DD300" s="159"/>
      <c r="DE300" s="161"/>
      <c r="DG300" s="21" t="s">
        <v>822</v>
      </c>
      <c r="DT300" s="20"/>
      <c r="EG300" s="38">
        <v>7.12</v>
      </c>
      <c r="ET300" s="21" t="s">
        <v>1281</v>
      </c>
      <c r="FG300" s="21" t="s">
        <v>1329</v>
      </c>
      <c r="FT300" s="21" t="s">
        <v>1566</v>
      </c>
      <c r="GG300" s="29" t="s">
        <v>1429</v>
      </c>
      <c r="GT300" s="13" t="s">
        <v>3130</v>
      </c>
      <c r="HC300" s="21" t="s">
        <v>3377</v>
      </c>
    </row>
    <row r="301" spans="6:211" ht="15" customHeight="1" x14ac:dyDescent="0.25">
      <c r="F301" s="21" t="s">
        <v>253</v>
      </c>
      <c r="S301" s="38">
        <v>2799.56</v>
      </c>
      <c r="AF301" s="24" t="s">
        <v>1739</v>
      </c>
      <c r="AT301" s="20"/>
      <c r="BG301" s="21" t="s">
        <v>1442</v>
      </c>
      <c r="BT301" s="21" t="s">
        <v>631</v>
      </c>
      <c r="CG301" s="21" t="s">
        <v>995</v>
      </c>
      <c r="CT301" s="159">
        <v>4</v>
      </c>
      <c r="CU301" s="35" t="s">
        <v>55</v>
      </c>
      <c r="CV301" s="159" t="s">
        <v>237</v>
      </c>
      <c r="CW301" s="160" t="s">
        <v>1066</v>
      </c>
      <c r="CX301" s="159" t="s">
        <v>2142</v>
      </c>
      <c r="CY301" s="159" t="s">
        <v>238</v>
      </c>
      <c r="CZ301" s="159" t="s">
        <v>2143</v>
      </c>
      <c r="DA301" s="159" t="s">
        <v>2144</v>
      </c>
      <c r="DB301" s="159" t="s">
        <v>2145</v>
      </c>
      <c r="DC301" s="159" t="s">
        <v>2146</v>
      </c>
      <c r="DD301" s="159" t="s">
        <v>239</v>
      </c>
      <c r="DE301" s="161"/>
      <c r="DG301" s="21" t="s">
        <v>2265</v>
      </c>
      <c r="DT301" s="21" t="s">
        <v>625</v>
      </c>
      <c r="EG301" s="21" t="s">
        <v>1232</v>
      </c>
      <c r="ET301" s="42">
        <v>10.96</v>
      </c>
      <c r="FG301" s="38">
        <v>0.123</v>
      </c>
      <c r="FT301" s="21" t="s">
        <v>2676</v>
      </c>
      <c r="GG301" s="20"/>
      <c r="GT301" s="13" t="s">
        <v>1130</v>
      </c>
      <c r="HC301" s="21" t="s">
        <v>3378</v>
      </c>
    </row>
    <row r="302" spans="6:211" ht="21" x14ac:dyDescent="0.25">
      <c r="F302" s="38">
        <v>54269.919999999998</v>
      </c>
      <c r="S302" s="21" t="s">
        <v>581</v>
      </c>
      <c r="AF302" s="24" t="s">
        <v>714</v>
      </c>
      <c r="AT302" s="126" t="s">
        <v>801</v>
      </c>
      <c r="BG302" s="21" t="s">
        <v>1566</v>
      </c>
      <c r="BT302" s="21" t="s">
        <v>954</v>
      </c>
      <c r="CG302" s="42">
        <v>0.2198</v>
      </c>
      <c r="CT302" s="159"/>
      <c r="CU302" s="35" t="s">
        <v>55</v>
      </c>
      <c r="CV302" s="159"/>
      <c r="CW302" s="160"/>
      <c r="CX302" s="159"/>
      <c r="CY302" s="159"/>
      <c r="CZ302" s="159"/>
      <c r="DA302" s="159"/>
      <c r="DB302" s="159"/>
      <c r="DC302" s="159"/>
      <c r="DD302" s="159"/>
      <c r="DE302" s="161"/>
      <c r="DG302" s="21" t="s">
        <v>638</v>
      </c>
      <c r="DT302" s="21" t="s">
        <v>2342</v>
      </c>
      <c r="EG302" s="42">
        <v>39.58</v>
      </c>
      <c r="ET302" s="20"/>
      <c r="FG302" s="21" t="s">
        <v>1330</v>
      </c>
      <c r="FT302" s="21" t="s">
        <v>619</v>
      </c>
      <c r="GG302" s="21" t="s">
        <v>1653</v>
      </c>
      <c r="GT302" s="13" t="s">
        <v>3131</v>
      </c>
      <c r="HC302" s="21" t="s">
        <v>3378</v>
      </c>
    </row>
    <row r="303" spans="6:211" ht="21" x14ac:dyDescent="0.25">
      <c r="F303" s="21" t="s">
        <v>254</v>
      </c>
      <c r="S303" s="42">
        <v>15565.15</v>
      </c>
      <c r="AF303" s="24" t="s">
        <v>247</v>
      </c>
      <c r="AT303" s="20"/>
      <c r="BG303" s="21" t="s">
        <v>1924</v>
      </c>
      <c r="BT303" s="21" t="s">
        <v>2000</v>
      </c>
      <c r="CG303" s="20"/>
      <c r="CT303" s="159">
        <v>5</v>
      </c>
      <c r="CU303" s="35" t="s">
        <v>707</v>
      </c>
      <c r="CV303" s="159" t="s">
        <v>237</v>
      </c>
      <c r="CW303" s="160" t="s">
        <v>1066</v>
      </c>
      <c r="CX303" s="159" t="s">
        <v>2147</v>
      </c>
      <c r="CY303" s="159" t="s">
        <v>238</v>
      </c>
      <c r="CZ303" s="159" t="s">
        <v>2148</v>
      </c>
      <c r="DA303" s="159" t="s">
        <v>2149</v>
      </c>
      <c r="DB303" s="159" t="s">
        <v>2150</v>
      </c>
      <c r="DC303" s="159" t="s">
        <v>1455</v>
      </c>
      <c r="DD303" s="159" t="s">
        <v>239</v>
      </c>
      <c r="DE303" s="161"/>
      <c r="DG303" s="21" t="s">
        <v>1130</v>
      </c>
      <c r="DT303" s="21" t="s">
        <v>628</v>
      </c>
      <c r="EG303" s="20"/>
      <c r="ET303" s="40" t="s">
        <v>255</v>
      </c>
      <c r="FG303" s="42">
        <v>0.68400000000000005</v>
      </c>
      <c r="FT303" s="21" t="s">
        <v>58</v>
      </c>
      <c r="GG303" s="21" t="s">
        <v>1653</v>
      </c>
      <c r="GT303" s="13" t="s">
        <v>3132</v>
      </c>
      <c r="HC303" s="21" t="s">
        <v>3379</v>
      </c>
    </row>
    <row r="304" spans="6:211" ht="21" x14ac:dyDescent="0.25">
      <c r="F304" s="39">
        <v>301748</v>
      </c>
      <c r="S304" s="20"/>
      <c r="AF304" s="24">
        <v>10</v>
      </c>
      <c r="AT304" s="22" t="s">
        <v>802</v>
      </c>
      <c r="BG304" s="21" t="s">
        <v>1378</v>
      </c>
      <c r="BT304" s="21" t="s">
        <v>636</v>
      </c>
      <c r="CG304" s="40" t="s">
        <v>255</v>
      </c>
      <c r="CT304" s="159"/>
      <c r="CU304" s="35" t="s">
        <v>707</v>
      </c>
      <c r="CV304" s="159"/>
      <c r="CW304" s="160"/>
      <c r="CX304" s="159"/>
      <c r="CY304" s="159"/>
      <c r="CZ304" s="159"/>
      <c r="DA304" s="159"/>
      <c r="DB304" s="159"/>
      <c r="DC304" s="159"/>
      <c r="DD304" s="159"/>
      <c r="DE304" s="161"/>
      <c r="DG304" s="21" t="s">
        <v>2266</v>
      </c>
      <c r="DT304" s="21" t="s">
        <v>1085</v>
      </c>
      <c r="EG304" s="40" t="s">
        <v>255</v>
      </c>
      <c r="ET304" s="20"/>
      <c r="FG304" s="20"/>
      <c r="FT304" s="21" t="s">
        <v>2677</v>
      </c>
      <c r="GG304" s="21" t="s">
        <v>649</v>
      </c>
      <c r="GT304" s="13" t="s">
        <v>1571</v>
      </c>
      <c r="HC304" s="21" t="s">
        <v>3380</v>
      </c>
    </row>
    <row r="305" spans="6:211" ht="21" x14ac:dyDescent="0.25">
      <c r="F305" s="20"/>
      <c r="S305" s="40" t="s">
        <v>255</v>
      </c>
      <c r="AF305" s="28">
        <v>10</v>
      </c>
      <c r="AT305" s="112"/>
      <c r="BG305" s="21" t="s">
        <v>260</v>
      </c>
      <c r="BT305" s="21" t="s">
        <v>953</v>
      </c>
      <c r="CG305" s="20"/>
      <c r="CT305" s="159">
        <v>6</v>
      </c>
      <c r="CU305" s="35" t="s">
        <v>1067</v>
      </c>
      <c r="CV305" s="159" t="s">
        <v>237</v>
      </c>
      <c r="CW305" s="160" t="s">
        <v>1066</v>
      </c>
      <c r="CX305" s="159" t="s">
        <v>2151</v>
      </c>
      <c r="CY305" s="159" t="s">
        <v>238</v>
      </c>
      <c r="CZ305" s="159" t="s">
        <v>2152</v>
      </c>
      <c r="DA305" s="159" t="s">
        <v>2153</v>
      </c>
      <c r="DB305" s="159" t="s">
        <v>2154</v>
      </c>
      <c r="DC305" s="159" t="s">
        <v>2155</v>
      </c>
      <c r="DD305" s="159" t="s">
        <v>239</v>
      </c>
      <c r="DE305" s="161"/>
      <c r="DG305" s="21" t="s">
        <v>621</v>
      </c>
      <c r="DT305" s="21" t="s">
        <v>1083</v>
      </c>
      <c r="EG305" s="20"/>
      <c r="ET305" s="21" t="s">
        <v>1282</v>
      </c>
      <c r="FG305" s="40" t="s">
        <v>255</v>
      </c>
      <c r="FT305" s="21" t="s">
        <v>585</v>
      </c>
      <c r="GG305" s="21" t="s">
        <v>1651</v>
      </c>
      <c r="GT305" s="13" t="s">
        <v>3133</v>
      </c>
      <c r="HC305" s="21" t="s">
        <v>3381</v>
      </c>
    </row>
    <row r="306" spans="6:211" ht="21" x14ac:dyDescent="0.25">
      <c r="F306" s="40" t="s">
        <v>255</v>
      </c>
      <c r="S306" s="20"/>
      <c r="AF306" s="28">
        <v>50</v>
      </c>
      <c r="AT306" s="28" t="s">
        <v>803</v>
      </c>
      <c r="BG306" s="21" t="s">
        <v>1925</v>
      </c>
      <c r="BT306" s="21" t="s">
        <v>2001</v>
      </c>
      <c r="CG306" s="21" t="s">
        <v>996</v>
      </c>
      <c r="CT306" s="159"/>
      <c r="CU306" s="35" t="s">
        <v>1067</v>
      </c>
      <c r="CV306" s="159"/>
      <c r="CW306" s="160"/>
      <c r="CX306" s="159"/>
      <c r="CY306" s="159"/>
      <c r="CZ306" s="159"/>
      <c r="DA306" s="159"/>
      <c r="DB306" s="159"/>
      <c r="DC306" s="159"/>
      <c r="DD306" s="159"/>
      <c r="DE306" s="161"/>
      <c r="DG306" s="21" t="s">
        <v>1131</v>
      </c>
      <c r="DT306" s="21" t="s">
        <v>2343</v>
      </c>
      <c r="EG306" s="21" t="s">
        <v>1233</v>
      </c>
      <c r="ET306" s="21" t="s">
        <v>2504</v>
      </c>
      <c r="FG306" s="20"/>
      <c r="FT306" s="21" t="s">
        <v>57</v>
      </c>
      <c r="GG306" s="21" t="s">
        <v>2756</v>
      </c>
      <c r="GT306" s="13" t="s">
        <v>3134</v>
      </c>
      <c r="HC306" s="21" t="s">
        <v>3381</v>
      </c>
    </row>
    <row r="307" spans="6:211" ht="15" customHeight="1" x14ac:dyDescent="0.25">
      <c r="F307" s="20"/>
      <c r="S307" s="21" t="s">
        <v>59</v>
      </c>
      <c r="AF307" s="28">
        <v>100</v>
      </c>
      <c r="AT307" s="20"/>
      <c r="BG307" s="21" t="s">
        <v>632</v>
      </c>
      <c r="BT307" s="21" t="s">
        <v>1183</v>
      </c>
      <c r="CG307" s="21" t="s">
        <v>2086</v>
      </c>
      <c r="CT307" s="159">
        <v>7</v>
      </c>
      <c r="CU307" s="35" t="s">
        <v>1069</v>
      </c>
      <c r="CV307" s="159" t="s">
        <v>237</v>
      </c>
      <c r="CW307" s="160" t="s">
        <v>1066</v>
      </c>
      <c r="CX307" s="159" t="s">
        <v>2156</v>
      </c>
      <c r="CY307" s="159" t="s">
        <v>238</v>
      </c>
      <c r="CZ307" s="159" t="s">
        <v>2157</v>
      </c>
      <c r="DA307" s="159" t="s">
        <v>2158</v>
      </c>
      <c r="DB307" s="159" t="s">
        <v>2159</v>
      </c>
      <c r="DC307" s="159" t="s">
        <v>2160</v>
      </c>
      <c r="DD307" s="159" t="s">
        <v>239</v>
      </c>
      <c r="DE307" s="161"/>
      <c r="DG307" s="21" t="s">
        <v>2267</v>
      </c>
      <c r="DT307" s="21" t="s">
        <v>1181</v>
      </c>
      <c r="EG307" s="21" t="s">
        <v>2424</v>
      </c>
      <c r="ET307" s="21" t="s">
        <v>645</v>
      </c>
      <c r="FG307" s="21" t="s">
        <v>1331</v>
      </c>
      <c r="FT307" s="21" t="s">
        <v>2678</v>
      </c>
      <c r="GG307" s="21" t="s">
        <v>2756</v>
      </c>
      <c r="GT307" s="13" t="s">
        <v>3135</v>
      </c>
      <c r="HC307" s="21" t="s">
        <v>2895</v>
      </c>
    </row>
    <row r="308" spans="6:211" ht="15" customHeight="1" x14ac:dyDescent="0.25">
      <c r="F308" s="21" t="s">
        <v>58</v>
      </c>
      <c r="S308" s="21" t="s">
        <v>1656</v>
      </c>
      <c r="AF308" s="20"/>
      <c r="AT308" s="24" t="s">
        <v>222</v>
      </c>
      <c r="BG308" s="21" t="s">
        <v>57</v>
      </c>
      <c r="BT308" s="21" t="s">
        <v>955</v>
      </c>
      <c r="CG308" s="21" t="s">
        <v>826</v>
      </c>
      <c r="CT308" s="159"/>
      <c r="CU308" s="35" t="s">
        <v>1069</v>
      </c>
      <c r="CV308" s="159"/>
      <c r="CW308" s="160"/>
      <c r="CX308" s="159"/>
      <c r="CY308" s="159"/>
      <c r="CZ308" s="159"/>
      <c r="DA308" s="159"/>
      <c r="DB308" s="159"/>
      <c r="DC308" s="159"/>
      <c r="DD308" s="159"/>
      <c r="DE308" s="161"/>
      <c r="DG308" s="21" t="s">
        <v>629</v>
      </c>
      <c r="DT308" s="21" t="s">
        <v>2344</v>
      </c>
      <c r="EG308" s="21" t="s">
        <v>1372</v>
      </c>
      <c r="ET308" s="21" t="s">
        <v>1283</v>
      </c>
      <c r="FG308" s="21" t="s">
        <v>2589</v>
      </c>
      <c r="FT308" s="21" t="s">
        <v>2343</v>
      </c>
      <c r="GG308" s="21" t="s">
        <v>577</v>
      </c>
      <c r="GT308" s="13" t="s">
        <v>3136</v>
      </c>
      <c r="HC308" s="21" t="s">
        <v>3382</v>
      </c>
    </row>
    <row r="309" spans="6:211" ht="26.25" x14ac:dyDescent="0.25">
      <c r="F309" s="21" t="s">
        <v>1560</v>
      </c>
      <c r="S309" s="21" t="s">
        <v>1442</v>
      </c>
      <c r="AF309" s="29" t="s">
        <v>715</v>
      </c>
      <c r="AT309" s="20"/>
      <c r="BG309" s="21" t="s">
        <v>1921</v>
      </c>
      <c r="BT309" s="21" t="s">
        <v>2002</v>
      </c>
      <c r="CG309" s="21" t="s">
        <v>997</v>
      </c>
      <c r="CT309" s="159">
        <v>8</v>
      </c>
      <c r="CU309" s="35" t="s">
        <v>246</v>
      </c>
      <c r="CV309" s="159" t="s">
        <v>237</v>
      </c>
      <c r="CW309" s="160" t="s">
        <v>1066</v>
      </c>
      <c r="CX309" s="159" t="s">
        <v>2161</v>
      </c>
      <c r="CY309" s="159" t="s">
        <v>238</v>
      </c>
      <c r="CZ309" s="159" t="s">
        <v>2162</v>
      </c>
      <c r="DA309" s="159" t="s">
        <v>2163</v>
      </c>
      <c r="DB309" s="159" t="s">
        <v>2164</v>
      </c>
      <c r="DC309" s="159" t="s">
        <v>2165</v>
      </c>
      <c r="DD309" s="159" t="s">
        <v>239</v>
      </c>
      <c r="DE309" s="161"/>
      <c r="DG309" s="21" t="s">
        <v>1133</v>
      </c>
      <c r="DT309" s="21" t="s">
        <v>636</v>
      </c>
      <c r="EG309" s="21" t="s">
        <v>1082</v>
      </c>
      <c r="ET309" s="21" t="s">
        <v>2505</v>
      </c>
      <c r="FG309" s="21" t="s">
        <v>638</v>
      </c>
      <c r="FT309" s="21" t="s">
        <v>834</v>
      </c>
      <c r="GG309" s="21" t="s">
        <v>2757</v>
      </c>
      <c r="GT309" s="13" t="s">
        <v>3137</v>
      </c>
      <c r="HC309" s="21" t="s">
        <v>3383</v>
      </c>
    </row>
    <row r="310" spans="6:211" ht="26.25" x14ac:dyDescent="0.25">
      <c r="F310" s="21" t="s">
        <v>961</v>
      </c>
      <c r="S310" s="21" t="s">
        <v>582</v>
      </c>
      <c r="AF310" s="20"/>
      <c r="AT310" s="29" t="s">
        <v>804</v>
      </c>
      <c r="BG310" s="21" t="s">
        <v>1570</v>
      </c>
      <c r="BT310" s="21" t="s">
        <v>636</v>
      </c>
      <c r="CG310" s="21" t="s">
        <v>2087</v>
      </c>
      <c r="CT310" s="159"/>
      <c r="CU310" s="35" t="s">
        <v>246</v>
      </c>
      <c r="CV310" s="159"/>
      <c r="CW310" s="160"/>
      <c r="CX310" s="159"/>
      <c r="CY310" s="159"/>
      <c r="CZ310" s="159"/>
      <c r="DA310" s="159"/>
      <c r="DB310" s="159"/>
      <c r="DC310" s="159"/>
      <c r="DD310" s="159"/>
      <c r="DE310" s="161"/>
      <c r="DG310" s="21" t="s">
        <v>828</v>
      </c>
      <c r="DT310" s="21" t="s">
        <v>1182</v>
      </c>
      <c r="EG310" s="21" t="s">
        <v>2425</v>
      </c>
      <c r="ET310" s="21" t="s">
        <v>2506</v>
      </c>
      <c r="FG310" s="21" t="s">
        <v>1332</v>
      </c>
      <c r="FT310" s="21" t="s">
        <v>2679</v>
      </c>
      <c r="GG310" s="21" t="s">
        <v>2340</v>
      </c>
      <c r="GT310" s="13" t="s">
        <v>3138</v>
      </c>
      <c r="HC310" s="21" t="s">
        <v>3383</v>
      </c>
    </row>
    <row r="311" spans="6:211" ht="15" customHeight="1" x14ac:dyDescent="0.25">
      <c r="F311" s="21" t="s">
        <v>256</v>
      </c>
      <c r="S311" s="21" t="s">
        <v>1657</v>
      </c>
      <c r="AF311" s="21" t="s">
        <v>1740</v>
      </c>
      <c r="AT311" s="20"/>
      <c r="BG311" s="21" t="s">
        <v>58</v>
      </c>
      <c r="BT311" s="20"/>
      <c r="CG311" s="21" t="s">
        <v>726</v>
      </c>
      <c r="CT311" s="159">
        <v>9</v>
      </c>
      <c r="CU311" s="35" t="s">
        <v>575</v>
      </c>
      <c r="CV311" s="159" t="s">
        <v>237</v>
      </c>
      <c r="CW311" s="160" t="s">
        <v>1066</v>
      </c>
      <c r="CX311" s="159" t="s">
        <v>2166</v>
      </c>
      <c r="CY311" s="159" t="s">
        <v>711</v>
      </c>
      <c r="CZ311" s="159" t="s">
        <v>2167</v>
      </c>
      <c r="DA311" s="159" t="s">
        <v>2168</v>
      </c>
      <c r="DB311" s="159" t="s">
        <v>2169</v>
      </c>
      <c r="DC311" s="159" t="s">
        <v>647</v>
      </c>
      <c r="DD311" s="159" t="s">
        <v>239</v>
      </c>
      <c r="DE311" s="161"/>
      <c r="DG311" s="21" t="s">
        <v>639</v>
      </c>
      <c r="DT311" s="21" t="s">
        <v>2345</v>
      </c>
      <c r="EG311" s="21" t="s">
        <v>1435</v>
      </c>
      <c r="ET311" s="21" t="s">
        <v>57</v>
      </c>
      <c r="FG311" s="21" t="s">
        <v>2590</v>
      </c>
      <c r="FT311" s="21" t="s">
        <v>631</v>
      </c>
      <c r="GG311" s="21" t="s">
        <v>2340</v>
      </c>
      <c r="GT311" s="13" t="s">
        <v>3139</v>
      </c>
      <c r="HC311" s="21" t="s">
        <v>2895</v>
      </c>
    </row>
    <row r="312" spans="6:211" ht="21" x14ac:dyDescent="0.25">
      <c r="F312" s="21" t="s">
        <v>1561</v>
      </c>
      <c r="S312" s="21" t="s">
        <v>1658</v>
      </c>
      <c r="AF312" s="21" t="s">
        <v>1740</v>
      </c>
      <c r="AT312" s="24" t="s">
        <v>224</v>
      </c>
      <c r="BG312" s="21" t="s">
        <v>1922</v>
      </c>
      <c r="BT312" s="40" t="s">
        <v>259</v>
      </c>
      <c r="CG312" s="21" t="s">
        <v>998</v>
      </c>
      <c r="CT312" s="159"/>
      <c r="CU312" s="35" t="s">
        <v>575</v>
      </c>
      <c r="CV312" s="159"/>
      <c r="CW312" s="160"/>
      <c r="CX312" s="159"/>
      <c r="CY312" s="159"/>
      <c r="CZ312" s="159"/>
      <c r="DA312" s="159"/>
      <c r="DB312" s="159"/>
      <c r="DC312" s="159"/>
      <c r="DD312" s="159"/>
      <c r="DE312" s="161"/>
      <c r="DG312" s="20"/>
      <c r="DT312" s="21" t="s">
        <v>1370</v>
      </c>
      <c r="EG312" s="21" t="s">
        <v>635</v>
      </c>
      <c r="ET312" s="21" t="s">
        <v>2507</v>
      </c>
      <c r="FG312" s="21" t="s">
        <v>617</v>
      </c>
      <c r="FT312" s="21" t="s">
        <v>260</v>
      </c>
      <c r="GG312" s="21" t="s">
        <v>577</v>
      </c>
      <c r="GT312" s="13" t="s">
        <v>3140</v>
      </c>
      <c r="HC312" s="21" t="s">
        <v>3382</v>
      </c>
    </row>
    <row r="313" spans="6:211" ht="21" x14ac:dyDescent="0.25">
      <c r="F313" s="21" t="s">
        <v>999</v>
      </c>
      <c r="S313" s="21" t="s">
        <v>583</v>
      </c>
      <c r="AF313" s="21" t="s">
        <v>577</v>
      </c>
      <c r="AT313" s="24" t="s">
        <v>225</v>
      </c>
      <c r="BG313" s="21" t="s">
        <v>961</v>
      </c>
      <c r="BT313" s="20"/>
      <c r="CG313" s="21" t="s">
        <v>2088</v>
      </c>
      <c r="CT313" s="159">
        <v>10</v>
      </c>
      <c r="CU313" s="35" t="s">
        <v>243</v>
      </c>
      <c r="CV313" s="159" t="s">
        <v>237</v>
      </c>
      <c r="CW313" s="160" t="s">
        <v>1066</v>
      </c>
      <c r="CX313" s="159" t="s">
        <v>2170</v>
      </c>
      <c r="CY313" s="159" t="s">
        <v>618</v>
      </c>
      <c r="CZ313" s="159" t="s">
        <v>2171</v>
      </c>
      <c r="DA313" s="159" t="s">
        <v>2172</v>
      </c>
      <c r="DB313" s="159" t="s">
        <v>2173</v>
      </c>
      <c r="DC313" s="159" t="s">
        <v>2174</v>
      </c>
      <c r="DD313" s="159" t="s">
        <v>239</v>
      </c>
      <c r="DE313" s="161"/>
      <c r="DG313" s="40" t="s">
        <v>259</v>
      </c>
      <c r="DT313" s="21" t="s">
        <v>953</v>
      </c>
      <c r="EG313" s="21" t="s">
        <v>2426</v>
      </c>
      <c r="ET313" s="21" t="s">
        <v>1570</v>
      </c>
      <c r="FG313" s="21" t="s">
        <v>1334</v>
      </c>
      <c r="FT313" s="21" t="s">
        <v>2596</v>
      </c>
      <c r="GG313" s="21" t="s">
        <v>814</v>
      </c>
      <c r="GT313" s="13" t="s">
        <v>3141</v>
      </c>
      <c r="HC313" s="24" t="s">
        <v>2896</v>
      </c>
    </row>
    <row r="314" spans="6:211" ht="16.5" x14ac:dyDescent="0.25">
      <c r="F314" s="21" t="s">
        <v>59</v>
      </c>
      <c r="S314" s="21" t="s">
        <v>1659</v>
      </c>
      <c r="AF314" s="21" t="s">
        <v>1741</v>
      </c>
      <c r="AT314" s="31" t="s">
        <v>226</v>
      </c>
      <c r="AU314" s="31" t="s">
        <v>227</v>
      </c>
      <c r="AV314" s="31"/>
      <c r="AW314" s="31" t="s">
        <v>228</v>
      </c>
      <c r="AX314" s="31" t="s">
        <v>229</v>
      </c>
      <c r="AY314" s="31" t="s">
        <v>230</v>
      </c>
      <c r="AZ314" s="31" t="s">
        <v>231</v>
      </c>
      <c r="BA314" s="31" t="s">
        <v>232</v>
      </c>
      <c r="BB314" s="31" t="s">
        <v>233</v>
      </c>
      <c r="BC314" s="31" t="s">
        <v>234</v>
      </c>
      <c r="BD314" s="31" t="s">
        <v>235</v>
      </c>
      <c r="BE314" s="31" t="s">
        <v>236</v>
      </c>
      <c r="BG314" s="21" t="s">
        <v>1571</v>
      </c>
      <c r="BT314" s="21" t="s">
        <v>59</v>
      </c>
      <c r="CG314" s="21" t="s">
        <v>622</v>
      </c>
      <c r="CT314" s="159"/>
      <c r="CU314" s="35" t="s">
        <v>243</v>
      </c>
      <c r="CV314" s="159"/>
      <c r="CW314" s="160"/>
      <c r="CX314" s="159"/>
      <c r="CY314" s="159"/>
      <c r="CZ314" s="159"/>
      <c r="DA314" s="159"/>
      <c r="DB314" s="159"/>
      <c r="DC314" s="159"/>
      <c r="DD314" s="159"/>
      <c r="DE314" s="161"/>
      <c r="DG314" s="20"/>
      <c r="DT314" s="21" t="s">
        <v>2346</v>
      </c>
      <c r="EG314" s="21" t="s">
        <v>622</v>
      </c>
      <c r="ET314" s="21" t="s">
        <v>58</v>
      </c>
      <c r="FG314" s="21" t="s">
        <v>2591</v>
      </c>
      <c r="FT314" s="21" t="s">
        <v>961</v>
      </c>
      <c r="GG314" s="21" t="s">
        <v>2758</v>
      </c>
      <c r="GT314" s="13" t="s">
        <v>3142</v>
      </c>
      <c r="HC314" s="20"/>
    </row>
    <row r="315" spans="6:211" ht="26.25" x14ac:dyDescent="0.25">
      <c r="F315" s="21" t="s">
        <v>1562</v>
      </c>
      <c r="S315" s="21" t="s">
        <v>645</v>
      </c>
      <c r="AF315" s="21" t="s">
        <v>1742</v>
      </c>
      <c r="AT315" s="163"/>
      <c r="AU315" s="163"/>
      <c r="AV315" s="163"/>
      <c r="AW315" s="163"/>
      <c r="AX315" s="163"/>
      <c r="AY315" s="163"/>
      <c r="AZ315" s="163"/>
      <c r="BA315" s="163"/>
      <c r="BB315" s="163"/>
      <c r="BC315" s="163"/>
      <c r="BD315" s="163"/>
      <c r="BE315" s="163"/>
      <c r="BG315" s="21" t="s">
        <v>1926</v>
      </c>
      <c r="BT315" s="21" t="s">
        <v>2003</v>
      </c>
      <c r="CG315" s="21" t="s">
        <v>1000</v>
      </c>
      <c r="CT315" s="24" t="s">
        <v>2175</v>
      </c>
      <c r="DG315" s="21" t="s">
        <v>59</v>
      </c>
      <c r="DT315" s="21" t="s">
        <v>1435</v>
      </c>
      <c r="EG315" s="21" t="s">
        <v>1234</v>
      </c>
      <c r="ET315" s="21" t="s">
        <v>1845</v>
      </c>
      <c r="FG315" s="21" t="s">
        <v>725</v>
      </c>
      <c r="FT315" s="21" t="s">
        <v>1571</v>
      </c>
      <c r="GG315" s="21" t="s">
        <v>2758</v>
      </c>
      <c r="GT315" s="13" t="s">
        <v>3143</v>
      </c>
      <c r="HC315" s="29" t="s">
        <v>3384</v>
      </c>
    </row>
    <row r="316" spans="6:211" ht="15" customHeight="1" x14ac:dyDescent="0.25">
      <c r="F316" s="21" t="s">
        <v>1563</v>
      </c>
      <c r="S316" s="21" t="s">
        <v>68</v>
      </c>
      <c r="AF316" s="21" t="s">
        <v>1742</v>
      </c>
      <c r="AT316" s="159">
        <v>1</v>
      </c>
      <c r="AU316" s="35" t="s">
        <v>242</v>
      </c>
      <c r="AV316" s="159" t="s">
        <v>237</v>
      </c>
      <c r="AW316" s="160" t="s">
        <v>806</v>
      </c>
      <c r="AX316" s="159" t="s">
        <v>1790</v>
      </c>
      <c r="AY316" s="159" t="s">
        <v>618</v>
      </c>
      <c r="AZ316" s="159" t="s">
        <v>1791</v>
      </c>
      <c r="BA316" s="159" t="s">
        <v>1792</v>
      </c>
      <c r="BB316" s="159" t="s">
        <v>1793</v>
      </c>
      <c r="BC316" s="159" t="s">
        <v>1794</v>
      </c>
      <c r="BD316" s="159" t="s">
        <v>239</v>
      </c>
      <c r="BE316" s="161"/>
      <c r="BG316" s="21" t="s">
        <v>1285</v>
      </c>
      <c r="BT316" s="21" t="s">
        <v>826</v>
      </c>
      <c r="CG316" s="21" t="s">
        <v>2089</v>
      </c>
      <c r="CT316" s="24" t="s">
        <v>1070</v>
      </c>
      <c r="DG316" s="21" t="s">
        <v>2268</v>
      </c>
      <c r="DT316" s="20"/>
      <c r="EG316" s="21" t="s">
        <v>2427</v>
      </c>
      <c r="ET316" s="21" t="s">
        <v>961</v>
      </c>
      <c r="FG316" s="21" t="s">
        <v>1335</v>
      </c>
      <c r="FT316" s="21" t="s">
        <v>2680</v>
      </c>
      <c r="GG316" s="21" t="s">
        <v>649</v>
      </c>
      <c r="GT316" s="13" t="s">
        <v>3144</v>
      </c>
      <c r="HC316" s="20"/>
    </row>
    <row r="317" spans="6:211" ht="21" x14ac:dyDescent="0.25">
      <c r="F317" s="21" t="s">
        <v>257</v>
      </c>
      <c r="S317" s="21" t="s">
        <v>1660</v>
      </c>
      <c r="AF317" s="21" t="s">
        <v>577</v>
      </c>
      <c r="AT317" s="159"/>
      <c r="AU317" s="35" t="s">
        <v>242</v>
      </c>
      <c r="AV317" s="159"/>
      <c r="AW317" s="160"/>
      <c r="AX317" s="159"/>
      <c r="AY317" s="159"/>
      <c r="AZ317" s="159"/>
      <c r="BA317" s="159"/>
      <c r="BB317" s="159"/>
      <c r="BC317" s="159"/>
      <c r="BD317" s="159"/>
      <c r="BE317" s="161"/>
      <c r="BG317" s="21" t="s">
        <v>633</v>
      </c>
      <c r="BT317" s="21" t="s">
        <v>1566</v>
      </c>
      <c r="CG317" s="21" t="s">
        <v>708</v>
      </c>
      <c r="CT317" s="24" t="s">
        <v>247</v>
      </c>
      <c r="DG317" s="21" t="s">
        <v>1445</v>
      </c>
      <c r="DT317" s="40" t="s">
        <v>259</v>
      </c>
      <c r="EG317" s="21" t="s">
        <v>631</v>
      </c>
      <c r="ET317" s="21" t="s">
        <v>2508</v>
      </c>
      <c r="FG317" s="21" t="s">
        <v>2592</v>
      </c>
      <c r="FT317" s="21" t="s">
        <v>1440</v>
      </c>
      <c r="GG317" s="21" t="s">
        <v>814</v>
      </c>
      <c r="GT317" s="13" t="s">
        <v>3145</v>
      </c>
      <c r="HC317" s="21" t="s">
        <v>3385</v>
      </c>
    </row>
    <row r="318" spans="6:211" ht="15" customHeight="1" x14ac:dyDescent="0.25">
      <c r="F318" s="21" t="s">
        <v>1564</v>
      </c>
      <c r="S318" s="21" t="s">
        <v>826</v>
      </c>
      <c r="AF318" s="21" t="s">
        <v>1743</v>
      </c>
      <c r="AT318" s="159">
        <v>2</v>
      </c>
      <c r="AU318" s="35" t="s">
        <v>1795</v>
      </c>
      <c r="AV318" s="159" t="s">
        <v>237</v>
      </c>
      <c r="AW318" s="160" t="s">
        <v>806</v>
      </c>
      <c r="AX318" s="159" t="s">
        <v>1790</v>
      </c>
      <c r="AY318" s="159" t="s">
        <v>618</v>
      </c>
      <c r="AZ318" s="159" t="s">
        <v>1796</v>
      </c>
      <c r="BA318" s="159" t="s">
        <v>1797</v>
      </c>
      <c r="BB318" s="159" t="s">
        <v>1798</v>
      </c>
      <c r="BC318" s="159" t="s">
        <v>1799</v>
      </c>
      <c r="BD318" s="159" t="s">
        <v>239</v>
      </c>
      <c r="BE318" s="161"/>
      <c r="BG318" s="21" t="s">
        <v>1927</v>
      </c>
      <c r="BT318" s="21" t="s">
        <v>2004</v>
      </c>
      <c r="CG318" s="21" t="s">
        <v>1001</v>
      </c>
      <c r="CT318" s="24">
        <v>10</v>
      </c>
      <c r="DG318" s="21" t="s">
        <v>1566</v>
      </c>
      <c r="DT318" s="20"/>
      <c r="EG318" s="21" t="s">
        <v>1235</v>
      </c>
      <c r="ET318" s="21" t="s">
        <v>2509</v>
      </c>
      <c r="FG318" s="21" t="s">
        <v>898</v>
      </c>
      <c r="FT318" s="21" t="s">
        <v>633</v>
      </c>
      <c r="GG318" s="24" t="s">
        <v>250</v>
      </c>
      <c r="GT318" s="13" t="s">
        <v>3146</v>
      </c>
      <c r="HC318" s="21" t="s">
        <v>3386</v>
      </c>
    </row>
    <row r="319" spans="6:211" ht="15" customHeight="1" x14ac:dyDescent="0.25">
      <c r="F319" s="21" t="s">
        <v>1333</v>
      </c>
      <c r="S319" s="21" t="s">
        <v>584</v>
      </c>
      <c r="AF319" s="21" t="s">
        <v>1744</v>
      </c>
      <c r="AT319" s="159"/>
      <c r="AU319" s="35" t="s">
        <v>1795</v>
      </c>
      <c r="AV319" s="159"/>
      <c r="AW319" s="160"/>
      <c r="AX319" s="159"/>
      <c r="AY319" s="159"/>
      <c r="AZ319" s="159"/>
      <c r="BA319" s="159"/>
      <c r="BB319" s="159"/>
      <c r="BC319" s="159"/>
      <c r="BD319" s="159"/>
      <c r="BE319" s="161"/>
      <c r="BG319" s="21" t="s">
        <v>833</v>
      </c>
      <c r="BT319" s="21" t="s">
        <v>621</v>
      </c>
      <c r="CG319" s="21" t="s">
        <v>825</v>
      </c>
      <c r="CT319" s="28">
        <v>10</v>
      </c>
      <c r="DG319" s="21" t="s">
        <v>2004</v>
      </c>
      <c r="DT319" s="21" t="s">
        <v>59</v>
      </c>
      <c r="EG319" s="21" t="s">
        <v>2428</v>
      </c>
      <c r="ET319" s="21" t="s">
        <v>585</v>
      </c>
      <c r="FG319" s="21" t="s">
        <v>1336</v>
      </c>
      <c r="FT319" s="21" t="s">
        <v>2681</v>
      </c>
      <c r="GG319" s="20"/>
      <c r="GT319" s="13" t="s">
        <v>3147</v>
      </c>
      <c r="HC319" s="21" t="s">
        <v>3385</v>
      </c>
    </row>
    <row r="320" spans="6:211" ht="26.25" x14ac:dyDescent="0.25">
      <c r="F320" s="21" t="s">
        <v>258</v>
      </c>
      <c r="S320" s="21" t="s">
        <v>1661</v>
      </c>
      <c r="AF320" s="21" t="s">
        <v>1744</v>
      </c>
      <c r="AT320" s="159">
        <v>3</v>
      </c>
      <c r="AU320" s="35" t="s">
        <v>807</v>
      </c>
      <c r="AV320" s="159" t="s">
        <v>237</v>
      </c>
      <c r="AW320" s="160" t="s">
        <v>806</v>
      </c>
      <c r="AX320" s="159" t="s">
        <v>1790</v>
      </c>
      <c r="AY320" s="159" t="s">
        <v>618</v>
      </c>
      <c r="AZ320" s="159" t="s">
        <v>1800</v>
      </c>
      <c r="BA320" s="159" t="s">
        <v>1801</v>
      </c>
      <c r="BB320" s="159" t="s">
        <v>1802</v>
      </c>
      <c r="BC320" s="159" t="s">
        <v>808</v>
      </c>
      <c r="BD320" s="159" t="s">
        <v>239</v>
      </c>
      <c r="BE320" s="161"/>
      <c r="BG320" s="21" t="s">
        <v>834</v>
      </c>
      <c r="BT320" s="21" t="s">
        <v>834</v>
      </c>
      <c r="CG320" s="21" t="s">
        <v>629</v>
      </c>
      <c r="CT320" s="28">
        <v>50</v>
      </c>
      <c r="DG320" s="21" t="s">
        <v>619</v>
      </c>
      <c r="DT320" s="21" t="s">
        <v>2347</v>
      </c>
      <c r="EG320" s="21" t="s">
        <v>899</v>
      </c>
      <c r="ET320" s="20"/>
      <c r="FG320" s="21" t="s">
        <v>2593</v>
      </c>
      <c r="FT320" s="21" t="s">
        <v>2523</v>
      </c>
      <c r="GG320" s="29" t="s">
        <v>1430</v>
      </c>
      <c r="GT320" s="13" t="s">
        <v>3148</v>
      </c>
      <c r="HC320" s="21" t="s">
        <v>3387</v>
      </c>
    </row>
    <row r="321" spans="6:211" ht="21" x14ac:dyDescent="0.25">
      <c r="F321" s="21" t="s">
        <v>1565</v>
      </c>
      <c r="S321" s="21" t="s">
        <v>642</v>
      </c>
      <c r="AF321" s="21" t="s">
        <v>577</v>
      </c>
      <c r="AT321" s="159"/>
      <c r="AU321" s="35" t="s">
        <v>807</v>
      </c>
      <c r="AV321" s="159"/>
      <c r="AW321" s="160"/>
      <c r="AX321" s="159"/>
      <c r="AY321" s="159"/>
      <c r="AZ321" s="159"/>
      <c r="BA321" s="159"/>
      <c r="BB321" s="159"/>
      <c r="BC321" s="159"/>
      <c r="BD321" s="159"/>
      <c r="BE321" s="161"/>
      <c r="BG321" s="21" t="s">
        <v>1928</v>
      </c>
      <c r="BT321" s="21" t="s">
        <v>2005</v>
      </c>
      <c r="CG321" s="20"/>
      <c r="CT321" s="28">
        <v>100</v>
      </c>
      <c r="DG321" s="21" t="s">
        <v>57</v>
      </c>
      <c r="DT321" s="21" t="s">
        <v>1445</v>
      </c>
      <c r="EG321" s="20"/>
      <c r="ET321" s="40" t="s">
        <v>259</v>
      </c>
      <c r="FG321" s="21" t="s">
        <v>2430</v>
      </c>
      <c r="FT321" s="21" t="s">
        <v>2601</v>
      </c>
      <c r="GG321" s="20"/>
      <c r="GT321" s="13" t="s">
        <v>3149</v>
      </c>
      <c r="HC321" s="21" t="s">
        <v>3388</v>
      </c>
    </row>
    <row r="322" spans="6:211" ht="21" x14ac:dyDescent="0.25">
      <c r="F322" s="21" t="s">
        <v>1184</v>
      </c>
      <c r="S322" s="20"/>
      <c r="AF322" s="21" t="s">
        <v>1745</v>
      </c>
      <c r="AT322" s="159">
        <v>4</v>
      </c>
      <c r="AU322" s="35" t="s">
        <v>1069</v>
      </c>
      <c r="AV322" s="159" t="s">
        <v>237</v>
      </c>
      <c r="AW322" s="160" t="s">
        <v>806</v>
      </c>
      <c r="AX322" s="159" t="s">
        <v>1803</v>
      </c>
      <c r="AY322" s="159" t="s">
        <v>618</v>
      </c>
      <c r="AZ322" s="159" t="s">
        <v>1804</v>
      </c>
      <c r="BA322" s="159" t="s">
        <v>1805</v>
      </c>
      <c r="BB322" s="159" t="s">
        <v>1806</v>
      </c>
      <c r="BC322" s="159" t="s">
        <v>1807</v>
      </c>
      <c r="BD322" s="159" t="s">
        <v>239</v>
      </c>
      <c r="BE322" s="161"/>
      <c r="BG322" s="21" t="s">
        <v>1132</v>
      </c>
      <c r="BT322" s="21" t="s">
        <v>1132</v>
      </c>
      <c r="CG322" s="40" t="s">
        <v>259</v>
      </c>
      <c r="CT322" s="20"/>
      <c r="DG322" s="21" t="s">
        <v>2269</v>
      </c>
      <c r="DT322" s="21" t="s">
        <v>1566</v>
      </c>
      <c r="EG322" s="40" t="s">
        <v>259</v>
      </c>
      <c r="ET322" s="20"/>
      <c r="FG322" s="20"/>
      <c r="FT322" s="21" t="s">
        <v>2682</v>
      </c>
      <c r="GG322" s="21" t="s">
        <v>1431</v>
      </c>
      <c r="GT322" s="13" t="s">
        <v>3150</v>
      </c>
      <c r="HC322" s="21" t="s">
        <v>3389</v>
      </c>
    </row>
    <row r="323" spans="6:211" ht="26.25" x14ac:dyDescent="0.25">
      <c r="F323" s="20"/>
      <c r="S323" s="40" t="s">
        <v>259</v>
      </c>
      <c r="AF323" s="21" t="s">
        <v>1746</v>
      </c>
      <c r="AT323" s="159"/>
      <c r="AU323" s="35" t="s">
        <v>1069</v>
      </c>
      <c r="AV323" s="159"/>
      <c r="AW323" s="160"/>
      <c r="AX323" s="159"/>
      <c r="AY323" s="159"/>
      <c r="AZ323" s="159"/>
      <c r="BA323" s="159"/>
      <c r="BB323" s="159"/>
      <c r="BC323" s="159"/>
      <c r="BD323" s="159"/>
      <c r="BE323" s="161"/>
      <c r="BG323" s="21" t="s">
        <v>1576</v>
      </c>
      <c r="BT323" s="21" t="s">
        <v>58</v>
      </c>
      <c r="CG323" s="20"/>
      <c r="CT323" s="29" t="s">
        <v>1071</v>
      </c>
      <c r="DG323" s="21" t="s">
        <v>999</v>
      </c>
      <c r="DT323" s="21" t="s">
        <v>2348</v>
      </c>
      <c r="EG323" s="20"/>
      <c r="ET323" s="21" t="s">
        <v>59</v>
      </c>
      <c r="FG323" s="40" t="s">
        <v>259</v>
      </c>
      <c r="FT323" s="21" t="s">
        <v>619</v>
      </c>
      <c r="GG323" s="21" t="s">
        <v>2759</v>
      </c>
      <c r="GT323" s="13" t="s">
        <v>3151</v>
      </c>
      <c r="HC323" s="21" t="s">
        <v>3390</v>
      </c>
    </row>
    <row r="324" spans="6:211" ht="21" x14ac:dyDescent="0.25">
      <c r="F324" s="40" t="s">
        <v>259</v>
      </c>
      <c r="S324" s="20"/>
      <c r="AF324" s="21" t="s">
        <v>1746</v>
      </c>
      <c r="AT324" s="159">
        <v>5</v>
      </c>
      <c r="AU324" s="35" t="s">
        <v>707</v>
      </c>
      <c r="AV324" s="159" t="s">
        <v>237</v>
      </c>
      <c r="AW324" s="160" t="s">
        <v>806</v>
      </c>
      <c r="AX324" s="159" t="s">
        <v>1808</v>
      </c>
      <c r="AY324" s="159" t="s">
        <v>618</v>
      </c>
      <c r="AZ324" s="159" t="s">
        <v>1809</v>
      </c>
      <c r="BA324" s="159" t="s">
        <v>1810</v>
      </c>
      <c r="BB324" s="159" t="s">
        <v>1811</v>
      </c>
      <c r="BC324" s="159" t="s">
        <v>647</v>
      </c>
      <c r="BD324" s="159" t="s">
        <v>239</v>
      </c>
      <c r="BE324" s="161"/>
      <c r="BG324" s="21" t="s">
        <v>1577</v>
      </c>
      <c r="BT324" s="21" t="s">
        <v>2006</v>
      </c>
      <c r="CG324" s="21" t="s">
        <v>59</v>
      </c>
      <c r="CT324" s="20"/>
      <c r="DG324" s="21" t="s">
        <v>260</v>
      </c>
      <c r="DT324" s="21" t="s">
        <v>619</v>
      </c>
      <c r="EG324" s="21" t="s">
        <v>59</v>
      </c>
      <c r="ET324" s="21" t="s">
        <v>2510</v>
      </c>
      <c r="FG324" s="20"/>
      <c r="FT324" s="21" t="s">
        <v>1084</v>
      </c>
      <c r="GG324" s="21" t="s">
        <v>1432</v>
      </c>
      <c r="GT324" s="13" t="s">
        <v>3152</v>
      </c>
      <c r="HC324" s="21" t="s">
        <v>3389</v>
      </c>
    </row>
    <row r="325" spans="6:211" ht="15" customHeight="1" x14ac:dyDescent="0.25">
      <c r="F325" s="20"/>
      <c r="S325" s="21" t="s">
        <v>59</v>
      </c>
      <c r="AF325" s="21" t="s">
        <v>577</v>
      </c>
      <c r="AT325" s="159"/>
      <c r="AU325" s="35" t="s">
        <v>707</v>
      </c>
      <c r="AV325" s="159"/>
      <c r="AW325" s="160"/>
      <c r="AX325" s="159"/>
      <c r="AY325" s="159"/>
      <c r="AZ325" s="159"/>
      <c r="BA325" s="159"/>
      <c r="BB325" s="159"/>
      <c r="BC325" s="159"/>
      <c r="BD325" s="159"/>
      <c r="BE325" s="161"/>
      <c r="BG325" s="21" t="s">
        <v>617</v>
      </c>
      <c r="BT325" s="21" t="s">
        <v>899</v>
      </c>
      <c r="CG325" s="21" t="s">
        <v>2090</v>
      </c>
      <c r="CT325" s="21" t="s">
        <v>716</v>
      </c>
      <c r="DG325" s="21" t="s">
        <v>2009</v>
      </c>
      <c r="DT325" s="21" t="s">
        <v>57</v>
      </c>
      <c r="EG325" s="21" t="s">
        <v>2429</v>
      </c>
      <c r="ET325" s="21" t="s">
        <v>1370</v>
      </c>
      <c r="FG325" s="21" t="s">
        <v>59</v>
      </c>
      <c r="FT325" s="21" t="s">
        <v>2683</v>
      </c>
      <c r="GG325" s="38">
        <v>2.0959999999999999E-5</v>
      </c>
      <c r="GT325" s="13" t="s">
        <v>3153</v>
      </c>
      <c r="HC325" s="21" t="s">
        <v>3391</v>
      </c>
    </row>
    <row r="326" spans="6:211" ht="15" customHeight="1" x14ac:dyDescent="0.25">
      <c r="F326" s="21" t="s">
        <v>59</v>
      </c>
      <c r="S326" s="21" t="s">
        <v>1656</v>
      </c>
      <c r="AF326" s="21" t="s">
        <v>1747</v>
      </c>
      <c r="AT326" s="159">
        <v>6</v>
      </c>
      <c r="AU326" s="35" t="s">
        <v>805</v>
      </c>
      <c r="AV326" s="159" t="s">
        <v>237</v>
      </c>
      <c r="AW326" s="160" t="s">
        <v>806</v>
      </c>
      <c r="AX326" s="159" t="s">
        <v>1768</v>
      </c>
      <c r="AY326" s="159" t="s">
        <v>940</v>
      </c>
      <c r="AZ326" s="159" t="s">
        <v>1812</v>
      </c>
      <c r="BA326" s="159" t="s">
        <v>1813</v>
      </c>
      <c r="BB326" s="159" t="s">
        <v>1814</v>
      </c>
      <c r="BC326" s="159" t="s">
        <v>1815</v>
      </c>
      <c r="BD326" s="159" t="s">
        <v>239</v>
      </c>
      <c r="BE326" s="161"/>
      <c r="BG326" s="21" t="s">
        <v>1578</v>
      </c>
      <c r="BT326" s="21" t="s">
        <v>57</v>
      </c>
      <c r="CG326" s="21" t="s">
        <v>1372</v>
      </c>
      <c r="CT326" s="21" t="s">
        <v>716</v>
      </c>
      <c r="DG326" s="21" t="s">
        <v>638</v>
      </c>
      <c r="DT326" s="21" t="s">
        <v>2349</v>
      </c>
      <c r="EG326" s="21" t="s">
        <v>2430</v>
      </c>
      <c r="ET326" s="21" t="s">
        <v>1566</v>
      </c>
      <c r="FG326" s="21" t="s">
        <v>2594</v>
      </c>
      <c r="FT326" s="21" t="s">
        <v>1372</v>
      </c>
      <c r="GG326" s="21" t="s">
        <v>1433</v>
      </c>
      <c r="GT326" s="13" t="s">
        <v>3153</v>
      </c>
      <c r="HC326" s="21" t="s">
        <v>3392</v>
      </c>
    </row>
    <row r="327" spans="6:211" ht="15" customHeight="1" x14ac:dyDescent="0.25">
      <c r="F327" s="21" t="s">
        <v>1562</v>
      </c>
      <c r="S327" s="21" t="s">
        <v>1442</v>
      </c>
      <c r="AF327" s="24" t="s">
        <v>250</v>
      </c>
      <c r="AT327" s="159"/>
      <c r="AU327" s="35" t="s">
        <v>805</v>
      </c>
      <c r="AV327" s="159"/>
      <c r="AW327" s="160"/>
      <c r="AX327" s="159"/>
      <c r="AY327" s="159"/>
      <c r="AZ327" s="159"/>
      <c r="BA327" s="159"/>
      <c r="BB327" s="159"/>
      <c r="BC327" s="159"/>
      <c r="BD327" s="159"/>
      <c r="BE327" s="161"/>
      <c r="BG327" s="21" t="s">
        <v>1929</v>
      </c>
      <c r="BT327" s="21" t="s">
        <v>2007</v>
      </c>
      <c r="CG327" s="21" t="s">
        <v>1566</v>
      </c>
      <c r="CT327" s="21" t="s">
        <v>577</v>
      </c>
      <c r="DG327" s="21" t="s">
        <v>834</v>
      </c>
      <c r="DT327" s="21" t="s">
        <v>999</v>
      </c>
      <c r="EG327" s="21" t="s">
        <v>1566</v>
      </c>
      <c r="ET327" s="21" t="s">
        <v>2348</v>
      </c>
      <c r="FG327" s="21" t="s">
        <v>2430</v>
      </c>
      <c r="FT327" s="20"/>
      <c r="GG327" s="42">
        <v>1.165E-4</v>
      </c>
      <c r="GT327" s="13" t="s">
        <v>3154</v>
      </c>
      <c r="HC327" s="21" t="s">
        <v>3393</v>
      </c>
    </row>
    <row r="328" spans="6:211" ht="26.25" x14ac:dyDescent="0.25">
      <c r="F328" s="21" t="s">
        <v>1563</v>
      </c>
      <c r="S328" s="21" t="s">
        <v>1566</v>
      </c>
      <c r="AF328" s="20"/>
      <c r="AT328" s="159">
        <v>7</v>
      </c>
      <c r="AU328" s="35" t="s">
        <v>244</v>
      </c>
      <c r="AV328" s="159" t="s">
        <v>237</v>
      </c>
      <c r="AW328" s="160" t="s">
        <v>806</v>
      </c>
      <c r="AX328" s="159" t="s">
        <v>1768</v>
      </c>
      <c r="AY328" s="159" t="s">
        <v>618</v>
      </c>
      <c r="AZ328" s="159" t="s">
        <v>1816</v>
      </c>
      <c r="BA328" s="159" t="s">
        <v>1817</v>
      </c>
      <c r="BB328" s="159" t="s">
        <v>1818</v>
      </c>
      <c r="BC328" s="159" t="s">
        <v>1444</v>
      </c>
      <c r="BD328" s="159" t="s">
        <v>239</v>
      </c>
      <c r="BE328" s="161"/>
      <c r="BG328" s="21" t="s">
        <v>628</v>
      </c>
      <c r="BT328" s="21" t="s">
        <v>2008</v>
      </c>
      <c r="CG328" s="21" t="s">
        <v>2091</v>
      </c>
      <c r="CT328" s="21" t="s">
        <v>948</v>
      </c>
      <c r="DG328" s="21" t="s">
        <v>2270</v>
      </c>
      <c r="DT328" s="21" t="s">
        <v>260</v>
      </c>
      <c r="EG328" s="21" t="s">
        <v>2348</v>
      </c>
      <c r="ET328" s="21" t="s">
        <v>631</v>
      </c>
      <c r="FG328" s="21" t="s">
        <v>1566</v>
      </c>
      <c r="FT328" s="29" t="s">
        <v>2684</v>
      </c>
      <c r="GG328" s="20"/>
      <c r="GT328" s="11"/>
      <c r="HC328" s="21" t="s">
        <v>3394</v>
      </c>
    </row>
    <row r="329" spans="6:211" ht="26.25" x14ac:dyDescent="0.25">
      <c r="F329" s="21" t="s">
        <v>1566</v>
      </c>
      <c r="S329" s="21" t="s">
        <v>1662</v>
      </c>
      <c r="AF329" s="29" t="s">
        <v>718</v>
      </c>
      <c r="AT329" s="159"/>
      <c r="AU329" s="35" t="s">
        <v>244</v>
      </c>
      <c r="AV329" s="159"/>
      <c r="AW329" s="160"/>
      <c r="AX329" s="159"/>
      <c r="AY329" s="159"/>
      <c r="AZ329" s="159"/>
      <c r="BA329" s="159"/>
      <c r="BB329" s="159"/>
      <c r="BC329" s="159"/>
      <c r="BD329" s="159"/>
      <c r="BE329" s="161"/>
      <c r="BG329" s="20"/>
      <c r="BT329" s="21" t="s">
        <v>260</v>
      </c>
      <c r="CG329" s="21" t="s">
        <v>726</v>
      </c>
      <c r="CT329" s="21" t="s">
        <v>812</v>
      </c>
      <c r="DG329" s="21" t="s">
        <v>1132</v>
      </c>
      <c r="DT329" s="21" t="s">
        <v>2350</v>
      </c>
      <c r="EG329" s="21" t="s">
        <v>631</v>
      </c>
      <c r="ET329" s="21" t="s">
        <v>260</v>
      </c>
      <c r="FG329" s="21" t="s">
        <v>2004</v>
      </c>
      <c r="FT329" s="20"/>
      <c r="GG329" s="40" t="s">
        <v>255</v>
      </c>
      <c r="GT329" s="140" t="s">
        <v>3155</v>
      </c>
      <c r="HC329" s="21" t="s">
        <v>3393</v>
      </c>
    </row>
    <row r="330" spans="6:211" ht="15" customHeight="1" x14ac:dyDescent="0.25">
      <c r="F330" s="21" t="s">
        <v>1567</v>
      </c>
      <c r="S330" s="21" t="s">
        <v>725</v>
      </c>
      <c r="AF330" s="20"/>
      <c r="AT330" s="159">
        <v>8</v>
      </c>
      <c r="AU330" s="35" t="s">
        <v>55</v>
      </c>
      <c r="AV330" s="159" t="s">
        <v>237</v>
      </c>
      <c r="AW330" s="160" t="s">
        <v>806</v>
      </c>
      <c r="AX330" s="159" t="s">
        <v>1768</v>
      </c>
      <c r="AY330" s="159" t="s">
        <v>618</v>
      </c>
      <c r="AZ330" s="159" t="s">
        <v>1819</v>
      </c>
      <c r="BA330" s="159" t="s">
        <v>1820</v>
      </c>
      <c r="BB330" s="159" t="s">
        <v>1821</v>
      </c>
      <c r="BC330" s="159" t="s">
        <v>1822</v>
      </c>
      <c r="BD330" s="159" t="s">
        <v>239</v>
      </c>
      <c r="BE330" s="161"/>
      <c r="BG330" s="29" t="s">
        <v>1930</v>
      </c>
      <c r="BT330" s="21" t="s">
        <v>2009</v>
      </c>
      <c r="CG330" s="21" t="s">
        <v>260</v>
      </c>
      <c r="CT330" s="21" t="s">
        <v>812</v>
      </c>
      <c r="DG330" s="21" t="s">
        <v>58</v>
      </c>
      <c r="DT330" s="21" t="s">
        <v>638</v>
      </c>
      <c r="EG330" s="21" t="s">
        <v>260</v>
      </c>
      <c r="ET330" s="21" t="s">
        <v>2511</v>
      </c>
      <c r="FG330" s="21" t="s">
        <v>617</v>
      </c>
      <c r="FT330" s="24" t="s">
        <v>2685</v>
      </c>
      <c r="GG330" s="20"/>
      <c r="GT330" s="11"/>
      <c r="HC330" s="21" t="s">
        <v>3395</v>
      </c>
    </row>
    <row r="331" spans="6:211" ht="15" customHeight="1" x14ac:dyDescent="0.25">
      <c r="F331" s="21" t="s">
        <v>725</v>
      </c>
      <c r="S331" s="21" t="s">
        <v>260</v>
      </c>
      <c r="AF331" s="21" t="s">
        <v>719</v>
      </c>
      <c r="AT331" s="159"/>
      <c r="AU331" s="35" t="s">
        <v>55</v>
      </c>
      <c r="AV331" s="159"/>
      <c r="AW331" s="160"/>
      <c r="AX331" s="159"/>
      <c r="AY331" s="159"/>
      <c r="AZ331" s="159"/>
      <c r="BA331" s="159"/>
      <c r="BB331" s="159"/>
      <c r="BC331" s="159"/>
      <c r="BD331" s="159"/>
      <c r="BE331" s="161"/>
      <c r="BG331" s="20"/>
      <c r="BT331" s="21" t="s">
        <v>1132</v>
      </c>
      <c r="CG331" s="21" t="s">
        <v>2092</v>
      </c>
      <c r="CT331" s="21" t="s">
        <v>577</v>
      </c>
      <c r="DG331" s="21" t="s">
        <v>2271</v>
      </c>
      <c r="DT331" s="21" t="s">
        <v>834</v>
      </c>
      <c r="EG331" s="21" t="s">
        <v>2431</v>
      </c>
      <c r="ET331" s="21" t="s">
        <v>629</v>
      </c>
      <c r="FG331" s="21" t="s">
        <v>58</v>
      </c>
      <c r="FT331" s="24" t="s">
        <v>262</v>
      </c>
      <c r="GG331" s="21" t="s">
        <v>1434</v>
      </c>
      <c r="GT331" s="13" t="s">
        <v>3156</v>
      </c>
      <c r="HC331" s="21" t="s">
        <v>3396</v>
      </c>
    </row>
    <row r="332" spans="6:211" ht="15" customHeight="1" x14ac:dyDescent="0.25">
      <c r="F332" s="21" t="s">
        <v>260</v>
      </c>
      <c r="S332" s="21" t="s">
        <v>1663</v>
      </c>
      <c r="AF332" s="21" t="s">
        <v>1748</v>
      </c>
      <c r="AT332" s="159">
        <v>9</v>
      </c>
      <c r="AU332" s="35" t="s">
        <v>241</v>
      </c>
      <c r="AV332" s="159" t="s">
        <v>237</v>
      </c>
      <c r="AW332" s="160" t="s">
        <v>809</v>
      </c>
      <c r="AX332" s="159" t="s">
        <v>1790</v>
      </c>
      <c r="AY332" s="159" t="s">
        <v>238</v>
      </c>
      <c r="AZ332" s="159" t="s">
        <v>1823</v>
      </c>
      <c r="BA332" s="159" t="s">
        <v>1824</v>
      </c>
      <c r="BB332" s="159" t="s">
        <v>1825</v>
      </c>
      <c r="BC332" s="159" t="s">
        <v>1826</v>
      </c>
      <c r="BD332" s="159" t="s">
        <v>239</v>
      </c>
      <c r="BE332" s="161"/>
      <c r="BG332" s="24" t="s">
        <v>1931</v>
      </c>
      <c r="BT332" s="21" t="s">
        <v>633</v>
      </c>
      <c r="CG332" s="21" t="s">
        <v>1180</v>
      </c>
      <c r="CT332" s="21" t="s">
        <v>1124</v>
      </c>
      <c r="DG332" s="21" t="s">
        <v>961</v>
      </c>
      <c r="DT332" s="21" t="s">
        <v>2005</v>
      </c>
      <c r="EG332" s="21" t="s">
        <v>1132</v>
      </c>
      <c r="ET332" s="21" t="s">
        <v>834</v>
      </c>
      <c r="FG332" s="21" t="s">
        <v>2595</v>
      </c>
      <c r="FT332" s="24" t="s">
        <v>263</v>
      </c>
      <c r="GG332" s="21" t="s">
        <v>2760</v>
      </c>
      <c r="GT332" s="13" t="s">
        <v>3157</v>
      </c>
      <c r="HC332" s="21" t="s">
        <v>3397</v>
      </c>
    </row>
    <row r="333" spans="6:211" ht="15" customHeight="1" x14ac:dyDescent="0.25">
      <c r="F333" s="21" t="s">
        <v>1568</v>
      </c>
      <c r="S333" s="21" t="s">
        <v>1378</v>
      </c>
      <c r="AF333" s="21" t="s">
        <v>720</v>
      </c>
      <c r="AT333" s="159"/>
      <c r="AU333" s="35" t="s">
        <v>241</v>
      </c>
      <c r="AV333" s="159"/>
      <c r="AW333" s="160"/>
      <c r="AX333" s="159"/>
      <c r="AY333" s="159"/>
      <c r="AZ333" s="159"/>
      <c r="BA333" s="159"/>
      <c r="BB333" s="159"/>
      <c r="BC333" s="159"/>
      <c r="BD333" s="159"/>
      <c r="BE333" s="161"/>
      <c r="BG333" s="24" t="s">
        <v>262</v>
      </c>
      <c r="BT333" s="21" t="s">
        <v>2010</v>
      </c>
      <c r="CG333" s="21" t="s">
        <v>57</v>
      </c>
      <c r="CT333" s="21" t="s">
        <v>1072</v>
      </c>
      <c r="DG333" s="21" t="s">
        <v>633</v>
      </c>
      <c r="DT333" s="21" t="s">
        <v>1132</v>
      </c>
      <c r="EG333" s="21" t="s">
        <v>57</v>
      </c>
      <c r="ET333" s="21" t="s">
        <v>2512</v>
      </c>
      <c r="FG333" s="21" t="s">
        <v>899</v>
      </c>
      <c r="FT333" s="24" t="s">
        <v>174</v>
      </c>
      <c r="GG333" s="21" t="s">
        <v>1180</v>
      </c>
      <c r="GT333" s="13" t="s">
        <v>3158</v>
      </c>
      <c r="HC333" s="21" t="s">
        <v>3390</v>
      </c>
    </row>
    <row r="334" spans="6:211" ht="15" customHeight="1" x14ac:dyDescent="0.25">
      <c r="F334" s="21" t="s">
        <v>632</v>
      </c>
      <c r="S334" s="21" t="s">
        <v>57</v>
      </c>
      <c r="AF334" s="38">
        <v>126.92</v>
      </c>
      <c r="AT334" s="159">
        <v>10</v>
      </c>
      <c r="AU334" s="35" t="s">
        <v>575</v>
      </c>
      <c r="AV334" s="159" t="s">
        <v>237</v>
      </c>
      <c r="AW334" s="160" t="s">
        <v>809</v>
      </c>
      <c r="AX334" s="159" t="s">
        <v>1768</v>
      </c>
      <c r="AY334" s="159" t="s">
        <v>711</v>
      </c>
      <c r="AZ334" s="159" t="s">
        <v>1827</v>
      </c>
      <c r="BA334" s="159" t="s">
        <v>1828</v>
      </c>
      <c r="BB334" s="159" t="s">
        <v>1829</v>
      </c>
      <c r="BC334" s="159" t="s">
        <v>1068</v>
      </c>
      <c r="BD334" s="159" t="s">
        <v>239</v>
      </c>
      <c r="BE334" s="161"/>
      <c r="BG334" s="24" t="s">
        <v>263</v>
      </c>
      <c r="BT334" s="21" t="s">
        <v>1588</v>
      </c>
      <c r="CG334" s="21" t="s">
        <v>2093</v>
      </c>
      <c r="CT334" s="21" t="s">
        <v>1072</v>
      </c>
      <c r="DG334" s="21" t="s">
        <v>2010</v>
      </c>
      <c r="DT334" s="21" t="s">
        <v>58</v>
      </c>
      <c r="EG334" s="21" t="s">
        <v>2432</v>
      </c>
      <c r="ET334" s="21" t="s">
        <v>1378</v>
      </c>
      <c r="FG334" s="21" t="s">
        <v>260</v>
      </c>
      <c r="FT334" s="24" t="s">
        <v>264</v>
      </c>
      <c r="GG334" s="21" t="s">
        <v>1436</v>
      </c>
      <c r="GT334" s="13" t="s">
        <v>3159</v>
      </c>
      <c r="HC334" s="21" t="s">
        <v>3397</v>
      </c>
    </row>
    <row r="335" spans="6:211" ht="15" customHeight="1" x14ac:dyDescent="0.25">
      <c r="F335" s="21" t="s">
        <v>57</v>
      </c>
      <c r="S335" s="21" t="s">
        <v>1664</v>
      </c>
      <c r="AF335" s="21" t="s">
        <v>721</v>
      </c>
      <c r="AT335" s="159"/>
      <c r="AU335" s="35" t="s">
        <v>575</v>
      </c>
      <c r="AV335" s="159"/>
      <c r="AW335" s="160"/>
      <c r="AX335" s="159"/>
      <c r="AY335" s="159"/>
      <c r="AZ335" s="159"/>
      <c r="BA335" s="159"/>
      <c r="BB335" s="159"/>
      <c r="BC335" s="159"/>
      <c r="BD335" s="159"/>
      <c r="BE335" s="161"/>
      <c r="BG335" s="24" t="s">
        <v>174</v>
      </c>
      <c r="BT335" s="21" t="s">
        <v>1571</v>
      </c>
      <c r="CG335" s="21" t="s">
        <v>2094</v>
      </c>
      <c r="CT335" s="21" t="s">
        <v>717</v>
      </c>
      <c r="DG335" s="21" t="s">
        <v>836</v>
      </c>
      <c r="DT335" s="21" t="s">
        <v>2351</v>
      </c>
      <c r="EG335" s="21" t="s">
        <v>999</v>
      </c>
      <c r="ET335" s="21" t="s">
        <v>633</v>
      </c>
      <c r="FG335" s="21" t="s">
        <v>2596</v>
      </c>
      <c r="FT335" s="13" t="s">
        <v>89</v>
      </c>
      <c r="GG335" s="21" t="s">
        <v>2761</v>
      </c>
      <c r="GT335" s="13" t="s">
        <v>3160</v>
      </c>
      <c r="HC335" s="21" t="s">
        <v>3398</v>
      </c>
    </row>
    <row r="336" spans="6:211" x14ac:dyDescent="0.25">
      <c r="F336" s="21" t="s">
        <v>1569</v>
      </c>
      <c r="S336" s="21" t="s">
        <v>999</v>
      </c>
      <c r="AF336" s="42">
        <v>705.71</v>
      </c>
      <c r="AT336" s="24" t="s">
        <v>1830</v>
      </c>
      <c r="BG336" s="24" t="s">
        <v>264</v>
      </c>
      <c r="BT336" s="21" t="s">
        <v>2011</v>
      </c>
      <c r="CG336" s="21" t="s">
        <v>834</v>
      </c>
      <c r="CT336" s="21" t="s">
        <v>1124</v>
      </c>
      <c r="DG336" s="21" t="s">
        <v>832</v>
      </c>
      <c r="DT336" s="21" t="s">
        <v>961</v>
      </c>
      <c r="EG336" s="21" t="s">
        <v>834</v>
      </c>
      <c r="ET336" s="21" t="s">
        <v>2513</v>
      </c>
      <c r="FG336" s="21" t="s">
        <v>1321</v>
      </c>
      <c r="FT336" s="23" t="s">
        <v>265</v>
      </c>
      <c r="GG336" s="21" t="s">
        <v>628</v>
      </c>
      <c r="GT336" s="13" t="s">
        <v>3161</v>
      </c>
      <c r="HC336" s="21" t="s">
        <v>3399</v>
      </c>
    </row>
    <row r="337" spans="6:211" x14ac:dyDescent="0.25">
      <c r="F337" s="21" t="s">
        <v>1570</v>
      </c>
      <c r="S337" s="21" t="s">
        <v>58</v>
      </c>
      <c r="AF337" s="20"/>
      <c r="AT337" s="24" t="s">
        <v>1831</v>
      </c>
      <c r="BG337" s="13" t="s">
        <v>89</v>
      </c>
      <c r="BT337" s="21" t="s">
        <v>1445</v>
      </c>
      <c r="CG337" s="21" t="s">
        <v>2095</v>
      </c>
      <c r="CT337" s="21" t="s">
        <v>1073</v>
      </c>
      <c r="DG337" s="21" t="s">
        <v>2272</v>
      </c>
      <c r="DT337" s="21" t="s">
        <v>633</v>
      </c>
      <c r="EG337" s="21" t="s">
        <v>2433</v>
      </c>
      <c r="ET337" s="21" t="s">
        <v>2188</v>
      </c>
      <c r="FG337" s="21" t="s">
        <v>834</v>
      </c>
      <c r="FT337" s="23" t="s">
        <v>266</v>
      </c>
      <c r="GG337" s="21" t="s">
        <v>1437</v>
      </c>
      <c r="GT337" s="13" t="s">
        <v>3162</v>
      </c>
      <c r="HC337" s="24" t="s">
        <v>2896</v>
      </c>
    </row>
    <row r="338" spans="6:211" ht="21" x14ac:dyDescent="0.25">
      <c r="F338" s="21" t="s">
        <v>58</v>
      </c>
      <c r="S338" s="21" t="s">
        <v>1665</v>
      </c>
      <c r="AF338" s="40" t="s">
        <v>255</v>
      </c>
      <c r="AT338" s="24" t="s">
        <v>247</v>
      </c>
      <c r="BG338" s="23" t="s">
        <v>265</v>
      </c>
      <c r="BT338" s="21" t="s">
        <v>837</v>
      </c>
      <c r="CG338" s="21" t="s">
        <v>726</v>
      </c>
      <c r="CT338" s="21" t="s">
        <v>1073</v>
      </c>
      <c r="DG338" s="21" t="s">
        <v>1375</v>
      </c>
      <c r="DT338" s="21" t="s">
        <v>2352</v>
      </c>
      <c r="EG338" s="21" t="s">
        <v>726</v>
      </c>
      <c r="ET338" s="21" t="s">
        <v>57</v>
      </c>
      <c r="FG338" s="21" t="s">
        <v>2597</v>
      </c>
      <c r="FT338" s="13" t="s">
        <v>267</v>
      </c>
      <c r="GG338" s="21" t="s">
        <v>2762</v>
      </c>
      <c r="GT338" s="13" t="s">
        <v>3163</v>
      </c>
      <c r="HC338" s="20"/>
    </row>
    <row r="339" spans="6:211" ht="26.25" x14ac:dyDescent="0.25">
      <c r="F339" s="21" t="s">
        <v>1560</v>
      </c>
      <c r="S339" s="21" t="s">
        <v>961</v>
      </c>
      <c r="AF339" s="20"/>
      <c r="AT339" s="24">
        <v>10</v>
      </c>
      <c r="BG339" s="23" t="s">
        <v>266</v>
      </c>
      <c r="BT339" s="21" t="s">
        <v>1999</v>
      </c>
      <c r="CG339" s="21" t="s">
        <v>58</v>
      </c>
      <c r="CT339" s="21" t="s">
        <v>577</v>
      </c>
      <c r="DG339" s="21" t="s">
        <v>837</v>
      </c>
      <c r="DT339" s="21" t="s">
        <v>2353</v>
      </c>
      <c r="EG339" s="21" t="s">
        <v>633</v>
      </c>
      <c r="ET339" s="21" t="s">
        <v>2507</v>
      </c>
      <c r="FG339" s="21" t="s">
        <v>1658</v>
      </c>
      <c r="FT339" s="13" t="s">
        <v>268</v>
      </c>
      <c r="GG339" s="21" t="s">
        <v>539</v>
      </c>
      <c r="GT339" s="13" t="s">
        <v>3164</v>
      </c>
      <c r="HC339" s="29" t="s">
        <v>3400</v>
      </c>
    </row>
    <row r="340" spans="6:211" x14ac:dyDescent="0.25">
      <c r="F340" s="21" t="s">
        <v>961</v>
      </c>
      <c r="S340" s="21" t="s">
        <v>1571</v>
      </c>
      <c r="AF340" s="21" t="s">
        <v>722</v>
      </c>
      <c r="AT340" s="28">
        <v>10</v>
      </c>
      <c r="BG340" s="13" t="s">
        <v>267</v>
      </c>
      <c r="BT340" s="21" t="s">
        <v>631</v>
      </c>
      <c r="CG340" s="21" t="s">
        <v>2096</v>
      </c>
      <c r="CT340" s="21" t="s">
        <v>816</v>
      </c>
      <c r="DG340" s="21" t="s">
        <v>1999</v>
      </c>
      <c r="DT340" s="21" t="s">
        <v>832</v>
      </c>
      <c r="EG340" s="21" t="s">
        <v>2434</v>
      </c>
      <c r="ET340" s="21" t="s">
        <v>1570</v>
      </c>
      <c r="FG340" s="21" t="s">
        <v>57</v>
      </c>
      <c r="FT340" s="13" t="s">
        <v>269</v>
      </c>
      <c r="GG340" s="21" t="s">
        <v>1438</v>
      </c>
      <c r="GT340" s="13" t="s">
        <v>3165</v>
      </c>
      <c r="HC340" s="20"/>
    </row>
    <row r="341" spans="6:211" x14ac:dyDescent="0.25">
      <c r="F341" s="21" t="s">
        <v>1571</v>
      </c>
      <c r="S341" s="21" t="s">
        <v>1666</v>
      </c>
      <c r="AF341" s="21" t="s">
        <v>1749</v>
      </c>
      <c r="AT341" s="28">
        <v>50</v>
      </c>
      <c r="BG341" s="13" t="s">
        <v>268</v>
      </c>
      <c r="BT341" s="21" t="s">
        <v>2012</v>
      </c>
      <c r="CG341" s="21" t="s">
        <v>899</v>
      </c>
      <c r="CT341" s="24" t="s">
        <v>250</v>
      </c>
      <c r="DG341" s="21" t="s">
        <v>619</v>
      </c>
      <c r="DT341" s="21" t="s">
        <v>2272</v>
      </c>
      <c r="EG341" s="21" t="s">
        <v>2098</v>
      </c>
      <c r="ET341" s="21" t="s">
        <v>58</v>
      </c>
      <c r="FG341" s="21" t="s">
        <v>2598</v>
      </c>
      <c r="FT341" s="13" t="s">
        <v>270</v>
      </c>
      <c r="GG341" s="21" t="s">
        <v>2763</v>
      </c>
      <c r="GT341" s="13" t="s">
        <v>3166</v>
      </c>
      <c r="HC341" s="21" t="s">
        <v>3401</v>
      </c>
    </row>
    <row r="342" spans="6:211" x14ac:dyDescent="0.25">
      <c r="F342" s="21" t="s">
        <v>1572</v>
      </c>
      <c r="S342" s="21" t="s">
        <v>1463</v>
      </c>
      <c r="AF342" s="21" t="s">
        <v>628</v>
      </c>
      <c r="AT342" s="28">
        <v>100</v>
      </c>
      <c r="BG342" s="13" t="s">
        <v>269</v>
      </c>
      <c r="BT342" s="21" t="s">
        <v>2013</v>
      </c>
      <c r="CG342" s="21" t="s">
        <v>633</v>
      </c>
      <c r="CT342" s="20"/>
      <c r="DG342" s="21" t="s">
        <v>1571</v>
      </c>
      <c r="DT342" s="21" t="s">
        <v>2024</v>
      </c>
      <c r="EG342" s="21" t="s">
        <v>1571</v>
      </c>
      <c r="ET342" s="21" t="s">
        <v>1845</v>
      </c>
      <c r="FG342" s="21" t="s">
        <v>999</v>
      </c>
      <c r="FT342" s="23" t="s">
        <v>271</v>
      </c>
      <c r="GG342" s="21" t="s">
        <v>617</v>
      </c>
      <c r="GT342" s="13" t="s">
        <v>3167</v>
      </c>
      <c r="HC342" s="21" t="s">
        <v>3402</v>
      </c>
    </row>
    <row r="343" spans="6:211" ht="26.25" x14ac:dyDescent="0.25">
      <c r="F343" s="21" t="s">
        <v>1009</v>
      </c>
      <c r="S343" s="21" t="s">
        <v>633</v>
      </c>
      <c r="AF343" s="21" t="s">
        <v>723</v>
      </c>
      <c r="AT343" s="20"/>
      <c r="BG343" s="13" t="s">
        <v>270</v>
      </c>
      <c r="BT343" s="21" t="s">
        <v>900</v>
      </c>
      <c r="CG343" s="21" t="s">
        <v>2097</v>
      </c>
      <c r="CT343" s="29" t="s">
        <v>1075</v>
      </c>
      <c r="DG343" s="21" t="s">
        <v>2011</v>
      </c>
      <c r="DT343" s="21" t="s">
        <v>837</v>
      </c>
      <c r="EG343" s="21" t="s">
        <v>2435</v>
      </c>
      <c r="ET343" s="21" t="s">
        <v>961</v>
      </c>
      <c r="FG343" s="21" t="s">
        <v>633</v>
      </c>
      <c r="FT343" s="23" t="s">
        <v>57</v>
      </c>
      <c r="GG343" s="21" t="s">
        <v>1439</v>
      </c>
      <c r="GT343" s="13" t="s">
        <v>3168</v>
      </c>
      <c r="HC343" s="21" t="s">
        <v>3403</v>
      </c>
    </row>
    <row r="344" spans="6:211" ht="26.25" x14ac:dyDescent="0.25">
      <c r="F344" s="21" t="s">
        <v>633</v>
      </c>
      <c r="S344" s="21" t="s">
        <v>1667</v>
      </c>
      <c r="AF344" s="21" t="s">
        <v>821</v>
      </c>
      <c r="AT344" s="29" t="s">
        <v>811</v>
      </c>
      <c r="BG344" s="23" t="s">
        <v>271</v>
      </c>
      <c r="BT344" s="20"/>
      <c r="CG344" s="21" t="s">
        <v>2098</v>
      </c>
      <c r="CT344" s="20"/>
      <c r="DG344" s="21" t="s">
        <v>1445</v>
      </c>
      <c r="DT344" s="21" t="s">
        <v>1999</v>
      </c>
      <c r="EG344" s="21" t="s">
        <v>1239</v>
      </c>
      <c r="ET344" s="21" t="s">
        <v>1571</v>
      </c>
      <c r="FG344" s="21" t="s">
        <v>2599</v>
      </c>
      <c r="FT344" s="41" t="s">
        <v>272</v>
      </c>
      <c r="GG344" s="21" t="s">
        <v>2764</v>
      </c>
      <c r="GT344" s="13" t="s">
        <v>3169</v>
      </c>
      <c r="HC344" s="21" t="s">
        <v>3404</v>
      </c>
    </row>
    <row r="345" spans="6:211" ht="26.25" x14ac:dyDescent="0.25">
      <c r="F345" s="21" t="s">
        <v>1573</v>
      </c>
      <c r="S345" s="21" t="s">
        <v>1002</v>
      </c>
      <c r="AF345" s="21" t="s">
        <v>628</v>
      </c>
      <c r="AT345" s="20"/>
      <c r="BG345" s="23" t="s">
        <v>57</v>
      </c>
      <c r="BT345" s="29" t="s">
        <v>2014</v>
      </c>
      <c r="CG345" s="21" t="s">
        <v>2012</v>
      </c>
      <c r="CT345" s="21" t="s">
        <v>1076</v>
      </c>
      <c r="DG345" s="20"/>
      <c r="DT345" s="21" t="s">
        <v>619</v>
      </c>
      <c r="EG345" s="21" t="s">
        <v>58</v>
      </c>
      <c r="ET345" s="21" t="s">
        <v>2514</v>
      </c>
      <c r="FG345" s="21" t="s">
        <v>1822</v>
      </c>
      <c r="FT345" s="23" t="s">
        <v>58</v>
      </c>
      <c r="GG345" s="21" t="s">
        <v>632</v>
      </c>
      <c r="GT345" s="13" t="s">
        <v>3170</v>
      </c>
      <c r="HC345" s="21" t="s">
        <v>3405</v>
      </c>
    </row>
    <row r="346" spans="6:211" ht="26.25" x14ac:dyDescent="0.25">
      <c r="F346" s="21" t="s">
        <v>1574</v>
      </c>
      <c r="S346" s="21" t="s">
        <v>834</v>
      </c>
      <c r="AF346" s="21" t="s">
        <v>724</v>
      </c>
      <c r="AT346" s="21" t="s">
        <v>1832</v>
      </c>
      <c r="BG346" s="41" t="s">
        <v>272</v>
      </c>
      <c r="BT346" s="20"/>
      <c r="CG346" s="21" t="s">
        <v>2099</v>
      </c>
      <c r="CT346" s="21" t="s">
        <v>2176</v>
      </c>
      <c r="DG346" s="29" t="s">
        <v>2273</v>
      </c>
      <c r="DT346" s="21" t="s">
        <v>1571</v>
      </c>
      <c r="EG346" s="21" t="s">
        <v>2436</v>
      </c>
      <c r="ET346" s="21" t="s">
        <v>1452</v>
      </c>
      <c r="FG346" s="21" t="s">
        <v>832</v>
      </c>
      <c r="FT346" s="41" t="s">
        <v>273</v>
      </c>
      <c r="GG346" s="20"/>
      <c r="GT346" s="13" t="s">
        <v>3171</v>
      </c>
      <c r="HC346" s="21" t="s">
        <v>3406</v>
      </c>
    </row>
    <row r="347" spans="6:211" ht="21" x14ac:dyDescent="0.25">
      <c r="F347" s="21" t="s">
        <v>834</v>
      </c>
      <c r="S347" s="21" t="s">
        <v>1668</v>
      </c>
      <c r="AF347" s="21" t="s">
        <v>1750</v>
      </c>
      <c r="AT347" s="21" t="s">
        <v>1832</v>
      </c>
      <c r="BG347" s="23" t="s">
        <v>58</v>
      </c>
      <c r="BT347" s="24" t="s">
        <v>2015</v>
      </c>
      <c r="CG347" s="21" t="s">
        <v>632</v>
      </c>
      <c r="CT347" s="21" t="s">
        <v>1077</v>
      </c>
      <c r="DG347" s="20"/>
      <c r="DT347" s="21" t="s">
        <v>2354</v>
      </c>
      <c r="EG347" s="21" t="s">
        <v>1321</v>
      </c>
      <c r="ET347" s="21" t="s">
        <v>623</v>
      </c>
      <c r="FG347" s="21" t="s">
        <v>2272</v>
      </c>
      <c r="FT347" s="23" t="s">
        <v>63</v>
      </c>
      <c r="GG347" s="40" t="s">
        <v>259</v>
      </c>
      <c r="GT347" s="13" t="s">
        <v>3172</v>
      </c>
      <c r="HC347" s="21" t="s">
        <v>3407</v>
      </c>
    </row>
    <row r="348" spans="6:211" x14ac:dyDescent="0.25">
      <c r="F348" s="21" t="s">
        <v>1575</v>
      </c>
      <c r="S348" s="21" t="s">
        <v>1180</v>
      </c>
      <c r="AF348" s="21" t="s">
        <v>619</v>
      </c>
      <c r="AT348" s="21" t="s">
        <v>577</v>
      </c>
      <c r="BG348" s="41" t="s">
        <v>273</v>
      </c>
      <c r="BT348" s="24" t="s">
        <v>262</v>
      </c>
      <c r="CG348" s="21" t="s">
        <v>1571</v>
      </c>
      <c r="CT348" s="38">
        <v>0.66620000000000001</v>
      </c>
      <c r="DG348" s="24" t="s">
        <v>2274</v>
      </c>
      <c r="DT348" s="21" t="s">
        <v>1440</v>
      </c>
      <c r="EG348" s="21" t="s">
        <v>1578</v>
      </c>
      <c r="ET348" s="21" t="s">
        <v>1847</v>
      </c>
      <c r="FG348" s="21" t="s">
        <v>2024</v>
      </c>
      <c r="FT348" s="13" t="s">
        <v>274</v>
      </c>
      <c r="GG348" s="20"/>
      <c r="GT348" s="13" t="s">
        <v>3173</v>
      </c>
      <c r="HC348" s="21" t="s">
        <v>3408</v>
      </c>
    </row>
    <row r="349" spans="6:211" x14ac:dyDescent="0.25">
      <c r="F349" s="21" t="s">
        <v>1180</v>
      </c>
      <c r="S349" s="21" t="s">
        <v>1576</v>
      </c>
      <c r="AF349" s="21" t="s">
        <v>68</v>
      </c>
      <c r="AT349" s="21" t="s">
        <v>1558</v>
      </c>
      <c r="BG349" s="23" t="s">
        <v>63</v>
      </c>
      <c r="BT349" s="24" t="s">
        <v>263</v>
      </c>
      <c r="CG349" s="21" t="s">
        <v>2100</v>
      </c>
      <c r="CT349" s="21" t="s">
        <v>1078</v>
      </c>
      <c r="DG349" s="24" t="s">
        <v>262</v>
      </c>
      <c r="DT349" s="20"/>
      <c r="EG349" s="21" t="s">
        <v>2437</v>
      </c>
      <c r="ET349" s="21" t="s">
        <v>619</v>
      </c>
      <c r="FG349" s="21" t="s">
        <v>2012</v>
      </c>
      <c r="FT349" s="13" t="s">
        <v>275</v>
      </c>
      <c r="GG349" s="21" t="s">
        <v>59</v>
      </c>
      <c r="GT349" s="13" t="s">
        <v>3174</v>
      </c>
      <c r="HC349" s="21" t="s">
        <v>3409</v>
      </c>
    </row>
    <row r="350" spans="6:211" ht="26.25" x14ac:dyDescent="0.25">
      <c r="F350" s="21" t="s">
        <v>1576</v>
      </c>
      <c r="S350" s="21" t="s">
        <v>1577</v>
      </c>
      <c r="AF350" s="21" t="s">
        <v>1751</v>
      </c>
      <c r="AT350" s="21" t="s">
        <v>812</v>
      </c>
      <c r="BG350" s="13" t="s">
        <v>274</v>
      </c>
      <c r="BT350" s="24" t="s">
        <v>174</v>
      </c>
      <c r="CG350" s="21" t="s">
        <v>2008</v>
      </c>
      <c r="CT350" s="42">
        <v>3.7</v>
      </c>
      <c r="DG350" s="24" t="s">
        <v>263</v>
      </c>
      <c r="DT350" s="29" t="s">
        <v>2355</v>
      </c>
      <c r="EG350" s="21" t="s">
        <v>639</v>
      </c>
      <c r="ET350" s="21" t="s">
        <v>1848</v>
      </c>
      <c r="FG350" s="21" t="s">
        <v>2600</v>
      </c>
      <c r="FT350" s="13" t="s">
        <v>276</v>
      </c>
      <c r="GG350" s="21" t="s">
        <v>2765</v>
      </c>
      <c r="GT350" s="13" t="s">
        <v>3175</v>
      </c>
      <c r="HC350" s="21" t="s">
        <v>3410</v>
      </c>
    </row>
    <row r="351" spans="6:211" x14ac:dyDescent="0.25">
      <c r="F351" s="21" t="s">
        <v>1577</v>
      </c>
      <c r="S351" s="21" t="s">
        <v>622</v>
      </c>
      <c r="AF351" s="21" t="s">
        <v>1183</v>
      </c>
      <c r="AT351" s="21" t="s">
        <v>812</v>
      </c>
      <c r="BG351" s="13" t="s">
        <v>275</v>
      </c>
      <c r="BT351" s="24" t="s">
        <v>264</v>
      </c>
      <c r="CG351" s="21" t="s">
        <v>1578</v>
      </c>
      <c r="CT351" s="20"/>
      <c r="DG351" s="24" t="s">
        <v>174</v>
      </c>
      <c r="DT351" s="20"/>
      <c r="EG351" s="21" t="s">
        <v>583</v>
      </c>
      <c r="ET351" s="21" t="s">
        <v>1849</v>
      </c>
      <c r="FG351" s="21" t="s">
        <v>632</v>
      </c>
      <c r="FT351" s="13" t="s">
        <v>277</v>
      </c>
      <c r="GG351" s="21" t="s">
        <v>1370</v>
      </c>
      <c r="GT351" s="13" t="s">
        <v>3176</v>
      </c>
      <c r="HC351" s="21" t="s">
        <v>3411</v>
      </c>
    </row>
    <row r="352" spans="6:211" ht="21" x14ac:dyDescent="0.25">
      <c r="F352" s="21" t="s">
        <v>622</v>
      </c>
      <c r="S352" s="21" t="s">
        <v>1578</v>
      </c>
      <c r="AF352" s="21" t="s">
        <v>261</v>
      </c>
      <c r="AT352" s="21" t="s">
        <v>577</v>
      </c>
      <c r="BG352" s="13" t="s">
        <v>276</v>
      </c>
      <c r="BT352" s="13" t="s">
        <v>89</v>
      </c>
      <c r="CG352" s="21" t="s">
        <v>2101</v>
      </c>
      <c r="CT352" s="40" t="s">
        <v>255</v>
      </c>
      <c r="DG352" s="24" t="s">
        <v>264</v>
      </c>
      <c r="DT352" s="24" t="s">
        <v>2356</v>
      </c>
      <c r="EG352" s="21" t="s">
        <v>2438</v>
      </c>
      <c r="ET352" s="21" t="s">
        <v>727</v>
      </c>
      <c r="FG352" s="21" t="s">
        <v>2601</v>
      </c>
      <c r="FT352" s="13" t="s">
        <v>278</v>
      </c>
      <c r="GG352" s="21" t="s">
        <v>1566</v>
      </c>
      <c r="GT352" s="13" t="s">
        <v>3177</v>
      </c>
      <c r="HC352" s="21" t="s">
        <v>3412</v>
      </c>
    </row>
    <row r="353" spans="6:211" x14ac:dyDescent="0.25">
      <c r="F353" s="21" t="s">
        <v>1578</v>
      </c>
      <c r="S353" s="21" t="s">
        <v>1669</v>
      </c>
      <c r="AF353" s="21" t="s">
        <v>1752</v>
      </c>
      <c r="AT353" s="21" t="s">
        <v>1124</v>
      </c>
      <c r="BG353" s="13" t="s">
        <v>277</v>
      </c>
      <c r="BT353" s="23" t="s">
        <v>265</v>
      </c>
      <c r="CG353" s="21" t="s">
        <v>622</v>
      </c>
      <c r="CT353" s="20"/>
      <c r="DG353" s="13" t="s">
        <v>89</v>
      </c>
      <c r="DT353" s="24" t="s">
        <v>262</v>
      </c>
      <c r="EG353" s="21" t="s">
        <v>899</v>
      </c>
      <c r="ET353" s="20"/>
      <c r="FG353" s="21" t="s">
        <v>2602</v>
      </c>
      <c r="FT353" s="13" t="s">
        <v>279</v>
      </c>
      <c r="GG353" s="21" t="s">
        <v>2348</v>
      </c>
      <c r="GT353" s="13" t="s">
        <v>3178</v>
      </c>
      <c r="HC353" s="20"/>
    </row>
    <row r="354" spans="6:211" ht="26.25" x14ac:dyDescent="0.25">
      <c r="F354" s="21" t="s">
        <v>1579</v>
      </c>
      <c r="S354" s="21" t="s">
        <v>539</v>
      </c>
      <c r="AF354" s="21" t="s">
        <v>1563</v>
      </c>
      <c r="AT354" s="21" t="s">
        <v>813</v>
      </c>
      <c r="BG354" s="13" t="s">
        <v>278</v>
      </c>
      <c r="BT354" s="23" t="s">
        <v>266</v>
      </c>
      <c r="CG354" s="20"/>
      <c r="CT354" s="21" t="s">
        <v>1079</v>
      </c>
      <c r="DG354" s="23" t="s">
        <v>265</v>
      </c>
      <c r="DT354" s="24" t="s">
        <v>263</v>
      </c>
      <c r="EG354" s="20"/>
      <c r="ET354" s="29" t="s">
        <v>2515</v>
      </c>
      <c r="FG354" s="21" t="s">
        <v>631</v>
      </c>
      <c r="FT354" s="23" t="s">
        <v>280</v>
      </c>
      <c r="GG354" s="21" t="s">
        <v>1184</v>
      </c>
      <c r="GT354" s="13" t="s">
        <v>3178</v>
      </c>
      <c r="HC354" s="40" t="s">
        <v>2897</v>
      </c>
    </row>
    <row r="355" spans="6:211" ht="26.25" x14ac:dyDescent="0.25">
      <c r="F355" s="21" t="s">
        <v>639</v>
      </c>
      <c r="S355" s="20"/>
      <c r="AF355" s="20"/>
      <c r="AT355" s="21" t="s">
        <v>813</v>
      </c>
      <c r="BG355" s="13" t="s">
        <v>279</v>
      </c>
      <c r="BT355" s="13" t="s">
        <v>267</v>
      </c>
      <c r="CG355" s="29" t="s">
        <v>2102</v>
      </c>
      <c r="CT355" s="21" t="s">
        <v>2177</v>
      </c>
      <c r="DG355" s="23" t="s">
        <v>266</v>
      </c>
      <c r="DT355" s="24" t="s">
        <v>174</v>
      </c>
      <c r="EG355" s="29" t="s">
        <v>2439</v>
      </c>
      <c r="ET355" s="20"/>
      <c r="FG355" s="20"/>
      <c r="FT355" s="13" t="s">
        <v>61</v>
      </c>
      <c r="GG355" s="21" t="s">
        <v>260</v>
      </c>
      <c r="GT355" s="13" t="s">
        <v>3179</v>
      </c>
      <c r="HC355" s="20"/>
    </row>
    <row r="356" spans="6:211" ht="26.25" x14ac:dyDescent="0.25">
      <c r="F356" s="20"/>
      <c r="S356" s="29" t="s">
        <v>1670</v>
      </c>
      <c r="AF356" s="40" t="s">
        <v>259</v>
      </c>
      <c r="AT356" s="21" t="s">
        <v>717</v>
      </c>
      <c r="BG356" s="23" t="s">
        <v>280</v>
      </c>
      <c r="BT356" s="13" t="s">
        <v>268</v>
      </c>
      <c r="CG356" s="20"/>
      <c r="CT356" s="21" t="s">
        <v>900</v>
      </c>
      <c r="DG356" s="13" t="s">
        <v>267</v>
      </c>
      <c r="DT356" s="24" t="s">
        <v>264</v>
      </c>
      <c r="EG356" s="20"/>
      <c r="ET356" s="24" t="s">
        <v>2516</v>
      </c>
      <c r="FG356" s="29" t="s">
        <v>2603</v>
      </c>
      <c r="FT356" s="13" t="s">
        <v>281</v>
      </c>
      <c r="GG356" s="21" t="s">
        <v>2511</v>
      </c>
      <c r="GT356" s="13" t="s">
        <v>3180</v>
      </c>
      <c r="HC356" s="21" t="s">
        <v>3413</v>
      </c>
    </row>
    <row r="357" spans="6:211" ht="26.25" x14ac:dyDescent="0.25">
      <c r="F357" s="29" t="s">
        <v>1580</v>
      </c>
      <c r="S357" s="20"/>
      <c r="AF357" s="20"/>
      <c r="AT357" s="21" t="s">
        <v>1124</v>
      </c>
      <c r="BG357" s="13" t="s">
        <v>61</v>
      </c>
      <c r="BT357" s="13" t="s">
        <v>269</v>
      </c>
      <c r="CG357" s="24" t="s">
        <v>2103</v>
      </c>
      <c r="CT357" s="21" t="s">
        <v>823</v>
      </c>
      <c r="DG357" s="13" t="s">
        <v>268</v>
      </c>
      <c r="DT357" s="13" t="s">
        <v>89</v>
      </c>
      <c r="EG357" s="24" t="s">
        <v>2440</v>
      </c>
      <c r="ET357" s="24" t="s">
        <v>262</v>
      </c>
      <c r="FG357" s="20"/>
      <c r="FT357" s="13" t="s">
        <v>282</v>
      </c>
      <c r="GG357" s="21" t="s">
        <v>629</v>
      </c>
      <c r="GT357" s="13" t="s">
        <v>3181</v>
      </c>
      <c r="HC357" s="21" t="s">
        <v>3414</v>
      </c>
    </row>
    <row r="358" spans="6:211" x14ac:dyDescent="0.25">
      <c r="F358" s="20"/>
      <c r="S358" s="24" t="s">
        <v>1671</v>
      </c>
      <c r="AF358" s="21" t="s">
        <v>59</v>
      </c>
      <c r="AT358" s="21" t="s">
        <v>815</v>
      </c>
      <c r="BG358" s="13" t="s">
        <v>281</v>
      </c>
      <c r="BT358" s="13" t="s">
        <v>270</v>
      </c>
      <c r="CG358" s="24" t="s">
        <v>262</v>
      </c>
      <c r="CT358" s="21" t="s">
        <v>2178</v>
      </c>
      <c r="DG358" s="13" t="s">
        <v>269</v>
      </c>
      <c r="DT358" s="23" t="s">
        <v>265</v>
      </c>
      <c r="EG358" s="24" t="s">
        <v>262</v>
      </c>
      <c r="ET358" s="24" t="s">
        <v>263</v>
      </c>
      <c r="FG358" s="24" t="s">
        <v>2604</v>
      </c>
      <c r="FT358" s="13" t="s">
        <v>283</v>
      </c>
      <c r="GG358" s="21" t="s">
        <v>57</v>
      </c>
      <c r="GT358" s="13" t="s">
        <v>3182</v>
      </c>
      <c r="HC358" s="21" t="s">
        <v>627</v>
      </c>
    </row>
    <row r="359" spans="6:211" x14ac:dyDescent="0.25">
      <c r="F359" s="24" t="s">
        <v>1581</v>
      </c>
      <c r="S359" s="24" t="s">
        <v>262</v>
      </c>
      <c r="AF359" s="21" t="s">
        <v>1753</v>
      </c>
      <c r="AT359" s="21" t="s">
        <v>815</v>
      </c>
      <c r="BG359" s="13" t="s">
        <v>282</v>
      </c>
      <c r="BT359" s="23" t="s">
        <v>271</v>
      </c>
      <c r="CG359" s="24" t="s">
        <v>263</v>
      </c>
      <c r="CT359" s="21" t="s">
        <v>627</v>
      </c>
      <c r="DG359" s="13" t="s">
        <v>270</v>
      </c>
      <c r="DT359" s="23" t="s">
        <v>266</v>
      </c>
      <c r="EG359" s="24" t="s">
        <v>263</v>
      </c>
      <c r="ET359" s="24" t="s">
        <v>174</v>
      </c>
      <c r="FG359" s="24" t="s">
        <v>262</v>
      </c>
      <c r="FT359" s="13" t="s">
        <v>284</v>
      </c>
      <c r="GG359" s="21" t="s">
        <v>2766</v>
      </c>
      <c r="GT359" s="13" t="s">
        <v>3183</v>
      </c>
      <c r="HC359" s="21" t="s">
        <v>3415</v>
      </c>
    </row>
    <row r="360" spans="6:211" x14ac:dyDescent="0.25">
      <c r="F360" s="24" t="s">
        <v>262</v>
      </c>
      <c r="S360" s="24" t="s">
        <v>263</v>
      </c>
      <c r="AF360" s="21" t="s">
        <v>1570</v>
      </c>
      <c r="AT360" s="21" t="s">
        <v>649</v>
      </c>
      <c r="BG360" s="13" t="s">
        <v>283</v>
      </c>
      <c r="BT360" s="23" t="s">
        <v>57</v>
      </c>
      <c r="CG360" s="24" t="s">
        <v>174</v>
      </c>
      <c r="CT360" s="21" t="s">
        <v>1080</v>
      </c>
      <c r="DG360" s="23" t="s">
        <v>271</v>
      </c>
      <c r="DT360" s="13" t="s">
        <v>267</v>
      </c>
      <c r="EG360" s="24" t="s">
        <v>174</v>
      </c>
      <c r="ET360" s="24" t="s">
        <v>264</v>
      </c>
      <c r="FG360" s="24" t="s">
        <v>263</v>
      </c>
      <c r="FT360" s="13" t="s">
        <v>62</v>
      </c>
      <c r="GG360" s="21" t="s">
        <v>1570</v>
      </c>
      <c r="GT360" s="13" t="s">
        <v>3184</v>
      </c>
      <c r="HC360" s="21" t="s">
        <v>3416</v>
      </c>
    </row>
    <row r="361" spans="6:211" x14ac:dyDescent="0.25">
      <c r="F361" s="24" t="s">
        <v>263</v>
      </c>
      <c r="S361" s="24" t="s">
        <v>174</v>
      </c>
      <c r="AF361" s="21" t="s">
        <v>1566</v>
      </c>
      <c r="AT361" s="21" t="s">
        <v>1124</v>
      </c>
      <c r="BG361" s="13" t="s">
        <v>284</v>
      </c>
      <c r="BT361" s="41" t="s">
        <v>272</v>
      </c>
      <c r="CG361" s="24" t="s">
        <v>264</v>
      </c>
      <c r="CT361" s="21" t="s">
        <v>2179</v>
      </c>
      <c r="DG361" s="23" t="s">
        <v>57</v>
      </c>
      <c r="DT361" s="13" t="s">
        <v>268</v>
      </c>
      <c r="EG361" s="24" t="s">
        <v>264</v>
      </c>
      <c r="ET361" s="13" t="s">
        <v>89</v>
      </c>
      <c r="FG361" s="24" t="s">
        <v>174</v>
      </c>
      <c r="FT361" s="13" t="s">
        <v>285</v>
      </c>
      <c r="GG361" s="21" t="s">
        <v>834</v>
      </c>
      <c r="GT361" s="13" t="s">
        <v>3185</v>
      </c>
      <c r="HC361" s="21" t="s">
        <v>1452</v>
      </c>
    </row>
    <row r="362" spans="6:211" x14ac:dyDescent="0.25">
      <c r="F362" s="24" t="s">
        <v>174</v>
      </c>
      <c r="S362" s="24" t="s">
        <v>264</v>
      </c>
      <c r="AF362" s="21" t="s">
        <v>1754</v>
      </c>
      <c r="AT362" s="24" t="s">
        <v>250</v>
      </c>
      <c r="BG362" s="13" t="s">
        <v>62</v>
      </c>
      <c r="BT362" s="23" t="s">
        <v>58</v>
      </c>
      <c r="CG362" s="13" t="s">
        <v>89</v>
      </c>
      <c r="CT362" s="21" t="s">
        <v>708</v>
      </c>
      <c r="DG362" s="41" t="s">
        <v>272</v>
      </c>
      <c r="DT362" s="13" t="s">
        <v>269</v>
      </c>
      <c r="EG362" s="13" t="s">
        <v>89</v>
      </c>
      <c r="ET362" s="23" t="s">
        <v>265</v>
      </c>
      <c r="FG362" s="24" t="s">
        <v>264</v>
      </c>
      <c r="FT362" s="13" t="s">
        <v>286</v>
      </c>
      <c r="GG362" s="21" t="s">
        <v>2767</v>
      </c>
      <c r="GT362" s="13" t="s">
        <v>57</v>
      </c>
      <c r="HC362" s="21" t="s">
        <v>3417</v>
      </c>
    </row>
    <row r="363" spans="6:211" x14ac:dyDescent="0.25">
      <c r="F363" s="24" t="s">
        <v>264</v>
      </c>
      <c r="S363" s="13" t="s">
        <v>89</v>
      </c>
      <c r="AF363" s="21" t="s">
        <v>638</v>
      </c>
      <c r="AT363" s="20"/>
      <c r="BG363" s="13" t="s">
        <v>285</v>
      </c>
      <c r="BT363" s="41" t="s">
        <v>273</v>
      </c>
      <c r="CG363" s="23" t="s">
        <v>265</v>
      </c>
      <c r="CT363" s="21" t="s">
        <v>1081</v>
      </c>
      <c r="DG363" s="23" t="s">
        <v>58</v>
      </c>
      <c r="DT363" s="13" t="s">
        <v>270</v>
      </c>
      <c r="EG363" s="23" t="s">
        <v>265</v>
      </c>
      <c r="ET363" s="23" t="s">
        <v>266</v>
      </c>
      <c r="FG363" s="13" t="s">
        <v>89</v>
      </c>
      <c r="FT363" s="13" t="s">
        <v>287</v>
      </c>
      <c r="GG363" s="21" t="s">
        <v>1378</v>
      </c>
      <c r="GT363" s="13" t="s">
        <v>9</v>
      </c>
      <c r="HC363" s="21" t="s">
        <v>3418</v>
      </c>
    </row>
    <row r="364" spans="6:211" ht="26.25" x14ac:dyDescent="0.25">
      <c r="F364" s="13" t="s">
        <v>89</v>
      </c>
      <c r="S364" s="23" t="s">
        <v>265</v>
      </c>
      <c r="AF364" s="21" t="s">
        <v>260</v>
      </c>
      <c r="AT364" s="29" t="s">
        <v>817</v>
      </c>
      <c r="BG364" s="13" t="s">
        <v>286</v>
      </c>
      <c r="BT364" s="23" t="s">
        <v>63</v>
      </c>
      <c r="CG364" s="23" t="s">
        <v>266</v>
      </c>
      <c r="CT364" s="21" t="s">
        <v>2180</v>
      </c>
      <c r="DG364" s="41" t="s">
        <v>273</v>
      </c>
      <c r="DT364" s="23" t="s">
        <v>271</v>
      </c>
      <c r="EG364" s="23" t="s">
        <v>266</v>
      </c>
      <c r="ET364" s="13" t="s">
        <v>267</v>
      </c>
      <c r="FG364" s="23" t="s">
        <v>265</v>
      </c>
      <c r="FT364" s="13" t="s">
        <v>288</v>
      </c>
      <c r="GG364" s="21" t="s">
        <v>633</v>
      </c>
      <c r="GT364" s="13" t="s">
        <v>3186</v>
      </c>
      <c r="HC364" s="21" t="s">
        <v>636</v>
      </c>
    </row>
    <row r="365" spans="6:211" x14ac:dyDescent="0.25">
      <c r="F365" s="23" t="s">
        <v>265</v>
      </c>
      <c r="S365" s="23" t="s">
        <v>266</v>
      </c>
      <c r="AF365" s="21" t="s">
        <v>1755</v>
      </c>
      <c r="AT365" s="20"/>
      <c r="BG365" s="13" t="s">
        <v>287</v>
      </c>
      <c r="BT365" s="13" t="s">
        <v>274</v>
      </c>
      <c r="CG365" s="13" t="s">
        <v>267</v>
      </c>
      <c r="CT365" s="21" t="s">
        <v>622</v>
      </c>
      <c r="DG365" s="23" t="s">
        <v>63</v>
      </c>
      <c r="DT365" s="23" t="s">
        <v>57</v>
      </c>
      <c r="EG365" s="13" t="s">
        <v>267</v>
      </c>
      <c r="ET365" s="13" t="s">
        <v>268</v>
      </c>
      <c r="FG365" s="23" t="s">
        <v>266</v>
      </c>
      <c r="FT365" s="23" t="s">
        <v>289</v>
      </c>
      <c r="GG365" s="21" t="s">
        <v>2513</v>
      </c>
      <c r="GT365" s="13" t="s">
        <v>3187</v>
      </c>
      <c r="HC365" s="21" t="s">
        <v>3419</v>
      </c>
    </row>
    <row r="366" spans="6:211" x14ac:dyDescent="0.25">
      <c r="F366" s="23" t="s">
        <v>266</v>
      </c>
      <c r="S366" s="13" t="s">
        <v>267</v>
      </c>
      <c r="AF366" s="21" t="s">
        <v>725</v>
      </c>
      <c r="AT366" s="21" t="s">
        <v>818</v>
      </c>
      <c r="BG366" s="13" t="s">
        <v>288</v>
      </c>
      <c r="BT366" s="13" t="s">
        <v>275</v>
      </c>
      <c r="CG366" s="13" t="s">
        <v>268</v>
      </c>
      <c r="CT366" s="21" t="s">
        <v>1082</v>
      </c>
      <c r="DG366" s="13" t="s">
        <v>274</v>
      </c>
      <c r="DT366" s="41" t="s">
        <v>272</v>
      </c>
      <c r="EG366" s="13" t="s">
        <v>268</v>
      </c>
      <c r="ET366" s="13" t="s">
        <v>269</v>
      </c>
      <c r="FG366" s="13" t="s">
        <v>267</v>
      </c>
      <c r="FT366" s="23" t="s">
        <v>46</v>
      </c>
      <c r="GG366" s="21" t="s">
        <v>2188</v>
      </c>
      <c r="GT366" s="13" t="s">
        <v>3188</v>
      </c>
      <c r="HC366" s="21" t="s">
        <v>3420</v>
      </c>
    </row>
    <row r="367" spans="6:211" x14ac:dyDescent="0.25">
      <c r="F367" s="13" t="s">
        <v>267</v>
      </c>
      <c r="S367" s="13" t="s">
        <v>268</v>
      </c>
      <c r="AF367" s="21" t="s">
        <v>58</v>
      </c>
      <c r="AT367" s="21" t="s">
        <v>1833</v>
      </c>
      <c r="BG367" s="23" t="s">
        <v>289</v>
      </c>
      <c r="BT367" s="13" t="s">
        <v>276</v>
      </c>
      <c r="CG367" s="13" t="s">
        <v>269</v>
      </c>
      <c r="CT367" s="21" t="s">
        <v>2181</v>
      </c>
      <c r="DG367" s="13" t="s">
        <v>275</v>
      </c>
      <c r="DT367" s="23" t="s">
        <v>58</v>
      </c>
      <c r="EG367" s="13" t="s">
        <v>269</v>
      </c>
      <c r="ET367" s="13" t="s">
        <v>270</v>
      </c>
      <c r="FG367" s="13" t="s">
        <v>268</v>
      </c>
      <c r="FT367" s="13" t="s">
        <v>290</v>
      </c>
      <c r="GG367" s="21" t="s">
        <v>1571</v>
      </c>
      <c r="GT367" s="13" t="s">
        <v>3189</v>
      </c>
      <c r="HC367" s="21" t="s">
        <v>725</v>
      </c>
    </row>
    <row r="368" spans="6:211" x14ac:dyDescent="0.25">
      <c r="F368" s="13" t="s">
        <v>268</v>
      </c>
      <c r="S368" s="13" t="s">
        <v>269</v>
      </c>
      <c r="AF368" s="21" t="s">
        <v>1756</v>
      </c>
      <c r="AT368" s="21" t="s">
        <v>819</v>
      </c>
      <c r="BG368" s="23" t="s">
        <v>46</v>
      </c>
      <c r="BT368" s="13" t="s">
        <v>277</v>
      </c>
      <c r="CG368" s="13" t="s">
        <v>270</v>
      </c>
      <c r="CT368" s="21" t="s">
        <v>585</v>
      </c>
      <c r="DG368" s="13" t="s">
        <v>276</v>
      </c>
      <c r="DT368" s="41" t="s">
        <v>273</v>
      </c>
      <c r="EG368" s="13" t="s">
        <v>270</v>
      </c>
      <c r="ET368" s="23" t="s">
        <v>271</v>
      </c>
      <c r="FG368" s="13" t="s">
        <v>269</v>
      </c>
      <c r="FT368" s="13" t="s">
        <v>291</v>
      </c>
      <c r="GG368" s="21" t="s">
        <v>2768</v>
      </c>
      <c r="GT368" s="13" t="s">
        <v>3190</v>
      </c>
      <c r="HC368" s="21" t="s">
        <v>3421</v>
      </c>
    </row>
    <row r="369" spans="6:211" x14ac:dyDescent="0.25">
      <c r="F369" s="13" t="s">
        <v>269</v>
      </c>
      <c r="S369" s="13" t="s">
        <v>270</v>
      </c>
      <c r="AF369" s="21" t="s">
        <v>1132</v>
      </c>
      <c r="AT369" s="38">
        <v>12.72</v>
      </c>
      <c r="BG369" s="13" t="s">
        <v>290</v>
      </c>
      <c r="BT369" s="13" t="s">
        <v>278</v>
      </c>
      <c r="CG369" s="23" t="s">
        <v>271</v>
      </c>
      <c r="CT369" s="20"/>
      <c r="DG369" s="13" t="s">
        <v>277</v>
      </c>
      <c r="DT369" s="23" t="s">
        <v>63</v>
      </c>
      <c r="EG369" s="23" t="s">
        <v>271</v>
      </c>
      <c r="ET369" s="23" t="s">
        <v>57</v>
      </c>
      <c r="FG369" s="13" t="s">
        <v>270</v>
      </c>
      <c r="FT369" s="13" t="s">
        <v>292</v>
      </c>
      <c r="GG369" s="21" t="s">
        <v>2769</v>
      </c>
      <c r="GT369" s="13" t="s">
        <v>3191</v>
      </c>
      <c r="HC369" s="21" t="s">
        <v>3422</v>
      </c>
    </row>
    <row r="370" spans="6:211" ht="21" x14ac:dyDescent="0.25">
      <c r="F370" s="13" t="s">
        <v>270</v>
      </c>
      <c r="S370" s="23" t="s">
        <v>271</v>
      </c>
      <c r="AF370" s="21" t="s">
        <v>633</v>
      </c>
      <c r="AT370" s="21" t="s">
        <v>820</v>
      </c>
      <c r="BG370" s="13" t="s">
        <v>291</v>
      </c>
      <c r="BT370" s="13" t="s">
        <v>279</v>
      </c>
      <c r="CG370" s="23" t="s">
        <v>57</v>
      </c>
      <c r="CT370" s="40" t="s">
        <v>259</v>
      </c>
      <c r="DG370" s="13" t="s">
        <v>278</v>
      </c>
      <c r="DT370" s="13" t="s">
        <v>274</v>
      </c>
      <c r="EG370" s="23" t="s">
        <v>57</v>
      </c>
      <c r="ET370" s="41" t="s">
        <v>272</v>
      </c>
      <c r="FG370" s="23" t="s">
        <v>271</v>
      </c>
      <c r="FT370" s="13" t="s">
        <v>64</v>
      </c>
      <c r="GG370" s="21" t="s">
        <v>58</v>
      </c>
      <c r="GT370" s="13" t="s">
        <v>3192</v>
      </c>
      <c r="HC370" s="21" t="s">
        <v>1375</v>
      </c>
    </row>
    <row r="371" spans="6:211" x14ac:dyDescent="0.25">
      <c r="F371" s="23" t="s">
        <v>271</v>
      </c>
      <c r="S371" s="23" t="s">
        <v>57</v>
      </c>
      <c r="AF371" s="21" t="s">
        <v>1757</v>
      </c>
      <c r="AT371" s="42">
        <v>70.72</v>
      </c>
      <c r="BG371" s="13" t="s">
        <v>292</v>
      </c>
      <c r="BT371" s="23" t="s">
        <v>280</v>
      </c>
      <c r="CG371" s="41" t="s">
        <v>272</v>
      </c>
      <c r="CT371" s="20"/>
      <c r="DG371" s="13" t="s">
        <v>279</v>
      </c>
      <c r="DT371" s="13" t="s">
        <v>275</v>
      </c>
      <c r="EG371" s="41" t="s">
        <v>272</v>
      </c>
      <c r="ET371" s="23" t="s">
        <v>58</v>
      </c>
      <c r="FG371" s="23" t="s">
        <v>57</v>
      </c>
      <c r="FT371" s="13" t="s">
        <v>53</v>
      </c>
      <c r="GG371" s="21" t="s">
        <v>2770</v>
      </c>
      <c r="GT371" s="13" t="s">
        <v>59</v>
      </c>
      <c r="HC371" s="20"/>
    </row>
    <row r="372" spans="6:211" ht="21" x14ac:dyDescent="0.25">
      <c r="F372" s="23" t="s">
        <v>57</v>
      </c>
      <c r="S372" s="41" t="s">
        <v>272</v>
      </c>
      <c r="AF372" s="21" t="s">
        <v>641</v>
      </c>
      <c r="AT372" s="20"/>
      <c r="BG372" s="13" t="s">
        <v>64</v>
      </c>
      <c r="BT372" s="13" t="s">
        <v>61</v>
      </c>
      <c r="CG372" s="23" t="s">
        <v>58</v>
      </c>
      <c r="CT372" s="21" t="s">
        <v>59</v>
      </c>
      <c r="DG372" s="23" t="s">
        <v>280</v>
      </c>
      <c r="DT372" s="13" t="s">
        <v>276</v>
      </c>
      <c r="EG372" s="23" t="s">
        <v>58</v>
      </c>
      <c r="ET372" s="41" t="s">
        <v>273</v>
      </c>
      <c r="FG372" s="41" t="s">
        <v>272</v>
      </c>
      <c r="FT372" s="13" t="s">
        <v>293</v>
      </c>
      <c r="GG372" s="21" t="s">
        <v>961</v>
      </c>
      <c r="GT372" s="13" t="s">
        <v>651</v>
      </c>
      <c r="HC372" s="40" t="s">
        <v>2898</v>
      </c>
    </row>
    <row r="373" spans="6:211" ht="21" x14ac:dyDescent="0.25">
      <c r="F373" s="41" t="s">
        <v>272</v>
      </c>
      <c r="S373" s="23" t="s">
        <v>58</v>
      </c>
      <c r="AF373" s="21" t="s">
        <v>57</v>
      </c>
      <c r="AT373" s="40" t="s">
        <v>255</v>
      </c>
      <c r="BG373" s="13" t="s">
        <v>53</v>
      </c>
      <c r="BT373" s="13" t="s">
        <v>281</v>
      </c>
      <c r="CG373" s="41" t="s">
        <v>273</v>
      </c>
      <c r="CT373" s="21" t="s">
        <v>1562</v>
      </c>
      <c r="DG373" s="13" t="s">
        <v>61</v>
      </c>
      <c r="DT373" s="13" t="s">
        <v>277</v>
      </c>
      <c r="EG373" s="41" t="s">
        <v>273</v>
      </c>
      <c r="ET373" s="23" t="s">
        <v>63</v>
      </c>
      <c r="FG373" s="23" t="s">
        <v>58</v>
      </c>
      <c r="FT373" s="13" t="s">
        <v>65</v>
      </c>
      <c r="GG373" s="21" t="s">
        <v>1578</v>
      </c>
      <c r="GT373" s="13" t="s">
        <v>3193</v>
      </c>
      <c r="HC373" s="20"/>
    </row>
    <row r="374" spans="6:211" x14ac:dyDescent="0.25">
      <c r="F374" s="23" t="s">
        <v>58</v>
      </c>
      <c r="S374" s="41" t="s">
        <v>273</v>
      </c>
      <c r="AF374" s="21" t="s">
        <v>1758</v>
      </c>
      <c r="AT374" s="20"/>
      <c r="BG374" s="13" t="s">
        <v>293</v>
      </c>
      <c r="BT374" s="13" t="s">
        <v>282</v>
      </c>
      <c r="CG374" s="23" t="s">
        <v>63</v>
      </c>
      <c r="CT374" s="21" t="s">
        <v>1563</v>
      </c>
      <c r="DG374" s="13" t="s">
        <v>281</v>
      </c>
      <c r="DT374" s="13" t="s">
        <v>278</v>
      </c>
      <c r="EG374" s="23" t="s">
        <v>63</v>
      </c>
      <c r="ET374" s="13" t="s">
        <v>274</v>
      </c>
      <c r="FG374" s="41" t="s">
        <v>273</v>
      </c>
      <c r="FT374" s="13" t="s">
        <v>294</v>
      </c>
      <c r="GG374" s="21" t="s">
        <v>2771</v>
      </c>
      <c r="GT374" s="13" t="s">
        <v>58</v>
      </c>
      <c r="HC374" s="21" t="s">
        <v>59</v>
      </c>
    </row>
    <row r="375" spans="6:211" x14ac:dyDescent="0.25">
      <c r="F375" s="41" t="s">
        <v>273</v>
      </c>
      <c r="S375" s="23" t="s">
        <v>63</v>
      </c>
      <c r="AF375" s="21" t="s">
        <v>1759</v>
      </c>
      <c r="AT375" s="21" t="s">
        <v>723</v>
      </c>
      <c r="BG375" s="13" t="s">
        <v>65</v>
      </c>
      <c r="BT375" s="13" t="s">
        <v>283</v>
      </c>
      <c r="CG375" s="13" t="s">
        <v>274</v>
      </c>
      <c r="CT375" s="21" t="s">
        <v>1566</v>
      </c>
      <c r="DG375" s="13" t="s">
        <v>282</v>
      </c>
      <c r="DT375" s="13" t="s">
        <v>279</v>
      </c>
      <c r="EG375" s="13" t="s">
        <v>274</v>
      </c>
      <c r="ET375" s="13" t="s">
        <v>275</v>
      </c>
      <c r="FG375" s="23" t="s">
        <v>63</v>
      </c>
      <c r="FT375" s="13" t="s">
        <v>295</v>
      </c>
      <c r="GG375" s="21" t="s">
        <v>639</v>
      </c>
      <c r="GT375" s="13" t="s">
        <v>10</v>
      </c>
      <c r="HC375" s="21" t="s">
        <v>3423</v>
      </c>
    </row>
    <row r="376" spans="6:211" x14ac:dyDescent="0.25">
      <c r="F376" s="23" t="s">
        <v>63</v>
      </c>
      <c r="S376" s="13" t="s">
        <v>274</v>
      </c>
      <c r="AF376" s="21" t="s">
        <v>834</v>
      </c>
      <c r="AT376" s="21" t="s">
        <v>1834</v>
      </c>
      <c r="BG376" s="13" t="s">
        <v>294</v>
      </c>
      <c r="BT376" s="13" t="s">
        <v>284</v>
      </c>
      <c r="CG376" s="13" t="s">
        <v>275</v>
      </c>
      <c r="CT376" s="21" t="s">
        <v>2182</v>
      </c>
      <c r="DG376" s="13" t="s">
        <v>283</v>
      </c>
      <c r="DT376" s="23" t="s">
        <v>280</v>
      </c>
      <c r="EG376" s="13" t="s">
        <v>275</v>
      </c>
      <c r="ET376" s="13" t="s">
        <v>276</v>
      </c>
      <c r="FG376" s="13" t="s">
        <v>274</v>
      </c>
      <c r="FT376" s="23" t="s">
        <v>296</v>
      </c>
      <c r="GG376" s="21" t="s">
        <v>583</v>
      </c>
      <c r="GT376" s="13" t="s">
        <v>3194</v>
      </c>
      <c r="HC376" s="21" t="s">
        <v>2094</v>
      </c>
    </row>
    <row r="377" spans="6:211" x14ac:dyDescent="0.25">
      <c r="F377" s="13" t="s">
        <v>274</v>
      </c>
      <c r="S377" s="13" t="s">
        <v>275</v>
      </c>
      <c r="AF377" s="21" t="s">
        <v>1760</v>
      </c>
      <c r="AT377" s="21" t="s">
        <v>628</v>
      </c>
      <c r="BG377" s="13" t="s">
        <v>295</v>
      </c>
      <c r="BT377" s="13" t="s">
        <v>62</v>
      </c>
      <c r="CG377" s="13" t="s">
        <v>276</v>
      </c>
      <c r="CT377" s="21" t="s">
        <v>725</v>
      </c>
      <c r="DG377" s="13" t="s">
        <v>284</v>
      </c>
      <c r="DT377" s="13" t="s">
        <v>61</v>
      </c>
      <c r="EG377" s="13" t="s">
        <v>276</v>
      </c>
      <c r="ET377" s="13" t="s">
        <v>277</v>
      </c>
      <c r="FG377" s="13" t="s">
        <v>275</v>
      </c>
      <c r="FT377" s="23" t="s">
        <v>297</v>
      </c>
      <c r="GG377" s="21" t="s">
        <v>2438</v>
      </c>
      <c r="GT377" s="13" t="s">
        <v>1379</v>
      </c>
      <c r="HC377" s="21" t="s">
        <v>1566</v>
      </c>
    </row>
    <row r="378" spans="6:211" x14ac:dyDescent="0.25">
      <c r="F378" s="13" t="s">
        <v>275</v>
      </c>
      <c r="S378" s="13" t="s">
        <v>276</v>
      </c>
      <c r="AF378" s="21" t="s">
        <v>961</v>
      </c>
      <c r="AT378" s="21" t="s">
        <v>822</v>
      </c>
      <c r="BG378" s="23" t="s">
        <v>296</v>
      </c>
      <c r="BT378" s="13" t="s">
        <v>285</v>
      </c>
      <c r="CG378" s="13" t="s">
        <v>277</v>
      </c>
      <c r="CT378" s="21" t="s">
        <v>260</v>
      </c>
      <c r="DG378" s="13" t="s">
        <v>62</v>
      </c>
      <c r="DT378" s="13" t="s">
        <v>281</v>
      </c>
      <c r="EG378" s="13" t="s">
        <v>277</v>
      </c>
      <c r="ET378" s="13" t="s">
        <v>278</v>
      </c>
      <c r="FG378" s="13" t="s">
        <v>276</v>
      </c>
      <c r="FT378" s="23" t="s">
        <v>298</v>
      </c>
      <c r="GG378" s="21" t="s">
        <v>585</v>
      </c>
      <c r="GT378" s="13" t="s">
        <v>1387</v>
      </c>
      <c r="HC378" s="21" t="s">
        <v>3424</v>
      </c>
    </row>
    <row r="379" spans="6:211" x14ac:dyDescent="0.25">
      <c r="F379" s="13" t="s">
        <v>276</v>
      </c>
      <c r="S379" s="13" t="s">
        <v>277</v>
      </c>
      <c r="AF379" s="21" t="s">
        <v>1571</v>
      </c>
      <c r="AT379" s="21" t="s">
        <v>1835</v>
      </c>
      <c r="BG379" s="23" t="s">
        <v>297</v>
      </c>
      <c r="BT379" s="13" t="s">
        <v>286</v>
      </c>
      <c r="CG379" s="13" t="s">
        <v>278</v>
      </c>
      <c r="CT379" s="21" t="s">
        <v>2183</v>
      </c>
      <c r="DG379" s="13" t="s">
        <v>285</v>
      </c>
      <c r="DT379" s="13" t="s">
        <v>282</v>
      </c>
      <c r="EG379" s="13" t="s">
        <v>278</v>
      </c>
      <c r="ET379" s="13" t="s">
        <v>279</v>
      </c>
      <c r="FG379" s="13" t="s">
        <v>277</v>
      </c>
      <c r="FT379" s="23" t="s">
        <v>299</v>
      </c>
      <c r="GG379" s="20"/>
      <c r="GT379" s="13" t="s">
        <v>3195</v>
      </c>
      <c r="HC379" s="21" t="s">
        <v>632</v>
      </c>
    </row>
    <row r="380" spans="6:211" ht="26.25" x14ac:dyDescent="0.25">
      <c r="F380" s="13" t="s">
        <v>277</v>
      </c>
      <c r="S380" s="13" t="s">
        <v>278</v>
      </c>
      <c r="AF380" s="21" t="s">
        <v>1761</v>
      </c>
      <c r="AT380" s="21" t="s">
        <v>1658</v>
      </c>
      <c r="BG380" s="23" t="s">
        <v>298</v>
      </c>
      <c r="BT380" s="13" t="s">
        <v>287</v>
      </c>
      <c r="CG380" s="13" t="s">
        <v>279</v>
      </c>
      <c r="CT380" s="21" t="s">
        <v>632</v>
      </c>
      <c r="DG380" s="13" t="s">
        <v>286</v>
      </c>
      <c r="DT380" s="13" t="s">
        <v>283</v>
      </c>
      <c r="EG380" s="13" t="s">
        <v>279</v>
      </c>
      <c r="ET380" s="23" t="s">
        <v>280</v>
      </c>
      <c r="FG380" s="13" t="s">
        <v>278</v>
      </c>
      <c r="FT380" s="23" t="s">
        <v>300</v>
      </c>
      <c r="GG380" s="29" t="s">
        <v>2772</v>
      </c>
      <c r="GT380" s="13" t="s">
        <v>422</v>
      </c>
      <c r="HC380" s="21" t="s">
        <v>260</v>
      </c>
    </row>
    <row r="381" spans="6:211" x14ac:dyDescent="0.25">
      <c r="F381" s="13" t="s">
        <v>278</v>
      </c>
      <c r="S381" s="13" t="s">
        <v>279</v>
      </c>
      <c r="AF381" s="21" t="s">
        <v>1446</v>
      </c>
      <c r="AT381" s="21" t="s">
        <v>823</v>
      </c>
      <c r="BG381" s="23" t="s">
        <v>299</v>
      </c>
      <c r="BT381" s="13" t="s">
        <v>288</v>
      </c>
      <c r="CG381" s="23" t="s">
        <v>280</v>
      </c>
      <c r="CT381" s="21" t="s">
        <v>57</v>
      </c>
      <c r="DG381" s="13" t="s">
        <v>287</v>
      </c>
      <c r="DT381" s="13" t="s">
        <v>284</v>
      </c>
      <c r="EG381" s="23" t="s">
        <v>280</v>
      </c>
      <c r="ET381" s="13" t="s">
        <v>61</v>
      </c>
      <c r="FG381" s="13" t="s">
        <v>279</v>
      </c>
      <c r="FT381" s="13" t="s">
        <v>301</v>
      </c>
      <c r="GG381" s="20"/>
      <c r="GT381" s="13" t="s">
        <v>422</v>
      </c>
      <c r="HC381" s="21" t="s">
        <v>3425</v>
      </c>
    </row>
    <row r="382" spans="6:211" x14ac:dyDescent="0.25">
      <c r="F382" s="13" t="s">
        <v>279</v>
      </c>
      <c r="S382" s="23" t="s">
        <v>280</v>
      </c>
      <c r="AF382" s="21" t="s">
        <v>1578</v>
      </c>
      <c r="AT382" s="21" t="s">
        <v>1836</v>
      </c>
      <c r="BG382" s="23" t="s">
        <v>300</v>
      </c>
      <c r="BT382" s="23" t="s">
        <v>289</v>
      </c>
      <c r="CG382" s="13" t="s">
        <v>61</v>
      </c>
      <c r="CT382" s="21" t="s">
        <v>2184</v>
      </c>
      <c r="DG382" s="13" t="s">
        <v>288</v>
      </c>
      <c r="DT382" s="13" t="s">
        <v>62</v>
      </c>
      <c r="EG382" s="13" t="s">
        <v>61</v>
      </c>
      <c r="ET382" s="13" t="s">
        <v>281</v>
      </c>
      <c r="FG382" s="23" t="s">
        <v>280</v>
      </c>
      <c r="FT382" s="23" t="s">
        <v>302</v>
      </c>
      <c r="GG382" s="24" t="s">
        <v>2773</v>
      </c>
      <c r="GT382" s="13" t="s">
        <v>3196</v>
      </c>
      <c r="HC382" s="21" t="s">
        <v>631</v>
      </c>
    </row>
    <row r="383" spans="6:211" x14ac:dyDescent="0.25">
      <c r="F383" s="23" t="s">
        <v>280</v>
      </c>
      <c r="S383" s="13" t="s">
        <v>61</v>
      </c>
      <c r="AF383" s="21" t="s">
        <v>1762</v>
      </c>
      <c r="AT383" s="21" t="s">
        <v>627</v>
      </c>
      <c r="BG383" s="13" t="s">
        <v>301</v>
      </c>
      <c r="BT383" s="23" t="s">
        <v>46</v>
      </c>
      <c r="CG383" s="13" t="s">
        <v>281</v>
      </c>
      <c r="CT383" s="21" t="s">
        <v>1759</v>
      </c>
      <c r="DG383" s="23" t="s">
        <v>289</v>
      </c>
      <c r="DT383" s="13" t="s">
        <v>285</v>
      </c>
      <c r="EG383" s="13" t="s">
        <v>281</v>
      </c>
      <c r="ET383" s="13" t="s">
        <v>282</v>
      </c>
      <c r="FG383" s="13" t="s">
        <v>61</v>
      </c>
      <c r="FT383" s="41" t="s">
        <v>303</v>
      </c>
      <c r="GG383" s="24" t="s">
        <v>262</v>
      </c>
      <c r="GT383" s="13" t="s">
        <v>1284</v>
      </c>
      <c r="HC383" s="21" t="s">
        <v>633</v>
      </c>
    </row>
    <row r="384" spans="6:211" x14ac:dyDescent="0.25">
      <c r="F384" s="13" t="s">
        <v>61</v>
      </c>
      <c r="S384" s="13" t="s">
        <v>281</v>
      </c>
      <c r="AF384" s="21" t="s">
        <v>639</v>
      </c>
      <c r="AT384" s="21" t="s">
        <v>824</v>
      </c>
      <c r="BG384" s="23" t="s">
        <v>302</v>
      </c>
      <c r="BT384" s="13" t="s">
        <v>290</v>
      </c>
      <c r="CG384" s="13" t="s">
        <v>282</v>
      </c>
      <c r="CT384" s="21" t="s">
        <v>58</v>
      </c>
      <c r="DG384" s="23" t="s">
        <v>46</v>
      </c>
      <c r="DT384" s="13" t="s">
        <v>286</v>
      </c>
      <c r="EG384" s="13" t="s">
        <v>282</v>
      </c>
      <c r="ET384" s="13" t="s">
        <v>283</v>
      </c>
      <c r="FG384" s="13" t="s">
        <v>281</v>
      </c>
      <c r="FT384" s="23" t="s">
        <v>304</v>
      </c>
      <c r="GG384" s="24" t="s">
        <v>263</v>
      </c>
      <c r="GT384" s="13" t="s">
        <v>660</v>
      </c>
      <c r="HC384" s="21" t="s">
        <v>3426</v>
      </c>
    </row>
    <row r="385" spans="6:211" x14ac:dyDescent="0.25">
      <c r="F385" s="13" t="s">
        <v>281</v>
      </c>
      <c r="S385" s="13" t="s">
        <v>282</v>
      </c>
      <c r="AF385" s="21" t="s">
        <v>583</v>
      </c>
      <c r="AT385" s="21" t="s">
        <v>1837</v>
      </c>
      <c r="BG385" s="41" t="s">
        <v>303</v>
      </c>
      <c r="BT385" s="13" t="s">
        <v>291</v>
      </c>
      <c r="CG385" s="13" t="s">
        <v>283</v>
      </c>
      <c r="CT385" s="21" t="s">
        <v>2185</v>
      </c>
      <c r="DG385" s="13" t="s">
        <v>290</v>
      </c>
      <c r="DT385" s="13" t="s">
        <v>287</v>
      </c>
      <c r="EG385" s="13" t="s">
        <v>283</v>
      </c>
      <c r="ET385" s="13" t="s">
        <v>284</v>
      </c>
      <c r="FG385" s="13" t="s">
        <v>282</v>
      </c>
      <c r="FT385" s="41" t="s">
        <v>305</v>
      </c>
      <c r="GG385" s="24" t="s">
        <v>174</v>
      </c>
      <c r="GT385" s="13" t="s">
        <v>3197</v>
      </c>
      <c r="HC385" s="21" t="s">
        <v>1185</v>
      </c>
    </row>
    <row r="386" spans="6:211" x14ac:dyDescent="0.25">
      <c r="F386" s="13" t="s">
        <v>282</v>
      </c>
      <c r="S386" s="13" t="s">
        <v>283</v>
      </c>
      <c r="AF386" s="21" t="s">
        <v>1763</v>
      </c>
      <c r="AT386" s="21" t="s">
        <v>1132</v>
      </c>
      <c r="BG386" s="23" t="s">
        <v>304</v>
      </c>
      <c r="BT386" s="13" t="s">
        <v>292</v>
      </c>
      <c r="CG386" s="13" t="s">
        <v>284</v>
      </c>
      <c r="CT386" s="21" t="s">
        <v>961</v>
      </c>
      <c r="DG386" s="13" t="s">
        <v>291</v>
      </c>
      <c r="DT386" s="13" t="s">
        <v>288</v>
      </c>
      <c r="EG386" s="13" t="s">
        <v>284</v>
      </c>
      <c r="ET386" s="13" t="s">
        <v>62</v>
      </c>
      <c r="FG386" s="13" t="s">
        <v>283</v>
      </c>
      <c r="FT386" s="41" t="s">
        <v>306</v>
      </c>
      <c r="GG386" s="24" t="s">
        <v>264</v>
      </c>
      <c r="GT386" s="13" t="s">
        <v>3198</v>
      </c>
      <c r="HC386" s="21" t="s">
        <v>58</v>
      </c>
    </row>
    <row r="387" spans="6:211" x14ac:dyDescent="0.25">
      <c r="F387" s="13" t="s">
        <v>283</v>
      </c>
      <c r="S387" s="13" t="s">
        <v>284</v>
      </c>
      <c r="AF387" s="21" t="s">
        <v>1658</v>
      </c>
      <c r="AT387" s="21" t="s">
        <v>827</v>
      </c>
      <c r="BG387" s="41" t="s">
        <v>305</v>
      </c>
      <c r="BT387" s="13" t="s">
        <v>64</v>
      </c>
      <c r="CG387" s="13" t="s">
        <v>62</v>
      </c>
      <c r="CT387" s="21" t="s">
        <v>1571</v>
      </c>
      <c r="DG387" s="13" t="s">
        <v>292</v>
      </c>
      <c r="DT387" s="23" t="s">
        <v>289</v>
      </c>
      <c r="EG387" s="13" t="s">
        <v>62</v>
      </c>
      <c r="ET387" s="13" t="s">
        <v>285</v>
      </c>
      <c r="FG387" s="13" t="s">
        <v>284</v>
      </c>
      <c r="FT387" s="41" t="s">
        <v>307</v>
      </c>
      <c r="GG387" s="13" t="s">
        <v>89</v>
      </c>
      <c r="GT387" s="13" t="s">
        <v>3199</v>
      </c>
      <c r="HC387" s="21" t="s">
        <v>3427</v>
      </c>
    </row>
    <row r="388" spans="6:211" x14ac:dyDescent="0.25">
      <c r="F388" s="13" t="s">
        <v>284</v>
      </c>
      <c r="S388" s="13" t="s">
        <v>62</v>
      </c>
      <c r="AF388" s="20"/>
      <c r="AT388" s="21" t="s">
        <v>1838</v>
      </c>
      <c r="BG388" s="41" t="s">
        <v>306</v>
      </c>
      <c r="BT388" s="13" t="s">
        <v>53</v>
      </c>
      <c r="CG388" s="13" t="s">
        <v>285</v>
      </c>
      <c r="CT388" s="21" t="s">
        <v>2186</v>
      </c>
      <c r="DG388" s="13" t="s">
        <v>64</v>
      </c>
      <c r="DT388" s="23" t="s">
        <v>46</v>
      </c>
      <c r="EG388" s="13" t="s">
        <v>285</v>
      </c>
      <c r="ET388" s="13" t="s">
        <v>286</v>
      </c>
      <c r="FG388" s="13" t="s">
        <v>62</v>
      </c>
      <c r="FT388" s="41" t="s">
        <v>308</v>
      </c>
      <c r="GG388" s="23" t="s">
        <v>265</v>
      </c>
      <c r="GT388" s="13" t="s">
        <v>3200</v>
      </c>
      <c r="HC388" s="21" t="s">
        <v>629</v>
      </c>
    </row>
    <row r="389" spans="6:211" ht="26.25" x14ac:dyDescent="0.25">
      <c r="F389" s="13" t="s">
        <v>62</v>
      </c>
      <c r="S389" s="13" t="s">
        <v>285</v>
      </c>
      <c r="AF389" s="29" t="s">
        <v>1764</v>
      </c>
      <c r="AT389" s="21" t="s">
        <v>1839</v>
      </c>
      <c r="BG389" s="41" t="s">
        <v>307</v>
      </c>
      <c r="BT389" s="13" t="s">
        <v>293</v>
      </c>
      <c r="CG389" s="13" t="s">
        <v>286</v>
      </c>
      <c r="CT389" s="21" t="s">
        <v>835</v>
      </c>
      <c r="DG389" s="13" t="s">
        <v>53</v>
      </c>
      <c r="DT389" s="13" t="s">
        <v>290</v>
      </c>
      <c r="EG389" s="13" t="s">
        <v>286</v>
      </c>
      <c r="ET389" s="13" t="s">
        <v>287</v>
      </c>
      <c r="FG389" s="13" t="s">
        <v>285</v>
      </c>
      <c r="FT389" s="41" t="s">
        <v>309</v>
      </c>
      <c r="GG389" s="23" t="s">
        <v>266</v>
      </c>
      <c r="GT389" s="13" t="s">
        <v>258</v>
      </c>
      <c r="HC389" s="21" t="s">
        <v>57</v>
      </c>
    </row>
    <row r="390" spans="6:211" x14ac:dyDescent="0.25">
      <c r="F390" s="13" t="s">
        <v>285</v>
      </c>
      <c r="S390" s="13" t="s">
        <v>286</v>
      </c>
      <c r="AF390" s="20"/>
      <c r="AT390" s="20"/>
      <c r="BG390" s="41" t="s">
        <v>308</v>
      </c>
      <c r="BT390" s="13" t="s">
        <v>65</v>
      </c>
      <c r="CG390" s="13" t="s">
        <v>287</v>
      </c>
      <c r="CT390" s="21" t="s">
        <v>633</v>
      </c>
      <c r="DG390" s="13" t="s">
        <v>293</v>
      </c>
      <c r="DT390" s="13" t="s">
        <v>291</v>
      </c>
      <c r="EG390" s="13" t="s">
        <v>287</v>
      </c>
      <c r="ET390" s="13" t="s">
        <v>288</v>
      </c>
      <c r="FG390" s="13" t="s">
        <v>286</v>
      </c>
      <c r="FT390" s="41" t="s">
        <v>310</v>
      </c>
      <c r="GG390" s="13" t="s">
        <v>267</v>
      </c>
      <c r="GT390" s="13" t="s">
        <v>3201</v>
      </c>
      <c r="HC390" s="21" t="s">
        <v>3428</v>
      </c>
    </row>
    <row r="391" spans="6:211" ht="21" x14ac:dyDescent="0.25">
      <c r="F391" s="13" t="s">
        <v>286</v>
      </c>
      <c r="S391" s="13" t="s">
        <v>287</v>
      </c>
      <c r="AF391" s="24" t="s">
        <v>1765</v>
      </c>
      <c r="AT391" s="40" t="s">
        <v>259</v>
      </c>
      <c r="BG391" s="41" t="s">
        <v>309</v>
      </c>
      <c r="BT391" s="13" t="s">
        <v>294</v>
      </c>
      <c r="CG391" s="13" t="s">
        <v>288</v>
      </c>
      <c r="CT391" s="21" t="s">
        <v>2187</v>
      </c>
      <c r="DG391" s="13" t="s">
        <v>65</v>
      </c>
      <c r="DT391" s="13" t="s">
        <v>292</v>
      </c>
      <c r="EG391" s="13" t="s">
        <v>288</v>
      </c>
      <c r="ET391" s="23" t="s">
        <v>289</v>
      </c>
      <c r="FG391" s="13" t="s">
        <v>287</v>
      </c>
      <c r="FT391" s="41" t="s">
        <v>311</v>
      </c>
      <c r="GG391" s="13" t="s">
        <v>268</v>
      </c>
      <c r="GT391" s="13" t="s">
        <v>3202</v>
      </c>
      <c r="HC391" s="21" t="s">
        <v>1442</v>
      </c>
    </row>
    <row r="392" spans="6:211" x14ac:dyDescent="0.25">
      <c r="F392" s="13" t="s">
        <v>287</v>
      </c>
      <c r="S392" s="13" t="s">
        <v>288</v>
      </c>
      <c r="AF392" s="24" t="s">
        <v>262</v>
      </c>
      <c r="AT392" s="20"/>
      <c r="BG392" s="41" t="s">
        <v>310</v>
      </c>
      <c r="BT392" s="13" t="s">
        <v>295</v>
      </c>
      <c r="CG392" s="23" t="s">
        <v>289</v>
      </c>
      <c r="CT392" s="21" t="s">
        <v>2188</v>
      </c>
      <c r="DG392" s="13" t="s">
        <v>294</v>
      </c>
      <c r="DT392" s="13" t="s">
        <v>64</v>
      </c>
      <c r="EG392" s="23" t="s">
        <v>289</v>
      </c>
      <c r="ET392" s="23" t="s">
        <v>46</v>
      </c>
      <c r="FG392" s="13" t="s">
        <v>288</v>
      </c>
      <c r="FT392" s="41" t="s">
        <v>312</v>
      </c>
      <c r="GG392" s="13" t="s">
        <v>269</v>
      </c>
      <c r="GT392" s="11"/>
      <c r="HC392" s="21" t="s">
        <v>834</v>
      </c>
    </row>
    <row r="393" spans="6:211" ht="18" x14ac:dyDescent="0.25">
      <c r="F393" s="13" t="s">
        <v>288</v>
      </c>
      <c r="S393" s="23" t="s">
        <v>289</v>
      </c>
      <c r="AF393" s="24" t="s">
        <v>263</v>
      </c>
      <c r="AT393" s="21" t="s">
        <v>59</v>
      </c>
      <c r="BG393" s="41" t="s">
        <v>311</v>
      </c>
      <c r="BT393" s="23" t="s">
        <v>296</v>
      </c>
      <c r="CG393" s="23" t="s">
        <v>46</v>
      </c>
      <c r="CT393" s="21" t="s">
        <v>1848</v>
      </c>
      <c r="DG393" s="13" t="s">
        <v>295</v>
      </c>
      <c r="DT393" s="13" t="s">
        <v>53</v>
      </c>
      <c r="EG393" s="23" t="s">
        <v>46</v>
      </c>
      <c r="ET393" s="13" t="s">
        <v>290</v>
      </c>
      <c r="FG393" s="23" t="s">
        <v>289</v>
      </c>
      <c r="FT393" s="41" t="s">
        <v>313</v>
      </c>
      <c r="GG393" s="13" t="s">
        <v>270</v>
      </c>
      <c r="GT393" s="140" t="s">
        <v>3203</v>
      </c>
      <c r="HC393" s="21" t="s">
        <v>3429</v>
      </c>
    </row>
    <row r="394" spans="6:211" x14ac:dyDescent="0.25">
      <c r="F394" s="23" t="s">
        <v>289</v>
      </c>
      <c r="S394" s="23" t="s">
        <v>46</v>
      </c>
      <c r="AF394" s="24" t="s">
        <v>174</v>
      </c>
      <c r="AT394" s="21" t="s">
        <v>1840</v>
      </c>
      <c r="BG394" s="41" t="s">
        <v>312</v>
      </c>
      <c r="BT394" s="23" t="s">
        <v>297</v>
      </c>
      <c r="CG394" s="13" t="s">
        <v>290</v>
      </c>
      <c r="CT394" s="21" t="s">
        <v>1849</v>
      </c>
      <c r="DG394" s="23" t="s">
        <v>296</v>
      </c>
      <c r="DT394" s="13" t="s">
        <v>293</v>
      </c>
      <c r="EG394" s="13" t="s">
        <v>290</v>
      </c>
      <c r="ET394" s="13" t="s">
        <v>291</v>
      </c>
      <c r="FG394" s="23" t="s">
        <v>46</v>
      </c>
      <c r="FT394" s="41" t="s">
        <v>314</v>
      </c>
      <c r="GG394" s="23" t="s">
        <v>271</v>
      </c>
      <c r="GT394" s="11"/>
      <c r="HC394" s="21" t="s">
        <v>585</v>
      </c>
    </row>
    <row r="395" spans="6:211" x14ac:dyDescent="0.25">
      <c r="F395" s="23" t="s">
        <v>46</v>
      </c>
      <c r="S395" s="13" t="s">
        <v>290</v>
      </c>
      <c r="AF395" s="24" t="s">
        <v>264</v>
      </c>
      <c r="AT395" s="21" t="s">
        <v>1570</v>
      </c>
      <c r="BG395" s="41" t="s">
        <v>313</v>
      </c>
      <c r="BT395" s="23" t="s">
        <v>298</v>
      </c>
      <c r="CG395" s="13" t="s">
        <v>291</v>
      </c>
      <c r="CT395" s="21" t="s">
        <v>622</v>
      </c>
      <c r="DG395" s="23" t="s">
        <v>297</v>
      </c>
      <c r="DT395" s="13" t="s">
        <v>65</v>
      </c>
      <c r="EG395" s="13" t="s">
        <v>291</v>
      </c>
      <c r="ET395" s="13" t="s">
        <v>292</v>
      </c>
      <c r="FG395" s="13" t="s">
        <v>290</v>
      </c>
      <c r="FT395" s="41" t="s">
        <v>315</v>
      </c>
      <c r="GG395" s="23" t="s">
        <v>57</v>
      </c>
      <c r="GT395" s="13" t="s">
        <v>2893</v>
      </c>
      <c r="HC395" s="21" t="s">
        <v>1571</v>
      </c>
    </row>
    <row r="396" spans="6:211" x14ac:dyDescent="0.25">
      <c r="F396" s="13" t="s">
        <v>290</v>
      </c>
      <c r="S396" s="13" t="s">
        <v>291</v>
      </c>
      <c r="AF396" s="13" t="s">
        <v>89</v>
      </c>
      <c r="AT396" s="21" t="s">
        <v>1566</v>
      </c>
      <c r="BG396" s="41" t="s">
        <v>314</v>
      </c>
      <c r="BT396" s="23" t="s">
        <v>299</v>
      </c>
      <c r="CG396" s="13" t="s">
        <v>292</v>
      </c>
      <c r="CT396" s="21" t="s">
        <v>834</v>
      </c>
      <c r="DG396" s="23" t="s">
        <v>298</v>
      </c>
      <c r="DT396" s="13" t="s">
        <v>294</v>
      </c>
      <c r="EG396" s="13" t="s">
        <v>292</v>
      </c>
      <c r="ET396" s="13" t="s">
        <v>64</v>
      </c>
      <c r="FG396" s="13" t="s">
        <v>291</v>
      </c>
      <c r="FT396" s="41" t="s">
        <v>316</v>
      </c>
      <c r="GG396" s="41" t="s">
        <v>272</v>
      </c>
      <c r="GT396" s="13" t="s">
        <v>3204</v>
      </c>
      <c r="HC396" s="21" t="s">
        <v>3430</v>
      </c>
    </row>
    <row r="397" spans="6:211" x14ac:dyDescent="0.25">
      <c r="F397" s="13" t="s">
        <v>291</v>
      </c>
      <c r="S397" s="13" t="s">
        <v>292</v>
      </c>
      <c r="AF397" s="23" t="s">
        <v>265</v>
      </c>
      <c r="AT397" s="21" t="s">
        <v>1662</v>
      </c>
      <c r="BG397" s="41" t="s">
        <v>315</v>
      </c>
      <c r="BT397" s="23" t="s">
        <v>300</v>
      </c>
      <c r="CG397" s="13" t="s">
        <v>64</v>
      </c>
      <c r="CT397" s="21" t="s">
        <v>2189</v>
      </c>
      <c r="DG397" s="23" t="s">
        <v>299</v>
      </c>
      <c r="DT397" s="13" t="s">
        <v>295</v>
      </c>
      <c r="EG397" s="13" t="s">
        <v>64</v>
      </c>
      <c r="ET397" s="13" t="s">
        <v>53</v>
      </c>
      <c r="FG397" s="13" t="s">
        <v>292</v>
      </c>
      <c r="FT397" s="23" t="s">
        <v>317</v>
      </c>
      <c r="GG397" s="23" t="s">
        <v>58</v>
      </c>
      <c r="GT397" s="13" t="s">
        <v>3205</v>
      </c>
      <c r="HC397" s="21" t="s">
        <v>3431</v>
      </c>
    </row>
    <row r="398" spans="6:211" x14ac:dyDescent="0.25">
      <c r="F398" s="13" t="s">
        <v>292</v>
      </c>
      <c r="S398" s="13" t="s">
        <v>64</v>
      </c>
      <c r="AF398" s="23" t="s">
        <v>266</v>
      </c>
      <c r="AT398" s="21" t="s">
        <v>725</v>
      </c>
      <c r="BG398" s="41" t="s">
        <v>316</v>
      </c>
      <c r="BT398" s="13" t="s">
        <v>301</v>
      </c>
      <c r="CG398" s="13" t="s">
        <v>53</v>
      </c>
      <c r="CT398" s="21" t="s">
        <v>1132</v>
      </c>
      <c r="DG398" s="23" t="s">
        <v>300</v>
      </c>
      <c r="DT398" s="23" t="s">
        <v>296</v>
      </c>
      <c r="EG398" s="13" t="s">
        <v>53</v>
      </c>
      <c r="ET398" s="13" t="s">
        <v>293</v>
      </c>
      <c r="FG398" s="13" t="s">
        <v>64</v>
      </c>
      <c r="FT398" s="41" t="s">
        <v>318</v>
      </c>
      <c r="GG398" s="41" t="s">
        <v>273</v>
      </c>
      <c r="GT398" s="13" t="s">
        <v>3206</v>
      </c>
      <c r="HC398" s="21" t="s">
        <v>623</v>
      </c>
    </row>
    <row r="399" spans="6:211" x14ac:dyDescent="0.25">
      <c r="F399" s="13" t="s">
        <v>64</v>
      </c>
      <c r="S399" s="13" t="s">
        <v>53</v>
      </c>
      <c r="AF399" s="13" t="s">
        <v>267</v>
      </c>
      <c r="AT399" s="21" t="s">
        <v>260</v>
      </c>
      <c r="BG399" s="23" t="s">
        <v>317</v>
      </c>
      <c r="BT399" s="23" t="s">
        <v>302</v>
      </c>
      <c r="CG399" s="13" t="s">
        <v>293</v>
      </c>
      <c r="CT399" s="21" t="s">
        <v>623</v>
      </c>
      <c r="DG399" s="13" t="s">
        <v>301</v>
      </c>
      <c r="DT399" s="23" t="s">
        <v>297</v>
      </c>
      <c r="EG399" s="13" t="s">
        <v>293</v>
      </c>
      <c r="ET399" s="13" t="s">
        <v>65</v>
      </c>
      <c r="FG399" s="13" t="s">
        <v>53</v>
      </c>
      <c r="FT399" s="23" t="s">
        <v>319</v>
      </c>
      <c r="GG399" s="23" t="s">
        <v>63</v>
      </c>
      <c r="GT399" s="13" t="s">
        <v>3207</v>
      </c>
      <c r="HC399" s="21" t="s">
        <v>3432</v>
      </c>
    </row>
    <row r="400" spans="6:211" x14ac:dyDescent="0.25">
      <c r="F400" s="13" t="s">
        <v>53</v>
      </c>
      <c r="S400" s="13" t="s">
        <v>293</v>
      </c>
      <c r="AF400" s="13" t="s">
        <v>268</v>
      </c>
      <c r="AT400" s="21" t="s">
        <v>1841</v>
      </c>
      <c r="BG400" s="41" t="s">
        <v>318</v>
      </c>
      <c r="BT400" s="41" t="s">
        <v>303</v>
      </c>
      <c r="CG400" s="13" t="s">
        <v>65</v>
      </c>
      <c r="CT400" s="21" t="s">
        <v>2190</v>
      </c>
      <c r="DG400" s="23" t="s">
        <v>302</v>
      </c>
      <c r="DT400" s="23" t="s">
        <v>298</v>
      </c>
      <c r="EG400" s="13" t="s">
        <v>65</v>
      </c>
      <c r="ET400" s="13" t="s">
        <v>294</v>
      </c>
      <c r="FG400" s="13" t="s">
        <v>293</v>
      </c>
      <c r="FT400" s="23" t="s">
        <v>78</v>
      </c>
      <c r="GG400" s="13" t="s">
        <v>274</v>
      </c>
      <c r="GT400" s="13" t="s">
        <v>3208</v>
      </c>
      <c r="HC400" s="21" t="s">
        <v>638</v>
      </c>
    </row>
    <row r="401" spans="6:211" x14ac:dyDescent="0.25">
      <c r="F401" s="13" t="s">
        <v>293</v>
      </c>
      <c r="S401" s="13" t="s">
        <v>65</v>
      </c>
      <c r="AF401" s="13" t="s">
        <v>269</v>
      </c>
      <c r="AT401" s="21" t="s">
        <v>632</v>
      </c>
      <c r="BG401" s="23" t="s">
        <v>319</v>
      </c>
      <c r="BT401" s="23" t="s">
        <v>304</v>
      </c>
      <c r="CG401" s="13" t="s">
        <v>294</v>
      </c>
      <c r="CT401" s="21" t="s">
        <v>621</v>
      </c>
      <c r="DG401" s="41" t="s">
        <v>303</v>
      </c>
      <c r="DT401" s="23" t="s">
        <v>299</v>
      </c>
      <c r="EG401" s="13" t="s">
        <v>294</v>
      </c>
      <c r="ET401" s="13" t="s">
        <v>295</v>
      </c>
      <c r="FG401" s="13" t="s">
        <v>65</v>
      </c>
      <c r="FT401" s="23" t="s">
        <v>320</v>
      </c>
      <c r="GG401" s="13" t="s">
        <v>275</v>
      </c>
      <c r="GT401" s="11"/>
      <c r="HC401" s="21" t="s">
        <v>837</v>
      </c>
    </row>
    <row r="402" spans="6:211" ht="18" x14ac:dyDescent="0.25">
      <c r="F402" s="13" t="s">
        <v>65</v>
      </c>
      <c r="S402" s="13" t="s">
        <v>294</v>
      </c>
      <c r="AF402" s="13" t="s">
        <v>270</v>
      </c>
      <c r="AT402" s="21" t="s">
        <v>834</v>
      </c>
      <c r="BG402" s="23" t="s">
        <v>78</v>
      </c>
      <c r="BT402" s="41" t="s">
        <v>305</v>
      </c>
      <c r="CG402" s="13" t="s">
        <v>295</v>
      </c>
      <c r="CT402" s="20"/>
      <c r="DG402" s="23" t="s">
        <v>304</v>
      </c>
      <c r="DT402" s="23" t="s">
        <v>300</v>
      </c>
      <c r="EG402" s="13" t="s">
        <v>295</v>
      </c>
      <c r="ET402" s="23" t="s">
        <v>296</v>
      </c>
      <c r="FG402" s="13" t="s">
        <v>294</v>
      </c>
      <c r="FT402" s="23" t="s">
        <v>321</v>
      </c>
      <c r="GG402" s="13" t="s">
        <v>276</v>
      </c>
      <c r="GT402" s="140" t="s">
        <v>3209</v>
      </c>
      <c r="HC402" s="21" t="s">
        <v>3433</v>
      </c>
    </row>
    <row r="403" spans="6:211" ht="26.25" x14ac:dyDescent="0.25">
      <c r="F403" s="13" t="s">
        <v>294</v>
      </c>
      <c r="S403" s="13" t="s">
        <v>295</v>
      </c>
      <c r="AF403" s="23" t="s">
        <v>271</v>
      </c>
      <c r="AT403" s="21" t="s">
        <v>1842</v>
      </c>
      <c r="BG403" s="23" t="s">
        <v>320</v>
      </c>
      <c r="BT403" s="41" t="s">
        <v>306</v>
      </c>
      <c r="CG403" s="23" t="s">
        <v>296</v>
      </c>
      <c r="CT403" s="29" t="s">
        <v>2191</v>
      </c>
      <c r="DG403" s="41" t="s">
        <v>305</v>
      </c>
      <c r="DT403" s="13" t="s">
        <v>301</v>
      </c>
      <c r="EG403" s="23" t="s">
        <v>296</v>
      </c>
      <c r="ET403" s="23" t="s">
        <v>297</v>
      </c>
      <c r="FG403" s="13" t="s">
        <v>295</v>
      </c>
      <c r="FT403" s="23" t="s">
        <v>322</v>
      </c>
      <c r="GG403" s="13" t="s">
        <v>277</v>
      </c>
      <c r="GT403" s="11"/>
      <c r="HC403" s="21" t="s">
        <v>639</v>
      </c>
    </row>
    <row r="404" spans="6:211" x14ac:dyDescent="0.25">
      <c r="F404" s="13" t="s">
        <v>295</v>
      </c>
      <c r="S404" s="23" t="s">
        <v>296</v>
      </c>
      <c r="AF404" s="23" t="s">
        <v>57</v>
      </c>
      <c r="AT404" s="21" t="s">
        <v>632</v>
      </c>
      <c r="BG404" s="23" t="s">
        <v>321</v>
      </c>
      <c r="BT404" s="41" t="s">
        <v>307</v>
      </c>
      <c r="CG404" s="23" t="s">
        <v>297</v>
      </c>
      <c r="CT404" s="20"/>
      <c r="DG404" s="41" t="s">
        <v>306</v>
      </c>
      <c r="DT404" s="23" t="s">
        <v>302</v>
      </c>
      <c r="EG404" s="23" t="s">
        <v>297</v>
      </c>
      <c r="ET404" s="23" t="s">
        <v>298</v>
      </c>
      <c r="FG404" s="23" t="s">
        <v>296</v>
      </c>
      <c r="FT404" s="23" t="s">
        <v>323</v>
      </c>
      <c r="GG404" s="13" t="s">
        <v>278</v>
      </c>
      <c r="GT404" s="13" t="s">
        <v>3210</v>
      </c>
      <c r="HC404" s="20"/>
    </row>
    <row r="405" spans="6:211" ht="26.25" x14ac:dyDescent="0.25">
      <c r="F405" s="23" t="s">
        <v>296</v>
      </c>
      <c r="S405" s="23" t="s">
        <v>297</v>
      </c>
      <c r="AF405" s="41" t="s">
        <v>272</v>
      </c>
      <c r="AT405" s="21" t="s">
        <v>633</v>
      </c>
      <c r="BG405" s="23" t="s">
        <v>322</v>
      </c>
      <c r="BT405" s="41" t="s">
        <v>308</v>
      </c>
      <c r="CG405" s="23" t="s">
        <v>298</v>
      </c>
      <c r="CT405" s="24" t="s">
        <v>2192</v>
      </c>
      <c r="DG405" s="41" t="s">
        <v>307</v>
      </c>
      <c r="DT405" s="41" t="s">
        <v>303</v>
      </c>
      <c r="EG405" s="23" t="s">
        <v>298</v>
      </c>
      <c r="ET405" s="23" t="s">
        <v>299</v>
      </c>
      <c r="FG405" s="23" t="s">
        <v>297</v>
      </c>
      <c r="FT405" s="23" t="s">
        <v>324</v>
      </c>
      <c r="GG405" s="13" t="s">
        <v>279</v>
      </c>
      <c r="GT405" s="11"/>
      <c r="HC405" s="29" t="s">
        <v>3434</v>
      </c>
    </row>
    <row r="406" spans="6:211" x14ac:dyDescent="0.25">
      <c r="F406" s="23" t="s">
        <v>297</v>
      </c>
      <c r="S406" s="23" t="s">
        <v>298</v>
      </c>
      <c r="AF406" s="23" t="s">
        <v>58</v>
      </c>
      <c r="AT406" s="21" t="s">
        <v>1843</v>
      </c>
      <c r="BG406" s="23" t="s">
        <v>323</v>
      </c>
      <c r="BT406" s="41" t="s">
        <v>309</v>
      </c>
      <c r="CG406" s="23" t="s">
        <v>299</v>
      </c>
      <c r="CT406" s="24" t="s">
        <v>262</v>
      </c>
      <c r="DG406" s="41" t="s">
        <v>308</v>
      </c>
      <c r="DT406" s="23" t="s">
        <v>304</v>
      </c>
      <c r="EG406" s="23" t="s">
        <v>299</v>
      </c>
      <c r="ET406" s="23" t="s">
        <v>300</v>
      </c>
      <c r="FG406" s="23" t="s">
        <v>298</v>
      </c>
      <c r="FT406" s="23" t="s">
        <v>325</v>
      </c>
      <c r="GG406" s="23" t="s">
        <v>280</v>
      </c>
      <c r="GT406" s="13" t="s">
        <v>3211</v>
      </c>
      <c r="HC406" s="20"/>
    </row>
    <row r="407" spans="6:211" x14ac:dyDescent="0.25">
      <c r="F407" s="23" t="s">
        <v>298</v>
      </c>
      <c r="S407" s="23" t="s">
        <v>299</v>
      </c>
      <c r="AF407" s="41" t="s">
        <v>273</v>
      </c>
      <c r="AT407" s="21" t="s">
        <v>1839</v>
      </c>
      <c r="BG407" s="23" t="s">
        <v>324</v>
      </c>
      <c r="BT407" s="41" t="s">
        <v>310</v>
      </c>
      <c r="CG407" s="23" t="s">
        <v>300</v>
      </c>
      <c r="CT407" s="24" t="s">
        <v>263</v>
      </c>
      <c r="DG407" s="41" t="s">
        <v>309</v>
      </c>
      <c r="DT407" s="41" t="s">
        <v>305</v>
      </c>
      <c r="EG407" s="23" t="s">
        <v>300</v>
      </c>
      <c r="ET407" s="13" t="s">
        <v>301</v>
      </c>
      <c r="FG407" s="23" t="s">
        <v>299</v>
      </c>
      <c r="FT407" s="23" t="s">
        <v>326</v>
      </c>
      <c r="GG407" s="13" t="s">
        <v>61</v>
      </c>
      <c r="GT407" s="13" t="s">
        <v>3212</v>
      </c>
      <c r="HC407" s="24" t="s">
        <v>3435</v>
      </c>
    </row>
    <row r="408" spans="6:211" x14ac:dyDescent="0.25">
      <c r="F408" s="23" t="s">
        <v>299</v>
      </c>
      <c r="S408" s="23" t="s">
        <v>300</v>
      </c>
      <c r="AF408" s="23" t="s">
        <v>63</v>
      </c>
      <c r="AT408" s="21" t="s">
        <v>57</v>
      </c>
      <c r="BG408" s="23" t="s">
        <v>325</v>
      </c>
      <c r="BT408" s="41" t="s">
        <v>311</v>
      </c>
      <c r="CG408" s="13" t="s">
        <v>301</v>
      </c>
      <c r="CT408" s="24" t="s">
        <v>174</v>
      </c>
      <c r="DG408" s="41" t="s">
        <v>310</v>
      </c>
      <c r="DT408" s="41" t="s">
        <v>306</v>
      </c>
      <c r="EG408" s="13" t="s">
        <v>301</v>
      </c>
      <c r="ET408" s="23" t="s">
        <v>302</v>
      </c>
      <c r="FG408" s="23" t="s">
        <v>300</v>
      </c>
      <c r="FT408" s="23" t="s">
        <v>327</v>
      </c>
      <c r="GG408" s="13" t="s">
        <v>281</v>
      </c>
      <c r="GT408" s="13"/>
      <c r="HC408" s="24" t="s">
        <v>262</v>
      </c>
    </row>
    <row r="409" spans="6:211" x14ac:dyDescent="0.25">
      <c r="F409" s="23" t="s">
        <v>300</v>
      </c>
      <c r="S409" s="13" t="s">
        <v>301</v>
      </c>
      <c r="AF409" s="13" t="s">
        <v>274</v>
      </c>
      <c r="AT409" s="21" t="s">
        <v>1844</v>
      </c>
      <c r="BG409" s="23" t="s">
        <v>326</v>
      </c>
      <c r="BT409" s="41" t="s">
        <v>312</v>
      </c>
      <c r="CG409" s="23" t="s">
        <v>302</v>
      </c>
      <c r="CT409" s="24" t="s">
        <v>264</v>
      </c>
      <c r="DG409" s="41" t="s">
        <v>311</v>
      </c>
      <c r="DT409" s="41" t="s">
        <v>307</v>
      </c>
      <c r="EG409" s="23" t="s">
        <v>302</v>
      </c>
      <c r="ET409" s="41" t="s">
        <v>303</v>
      </c>
      <c r="FG409" s="13" t="s">
        <v>301</v>
      </c>
      <c r="FT409" s="23" t="s">
        <v>328</v>
      </c>
      <c r="GG409" s="13" t="s">
        <v>282</v>
      </c>
      <c r="GT409" s="13" t="s">
        <v>3213</v>
      </c>
      <c r="HC409" s="24" t="s">
        <v>2899</v>
      </c>
    </row>
    <row r="410" spans="6:211" x14ac:dyDescent="0.25">
      <c r="F410" s="13" t="s">
        <v>301</v>
      </c>
      <c r="S410" s="23" t="s">
        <v>302</v>
      </c>
      <c r="AF410" s="13" t="s">
        <v>275</v>
      </c>
      <c r="AT410" s="21" t="s">
        <v>1759</v>
      </c>
      <c r="BG410" s="23" t="s">
        <v>327</v>
      </c>
      <c r="BT410" s="41" t="s">
        <v>313</v>
      </c>
      <c r="CG410" s="41" t="s">
        <v>303</v>
      </c>
      <c r="CT410" s="13" t="s">
        <v>89</v>
      </c>
      <c r="DG410" s="41" t="s">
        <v>312</v>
      </c>
      <c r="DT410" s="41" t="s">
        <v>308</v>
      </c>
      <c r="EG410" s="41" t="s">
        <v>303</v>
      </c>
      <c r="ET410" s="23" t="s">
        <v>304</v>
      </c>
      <c r="FG410" s="23" t="s">
        <v>302</v>
      </c>
      <c r="FT410" s="23" t="s">
        <v>329</v>
      </c>
      <c r="GG410" s="13" t="s">
        <v>283</v>
      </c>
      <c r="GT410" s="13" t="s">
        <v>3214</v>
      </c>
      <c r="HC410" s="24" t="s">
        <v>2862</v>
      </c>
    </row>
    <row r="411" spans="6:211" x14ac:dyDescent="0.25">
      <c r="F411" s="23" t="s">
        <v>302</v>
      </c>
      <c r="S411" s="41" t="s">
        <v>303</v>
      </c>
      <c r="AF411" s="13" t="s">
        <v>276</v>
      </c>
      <c r="AT411" s="21" t="s">
        <v>58</v>
      </c>
      <c r="BG411" s="23" t="s">
        <v>328</v>
      </c>
      <c r="BT411" s="41" t="s">
        <v>314</v>
      </c>
      <c r="CG411" s="23" t="s">
        <v>304</v>
      </c>
      <c r="CT411" s="23" t="s">
        <v>265</v>
      </c>
      <c r="DG411" s="41" t="s">
        <v>313</v>
      </c>
      <c r="DT411" s="41" t="s">
        <v>309</v>
      </c>
      <c r="EG411" s="23" t="s">
        <v>304</v>
      </c>
      <c r="ET411" s="41" t="s">
        <v>305</v>
      </c>
      <c r="FG411" s="41" t="s">
        <v>303</v>
      </c>
      <c r="FT411" s="23" t="s">
        <v>330</v>
      </c>
      <c r="GG411" s="13" t="s">
        <v>284</v>
      </c>
      <c r="GT411" s="13"/>
      <c r="HC411" s="24" t="s">
        <v>2900</v>
      </c>
    </row>
    <row r="412" spans="6:211" x14ac:dyDescent="0.25">
      <c r="F412" s="41" t="s">
        <v>303</v>
      </c>
      <c r="S412" s="23" t="s">
        <v>304</v>
      </c>
      <c r="AF412" s="13" t="s">
        <v>277</v>
      </c>
      <c r="AT412" s="21" t="s">
        <v>1845</v>
      </c>
      <c r="BG412" s="23" t="s">
        <v>329</v>
      </c>
      <c r="BT412" s="41" t="s">
        <v>315</v>
      </c>
      <c r="CG412" s="41" t="s">
        <v>305</v>
      </c>
      <c r="CT412" s="23" t="s">
        <v>266</v>
      </c>
      <c r="DG412" s="41" t="s">
        <v>314</v>
      </c>
      <c r="DT412" s="41" t="s">
        <v>310</v>
      </c>
      <c r="EG412" s="41" t="s">
        <v>305</v>
      </c>
      <c r="ET412" s="41" t="s">
        <v>306</v>
      </c>
      <c r="FG412" s="23" t="s">
        <v>304</v>
      </c>
      <c r="FT412" s="23" t="s">
        <v>331</v>
      </c>
      <c r="GG412" s="13" t="s">
        <v>62</v>
      </c>
      <c r="GT412" s="13" t="s">
        <v>3215</v>
      </c>
      <c r="HC412" s="13" t="s">
        <v>89</v>
      </c>
    </row>
    <row r="413" spans="6:211" x14ac:dyDescent="0.25">
      <c r="F413" s="23" t="s">
        <v>304</v>
      </c>
      <c r="S413" s="41" t="s">
        <v>305</v>
      </c>
      <c r="AF413" s="13" t="s">
        <v>278</v>
      </c>
      <c r="AT413" s="21" t="s">
        <v>961</v>
      </c>
      <c r="BG413" s="23" t="s">
        <v>330</v>
      </c>
      <c r="BT413" s="41" t="s">
        <v>316</v>
      </c>
      <c r="CG413" s="41" t="s">
        <v>306</v>
      </c>
      <c r="CT413" s="13" t="s">
        <v>267</v>
      </c>
      <c r="DG413" s="41" t="s">
        <v>315</v>
      </c>
      <c r="DT413" s="41" t="s">
        <v>311</v>
      </c>
      <c r="EG413" s="41" t="s">
        <v>306</v>
      </c>
      <c r="ET413" s="41" t="s">
        <v>307</v>
      </c>
      <c r="FG413" s="41" t="s">
        <v>305</v>
      </c>
      <c r="FT413" s="23" t="s">
        <v>332</v>
      </c>
      <c r="GG413" s="13" t="s">
        <v>285</v>
      </c>
      <c r="GT413" s="13" t="s">
        <v>3216</v>
      </c>
      <c r="HC413" s="23" t="s">
        <v>2901</v>
      </c>
    </row>
    <row r="414" spans="6:211" x14ac:dyDescent="0.25">
      <c r="F414" s="41" t="s">
        <v>305</v>
      </c>
      <c r="S414" s="41" t="s">
        <v>306</v>
      </c>
      <c r="AF414" s="13" t="s">
        <v>279</v>
      </c>
      <c r="AT414" s="21" t="s">
        <v>1571</v>
      </c>
      <c r="BG414" s="23" t="s">
        <v>331</v>
      </c>
      <c r="BT414" s="23" t="s">
        <v>317</v>
      </c>
      <c r="CG414" s="41" t="s">
        <v>307</v>
      </c>
      <c r="CT414" s="13" t="s">
        <v>268</v>
      </c>
      <c r="DG414" s="41" t="s">
        <v>316</v>
      </c>
      <c r="DT414" s="41" t="s">
        <v>312</v>
      </c>
      <c r="EG414" s="41" t="s">
        <v>307</v>
      </c>
      <c r="ET414" s="41" t="s">
        <v>308</v>
      </c>
      <c r="FG414" s="41" t="s">
        <v>306</v>
      </c>
      <c r="FT414" s="23" t="s">
        <v>333</v>
      </c>
      <c r="GG414" s="13" t="s">
        <v>286</v>
      </c>
      <c r="GT414" s="13"/>
      <c r="HC414" s="23" t="s">
        <v>2902</v>
      </c>
    </row>
    <row r="415" spans="6:211" x14ac:dyDescent="0.25">
      <c r="F415" s="41" t="s">
        <v>306</v>
      </c>
      <c r="S415" s="41" t="s">
        <v>307</v>
      </c>
      <c r="AF415" s="23" t="s">
        <v>280</v>
      </c>
      <c r="AT415" s="21" t="s">
        <v>1846</v>
      </c>
      <c r="BG415" s="23" t="s">
        <v>332</v>
      </c>
      <c r="BT415" s="41" t="s">
        <v>318</v>
      </c>
      <c r="CG415" s="41" t="s">
        <v>308</v>
      </c>
      <c r="CT415" s="13" t="s">
        <v>269</v>
      </c>
      <c r="DG415" s="23" t="s">
        <v>317</v>
      </c>
      <c r="DT415" s="41" t="s">
        <v>313</v>
      </c>
      <c r="EG415" s="41" t="s">
        <v>308</v>
      </c>
      <c r="ET415" s="41" t="s">
        <v>309</v>
      </c>
      <c r="FG415" s="41" t="s">
        <v>307</v>
      </c>
      <c r="FT415" s="23" t="s">
        <v>334</v>
      </c>
      <c r="GG415" s="13" t="s">
        <v>287</v>
      </c>
      <c r="GT415" s="13" t="s">
        <v>3217</v>
      </c>
      <c r="HC415" s="13" t="s">
        <v>2903</v>
      </c>
    </row>
    <row r="416" spans="6:211" x14ac:dyDescent="0.25">
      <c r="F416" s="41" t="s">
        <v>307</v>
      </c>
      <c r="S416" s="41" t="s">
        <v>308</v>
      </c>
      <c r="AF416" s="13" t="s">
        <v>61</v>
      </c>
      <c r="AT416" s="21" t="s">
        <v>1452</v>
      </c>
      <c r="BG416" s="23" t="s">
        <v>333</v>
      </c>
      <c r="BT416" s="23" t="s">
        <v>319</v>
      </c>
      <c r="CG416" s="41" t="s">
        <v>309</v>
      </c>
      <c r="CT416" s="13" t="s">
        <v>270</v>
      </c>
      <c r="DG416" s="41" t="s">
        <v>318</v>
      </c>
      <c r="DT416" s="41" t="s">
        <v>314</v>
      </c>
      <c r="EG416" s="41" t="s">
        <v>309</v>
      </c>
      <c r="ET416" s="41" t="s">
        <v>310</v>
      </c>
      <c r="FG416" s="41" t="s">
        <v>308</v>
      </c>
      <c r="FT416" s="23" t="s">
        <v>335</v>
      </c>
      <c r="GG416" s="13" t="s">
        <v>288</v>
      </c>
      <c r="GT416" s="13" t="s">
        <v>3218</v>
      </c>
      <c r="HC416" s="13" t="s">
        <v>2904</v>
      </c>
    </row>
    <row r="417" spans="6:211" x14ac:dyDescent="0.25">
      <c r="F417" s="41" t="s">
        <v>308</v>
      </c>
      <c r="S417" s="41" t="s">
        <v>309</v>
      </c>
      <c r="AF417" s="13" t="s">
        <v>281</v>
      </c>
      <c r="AT417" s="21" t="s">
        <v>623</v>
      </c>
      <c r="BG417" s="23" t="s">
        <v>334</v>
      </c>
      <c r="BT417" s="23" t="s">
        <v>78</v>
      </c>
      <c r="CG417" s="41" t="s">
        <v>310</v>
      </c>
      <c r="CT417" s="23" t="s">
        <v>271</v>
      </c>
      <c r="DG417" s="23" t="s">
        <v>319</v>
      </c>
      <c r="DT417" s="41" t="s">
        <v>315</v>
      </c>
      <c r="EG417" s="41" t="s">
        <v>310</v>
      </c>
      <c r="ET417" s="41" t="s">
        <v>311</v>
      </c>
      <c r="FG417" s="41" t="s">
        <v>309</v>
      </c>
      <c r="FT417" s="23" t="s">
        <v>336</v>
      </c>
      <c r="GG417" s="23" t="s">
        <v>289</v>
      </c>
      <c r="GT417" s="13"/>
      <c r="HC417" s="13" t="s">
        <v>2905</v>
      </c>
    </row>
    <row r="418" spans="6:211" x14ac:dyDescent="0.25">
      <c r="F418" s="41" t="s">
        <v>309</v>
      </c>
      <c r="S418" s="41" t="s">
        <v>310</v>
      </c>
      <c r="AF418" s="13" t="s">
        <v>282</v>
      </c>
      <c r="AT418" s="21" t="s">
        <v>1847</v>
      </c>
      <c r="BG418" s="23" t="s">
        <v>335</v>
      </c>
      <c r="BT418" s="23" t="s">
        <v>320</v>
      </c>
      <c r="CG418" s="41" t="s">
        <v>311</v>
      </c>
      <c r="CT418" s="23" t="s">
        <v>57</v>
      </c>
      <c r="DG418" s="23" t="s">
        <v>78</v>
      </c>
      <c r="DT418" s="41" t="s">
        <v>316</v>
      </c>
      <c r="EG418" s="41" t="s">
        <v>311</v>
      </c>
      <c r="ET418" s="41" t="s">
        <v>312</v>
      </c>
      <c r="FG418" s="41" t="s">
        <v>310</v>
      </c>
      <c r="FT418" s="23" t="s">
        <v>337</v>
      </c>
      <c r="GG418" s="23" t="s">
        <v>46</v>
      </c>
      <c r="GT418" s="13" t="s">
        <v>2414</v>
      </c>
      <c r="HC418" s="13" t="s">
        <v>2906</v>
      </c>
    </row>
    <row r="419" spans="6:211" x14ac:dyDescent="0.25">
      <c r="F419" s="41" t="s">
        <v>310</v>
      </c>
      <c r="S419" s="41" t="s">
        <v>311</v>
      </c>
      <c r="AF419" s="13" t="s">
        <v>283</v>
      </c>
      <c r="AT419" s="21" t="s">
        <v>636</v>
      </c>
      <c r="BG419" s="23" t="s">
        <v>336</v>
      </c>
      <c r="BT419" s="23" t="s">
        <v>321</v>
      </c>
      <c r="CG419" s="41" t="s">
        <v>312</v>
      </c>
      <c r="CT419" s="41" t="s">
        <v>272</v>
      </c>
      <c r="DG419" s="23" t="s">
        <v>320</v>
      </c>
      <c r="DT419" s="23" t="s">
        <v>317</v>
      </c>
      <c r="EG419" s="41" t="s">
        <v>312</v>
      </c>
      <c r="ET419" s="41" t="s">
        <v>313</v>
      </c>
      <c r="FG419" s="41" t="s">
        <v>311</v>
      </c>
      <c r="FT419" s="23" t="s">
        <v>338</v>
      </c>
      <c r="GG419" s="13" t="s">
        <v>290</v>
      </c>
      <c r="GT419" s="11"/>
      <c r="HC419" s="23" t="s">
        <v>2907</v>
      </c>
    </row>
    <row r="420" spans="6:211" ht="18" x14ac:dyDescent="0.25">
      <c r="F420" s="41" t="s">
        <v>311</v>
      </c>
      <c r="S420" s="41" t="s">
        <v>312</v>
      </c>
      <c r="AF420" s="13" t="s">
        <v>284</v>
      </c>
      <c r="AT420" s="21" t="s">
        <v>1848</v>
      </c>
      <c r="BG420" s="23" t="s">
        <v>337</v>
      </c>
      <c r="BT420" s="23" t="s">
        <v>322</v>
      </c>
      <c r="CG420" s="41" t="s">
        <v>313</v>
      </c>
      <c r="CT420" s="23" t="s">
        <v>58</v>
      </c>
      <c r="DG420" s="23" t="s">
        <v>321</v>
      </c>
      <c r="DT420" s="41" t="s">
        <v>318</v>
      </c>
      <c r="EG420" s="41" t="s">
        <v>313</v>
      </c>
      <c r="ET420" s="41" t="s">
        <v>314</v>
      </c>
      <c r="FG420" s="41" t="s">
        <v>312</v>
      </c>
      <c r="FT420" s="23" t="s">
        <v>339</v>
      </c>
      <c r="GG420" s="13" t="s">
        <v>291</v>
      </c>
      <c r="GT420" s="140" t="s">
        <v>3219</v>
      </c>
      <c r="HC420" s="23" t="s">
        <v>57</v>
      </c>
    </row>
    <row r="421" spans="6:211" x14ac:dyDescent="0.25">
      <c r="F421" s="41" t="s">
        <v>312</v>
      </c>
      <c r="S421" s="41" t="s">
        <v>313</v>
      </c>
      <c r="AF421" s="13" t="s">
        <v>62</v>
      </c>
      <c r="AT421" s="21" t="s">
        <v>1849</v>
      </c>
      <c r="BG421" s="23" t="s">
        <v>338</v>
      </c>
      <c r="BT421" s="23" t="s">
        <v>323</v>
      </c>
      <c r="CG421" s="41" t="s">
        <v>314</v>
      </c>
      <c r="CT421" s="41" t="s">
        <v>273</v>
      </c>
      <c r="DG421" s="23" t="s">
        <v>322</v>
      </c>
      <c r="DT421" s="23" t="s">
        <v>319</v>
      </c>
      <c r="EG421" s="41" t="s">
        <v>314</v>
      </c>
      <c r="ET421" s="41" t="s">
        <v>315</v>
      </c>
      <c r="FG421" s="41" t="s">
        <v>313</v>
      </c>
      <c r="FT421" s="23" t="s">
        <v>340</v>
      </c>
      <c r="GG421" s="13" t="s">
        <v>292</v>
      </c>
      <c r="GT421" s="11"/>
      <c r="HC421" s="41" t="s">
        <v>2908</v>
      </c>
    </row>
    <row r="422" spans="6:211" x14ac:dyDescent="0.25">
      <c r="F422" s="41" t="s">
        <v>313</v>
      </c>
      <c r="S422" s="41" t="s">
        <v>314</v>
      </c>
      <c r="AF422" s="13" t="s">
        <v>285</v>
      </c>
      <c r="AT422" s="21" t="s">
        <v>727</v>
      </c>
      <c r="BG422" s="23" t="s">
        <v>339</v>
      </c>
      <c r="BT422" s="23" t="s">
        <v>324</v>
      </c>
      <c r="CG422" s="41" t="s">
        <v>315</v>
      </c>
      <c r="CT422" s="23" t="s">
        <v>63</v>
      </c>
      <c r="DG422" s="23" t="s">
        <v>323</v>
      </c>
      <c r="DT422" s="23" t="s">
        <v>78</v>
      </c>
      <c r="EG422" s="41" t="s">
        <v>315</v>
      </c>
      <c r="ET422" s="41" t="s">
        <v>316</v>
      </c>
      <c r="FG422" s="41" t="s">
        <v>314</v>
      </c>
      <c r="FT422" s="23" t="s">
        <v>341</v>
      </c>
      <c r="GG422" s="13" t="s">
        <v>64</v>
      </c>
      <c r="GT422" s="11" t="s">
        <v>3220</v>
      </c>
      <c r="HC422" s="23" t="s">
        <v>58</v>
      </c>
    </row>
    <row r="423" spans="6:211" x14ac:dyDescent="0.25">
      <c r="F423" s="41" t="s">
        <v>314</v>
      </c>
      <c r="S423" s="41" t="s">
        <v>315</v>
      </c>
      <c r="AF423" s="13" t="s">
        <v>286</v>
      </c>
      <c r="AT423" s="20"/>
      <c r="BG423" s="23" t="s">
        <v>340</v>
      </c>
      <c r="BT423" s="23" t="s">
        <v>325</v>
      </c>
      <c r="CG423" s="41" t="s">
        <v>316</v>
      </c>
      <c r="CT423" s="13" t="s">
        <v>274</v>
      </c>
      <c r="DG423" s="23" t="s">
        <v>324</v>
      </c>
      <c r="DT423" s="23" t="s">
        <v>320</v>
      </c>
      <c r="EG423" s="41" t="s">
        <v>316</v>
      </c>
      <c r="ET423" s="23" t="s">
        <v>317</v>
      </c>
      <c r="FG423" s="41" t="s">
        <v>315</v>
      </c>
      <c r="FT423" s="23" t="s">
        <v>342</v>
      </c>
      <c r="GG423" s="13" t="s">
        <v>53</v>
      </c>
      <c r="GT423" s="11"/>
      <c r="HC423" s="41" t="s">
        <v>2909</v>
      </c>
    </row>
    <row r="424" spans="6:211" ht="26.25" x14ac:dyDescent="0.25">
      <c r="F424" s="41" t="s">
        <v>315</v>
      </c>
      <c r="S424" s="41" t="s">
        <v>316</v>
      </c>
      <c r="AF424" s="13" t="s">
        <v>287</v>
      </c>
      <c r="AT424" s="29" t="s">
        <v>1850</v>
      </c>
      <c r="BG424" s="23" t="s">
        <v>341</v>
      </c>
      <c r="BT424" s="23" t="s">
        <v>326</v>
      </c>
      <c r="CG424" s="23" t="s">
        <v>317</v>
      </c>
      <c r="CT424" s="13" t="s">
        <v>275</v>
      </c>
      <c r="DG424" s="23" t="s">
        <v>325</v>
      </c>
      <c r="DT424" s="23" t="s">
        <v>321</v>
      </c>
      <c r="EG424" s="23" t="s">
        <v>317</v>
      </c>
      <c r="ET424" s="41" t="s">
        <v>318</v>
      </c>
      <c r="FG424" s="41" t="s">
        <v>316</v>
      </c>
      <c r="FT424" s="23" t="s">
        <v>343</v>
      </c>
      <c r="GG424" s="13" t="s">
        <v>293</v>
      </c>
      <c r="GT424" s="11" t="s">
        <v>3221</v>
      </c>
      <c r="HC424" s="23" t="s">
        <v>2910</v>
      </c>
    </row>
    <row r="425" spans="6:211" x14ac:dyDescent="0.25">
      <c r="F425" s="41" t="s">
        <v>316</v>
      </c>
      <c r="S425" s="23" t="s">
        <v>317</v>
      </c>
      <c r="AF425" s="13" t="s">
        <v>288</v>
      </c>
      <c r="AT425" s="20"/>
      <c r="BG425" s="23" t="s">
        <v>342</v>
      </c>
      <c r="BT425" s="23" t="s">
        <v>327</v>
      </c>
      <c r="CG425" s="41" t="s">
        <v>318</v>
      </c>
      <c r="CT425" s="13" t="s">
        <v>276</v>
      </c>
      <c r="DG425" s="23" t="s">
        <v>326</v>
      </c>
      <c r="DT425" s="23" t="s">
        <v>322</v>
      </c>
      <c r="EG425" s="41" t="s">
        <v>318</v>
      </c>
      <c r="ET425" s="23" t="s">
        <v>319</v>
      </c>
      <c r="FG425" s="23" t="s">
        <v>317</v>
      </c>
      <c r="FT425" s="23" t="s">
        <v>344</v>
      </c>
      <c r="GG425" s="13" t="s">
        <v>65</v>
      </c>
      <c r="GT425" s="22" t="s">
        <v>3222</v>
      </c>
      <c r="HC425" s="13" t="s">
        <v>2911</v>
      </c>
    </row>
    <row r="426" spans="6:211" x14ac:dyDescent="0.25">
      <c r="F426" s="23" t="s">
        <v>317</v>
      </c>
      <c r="S426" s="41" t="s">
        <v>318</v>
      </c>
      <c r="AF426" s="23" t="s">
        <v>289</v>
      </c>
      <c r="AT426" s="24" t="s">
        <v>1851</v>
      </c>
      <c r="BG426" s="23" t="s">
        <v>343</v>
      </c>
      <c r="BT426" s="23" t="s">
        <v>328</v>
      </c>
      <c r="CG426" s="23" t="s">
        <v>319</v>
      </c>
      <c r="CT426" s="13" t="s">
        <v>277</v>
      </c>
      <c r="DG426" s="23" t="s">
        <v>327</v>
      </c>
      <c r="DT426" s="23" t="s">
        <v>323</v>
      </c>
      <c r="EG426" s="23" t="s">
        <v>319</v>
      </c>
      <c r="ET426" s="23" t="s">
        <v>78</v>
      </c>
      <c r="FG426" s="41" t="s">
        <v>318</v>
      </c>
      <c r="FT426" s="23" t="s">
        <v>345</v>
      </c>
      <c r="GG426" s="13" t="s">
        <v>294</v>
      </c>
      <c r="GT426" s="22" t="s">
        <v>3223</v>
      </c>
      <c r="HC426" s="13" t="s">
        <v>2912</v>
      </c>
    </row>
    <row r="427" spans="6:211" x14ac:dyDescent="0.25">
      <c r="F427" s="41" t="s">
        <v>318</v>
      </c>
      <c r="S427" s="23" t="s">
        <v>319</v>
      </c>
      <c r="AF427" s="23" t="s">
        <v>46</v>
      </c>
      <c r="AT427" s="24" t="s">
        <v>262</v>
      </c>
      <c r="BG427" s="23" t="s">
        <v>344</v>
      </c>
      <c r="BT427" s="23" t="s">
        <v>329</v>
      </c>
      <c r="CG427" s="23" t="s">
        <v>78</v>
      </c>
      <c r="CT427" s="13" t="s">
        <v>278</v>
      </c>
      <c r="DG427" s="23" t="s">
        <v>328</v>
      </c>
      <c r="DT427" s="23" t="s">
        <v>324</v>
      </c>
      <c r="EG427" s="23" t="s">
        <v>78</v>
      </c>
      <c r="ET427" s="23" t="s">
        <v>320</v>
      </c>
      <c r="FG427" s="23" t="s">
        <v>319</v>
      </c>
      <c r="FT427" s="23" t="s">
        <v>346</v>
      </c>
      <c r="GG427" s="13" t="s">
        <v>295</v>
      </c>
      <c r="GT427" s="22" t="s">
        <v>834</v>
      </c>
      <c r="HC427" s="13" t="s">
        <v>2913</v>
      </c>
    </row>
    <row r="428" spans="6:211" x14ac:dyDescent="0.25">
      <c r="F428" s="23" t="s">
        <v>319</v>
      </c>
      <c r="S428" s="23" t="s">
        <v>78</v>
      </c>
      <c r="AF428" s="13" t="s">
        <v>290</v>
      </c>
      <c r="AT428" s="24" t="s">
        <v>263</v>
      </c>
      <c r="BG428" s="23" t="s">
        <v>345</v>
      </c>
      <c r="BT428" s="23" t="s">
        <v>330</v>
      </c>
      <c r="CG428" s="23" t="s">
        <v>320</v>
      </c>
      <c r="CT428" s="13" t="s">
        <v>279</v>
      </c>
      <c r="DG428" s="23" t="s">
        <v>329</v>
      </c>
      <c r="DT428" s="23" t="s">
        <v>325</v>
      </c>
      <c r="EG428" s="23" t="s">
        <v>320</v>
      </c>
      <c r="ET428" s="23" t="s">
        <v>321</v>
      </c>
      <c r="FG428" s="23" t="s">
        <v>78</v>
      </c>
      <c r="FT428" s="23" t="s">
        <v>347</v>
      </c>
      <c r="GG428" s="23" t="s">
        <v>296</v>
      </c>
      <c r="GT428" s="11" t="s">
        <v>47</v>
      </c>
      <c r="HC428" s="13" t="s">
        <v>2914</v>
      </c>
    </row>
    <row r="429" spans="6:211" x14ac:dyDescent="0.25">
      <c r="F429" s="23" t="s">
        <v>78</v>
      </c>
      <c r="S429" s="23" t="s">
        <v>320</v>
      </c>
      <c r="AF429" s="13" t="s">
        <v>291</v>
      </c>
      <c r="AT429" s="24" t="s">
        <v>174</v>
      </c>
      <c r="BG429" s="23" t="s">
        <v>346</v>
      </c>
      <c r="BT429" s="23" t="s">
        <v>331</v>
      </c>
      <c r="CG429" s="23" t="s">
        <v>321</v>
      </c>
      <c r="CT429" s="23" t="s">
        <v>280</v>
      </c>
      <c r="DG429" s="23" t="s">
        <v>330</v>
      </c>
      <c r="DT429" s="23" t="s">
        <v>326</v>
      </c>
      <c r="EG429" s="23" t="s">
        <v>321</v>
      </c>
      <c r="ET429" s="23" t="s">
        <v>322</v>
      </c>
      <c r="FG429" s="23" t="s">
        <v>320</v>
      </c>
      <c r="FT429" s="23" t="s">
        <v>54</v>
      </c>
      <c r="GG429" s="23" t="s">
        <v>297</v>
      </c>
      <c r="GT429" s="22" t="s">
        <v>3224</v>
      </c>
      <c r="HC429" s="13" t="s">
        <v>2915</v>
      </c>
    </row>
    <row r="430" spans="6:211" x14ac:dyDescent="0.25">
      <c r="F430" s="23" t="s">
        <v>320</v>
      </c>
      <c r="S430" s="23" t="s">
        <v>321</v>
      </c>
      <c r="AF430" s="13" t="s">
        <v>292</v>
      </c>
      <c r="AT430" s="24" t="s">
        <v>264</v>
      </c>
      <c r="BG430" s="23" t="s">
        <v>347</v>
      </c>
      <c r="BT430" s="23" t="s">
        <v>332</v>
      </c>
      <c r="CG430" s="23" t="s">
        <v>322</v>
      </c>
      <c r="CT430" s="13" t="s">
        <v>61</v>
      </c>
      <c r="DG430" s="23" t="s">
        <v>331</v>
      </c>
      <c r="DT430" s="23" t="s">
        <v>327</v>
      </c>
      <c r="EG430" s="23" t="s">
        <v>322</v>
      </c>
      <c r="ET430" s="23" t="s">
        <v>323</v>
      </c>
      <c r="FG430" s="23" t="s">
        <v>321</v>
      </c>
      <c r="FT430" s="23" t="s">
        <v>348</v>
      </c>
      <c r="GG430" s="23" t="s">
        <v>298</v>
      </c>
      <c r="GT430" s="22" t="s">
        <v>3225</v>
      </c>
      <c r="HC430" s="13" t="s">
        <v>279</v>
      </c>
    </row>
    <row r="431" spans="6:211" x14ac:dyDescent="0.25">
      <c r="F431" s="23" t="s">
        <v>321</v>
      </c>
      <c r="S431" s="23" t="s">
        <v>322</v>
      </c>
      <c r="AF431" s="13" t="s">
        <v>64</v>
      </c>
      <c r="AT431" s="13" t="s">
        <v>89</v>
      </c>
      <c r="BG431" s="23" t="s">
        <v>54</v>
      </c>
      <c r="BT431" s="23" t="s">
        <v>333</v>
      </c>
      <c r="CG431" s="23" t="s">
        <v>323</v>
      </c>
      <c r="CT431" s="13" t="s">
        <v>281</v>
      </c>
      <c r="DG431" s="23" t="s">
        <v>332</v>
      </c>
      <c r="DT431" s="23" t="s">
        <v>328</v>
      </c>
      <c r="EG431" s="23" t="s">
        <v>323</v>
      </c>
      <c r="ET431" s="23" t="s">
        <v>324</v>
      </c>
      <c r="FG431" s="23" t="s">
        <v>322</v>
      </c>
      <c r="FT431" s="23" t="s">
        <v>349</v>
      </c>
      <c r="GG431" s="23" t="s">
        <v>299</v>
      </c>
      <c r="GT431" s="22" t="s">
        <v>3226</v>
      </c>
      <c r="HC431" s="23" t="s">
        <v>2916</v>
      </c>
    </row>
    <row r="432" spans="6:211" x14ac:dyDescent="0.25">
      <c r="F432" s="23" t="s">
        <v>322</v>
      </c>
      <c r="S432" s="23" t="s">
        <v>323</v>
      </c>
      <c r="AF432" s="13" t="s">
        <v>53</v>
      </c>
      <c r="AT432" s="23" t="s">
        <v>265</v>
      </c>
      <c r="BG432" s="23" t="s">
        <v>348</v>
      </c>
      <c r="BT432" s="23" t="s">
        <v>334</v>
      </c>
      <c r="CG432" s="23" t="s">
        <v>324</v>
      </c>
      <c r="CT432" s="13" t="s">
        <v>282</v>
      </c>
      <c r="DG432" s="23" t="s">
        <v>333</v>
      </c>
      <c r="DT432" s="23" t="s">
        <v>329</v>
      </c>
      <c r="EG432" s="23" t="s">
        <v>324</v>
      </c>
      <c r="ET432" s="23" t="s">
        <v>325</v>
      </c>
      <c r="FG432" s="23" t="s">
        <v>323</v>
      </c>
      <c r="FT432" s="23" t="s">
        <v>350</v>
      </c>
      <c r="GG432" s="23" t="s">
        <v>300</v>
      </c>
      <c r="GT432" s="22" t="s">
        <v>3227</v>
      </c>
      <c r="HC432" s="13" t="s">
        <v>2917</v>
      </c>
    </row>
    <row r="433" spans="6:211" x14ac:dyDescent="0.25">
      <c r="F433" s="23" t="s">
        <v>323</v>
      </c>
      <c r="S433" s="23" t="s">
        <v>324</v>
      </c>
      <c r="AF433" s="13" t="s">
        <v>293</v>
      </c>
      <c r="AT433" s="23" t="s">
        <v>266</v>
      </c>
      <c r="BG433" s="23" t="s">
        <v>349</v>
      </c>
      <c r="BT433" s="23" t="s">
        <v>335</v>
      </c>
      <c r="CG433" s="23" t="s">
        <v>325</v>
      </c>
      <c r="CT433" s="13" t="s">
        <v>283</v>
      </c>
      <c r="DG433" s="23" t="s">
        <v>334</v>
      </c>
      <c r="DT433" s="23" t="s">
        <v>330</v>
      </c>
      <c r="EG433" s="23" t="s">
        <v>325</v>
      </c>
      <c r="ET433" s="23" t="s">
        <v>326</v>
      </c>
      <c r="FG433" s="23" t="s">
        <v>324</v>
      </c>
      <c r="FT433" s="23" t="s">
        <v>351</v>
      </c>
      <c r="GG433" s="13" t="s">
        <v>301</v>
      </c>
      <c r="GT433" s="22" t="s">
        <v>3228</v>
      </c>
      <c r="HC433" s="13" t="s">
        <v>2918</v>
      </c>
    </row>
    <row r="434" spans="6:211" x14ac:dyDescent="0.25">
      <c r="F434" s="23" t="s">
        <v>324</v>
      </c>
      <c r="S434" s="23" t="s">
        <v>325</v>
      </c>
      <c r="AF434" s="13" t="s">
        <v>65</v>
      </c>
      <c r="AT434" s="13" t="s">
        <v>267</v>
      </c>
      <c r="BG434" s="23" t="s">
        <v>350</v>
      </c>
      <c r="BT434" s="23" t="s">
        <v>336</v>
      </c>
      <c r="CG434" s="23" t="s">
        <v>326</v>
      </c>
      <c r="CT434" s="13" t="s">
        <v>284</v>
      </c>
      <c r="DG434" s="23" t="s">
        <v>335</v>
      </c>
      <c r="DT434" s="23" t="s">
        <v>331</v>
      </c>
      <c r="EG434" s="23" t="s">
        <v>326</v>
      </c>
      <c r="ET434" s="23" t="s">
        <v>327</v>
      </c>
      <c r="FG434" s="23" t="s">
        <v>325</v>
      </c>
      <c r="FT434" s="23" t="s">
        <v>352</v>
      </c>
      <c r="GG434" s="23" t="s">
        <v>302</v>
      </c>
      <c r="GT434" s="22" t="s">
        <v>3229</v>
      </c>
      <c r="HC434" s="13" t="s">
        <v>2919</v>
      </c>
    </row>
    <row r="435" spans="6:211" x14ac:dyDescent="0.25">
      <c r="F435" s="23" t="s">
        <v>325</v>
      </c>
      <c r="S435" s="23" t="s">
        <v>326</v>
      </c>
      <c r="AF435" s="13" t="s">
        <v>294</v>
      </c>
      <c r="AT435" s="13" t="s">
        <v>268</v>
      </c>
      <c r="BG435" s="23" t="s">
        <v>351</v>
      </c>
      <c r="BT435" s="23" t="s">
        <v>337</v>
      </c>
      <c r="CG435" s="23" t="s">
        <v>327</v>
      </c>
      <c r="CT435" s="13" t="s">
        <v>62</v>
      </c>
      <c r="DG435" s="23" t="s">
        <v>336</v>
      </c>
      <c r="DT435" s="23" t="s">
        <v>332</v>
      </c>
      <c r="EG435" s="23" t="s">
        <v>327</v>
      </c>
      <c r="ET435" s="23" t="s">
        <v>328</v>
      </c>
      <c r="FG435" s="23" t="s">
        <v>326</v>
      </c>
      <c r="FT435" s="23" t="s">
        <v>353</v>
      </c>
      <c r="GG435" s="41" t="s">
        <v>303</v>
      </c>
      <c r="GT435" s="22" t="s">
        <v>3230</v>
      </c>
      <c r="HC435" s="13" t="s">
        <v>2920</v>
      </c>
    </row>
    <row r="436" spans="6:211" x14ac:dyDescent="0.25">
      <c r="F436" s="23" t="s">
        <v>326</v>
      </c>
      <c r="S436" s="23" t="s">
        <v>327</v>
      </c>
      <c r="AF436" s="13" t="s">
        <v>295</v>
      </c>
      <c r="AT436" s="13" t="s">
        <v>269</v>
      </c>
      <c r="BG436" s="23" t="s">
        <v>352</v>
      </c>
      <c r="BT436" s="23" t="s">
        <v>338</v>
      </c>
      <c r="CG436" s="23" t="s">
        <v>328</v>
      </c>
      <c r="CT436" s="13" t="s">
        <v>285</v>
      </c>
      <c r="DG436" s="23" t="s">
        <v>337</v>
      </c>
      <c r="DT436" s="23" t="s">
        <v>333</v>
      </c>
      <c r="EG436" s="23" t="s">
        <v>328</v>
      </c>
      <c r="ET436" s="23" t="s">
        <v>329</v>
      </c>
      <c r="FG436" s="23" t="s">
        <v>327</v>
      </c>
      <c r="FT436" s="23" t="s">
        <v>354</v>
      </c>
      <c r="GG436" s="23" t="s">
        <v>304</v>
      </c>
      <c r="GT436" s="11" t="s">
        <v>3231</v>
      </c>
      <c r="HC436" s="13" t="s">
        <v>2921</v>
      </c>
    </row>
    <row r="437" spans="6:211" x14ac:dyDescent="0.25">
      <c r="F437" s="23" t="s">
        <v>327</v>
      </c>
      <c r="S437" s="23" t="s">
        <v>328</v>
      </c>
      <c r="AF437" s="23" t="s">
        <v>296</v>
      </c>
      <c r="AT437" s="13" t="s">
        <v>270</v>
      </c>
      <c r="BG437" s="23" t="s">
        <v>353</v>
      </c>
      <c r="BT437" s="23" t="s">
        <v>339</v>
      </c>
      <c r="CG437" s="23" t="s">
        <v>329</v>
      </c>
      <c r="CT437" s="13" t="s">
        <v>286</v>
      </c>
      <c r="DG437" s="23" t="s">
        <v>338</v>
      </c>
      <c r="DT437" s="23" t="s">
        <v>334</v>
      </c>
      <c r="EG437" s="23" t="s">
        <v>329</v>
      </c>
      <c r="ET437" s="23" t="s">
        <v>330</v>
      </c>
      <c r="FG437" s="23" t="s">
        <v>328</v>
      </c>
      <c r="FT437" s="23" t="s">
        <v>355</v>
      </c>
      <c r="GG437" s="41" t="s">
        <v>305</v>
      </c>
      <c r="GT437" s="22" t="s">
        <v>61</v>
      </c>
      <c r="HC437" s="13" t="s">
        <v>2922</v>
      </c>
    </row>
    <row r="438" spans="6:211" x14ac:dyDescent="0.25">
      <c r="F438" s="23" t="s">
        <v>328</v>
      </c>
      <c r="S438" s="23" t="s">
        <v>329</v>
      </c>
      <c r="AF438" s="23" t="s">
        <v>297</v>
      </c>
      <c r="AT438" s="23" t="s">
        <v>271</v>
      </c>
      <c r="BG438" s="23" t="s">
        <v>354</v>
      </c>
      <c r="BT438" s="23" t="s">
        <v>340</v>
      </c>
      <c r="CG438" s="23" t="s">
        <v>330</v>
      </c>
      <c r="CT438" s="13" t="s">
        <v>287</v>
      </c>
      <c r="DG438" s="23" t="s">
        <v>339</v>
      </c>
      <c r="DT438" s="23" t="s">
        <v>335</v>
      </c>
      <c r="EG438" s="23" t="s">
        <v>330</v>
      </c>
      <c r="ET438" s="23" t="s">
        <v>331</v>
      </c>
      <c r="FG438" s="23" t="s">
        <v>329</v>
      </c>
      <c r="FT438" s="23" t="s">
        <v>356</v>
      </c>
      <c r="GG438" s="41" t="s">
        <v>306</v>
      </c>
      <c r="GT438" s="22" t="s">
        <v>3232</v>
      </c>
      <c r="HC438" s="13" t="s">
        <v>2923</v>
      </c>
    </row>
    <row r="439" spans="6:211" x14ac:dyDescent="0.25">
      <c r="F439" s="23" t="s">
        <v>329</v>
      </c>
      <c r="S439" s="23" t="s">
        <v>330</v>
      </c>
      <c r="AF439" s="23" t="s">
        <v>298</v>
      </c>
      <c r="AT439" s="23" t="s">
        <v>57</v>
      </c>
      <c r="BG439" s="23" t="s">
        <v>355</v>
      </c>
      <c r="BT439" s="23" t="s">
        <v>341</v>
      </c>
      <c r="CG439" s="23" t="s">
        <v>331</v>
      </c>
      <c r="CT439" s="13" t="s">
        <v>288</v>
      </c>
      <c r="DG439" s="23" t="s">
        <v>340</v>
      </c>
      <c r="DT439" s="23" t="s">
        <v>336</v>
      </c>
      <c r="EG439" s="23" t="s">
        <v>331</v>
      </c>
      <c r="ET439" s="23" t="s">
        <v>332</v>
      </c>
      <c r="FG439" s="23" t="s">
        <v>330</v>
      </c>
      <c r="FT439" s="23" t="s">
        <v>357</v>
      </c>
      <c r="GG439" s="41" t="s">
        <v>307</v>
      </c>
      <c r="GT439" s="22" t="s">
        <v>3233</v>
      </c>
      <c r="HC439" s="13" t="s">
        <v>2924</v>
      </c>
    </row>
    <row r="440" spans="6:211" x14ac:dyDescent="0.25">
      <c r="F440" s="23" t="s">
        <v>330</v>
      </c>
      <c r="S440" s="23" t="s">
        <v>331</v>
      </c>
      <c r="AF440" s="23" t="s">
        <v>299</v>
      </c>
      <c r="AT440" s="41" t="s">
        <v>272</v>
      </c>
      <c r="BG440" s="23" t="s">
        <v>356</v>
      </c>
      <c r="BT440" s="23" t="s">
        <v>342</v>
      </c>
      <c r="CG440" s="23" t="s">
        <v>332</v>
      </c>
      <c r="CT440" s="23" t="s">
        <v>289</v>
      </c>
      <c r="DG440" s="23" t="s">
        <v>341</v>
      </c>
      <c r="DT440" s="23" t="s">
        <v>337</v>
      </c>
      <c r="EG440" s="23" t="s">
        <v>332</v>
      </c>
      <c r="ET440" s="23" t="s">
        <v>333</v>
      </c>
      <c r="FG440" s="23" t="s">
        <v>331</v>
      </c>
      <c r="FT440" s="23" t="s">
        <v>358</v>
      </c>
      <c r="GG440" s="41" t="s">
        <v>308</v>
      </c>
      <c r="GT440" s="112" t="s">
        <v>3234</v>
      </c>
      <c r="HC440" s="13" t="s">
        <v>2925</v>
      </c>
    </row>
    <row r="441" spans="6:211" x14ac:dyDescent="0.25">
      <c r="F441" s="23" t="s">
        <v>331</v>
      </c>
      <c r="S441" s="23" t="s">
        <v>332</v>
      </c>
      <c r="AF441" s="23" t="s">
        <v>300</v>
      </c>
      <c r="AT441" s="23" t="s">
        <v>58</v>
      </c>
      <c r="BG441" s="23" t="s">
        <v>357</v>
      </c>
      <c r="BT441" s="23" t="s">
        <v>343</v>
      </c>
      <c r="CG441" s="23" t="s">
        <v>333</v>
      </c>
      <c r="CT441" s="23" t="s">
        <v>46</v>
      </c>
      <c r="DG441" s="23" t="s">
        <v>342</v>
      </c>
      <c r="DT441" s="23" t="s">
        <v>338</v>
      </c>
      <c r="EG441" s="23" t="s">
        <v>333</v>
      </c>
      <c r="ET441" s="23" t="s">
        <v>334</v>
      </c>
      <c r="FG441" s="23" t="s">
        <v>332</v>
      </c>
      <c r="FT441" s="23" t="s">
        <v>359</v>
      </c>
      <c r="GG441" s="41" t="s">
        <v>309</v>
      </c>
      <c r="GT441" s="22" t="s">
        <v>3235</v>
      </c>
      <c r="HC441" s="13" t="s">
        <v>2926</v>
      </c>
    </row>
    <row r="442" spans="6:211" x14ac:dyDescent="0.25">
      <c r="F442" s="23" t="s">
        <v>332</v>
      </c>
      <c r="S442" s="23" t="s">
        <v>333</v>
      </c>
      <c r="AF442" s="13" t="s">
        <v>301</v>
      </c>
      <c r="AT442" s="41" t="s">
        <v>273</v>
      </c>
      <c r="BG442" s="23" t="s">
        <v>358</v>
      </c>
      <c r="BT442" s="23" t="s">
        <v>344</v>
      </c>
      <c r="CG442" s="23" t="s">
        <v>334</v>
      </c>
      <c r="CT442" s="13" t="s">
        <v>290</v>
      </c>
      <c r="DG442" s="23" t="s">
        <v>343</v>
      </c>
      <c r="DT442" s="23" t="s">
        <v>339</v>
      </c>
      <c r="EG442" s="23" t="s">
        <v>334</v>
      </c>
      <c r="ET442" s="23" t="s">
        <v>335</v>
      </c>
      <c r="FG442" s="23" t="s">
        <v>333</v>
      </c>
      <c r="FT442" s="23" t="s">
        <v>360</v>
      </c>
      <c r="GG442" s="41" t="s">
        <v>310</v>
      </c>
      <c r="GT442" s="22" t="s">
        <v>3236</v>
      </c>
      <c r="HC442" s="23" t="s">
        <v>2927</v>
      </c>
    </row>
    <row r="443" spans="6:211" x14ac:dyDescent="0.25">
      <c r="F443" s="23" t="s">
        <v>333</v>
      </c>
      <c r="S443" s="23" t="s">
        <v>334</v>
      </c>
      <c r="AF443" s="23" t="s">
        <v>302</v>
      </c>
      <c r="AT443" s="23" t="s">
        <v>63</v>
      </c>
      <c r="BG443" s="23" t="s">
        <v>359</v>
      </c>
      <c r="BT443" s="23" t="s">
        <v>345</v>
      </c>
      <c r="CG443" s="23" t="s">
        <v>335</v>
      </c>
      <c r="CT443" s="13" t="s">
        <v>291</v>
      </c>
      <c r="DG443" s="23" t="s">
        <v>344</v>
      </c>
      <c r="DT443" s="23" t="s">
        <v>340</v>
      </c>
      <c r="EG443" s="23" t="s">
        <v>335</v>
      </c>
      <c r="ET443" s="23" t="s">
        <v>336</v>
      </c>
      <c r="FG443" s="23" t="s">
        <v>334</v>
      </c>
      <c r="FT443" s="23" t="s">
        <v>361</v>
      </c>
      <c r="GG443" s="41" t="s">
        <v>311</v>
      </c>
      <c r="GT443" s="22" t="s">
        <v>3237</v>
      </c>
      <c r="HC443" s="23" t="s">
        <v>2869</v>
      </c>
    </row>
    <row r="444" spans="6:211" x14ac:dyDescent="0.25">
      <c r="F444" s="23" t="s">
        <v>334</v>
      </c>
      <c r="S444" s="23" t="s">
        <v>335</v>
      </c>
      <c r="AF444" s="41" t="s">
        <v>303</v>
      </c>
      <c r="AT444" s="13" t="s">
        <v>274</v>
      </c>
      <c r="BG444" s="23" t="s">
        <v>360</v>
      </c>
      <c r="BT444" s="23" t="s">
        <v>346</v>
      </c>
      <c r="CG444" s="23" t="s">
        <v>336</v>
      </c>
      <c r="CT444" s="13" t="s">
        <v>292</v>
      </c>
      <c r="DG444" s="23" t="s">
        <v>345</v>
      </c>
      <c r="DT444" s="23" t="s">
        <v>341</v>
      </c>
      <c r="EG444" s="23" t="s">
        <v>336</v>
      </c>
      <c r="ET444" s="23" t="s">
        <v>337</v>
      </c>
      <c r="FG444" s="23" t="s">
        <v>335</v>
      </c>
      <c r="FT444" s="23" t="s">
        <v>362</v>
      </c>
      <c r="GG444" s="41" t="s">
        <v>312</v>
      </c>
      <c r="GT444" s="22" t="s">
        <v>62</v>
      </c>
      <c r="HC444" s="13" t="s">
        <v>290</v>
      </c>
    </row>
    <row r="445" spans="6:211" x14ac:dyDescent="0.25">
      <c r="F445" s="23" t="s">
        <v>335</v>
      </c>
      <c r="S445" s="23" t="s">
        <v>336</v>
      </c>
      <c r="AF445" s="23" t="s">
        <v>304</v>
      </c>
      <c r="AT445" s="13" t="s">
        <v>275</v>
      </c>
      <c r="BG445" s="23" t="s">
        <v>361</v>
      </c>
      <c r="BT445" s="23" t="s">
        <v>347</v>
      </c>
      <c r="CG445" s="23" t="s">
        <v>337</v>
      </c>
      <c r="CT445" s="13" t="s">
        <v>64</v>
      </c>
      <c r="DG445" s="23" t="s">
        <v>346</v>
      </c>
      <c r="DT445" s="23" t="s">
        <v>342</v>
      </c>
      <c r="EG445" s="23" t="s">
        <v>337</v>
      </c>
      <c r="ET445" s="23" t="s">
        <v>338</v>
      </c>
      <c r="FG445" s="23" t="s">
        <v>336</v>
      </c>
      <c r="FT445" s="23" t="s">
        <v>363</v>
      </c>
      <c r="GG445" s="41" t="s">
        <v>313</v>
      </c>
      <c r="GT445" s="22" t="s">
        <v>3238</v>
      </c>
      <c r="HC445" s="13" t="s">
        <v>2928</v>
      </c>
    </row>
    <row r="446" spans="6:211" x14ac:dyDescent="0.25">
      <c r="F446" s="23" t="s">
        <v>336</v>
      </c>
      <c r="S446" s="23" t="s">
        <v>337</v>
      </c>
      <c r="AF446" s="41" t="s">
        <v>305</v>
      </c>
      <c r="AT446" s="13" t="s">
        <v>276</v>
      </c>
      <c r="BG446" s="23" t="s">
        <v>362</v>
      </c>
      <c r="BT446" s="23" t="s">
        <v>54</v>
      </c>
      <c r="CG446" s="23" t="s">
        <v>338</v>
      </c>
      <c r="CT446" s="13" t="s">
        <v>53</v>
      </c>
      <c r="DG446" s="23" t="s">
        <v>347</v>
      </c>
      <c r="DT446" s="23" t="s">
        <v>343</v>
      </c>
      <c r="EG446" s="23" t="s">
        <v>338</v>
      </c>
      <c r="ET446" s="23" t="s">
        <v>339</v>
      </c>
      <c r="FG446" s="23" t="s">
        <v>337</v>
      </c>
      <c r="FT446" s="23" t="s">
        <v>364</v>
      </c>
      <c r="GG446" s="41" t="s">
        <v>314</v>
      </c>
      <c r="GT446" s="11" t="s">
        <v>63</v>
      </c>
      <c r="HC446" s="13" t="s">
        <v>2929</v>
      </c>
    </row>
    <row r="447" spans="6:211" x14ac:dyDescent="0.25">
      <c r="F447" s="23" t="s">
        <v>337</v>
      </c>
      <c r="S447" s="23" t="s">
        <v>338</v>
      </c>
      <c r="AF447" s="41" t="s">
        <v>306</v>
      </c>
      <c r="AT447" s="13" t="s">
        <v>277</v>
      </c>
      <c r="BG447" s="23" t="s">
        <v>363</v>
      </c>
      <c r="BT447" s="23" t="s">
        <v>348</v>
      </c>
      <c r="CG447" s="23" t="s">
        <v>339</v>
      </c>
      <c r="CT447" s="13" t="s">
        <v>293</v>
      </c>
      <c r="DG447" s="23" t="s">
        <v>54</v>
      </c>
      <c r="DT447" s="23" t="s">
        <v>344</v>
      </c>
      <c r="EG447" s="23" t="s">
        <v>339</v>
      </c>
      <c r="ET447" s="23" t="s">
        <v>340</v>
      </c>
      <c r="FG447" s="23" t="s">
        <v>338</v>
      </c>
      <c r="FT447" s="23" t="s">
        <v>365</v>
      </c>
      <c r="GG447" s="41" t="s">
        <v>315</v>
      </c>
      <c r="GT447" s="22" t="s">
        <v>3239</v>
      </c>
      <c r="HC447" s="13" t="s">
        <v>64</v>
      </c>
    </row>
    <row r="448" spans="6:211" x14ac:dyDescent="0.25">
      <c r="F448" s="23" t="s">
        <v>338</v>
      </c>
      <c r="S448" s="23" t="s">
        <v>339</v>
      </c>
      <c r="AF448" s="41" t="s">
        <v>307</v>
      </c>
      <c r="AT448" s="13" t="s">
        <v>278</v>
      </c>
      <c r="BG448" s="23" t="s">
        <v>364</v>
      </c>
      <c r="BT448" s="23" t="s">
        <v>349</v>
      </c>
      <c r="CG448" s="23" t="s">
        <v>340</v>
      </c>
      <c r="CT448" s="13" t="s">
        <v>65</v>
      </c>
      <c r="DG448" s="23" t="s">
        <v>348</v>
      </c>
      <c r="DT448" s="23" t="s">
        <v>345</v>
      </c>
      <c r="EG448" s="23" t="s">
        <v>340</v>
      </c>
      <c r="ET448" s="23" t="s">
        <v>341</v>
      </c>
      <c r="FG448" s="23" t="s">
        <v>339</v>
      </c>
      <c r="FT448" s="23" t="s">
        <v>366</v>
      </c>
      <c r="GG448" s="41" t="s">
        <v>316</v>
      </c>
      <c r="GT448" s="22" t="s">
        <v>3240</v>
      </c>
      <c r="HC448" s="13" t="s">
        <v>53</v>
      </c>
    </row>
    <row r="449" spans="6:211" x14ac:dyDescent="0.25">
      <c r="F449" s="23" t="s">
        <v>339</v>
      </c>
      <c r="S449" s="23" t="s">
        <v>340</v>
      </c>
      <c r="AF449" s="41" t="s">
        <v>308</v>
      </c>
      <c r="AT449" s="13" t="s">
        <v>279</v>
      </c>
      <c r="BG449" s="23" t="s">
        <v>365</v>
      </c>
      <c r="BT449" s="23" t="s">
        <v>350</v>
      </c>
      <c r="CG449" s="23" t="s">
        <v>341</v>
      </c>
      <c r="CT449" s="13" t="s">
        <v>294</v>
      </c>
      <c r="DG449" s="23" t="s">
        <v>349</v>
      </c>
      <c r="DT449" s="23" t="s">
        <v>346</v>
      </c>
      <c r="EG449" s="23" t="s">
        <v>341</v>
      </c>
      <c r="ET449" s="23" t="s">
        <v>342</v>
      </c>
      <c r="FG449" s="23" t="s">
        <v>340</v>
      </c>
      <c r="FT449" s="23" t="s">
        <v>367</v>
      </c>
      <c r="GG449" s="23" t="s">
        <v>317</v>
      </c>
      <c r="GT449" s="22" t="s">
        <v>3241</v>
      </c>
      <c r="HC449" s="13" t="s">
        <v>293</v>
      </c>
    </row>
    <row r="450" spans="6:211" x14ac:dyDescent="0.25">
      <c r="F450" s="23" t="s">
        <v>340</v>
      </c>
      <c r="S450" s="23" t="s">
        <v>341</v>
      </c>
      <c r="AF450" s="41" t="s">
        <v>309</v>
      </c>
      <c r="AT450" s="23" t="s">
        <v>280</v>
      </c>
      <c r="BG450" s="23" t="s">
        <v>366</v>
      </c>
      <c r="BT450" s="23" t="s">
        <v>351</v>
      </c>
      <c r="CG450" s="23" t="s">
        <v>342</v>
      </c>
      <c r="CT450" s="13" t="s">
        <v>295</v>
      </c>
      <c r="DG450" s="23" t="s">
        <v>350</v>
      </c>
      <c r="DT450" s="23" t="s">
        <v>347</v>
      </c>
      <c r="EG450" s="23" t="s">
        <v>342</v>
      </c>
      <c r="ET450" s="23" t="s">
        <v>343</v>
      </c>
      <c r="FG450" s="23" t="s">
        <v>341</v>
      </c>
      <c r="FT450" s="23" t="s">
        <v>368</v>
      </c>
      <c r="GG450" s="41" t="s">
        <v>318</v>
      </c>
      <c r="GT450" s="22" t="s">
        <v>3242</v>
      </c>
      <c r="HC450" s="13" t="s">
        <v>65</v>
      </c>
    </row>
    <row r="451" spans="6:211" x14ac:dyDescent="0.25">
      <c r="F451" s="23" t="s">
        <v>341</v>
      </c>
      <c r="S451" s="23" t="s">
        <v>342</v>
      </c>
      <c r="AF451" s="41" t="s">
        <v>310</v>
      </c>
      <c r="AT451" s="13" t="s">
        <v>61</v>
      </c>
      <c r="BG451" s="23" t="s">
        <v>367</v>
      </c>
      <c r="BT451" s="23" t="s">
        <v>352</v>
      </c>
      <c r="CG451" s="23" t="s">
        <v>343</v>
      </c>
      <c r="CT451" s="23" t="s">
        <v>296</v>
      </c>
      <c r="DG451" s="23" t="s">
        <v>351</v>
      </c>
      <c r="DT451" s="23" t="s">
        <v>54</v>
      </c>
      <c r="EG451" s="23" t="s">
        <v>343</v>
      </c>
      <c r="ET451" s="23" t="s">
        <v>344</v>
      </c>
      <c r="FG451" s="23" t="s">
        <v>342</v>
      </c>
      <c r="FT451" s="23" t="s">
        <v>369</v>
      </c>
      <c r="GG451" s="23" t="s">
        <v>319</v>
      </c>
      <c r="GT451" s="11" t="s">
        <v>3039</v>
      </c>
      <c r="HC451" s="13" t="s">
        <v>294</v>
      </c>
    </row>
    <row r="452" spans="6:211" x14ac:dyDescent="0.25">
      <c r="F452" s="23" t="s">
        <v>342</v>
      </c>
      <c r="S452" s="23" t="s">
        <v>343</v>
      </c>
      <c r="AF452" s="41" t="s">
        <v>311</v>
      </c>
      <c r="AT452" s="13" t="s">
        <v>281</v>
      </c>
      <c r="BG452" s="23" t="s">
        <v>368</v>
      </c>
      <c r="BT452" s="23" t="s">
        <v>353</v>
      </c>
      <c r="CG452" s="23" t="s">
        <v>344</v>
      </c>
      <c r="CT452" s="23" t="s">
        <v>297</v>
      </c>
      <c r="DG452" s="23" t="s">
        <v>352</v>
      </c>
      <c r="DT452" s="23" t="s">
        <v>348</v>
      </c>
      <c r="EG452" s="23" t="s">
        <v>344</v>
      </c>
      <c r="ET452" s="23" t="s">
        <v>345</v>
      </c>
      <c r="FG452" s="23" t="s">
        <v>343</v>
      </c>
      <c r="FT452" s="23" t="s">
        <v>370</v>
      </c>
      <c r="GG452" s="23" t="s">
        <v>78</v>
      </c>
      <c r="GT452" s="22" t="s">
        <v>3243</v>
      </c>
      <c r="HC452" s="13" t="s">
        <v>295</v>
      </c>
    </row>
    <row r="453" spans="6:211" x14ac:dyDescent="0.25">
      <c r="F453" s="23" t="s">
        <v>343</v>
      </c>
      <c r="S453" s="23" t="s">
        <v>344</v>
      </c>
      <c r="AF453" s="41" t="s">
        <v>312</v>
      </c>
      <c r="AT453" s="13" t="s">
        <v>282</v>
      </c>
      <c r="BG453" s="23" t="s">
        <v>369</v>
      </c>
      <c r="BT453" s="23" t="s">
        <v>354</v>
      </c>
      <c r="CG453" s="23" t="s">
        <v>345</v>
      </c>
      <c r="CT453" s="23" t="s">
        <v>298</v>
      </c>
      <c r="DG453" s="23" t="s">
        <v>353</v>
      </c>
      <c r="DT453" s="23" t="s">
        <v>349</v>
      </c>
      <c r="EG453" s="23" t="s">
        <v>345</v>
      </c>
      <c r="ET453" s="23" t="s">
        <v>346</v>
      </c>
      <c r="FG453" s="23" t="s">
        <v>344</v>
      </c>
      <c r="FT453" s="23" t="s">
        <v>371</v>
      </c>
      <c r="GG453" s="23" t="s">
        <v>320</v>
      </c>
      <c r="GT453" s="22" t="s">
        <v>46</v>
      </c>
      <c r="HC453" s="23" t="s">
        <v>2930</v>
      </c>
    </row>
    <row r="454" spans="6:211" x14ac:dyDescent="0.25">
      <c r="F454" s="23" t="s">
        <v>344</v>
      </c>
      <c r="S454" s="23" t="s">
        <v>345</v>
      </c>
      <c r="AF454" s="41" t="s">
        <v>313</v>
      </c>
      <c r="AT454" s="13" t="s">
        <v>283</v>
      </c>
      <c r="BG454" s="23" t="s">
        <v>370</v>
      </c>
      <c r="BT454" s="23" t="s">
        <v>355</v>
      </c>
      <c r="CG454" s="23" t="s">
        <v>346</v>
      </c>
      <c r="CT454" s="23" t="s">
        <v>299</v>
      </c>
      <c r="DG454" s="23" t="s">
        <v>354</v>
      </c>
      <c r="DT454" s="23" t="s">
        <v>350</v>
      </c>
      <c r="EG454" s="23" t="s">
        <v>346</v>
      </c>
      <c r="ET454" s="23" t="s">
        <v>347</v>
      </c>
      <c r="FG454" s="23" t="s">
        <v>345</v>
      </c>
      <c r="FT454" s="23" t="s">
        <v>372</v>
      </c>
      <c r="GG454" s="23" t="s">
        <v>321</v>
      </c>
      <c r="GT454" s="22" t="s">
        <v>3244</v>
      </c>
      <c r="HC454" s="23" t="s">
        <v>2931</v>
      </c>
    </row>
    <row r="455" spans="6:211" x14ac:dyDescent="0.25">
      <c r="F455" s="23" t="s">
        <v>345</v>
      </c>
      <c r="S455" s="23" t="s">
        <v>346</v>
      </c>
      <c r="AF455" s="41" t="s">
        <v>314</v>
      </c>
      <c r="AT455" s="13" t="s">
        <v>284</v>
      </c>
      <c r="BG455" s="23" t="s">
        <v>371</v>
      </c>
      <c r="BT455" s="23" t="s">
        <v>356</v>
      </c>
      <c r="CG455" s="23" t="s">
        <v>347</v>
      </c>
      <c r="CT455" s="23" t="s">
        <v>300</v>
      </c>
      <c r="DG455" s="23" t="s">
        <v>355</v>
      </c>
      <c r="DT455" s="23" t="s">
        <v>351</v>
      </c>
      <c r="EG455" s="23" t="s">
        <v>347</v>
      </c>
      <c r="ET455" s="23" t="s">
        <v>54</v>
      </c>
      <c r="FG455" s="23" t="s">
        <v>346</v>
      </c>
      <c r="FT455" s="23" t="s">
        <v>373</v>
      </c>
      <c r="GG455" s="23" t="s">
        <v>322</v>
      </c>
      <c r="GT455" s="22" t="s">
        <v>64</v>
      </c>
      <c r="HC455" s="23" t="s">
        <v>2932</v>
      </c>
    </row>
    <row r="456" spans="6:211" x14ac:dyDescent="0.25">
      <c r="F456" s="23" t="s">
        <v>346</v>
      </c>
      <c r="S456" s="23" t="s">
        <v>347</v>
      </c>
      <c r="AF456" s="41" t="s">
        <v>315</v>
      </c>
      <c r="AT456" s="13" t="s">
        <v>62</v>
      </c>
      <c r="BG456" s="23" t="s">
        <v>372</v>
      </c>
      <c r="BT456" s="23" t="s">
        <v>357</v>
      </c>
      <c r="CG456" s="23" t="s">
        <v>54</v>
      </c>
      <c r="CT456" s="13" t="s">
        <v>301</v>
      </c>
      <c r="DG456" s="23" t="s">
        <v>356</v>
      </c>
      <c r="DT456" s="23" t="s">
        <v>352</v>
      </c>
      <c r="EG456" s="23" t="s">
        <v>54</v>
      </c>
      <c r="ET456" s="23" t="s">
        <v>348</v>
      </c>
      <c r="FG456" s="23" t="s">
        <v>347</v>
      </c>
      <c r="FT456" s="23" t="s">
        <v>374</v>
      </c>
      <c r="GG456" s="23" t="s">
        <v>323</v>
      </c>
      <c r="GT456" s="22" t="s">
        <v>65</v>
      </c>
      <c r="HC456" s="23" t="s">
        <v>299</v>
      </c>
    </row>
    <row r="457" spans="6:211" x14ac:dyDescent="0.25">
      <c r="F457" s="23" t="s">
        <v>347</v>
      </c>
      <c r="S457" s="23" t="s">
        <v>54</v>
      </c>
      <c r="AF457" s="41" t="s">
        <v>316</v>
      </c>
      <c r="AT457" s="13" t="s">
        <v>285</v>
      </c>
      <c r="BG457" s="23" t="s">
        <v>373</v>
      </c>
      <c r="BT457" s="23" t="s">
        <v>358</v>
      </c>
      <c r="CG457" s="23" t="s">
        <v>348</v>
      </c>
      <c r="CT457" s="23" t="s">
        <v>302</v>
      </c>
      <c r="DG457" s="23" t="s">
        <v>357</v>
      </c>
      <c r="DT457" s="23" t="s">
        <v>353</v>
      </c>
      <c r="EG457" s="23" t="s">
        <v>348</v>
      </c>
      <c r="ET457" s="23" t="s">
        <v>349</v>
      </c>
      <c r="FG457" s="23" t="s">
        <v>54</v>
      </c>
      <c r="FT457" s="23" t="s">
        <v>375</v>
      </c>
      <c r="GG457" s="23" t="s">
        <v>324</v>
      </c>
      <c r="GT457" s="22" t="s">
        <v>53</v>
      </c>
      <c r="HC457" s="23" t="s">
        <v>300</v>
      </c>
    </row>
    <row r="458" spans="6:211" x14ac:dyDescent="0.25">
      <c r="F458" s="23" t="s">
        <v>54</v>
      </c>
      <c r="S458" s="23" t="s">
        <v>348</v>
      </c>
      <c r="AF458" s="23" t="s">
        <v>317</v>
      </c>
      <c r="AT458" s="13" t="s">
        <v>286</v>
      </c>
      <c r="BG458" s="23" t="s">
        <v>374</v>
      </c>
      <c r="BT458" s="23" t="s">
        <v>359</v>
      </c>
      <c r="CG458" s="23" t="s">
        <v>349</v>
      </c>
      <c r="CT458" s="41" t="s">
        <v>303</v>
      </c>
      <c r="DG458" s="23" t="s">
        <v>358</v>
      </c>
      <c r="DT458" s="23" t="s">
        <v>354</v>
      </c>
      <c r="EG458" s="23" t="s">
        <v>349</v>
      </c>
      <c r="ET458" s="23" t="s">
        <v>350</v>
      </c>
      <c r="FG458" s="23" t="s">
        <v>348</v>
      </c>
      <c r="FT458" s="23" t="s">
        <v>376</v>
      </c>
      <c r="GG458" s="23" t="s">
        <v>325</v>
      </c>
      <c r="GT458" s="22" t="s">
        <v>3245</v>
      </c>
      <c r="HC458" s="13" t="s">
        <v>2933</v>
      </c>
    </row>
    <row r="459" spans="6:211" x14ac:dyDescent="0.25">
      <c r="F459" s="23" t="s">
        <v>348</v>
      </c>
      <c r="S459" s="23" t="s">
        <v>349</v>
      </c>
      <c r="AF459" s="41" t="s">
        <v>318</v>
      </c>
      <c r="AT459" s="13" t="s">
        <v>287</v>
      </c>
      <c r="BG459" s="23" t="s">
        <v>375</v>
      </c>
      <c r="BT459" s="23" t="s">
        <v>360</v>
      </c>
      <c r="CG459" s="23" t="s">
        <v>350</v>
      </c>
      <c r="CT459" s="23" t="s">
        <v>304</v>
      </c>
      <c r="DG459" s="23" t="s">
        <v>359</v>
      </c>
      <c r="DT459" s="23" t="s">
        <v>355</v>
      </c>
      <c r="EG459" s="23" t="s">
        <v>350</v>
      </c>
      <c r="ET459" s="23" t="s">
        <v>351</v>
      </c>
      <c r="FG459" s="23" t="s">
        <v>349</v>
      </c>
      <c r="FT459" s="23" t="s">
        <v>377</v>
      </c>
      <c r="GG459" s="23" t="s">
        <v>326</v>
      </c>
      <c r="GT459" s="11" t="s">
        <v>3246</v>
      </c>
      <c r="HC459" s="23" t="s">
        <v>2934</v>
      </c>
    </row>
    <row r="460" spans="6:211" x14ac:dyDescent="0.25">
      <c r="F460" s="23" t="s">
        <v>349</v>
      </c>
      <c r="S460" s="23" t="s">
        <v>350</v>
      </c>
      <c r="AF460" s="23" t="s">
        <v>319</v>
      </c>
      <c r="AT460" s="13" t="s">
        <v>288</v>
      </c>
      <c r="BG460" s="23" t="s">
        <v>376</v>
      </c>
      <c r="BT460" s="23" t="s">
        <v>361</v>
      </c>
      <c r="CG460" s="23" t="s">
        <v>351</v>
      </c>
      <c r="CT460" s="41" t="s">
        <v>305</v>
      </c>
      <c r="DG460" s="23" t="s">
        <v>360</v>
      </c>
      <c r="DT460" s="23" t="s">
        <v>356</v>
      </c>
      <c r="EG460" s="23" t="s">
        <v>351</v>
      </c>
      <c r="ET460" s="23" t="s">
        <v>352</v>
      </c>
      <c r="FG460" s="23" t="s">
        <v>350</v>
      </c>
      <c r="FT460" s="23" t="s">
        <v>378</v>
      </c>
      <c r="GG460" s="23" t="s">
        <v>327</v>
      </c>
      <c r="HC460" s="41" t="s">
        <v>2935</v>
      </c>
    </row>
    <row r="461" spans="6:211" x14ac:dyDescent="0.25">
      <c r="F461" s="23" t="s">
        <v>350</v>
      </c>
      <c r="S461" s="23" t="s">
        <v>351</v>
      </c>
      <c r="AF461" s="23" t="s">
        <v>78</v>
      </c>
      <c r="AT461" s="23" t="s">
        <v>289</v>
      </c>
      <c r="BG461" s="23" t="s">
        <v>377</v>
      </c>
      <c r="BT461" s="23" t="s">
        <v>362</v>
      </c>
      <c r="CG461" s="23" t="s">
        <v>352</v>
      </c>
      <c r="CT461" s="41" t="s">
        <v>306</v>
      </c>
      <c r="DG461" s="23" t="s">
        <v>361</v>
      </c>
      <c r="DT461" s="23" t="s">
        <v>357</v>
      </c>
      <c r="EG461" s="23" t="s">
        <v>352</v>
      </c>
      <c r="ET461" s="23" t="s">
        <v>353</v>
      </c>
      <c r="FG461" s="23" t="s">
        <v>351</v>
      </c>
      <c r="FT461" s="23" t="s">
        <v>379</v>
      </c>
      <c r="GG461" s="23" t="s">
        <v>328</v>
      </c>
      <c r="HC461" s="23" t="s">
        <v>2936</v>
      </c>
    </row>
    <row r="462" spans="6:211" x14ac:dyDescent="0.25">
      <c r="F462" s="23" t="s">
        <v>351</v>
      </c>
      <c r="S462" s="23" t="s">
        <v>352</v>
      </c>
      <c r="AF462" s="23" t="s">
        <v>320</v>
      </c>
      <c r="AT462" s="23" t="s">
        <v>46</v>
      </c>
      <c r="BG462" s="23" t="s">
        <v>378</v>
      </c>
      <c r="BT462" s="23" t="s">
        <v>363</v>
      </c>
      <c r="CG462" s="23" t="s">
        <v>353</v>
      </c>
      <c r="CT462" s="41" t="s">
        <v>307</v>
      </c>
      <c r="DG462" s="23" t="s">
        <v>362</v>
      </c>
      <c r="DT462" s="23" t="s">
        <v>358</v>
      </c>
      <c r="EG462" s="23" t="s">
        <v>353</v>
      </c>
      <c r="ET462" s="23" t="s">
        <v>354</v>
      </c>
      <c r="FG462" s="23" t="s">
        <v>352</v>
      </c>
      <c r="FT462" s="23" t="s">
        <v>380</v>
      </c>
      <c r="GG462" s="23" t="s">
        <v>329</v>
      </c>
      <c r="HC462" s="41" t="s">
        <v>305</v>
      </c>
    </row>
    <row r="463" spans="6:211" x14ac:dyDescent="0.25">
      <c r="F463" s="23" t="s">
        <v>352</v>
      </c>
      <c r="S463" s="23" t="s">
        <v>353</v>
      </c>
      <c r="AF463" s="23" t="s">
        <v>321</v>
      </c>
      <c r="AT463" s="13" t="s">
        <v>290</v>
      </c>
      <c r="BG463" s="23" t="s">
        <v>379</v>
      </c>
      <c r="BT463" s="23" t="s">
        <v>364</v>
      </c>
      <c r="CG463" s="23" t="s">
        <v>354</v>
      </c>
      <c r="CT463" s="41" t="s">
        <v>308</v>
      </c>
      <c r="DG463" s="23" t="s">
        <v>363</v>
      </c>
      <c r="DT463" s="23" t="s">
        <v>359</v>
      </c>
      <c r="EG463" s="23" t="s">
        <v>354</v>
      </c>
      <c r="ET463" s="23" t="s">
        <v>355</v>
      </c>
      <c r="FG463" s="23" t="s">
        <v>353</v>
      </c>
      <c r="FT463" s="23" t="s">
        <v>381</v>
      </c>
      <c r="GG463" s="23" t="s">
        <v>330</v>
      </c>
      <c r="HC463" s="41" t="s">
        <v>306</v>
      </c>
    </row>
    <row r="464" spans="6:211" x14ac:dyDescent="0.25">
      <c r="F464" s="23" t="s">
        <v>353</v>
      </c>
      <c r="S464" s="23" t="s">
        <v>354</v>
      </c>
      <c r="AF464" s="23" t="s">
        <v>322</v>
      </c>
      <c r="AT464" s="13" t="s">
        <v>291</v>
      </c>
      <c r="BG464" s="23" t="s">
        <v>380</v>
      </c>
      <c r="BT464" s="23" t="s">
        <v>365</v>
      </c>
      <c r="CG464" s="23" t="s">
        <v>355</v>
      </c>
      <c r="CT464" s="41" t="s">
        <v>309</v>
      </c>
      <c r="DG464" s="23" t="s">
        <v>364</v>
      </c>
      <c r="DT464" s="23" t="s">
        <v>360</v>
      </c>
      <c r="EG464" s="23" t="s">
        <v>355</v>
      </c>
      <c r="ET464" s="23" t="s">
        <v>356</v>
      </c>
      <c r="FG464" s="23" t="s">
        <v>354</v>
      </c>
      <c r="FT464" s="23" t="s">
        <v>382</v>
      </c>
      <c r="GG464" s="23" t="s">
        <v>331</v>
      </c>
      <c r="HC464" s="41" t="s">
        <v>307</v>
      </c>
    </row>
    <row r="465" spans="6:211" x14ac:dyDescent="0.25">
      <c r="F465" s="23" t="s">
        <v>354</v>
      </c>
      <c r="S465" s="23" t="s">
        <v>355</v>
      </c>
      <c r="AF465" s="23" t="s">
        <v>323</v>
      </c>
      <c r="AT465" s="13" t="s">
        <v>292</v>
      </c>
      <c r="BG465" s="23" t="s">
        <v>381</v>
      </c>
      <c r="BT465" s="23" t="s">
        <v>366</v>
      </c>
      <c r="CG465" s="23" t="s">
        <v>356</v>
      </c>
      <c r="CT465" s="41" t="s">
        <v>310</v>
      </c>
      <c r="DG465" s="23" t="s">
        <v>365</v>
      </c>
      <c r="DT465" s="23" t="s">
        <v>361</v>
      </c>
      <c r="EG465" s="23" t="s">
        <v>356</v>
      </c>
      <c r="ET465" s="23" t="s">
        <v>357</v>
      </c>
      <c r="FG465" s="23" t="s">
        <v>355</v>
      </c>
      <c r="FT465" s="23" t="s">
        <v>383</v>
      </c>
      <c r="GG465" s="23" t="s">
        <v>332</v>
      </c>
      <c r="HC465" s="41" t="s">
        <v>308</v>
      </c>
    </row>
    <row r="466" spans="6:211" x14ac:dyDescent="0.25">
      <c r="F466" s="23" t="s">
        <v>355</v>
      </c>
      <c r="S466" s="23" t="s">
        <v>356</v>
      </c>
      <c r="AF466" s="23" t="s">
        <v>324</v>
      </c>
      <c r="AT466" s="13" t="s">
        <v>64</v>
      </c>
      <c r="BG466" s="23" t="s">
        <v>382</v>
      </c>
      <c r="BT466" s="23" t="s">
        <v>367</v>
      </c>
      <c r="CG466" s="23" t="s">
        <v>357</v>
      </c>
      <c r="CT466" s="41" t="s">
        <v>311</v>
      </c>
      <c r="DG466" s="23" t="s">
        <v>366</v>
      </c>
      <c r="DT466" s="23" t="s">
        <v>362</v>
      </c>
      <c r="EG466" s="23" t="s">
        <v>357</v>
      </c>
      <c r="ET466" s="23" t="s">
        <v>358</v>
      </c>
      <c r="FG466" s="23" t="s">
        <v>356</v>
      </c>
      <c r="FT466" s="23" t="s">
        <v>384</v>
      </c>
      <c r="GG466" s="23" t="s">
        <v>333</v>
      </c>
      <c r="HC466" s="41" t="s">
        <v>309</v>
      </c>
    </row>
    <row r="467" spans="6:211" x14ac:dyDescent="0.25">
      <c r="F467" s="23" t="s">
        <v>356</v>
      </c>
      <c r="S467" s="23" t="s">
        <v>357</v>
      </c>
      <c r="AF467" s="23" t="s">
        <v>325</v>
      </c>
      <c r="AT467" s="13" t="s">
        <v>53</v>
      </c>
      <c r="BG467" s="23" t="s">
        <v>383</v>
      </c>
      <c r="BT467" s="23" t="s">
        <v>368</v>
      </c>
      <c r="CG467" s="23" t="s">
        <v>358</v>
      </c>
      <c r="CT467" s="41" t="s">
        <v>312</v>
      </c>
      <c r="DG467" s="23" t="s">
        <v>367</v>
      </c>
      <c r="DT467" s="23" t="s">
        <v>363</v>
      </c>
      <c r="EG467" s="23" t="s">
        <v>358</v>
      </c>
      <c r="ET467" s="23" t="s">
        <v>359</v>
      </c>
      <c r="FG467" s="23" t="s">
        <v>357</v>
      </c>
      <c r="FT467" s="23" t="s">
        <v>385</v>
      </c>
      <c r="GG467" s="23" t="s">
        <v>334</v>
      </c>
      <c r="HC467" s="41" t="s">
        <v>310</v>
      </c>
    </row>
    <row r="468" spans="6:211" x14ac:dyDescent="0.25">
      <c r="F468" s="23" t="s">
        <v>357</v>
      </c>
      <c r="S468" s="23" t="s">
        <v>358</v>
      </c>
      <c r="AF468" s="23" t="s">
        <v>326</v>
      </c>
      <c r="AT468" s="13" t="s">
        <v>293</v>
      </c>
      <c r="BG468" s="23" t="s">
        <v>384</v>
      </c>
      <c r="BT468" s="23" t="s">
        <v>369</v>
      </c>
      <c r="CG468" s="23" t="s">
        <v>359</v>
      </c>
      <c r="CT468" s="41" t="s">
        <v>313</v>
      </c>
      <c r="DG468" s="23" t="s">
        <v>368</v>
      </c>
      <c r="DT468" s="23" t="s">
        <v>364</v>
      </c>
      <c r="EG468" s="23" t="s">
        <v>359</v>
      </c>
      <c r="ET468" s="23" t="s">
        <v>360</v>
      </c>
      <c r="FG468" s="23" t="s">
        <v>358</v>
      </c>
      <c r="FT468" s="23" t="s">
        <v>386</v>
      </c>
      <c r="GG468" s="23" t="s">
        <v>335</v>
      </c>
      <c r="HC468" s="41" t="s">
        <v>311</v>
      </c>
    </row>
    <row r="469" spans="6:211" x14ac:dyDescent="0.25">
      <c r="F469" s="23" t="s">
        <v>358</v>
      </c>
      <c r="S469" s="23" t="s">
        <v>359</v>
      </c>
      <c r="AF469" s="23" t="s">
        <v>327</v>
      </c>
      <c r="AT469" s="13" t="s">
        <v>65</v>
      </c>
      <c r="BG469" s="23" t="s">
        <v>385</v>
      </c>
      <c r="BT469" s="23" t="s">
        <v>370</v>
      </c>
      <c r="CG469" s="23" t="s">
        <v>360</v>
      </c>
      <c r="CT469" s="41" t="s">
        <v>314</v>
      </c>
      <c r="DG469" s="23" t="s">
        <v>369</v>
      </c>
      <c r="DT469" s="23" t="s">
        <v>365</v>
      </c>
      <c r="EG469" s="23" t="s">
        <v>360</v>
      </c>
      <c r="ET469" s="23" t="s">
        <v>361</v>
      </c>
      <c r="FG469" s="23" t="s">
        <v>359</v>
      </c>
      <c r="FT469" s="23" t="s">
        <v>387</v>
      </c>
      <c r="GG469" s="23" t="s">
        <v>336</v>
      </c>
      <c r="HC469" s="41" t="s">
        <v>312</v>
      </c>
    </row>
    <row r="470" spans="6:211" x14ac:dyDescent="0.25">
      <c r="F470" s="23" t="s">
        <v>359</v>
      </c>
      <c r="S470" s="23" t="s">
        <v>360</v>
      </c>
      <c r="AF470" s="23" t="s">
        <v>328</v>
      </c>
      <c r="AT470" s="13" t="s">
        <v>294</v>
      </c>
      <c r="BG470" s="23" t="s">
        <v>386</v>
      </c>
      <c r="BT470" s="23" t="s">
        <v>371</v>
      </c>
      <c r="CG470" s="23" t="s">
        <v>361</v>
      </c>
      <c r="CT470" s="41" t="s">
        <v>315</v>
      </c>
      <c r="DG470" s="23" t="s">
        <v>370</v>
      </c>
      <c r="DT470" s="23" t="s">
        <v>366</v>
      </c>
      <c r="EG470" s="23" t="s">
        <v>361</v>
      </c>
      <c r="ET470" s="23" t="s">
        <v>362</v>
      </c>
      <c r="FG470" s="23" t="s">
        <v>360</v>
      </c>
      <c r="FT470" s="23" t="s">
        <v>388</v>
      </c>
      <c r="GG470" s="23" t="s">
        <v>337</v>
      </c>
      <c r="HC470" s="41" t="s">
        <v>313</v>
      </c>
    </row>
    <row r="471" spans="6:211" x14ac:dyDescent="0.25">
      <c r="F471" s="23" t="s">
        <v>360</v>
      </c>
      <c r="S471" s="23" t="s">
        <v>361</v>
      </c>
      <c r="AF471" s="23" t="s">
        <v>329</v>
      </c>
      <c r="AT471" s="13" t="s">
        <v>295</v>
      </c>
      <c r="BG471" s="23" t="s">
        <v>387</v>
      </c>
      <c r="BT471" s="23" t="s">
        <v>372</v>
      </c>
      <c r="CG471" s="23" t="s">
        <v>362</v>
      </c>
      <c r="CT471" s="41" t="s">
        <v>316</v>
      </c>
      <c r="DG471" s="23" t="s">
        <v>371</v>
      </c>
      <c r="DT471" s="23" t="s">
        <v>367</v>
      </c>
      <c r="EG471" s="23" t="s">
        <v>362</v>
      </c>
      <c r="ET471" s="23" t="s">
        <v>363</v>
      </c>
      <c r="FG471" s="23" t="s">
        <v>361</v>
      </c>
      <c r="FT471" s="23" t="s">
        <v>389</v>
      </c>
      <c r="GG471" s="23" t="s">
        <v>338</v>
      </c>
      <c r="HC471" s="41" t="s">
        <v>314</v>
      </c>
    </row>
    <row r="472" spans="6:211" x14ac:dyDescent="0.25">
      <c r="F472" s="23" t="s">
        <v>361</v>
      </c>
      <c r="S472" s="23" t="s">
        <v>362</v>
      </c>
      <c r="AF472" s="23" t="s">
        <v>330</v>
      </c>
      <c r="AT472" s="23" t="s">
        <v>296</v>
      </c>
      <c r="BG472" s="23" t="s">
        <v>388</v>
      </c>
      <c r="BT472" s="23" t="s">
        <v>373</v>
      </c>
      <c r="CG472" s="23" t="s">
        <v>363</v>
      </c>
      <c r="CT472" s="23" t="s">
        <v>317</v>
      </c>
      <c r="DG472" s="23" t="s">
        <v>372</v>
      </c>
      <c r="DT472" s="23" t="s">
        <v>368</v>
      </c>
      <c r="EG472" s="23" t="s">
        <v>363</v>
      </c>
      <c r="ET472" s="23" t="s">
        <v>364</v>
      </c>
      <c r="FG472" s="23" t="s">
        <v>362</v>
      </c>
      <c r="FT472" s="23" t="s">
        <v>390</v>
      </c>
      <c r="GG472" s="23" t="s">
        <v>339</v>
      </c>
      <c r="HC472" s="41" t="s">
        <v>315</v>
      </c>
    </row>
    <row r="473" spans="6:211" x14ac:dyDescent="0.25">
      <c r="F473" s="23" t="s">
        <v>362</v>
      </c>
      <c r="S473" s="23" t="s">
        <v>363</v>
      </c>
      <c r="AF473" s="23" t="s">
        <v>331</v>
      </c>
      <c r="AT473" s="23" t="s">
        <v>297</v>
      </c>
      <c r="BG473" s="23" t="s">
        <v>389</v>
      </c>
      <c r="BT473" s="23" t="s">
        <v>374</v>
      </c>
      <c r="CG473" s="23" t="s">
        <v>364</v>
      </c>
      <c r="CT473" s="41" t="s">
        <v>318</v>
      </c>
      <c r="DG473" s="23" t="s">
        <v>373</v>
      </c>
      <c r="DT473" s="23" t="s">
        <v>369</v>
      </c>
      <c r="EG473" s="23" t="s">
        <v>364</v>
      </c>
      <c r="ET473" s="23" t="s">
        <v>365</v>
      </c>
      <c r="FG473" s="23" t="s">
        <v>363</v>
      </c>
      <c r="FT473" s="23" t="s">
        <v>391</v>
      </c>
      <c r="GG473" s="23" t="s">
        <v>340</v>
      </c>
      <c r="HC473" s="41" t="s">
        <v>316</v>
      </c>
    </row>
    <row r="474" spans="6:211" x14ac:dyDescent="0.25">
      <c r="F474" s="23" t="s">
        <v>363</v>
      </c>
      <c r="S474" s="23" t="s">
        <v>364</v>
      </c>
      <c r="AF474" s="23" t="s">
        <v>332</v>
      </c>
      <c r="AT474" s="23" t="s">
        <v>298</v>
      </c>
      <c r="BG474" s="23" t="s">
        <v>390</v>
      </c>
      <c r="BT474" s="23" t="s">
        <v>375</v>
      </c>
      <c r="CG474" s="23" t="s">
        <v>365</v>
      </c>
      <c r="CT474" s="23" t="s">
        <v>319</v>
      </c>
      <c r="DG474" s="23" t="s">
        <v>374</v>
      </c>
      <c r="DT474" s="23" t="s">
        <v>370</v>
      </c>
      <c r="EG474" s="23" t="s">
        <v>365</v>
      </c>
      <c r="ET474" s="23" t="s">
        <v>366</v>
      </c>
      <c r="FG474" s="23" t="s">
        <v>364</v>
      </c>
      <c r="FT474" s="23" t="s">
        <v>392</v>
      </c>
      <c r="GG474" s="23" t="s">
        <v>341</v>
      </c>
      <c r="HC474" s="23" t="s">
        <v>2937</v>
      </c>
    </row>
    <row r="475" spans="6:211" x14ac:dyDescent="0.25">
      <c r="F475" s="23" t="s">
        <v>364</v>
      </c>
      <c r="S475" s="23" t="s">
        <v>365</v>
      </c>
      <c r="AF475" s="23" t="s">
        <v>333</v>
      </c>
      <c r="AT475" s="23" t="s">
        <v>299</v>
      </c>
      <c r="BG475" s="23" t="s">
        <v>391</v>
      </c>
      <c r="BT475" s="23" t="s">
        <v>376</v>
      </c>
      <c r="CG475" s="23" t="s">
        <v>366</v>
      </c>
      <c r="CT475" s="23" t="s">
        <v>78</v>
      </c>
      <c r="DG475" s="23" t="s">
        <v>375</v>
      </c>
      <c r="DT475" s="23" t="s">
        <v>371</v>
      </c>
      <c r="EG475" s="23" t="s">
        <v>366</v>
      </c>
      <c r="ET475" s="23" t="s">
        <v>367</v>
      </c>
      <c r="FG475" s="23" t="s">
        <v>365</v>
      </c>
      <c r="FT475" s="23" t="s">
        <v>393</v>
      </c>
      <c r="GG475" s="23" t="s">
        <v>342</v>
      </c>
      <c r="HC475" s="41" t="s">
        <v>2938</v>
      </c>
    </row>
    <row r="476" spans="6:211" x14ac:dyDescent="0.25">
      <c r="F476" s="23" t="s">
        <v>365</v>
      </c>
      <c r="S476" s="23" t="s">
        <v>366</v>
      </c>
      <c r="AF476" s="23" t="s">
        <v>334</v>
      </c>
      <c r="AT476" s="23" t="s">
        <v>300</v>
      </c>
      <c r="BG476" s="23" t="s">
        <v>392</v>
      </c>
      <c r="BT476" s="23" t="s">
        <v>377</v>
      </c>
      <c r="CG476" s="23" t="s">
        <v>367</v>
      </c>
      <c r="CT476" s="23" t="s">
        <v>320</v>
      </c>
      <c r="DG476" s="23" t="s">
        <v>376</v>
      </c>
      <c r="DT476" s="23" t="s">
        <v>372</v>
      </c>
      <c r="EG476" s="23" t="s">
        <v>367</v>
      </c>
      <c r="ET476" s="23" t="s">
        <v>368</v>
      </c>
      <c r="FG476" s="23" t="s">
        <v>366</v>
      </c>
      <c r="FT476" s="23" t="s">
        <v>394</v>
      </c>
      <c r="GG476" s="23" t="s">
        <v>343</v>
      </c>
      <c r="HC476" s="23" t="s">
        <v>2939</v>
      </c>
    </row>
    <row r="477" spans="6:211" x14ac:dyDescent="0.25">
      <c r="F477" s="23" t="s">
        <v>366</v>
      </c>
      <c r="S477" s="23" t="s">
        <v>367</v>
      </c>
      <c r="AF477" s="23" t="s">
        <v>335</v>
      </c>
      <c r="AT477" s="13" t="s">
        <v>301</v>
      </c>
      <c r="BG477" s="23" t="s">
        <v>393</v>
      </c>
      <c r="BT477" s="23" t="s">
        <v>378</v>
      </c>
      <c r="CG477" s="23" t="s">
        <v>368</v>
      </c>
      <c r="CT477" s="23" t="s">
        <v>321</v>
      </c>
      <c r="DG477" s="23" t="s">
        <v>377</v>
      </c>
      <c r="DT477" s="23" t="s">
        <v>373</v>
      </c>
      <c r="EG477" s="23" t="s">
        <v>368</v>
      </c>
      <c r="ET477" s="23" t="s">
        <v>369</v>
      </c>
      <c r="FG477" s="23" t="s">
        <v>367</v>
      </c>
      <c r="FT477" s="23" t="s">
        <v>395</v>
      </c>
      <c r="GG477" s="23" t="s">
        <v>344</v>
      </c>
      <c r="HC477" s="23" t="s">
        <v>78</v>
      </c>
    </row>
    <row r="478" spans="6:211" x14ac:dyDescent="0.25">
      <c r="F478" s="23" t="s">
        <v>367</v>
      </c>
      <c r="S478" s="23" t="s">
        <v>368</v>
      </c>
      <c r="AF478" s="23" t="s">
        <v>336</v>
      </c>
      <c r="AT478" s="23" t="s">
        <v>302</v>
      </c>
      <c r="BG478" s="23" t="s">
        <v>394</v>
      </c>
      <c r="BT478" s="23" t="s">
        <v>379</v>
      </c>
      <c r="CG478" s="23" t="s">
        <v>369</v>
      </c>
      <c r="CT478" s="23" t="s">
        <v>322</v>
      </c>
      <c r="DG478" s="23" t="s">
        <v>378</v>
      </c>
      <c r="DT478" s="23" t="s">
        <v>374</v>
      </c>
      <c r="EG478" s="23" t="s">
        <v>369</v>
      </c>
      <c r="ET478" s="23" t="s">
        <v>370</v>
      </c>
      <c r="FG478" s="23" t="s">
        <v>368</v>
      </c>
      <c r="FT478" s="23" t="s">
        <v>396</v>
      </c>
      <c r="GG478" s="23" t="s">
        <v>345</v>
      </c>
      <c r="HC478" s="23" t="s">
        <v>320</v>
      </c>
    </row>
    <row r="479" spans="6:211" x14ac:dyDescent="0.25">
      <c r="F479" s="23" t="s">
        <v>368</v>
      </c>
      <c r="S479" s="23" t="s">
        <v>369</v>
      </c>
      <c r="AF479" s="23" t="s">
        <v>337</v>
      </c>
      <c r="AT479" s="41" t="s">
        <v>303</v>
      </c>
      <c r="BG479" s="23" t="s">
        <v>395</v>
      </c>
      <c r="BT479" s="23" t="s">
        <v>380</v>
      </c>
      <c r="CG479" s="23" t="s">
        <v>370</v>
      </c>
      <c r="CT479" s="23" t="s">
        <v>323</v>
      </c>
      <c r="DG479" s="23" t="s">
        <v>379</v>
      </c>
      <c r="DT479" s="23" t="s">
        <v>375</v>
      </c>
      <c r="EG479" s="23" t="s">
        <v>370</v>
      </c>
      <c r="ET479" s="23" t="s">
        <v>371</v>
      </c>
      <c r="FG479" s="23" t="s">
        <v>369</v>
      </c>
      <c r="FT479" s="23" t="s">
        <v>397</v>
      </c>
      <c r="GG479" s="23" t="s">
        <v>346</v>
      </c>
      <c r="HC479" s="23" t="s">
        <v>321</v>
      </c>
    </row>
    <row r="480" spans="6:211" x14ac:dyDescent="0.25">
      <c r="F480" s="23" t="s">
        <v>369</v>
      </c>
      <c r="S480" s="23" t="s">
        <v>370</v>
      </c>
      <c r="AF480" s="23" t="s">
        <v>338</v>
      </c>
      <c r="AT480" s="23" t="s">
        <v>304</v>
      </c>
      <c r="BG480" s="23" t="s">
        <v>396</v>
      </c>
      <c r="BT480" s="23" t="s">
        <v>381</v>
      </c>
      <c r="CG480" s="23" t="s">
        <v>371</v>
      </c>
      <c r="CT480" s="23" t="s">
        <v>324</v>
      </c>
      <c r="DG480" s="23" t="s">
        <v>380</v>
      </c>
      <c r="DT480" s="23" t="s">
        <v>376</v>
      </c>
      <c r="EG480" s="23" t="s">
        <v>371</v>
      </c>
      <c r="ET480" s="23" t="s">
        <v>372</v>
      </c>
      <c r="FG480" s="23" t="s">
        <v>370</v>
      </c>
      <c r="FT480" s="23" t="s">
        <v>398</v>
      </c>
      <c r="GG480" s="23" t="s">
        <v>347</v>
      </c>
      <c r="HC480" s="23" t="s">
        <v>322</v>
      </c>
    </row>
    <row r="481" spans="6:211" x14ac:dyDescent="0.25">
      <c r="F481" s="23" t="s">
        <v>370</v>
      </c>
      <c r="S481" s="23" t="s">
        <v>371</v>
      </c>
      <c r="AF481" s="23" t="s">
        <v>339</v>
      </c>
      <c r="AT481" s="41" t="s">
        <v>305</v>
      </c>
      <c r="BG481" s="23" t="s">
        <v>397</v>
      </c>
      <c r="BT481" s="23" t="s">
        <v>382</v>
      </c>
      <c r="CG481" s="23" t="s">
        <v>372</v>
      </c>
      <c r="CT481" s="23" t="s">
        <v>325</v>
      </c>
      <c r="DG481" s="23" t="s">
        <v>381</v>
      </c>
      <c r="DT481" s="23" t="s">
        <v>377</v>
      </c>
      <c r="EG481" s="23" t="s">
        <v>372</v>
      </c>
      <c r="ET481" s="23" t="s">
        <v>373</v>
      </c>
      <c r="FG481" s="23" t="s">
        <v>371</v>
      </c>
      <c r="FT481" s="23" t="s">
        <v>399</v>
      </c>
      <c r="GG481" s="23" t="s">
        <v>54</v>
      </c>
      <c r="HC481" s="23" t="s">
        <v>323</v>
      </c>
    </row>
    <row r="482" spans="6:211" x14ac:dyDescent="0.25">
      <c r="F482" s="23" t="s">
        <v>371</v>
      </c>
      <c r="S482" s="23" t="s">
        <v>372</v>
      </c>
      <c r="AF482" s="23" t="s">
        <v>340</v>
      </c>
      <c r="AT482" s="41" t="s">
        <v>306</v>
      </c>
      <c r="BG482" s="23" t="s">
        <v>398</v>
      </c>
      <c r="BT482" s="23" t="s">
        <v>383</v>
      </c>
      <c r="CG482" s="23" t="s">
        <v>373</v>
      </c>
      <c r="CT482" s="23" t="s">
        <v>326</v>
      </c>
      <c r="DG482" s="23" t="s">
        <v>382</v>
      </c>
      <c r="DT482" s="23" t="s">
        <v>378</v>
      </c>
      <c r="EG482" s="23" t="s">
        <v>373</v>
      </c>
      <c r="ET482" s="23" t="s">
        <v>374</v>
      </c>
      <c r="FG482" s="23" t="s">
        <v>372</v>
      </c>
      <c r="FT482" s="23" t="s">
        <v>400</v>
      </c>
      <c r="GG482" s="23" t="s">
        <v>348</v>
      </c>
      <c r="HC482" s="23" t="s">
        <v>324</v>
      </c>
    </row>
    <row r="483" spans="6:211" x14ac:dyDescent="0.25">
      <c r="F483" s="23" t="s">
        <v>372</v>
      </c>
      <c r="S483" s="23" t="s">
        <v>373</v>
      </c>
      <c r="AF483" s="23" t="s">
        <v>341</v>
      </c>
      <c r="AT483" s="41" t="s">
        <v>307</v>
      </c>
      <c r="BG483" s="23" t="s">
        <v>399</v>
      </c>
      <c r="BT483" s="23" t="s">
        <v>384</v>
      </c>
      <c r="CG483" s="23" t="s">
        <v>374</v>
      </c>
      <c r="CT483" s="23" t="s">
        <v>327</v>
      </c>
      <c r="DG483" s="23" t="s">
        <v>383</v>
      </c>
      <c r="DT483" s="23" t="s">
        <v>379</v>
      </c>
      <c r="EG483" s="23" t="s">
        <v>374</v>
      </c>
      <c r="ET483" s="23" t="s">
        <v>375</v>
      </c>
      <c r="FG483" s="23" t="s">
        <v>373</v>
      </c>
      <c r="FT483" s="23" t="s">
        <v>401</v>
      </c>
      <c r="GG483" s="23" t="s">
        <v>349</v>
      </c>
      <c r="HC483" s="23" t="s">
        <v>325</v>
      </c>
    </row>
    <row r="484" spans="6:211" x14ac:dyDescent="0.25">
      <c r="F484" s="23" t="s">
        <v>373</v>
      </c>
      <c r="S484" s="23" t="s">
        <v>374</v>
      </c>
      <c r="AF484" s="23" t="s">
        <v>342</v>
      </c>
      <c r="AT484" s="41" t="s">
        <v>308</v>
      </c>
      <c r="BG484" s="23" t="s">
        <v>400</v>
      </c>
      <c r="BT484" s="23" t="s">
        <v>385</v>
      </c>
      <c r="CG484" s="23" t="s">
        <v>375</v>
      </c>
      <c r="CT484" s="23" t="s">
        <v>328</v>
      </c>
      <c r="DG484" s="23" t="s">
        <v>384</v>
      </c>
      <c r="DT484" s="23" t="s">
        <v>380</v>
      </c>
      <c r="EG484" s="23" t="s">
        <v>375</v>
      </c>
      <c r="ET484" s="23" t="s">
        <v>376</v>
      </c>
      <c r="FG484" s="23" t="s">
        <v>374</v>
      </c>
      <c r="FT484" s="23" t="s">
        <v>402</v>
      </c>
      <c r="GG484" s="23" t="s">
        <v>350</v>
      </c>
      <c r="HC484" s="23" t="s">
        <v>326</v>
      </c>
    </row>
    <row r="485" spans="6:211" x14ac:dyDescent="0.25">
      <c r="F485" s="23" t="s">
        <v>374</v>
      </c>
      <c r="S485" s="23" t="s">
        <v>375</v>
      </c>
      <c r="AF485" s="23" t="s">
        <v>343</v>
      </c>
      <c r="AT485" s="41" t="s">
        <v>309</v>
      </c>
      <c r="BG485" s="23" t="s">
        <v>401</v>
      </c>
      <c r="BT485" s="23" t="s">
        <v>386</v>
      </c>
      <c r="CG485" s="23" t="s">
        <v>376</v>
      </c>
      <c r="CT485" s="23" t="s">
        <v>329</v>
      </c>
      <c r="DG485" s="23" t="s">
        <v>385</v>
      </c>
      <c r="DT485" s="23" t="s">
        <v>381</v>
      </c>
      <c r="EG485" s="23" t="s">
        <v>376</v>
      </c>
      <c r="ET485" s="23" t="s">
        <v>377</v>
      </c>
      <c r="FG485" s="23" t="s">
        <v>375</v>
      </c>
      <c r="FT485" s="23" t="s">
        <v>403</v>
      </c>
      <c r="GG485" s="23" t="s">
        <v>351</v>
      </c>
      <c r="HC485" s="23" t="s">
        <v>327</v>
      </c>
    </row>
    <row r="486" spans="6:211" x14ac:dyDescent="0.25">
      <c r="F486" s="23" t="s">
        <v>375</v>
      </c>
      <c r="S486" s="23" t="s">
        <v>376</v>
      </c>
      <c r="AF486" s="23" t="s">
        <v>344</v>
      </c>
      <c r="AT486" s="41" t="s">
        <v>310</v>
      </c>
      <c r="BG486" s="23" t="s">
        <v>402</v>
      </c>
      <c r="BT486" s="23" t="s">
        <v>387</v>
      </c>
      <c r="CG486" s="23" t="s">
        <v>377</v>
      </c>
      <c r="CT486" s="23" t="s">
        <v>330</v>
      </c>
      <c r="DG486" s="23" t="s">
        <v>386</v>
      </c>
      <c r="DT486" s="23" t="s">
        <v>382</v>
      </c>
      <c r="EG486" s="23" t="s">
        <v>377</v>
      </c>
      <c r="ET486" s="23" t="s">
        <v>378</v>
      </c>
      <c r="FG486" s="23" t="s">
        <v>376</v>
      </c>
      <c r="FT486" s="23" t="s">
        <v>404</v>
      </c>
      <c r="GG486" s="23" t="s">
        <v>352</v>
      </c>
      <c r="HC486" s="23" t="s">
        <v>328</v>
      </c>
    </row>
    <row r="487" spans="6:211" x14ac:dyDescent="0.25">
      <c r="F487" s="23" t="s">
        <v>376</v>
      </c>
      <c r="S487" s="23" t="s">
        <v>377</v>
      </c>
      <c r="AF487" s="23" t="s">
        <v>345</v>
      </c>
      <c r="AT487" s="41" t="s">
        <v>311</v>
      </c>
      <c r="BG487" s="23" t="s">
        <v>403</v>
      </c>
      <c r="BT487" s="23" t="s">
        <v>388</v>
      </c>
      <c r="CG487" s="23" t="s">
        <v>378</v>
      </c>
      <c r="CT487" s="23" t="s">
        <v>331</v>
      </c>
      <c r="DG487" s="23" t="s">
        <v>387</v>
      </c>
      <c r="DT487" s="23" t="s">
        <v>383</v>
      </c>
      <c r="EG487" s="23" t="s">
        <v>378</v>
      </c>
      <c r="ET487" s="23" t="s">
        <v>379</v>
      </c>
      <c r="FG487" s="23" t="s">
        <v>377</v>
      </c>
      <c r="FT487" s="23" t="s">
        <v>405</v>
      </c>
      <c r="GG487" s="23" t="s">
        <v>353</v>
      </c>
      <c r="HC487" s="23" t="s">
        <v>329</v>
      </c>
    </row>
    <row r="488" spans="6:211" x14ac:dyDescent="0.25">
      <c r="F488" s="23" t="s">
        <v>377</v>
      </c>
      <c r="S488" s="23" t="s">
        <v>378</v>
      </c>
      <c r="AF488" s="23" t="s">
        <v>346</v>
      </c>
      <c r="AT488" s="41" t="s">
        <v>312</v>
      </c>
      <c r="BG488" s="23" t="s">
        <v>404</v>
      </c>
      <c r="BT488" s="23" t="s">
        <v>389</v>
      </c>
      <c r="CG488" s="23" t="s">
        <v>379</v>
      </c>
      <c r="CT488" s="23" t="s">
        <v>332</v>
      </c>
      <c r="DG488" s="23" t="s">
        <v>388</v>
      </c>
      <c r="DT488" s="23" t="s">
        <v>384</v>
      </c>
      <c r="EG488" s="23" t="s">
        <v>379</v>
      </c>
      <c r="ET488" s="23" t="s">
        <v>380</v>
      </c>
      <c r="FG488" s="23" t="s">
        <v>378</v>
      </c>
      <c r="FT488" s="23" t="s">
        <v>406</v>
      </c>
      <c r="GG488" s="23" t="s">
        <v>354</v>
      </c>
      <c r="HC488" s="23" t="s">
        <v>330</v>
      </c>
    </row>
    <row r="489" spans="6:211" x14ac:dyDescent="0.25">
      <c r="F489" s="23" t="s">
        <v>378</v>
      </c>
      <c r="S489" s="23" t="s">
        <v>379</v>
      </c>
      <c r="AF489" s="23" t="s">
        <v>347</v>
      </c>
      <c r="AT489" s="41" t="s">
        <v>313</v>
      </c>
      <c r="BG489" s="23" t="s">
        <v>405</v>
      </c>
      <c r="BT489" s="23" t="s">
        <v>390</v>
      </c>
      <c r="CG489" s="23" t="s">
        <v>380</v>
      </c>
      <c r="CT489" s="23" t="s">
        <v>333</v>
      </c>
      <c r="DG489" s="23" t="s">
        <v>389</v>
      </c>
      <c r="DT489" s="23" t="s">
        <v>385</v>
      </c>
      <c r="EG489" s="23" t="s">
        <v>380</v>
      </c>
      <c r="ET489" s="23" t="s">
        <v>381</v>
      </c>
      <c r="FG489" s="23" t="s">
        <v>379</v>
      </c>
      <c r="FT489" s="23" t="s">
        <v>407</v>
      </c>
      <c r="GG489" s="23" t="s">
        <v>355</v>
      </c>
      <c r="HC489" s="23" t="s">
        <v>331</v>
      </c>
    </row>
    <row r="490" spans="6:211" x14ac:dyDescent="0.25">
      <c r="F490" s="23" t="s">
        <v>379</v>
      </c>
      <c r="S490" s="23" t="s">
        <v>380</v>
      </c>
      <c r="AF490" s="23" t="s">
        <v>54</v>
      </c>
      <c r="AT490" s="41" t="s">
        <v>314</v>
      </c>
      <c r="BG490" s="23" t="s">
        <v>406</v>
      </c>
      <c r="BT490" s="23" t="s">
        <v>391</v>
      </c>
      <c r="CG490" s="23" t="s">
        <v>381</v>
      </c>
      <c r="CT490" s="23" t="s">
        <v>334</v>
      </c>
      <c r="DG490" s="23" t="s">
        <v>390</v>
      </c>
      <c r="DT490" s="23" t="s">
        <v>386</v>
      </c>
      <c r="EG490" s="23" t="s">
        <v>381</v>
      </c>
      <c r="ET490" s="23" t="s">
        <v>382</v>
      </c>
      <c r="FG490" s="23" t="s">
        <v>380</v>
      </c>
      <c r="FT490" s="23" t="s">
        <v>408</v>
      </c>
      <c r="GG490" s="23" t="s">
        <v>356</v>
      </c>
      <c r="HC490" s="23" t="s">
        <v>332</v>
      </c>
    </row>
    <row r="491" spans="6:211" x14ac:dyDescent="0.25">
      <c r="F491" s="23" t="s">
        <v>380</v>
      </c>
      <c r="S491" s="23" t="s">
        <v>381</v>
      </c>
      <c r="AF491" s="23" t="s">
        <v>348</v>
      </c>
      <c r="AT491" s="41" t="s">
        <v>315</v>
      </c>
      <c r="BG491" s="23" t="s">
        <v>407</v>
      </c>
      <c r="BT491" s="23" t="s">
        <v>392</v>
      </c>
      <c r="CG491" s="23" t="s">
        <v>382</v>
      </c>
      <c r="CT491" s="23" t="s">
        <v>335</v>
      </c>
      <c r="DG491" s="23" t="s">
        <v>391</v>
      </c>
      <c r="DT491" s="23" t="s">
        <v>387</v>
      </c>
      <c r="EG491" s="23" t="s">
        <v>382</v>
      </c>
      <c r="ET491" s="23" t="s">
        <v>383</v>
      </c>
      <c r="FG491" s="23" t="s">
        <v>381</v>
      </c>
      <c r="FT491" s="23" t="s">
        <v>409</v>
      </c>
      <c r="GG491" s="23" t="s">
        <v>357</v>
      </c>
      <c r="HC491" s="23" t="s">
        <v>333</v>
      </c>
    </row>
    <row r="492" spans="6:211" x14ac:dyDescent="0.25">
      <c r="F492" s="23" t="s">
        <v>381</v>
      </c>
      <c r="S492" s="23" t="s">
        <v>382</v>
      </c>
      <c r="AF492" s="23" t="s">
        <v>349</v>
      </c>
      <c r="AT492" s="41" t="s">
        <v>316</v>
      </c>
      <c r="BG492" s="23" t="s">
        <v>408</v>
      </c>
      <c r="BT492" s="23" t="s">
        <v>393</v>
      </c>
      <c r="CG492" s="23" t="s">
        <v>383</v>
      </c>
      <c r="CT492" s="23" t="s">
        <v>336</v>
      </c>
      <c r="DG492" s="23" t="s">
        <v>392</v>
      </c>
      <c r="DT492" s="23" t="s">
        <v>388</v>
      </c>
      <c r="EG492" s="23" t="s">
        <v>383</v>
      </c>
      <c r="ET492" s="23" t="s">
        <v>384</v>
      </c>
      <c r="FG492" s="23" t="s">
        <v>382</v>
      </c>
      <c r="FT492" s="23" t="s">
        <v>410</v>
      </c>
      <c r="GG492" s="23" t="s">
        <v>358</v>
      </c>
      <c r="HC492" s="23" t="s">
        <v>334</v>
      </c>
    </row>
    <row r="493" spans="6:211" x14ac:dyDescent="0.25">
      <c r="F493" s="23" t="s">
        <v>382</v>
      </c>
      <c r="S493" s="23" t="s">
        <v>383</v>
      </c>
      <c r="AF493" s="23" t="s">
        <v>350</v>
      </c>
      <c r="AT493" s="23" t="s">
        <v>317</v>
      </c>
      <c r="BG493" s="23" t="s">
        <v>409</v>
      </c>
      <c r="BT493" s="23" t="s">
        <v>394</v>
      </c>
      <c r="CG493" s="23" t="s">
        <v>384</v>
      </c>
      <c r="CT493" s="23" t="s">
        <v>337</v>
      </c>
      <c r="DG493" s="23" t="s">
        <v>393</v>
      </c>
      <c r="DT493" s="23" t="s">
        <v>389</v>
      </c>
      <c r="EG493" s="23" t="s">
        <v>384</v>
      </c>
      <c r="ET493" s="23" t="s">
        <v>385</v>
      </c>
      <c r="FG493" s="23" t="s">
        <v>383</v>
      </c>
      <c r="FT493" s="23" t="s">
        <v>411</v>
      </c>
      <c r="GG493" s="23" t="s">
        <v>359</v>
      </c>
      <c r="HC493" s="23" t="s">
        <v>2940</v>
      </c>
    </row>
    <row r="494" spans="6:211" x14ac:dyDescent="0.25">
      <c r="F494" s="23" t="s">
        <v>383</v>
      </c>
      <c r="S494" s="23" t="s">
        <v>384</v>
      </c>
      <c r="AF494" s="23" t="s">
        <v>351</v>
      </c>
      <c r="AT494" s="41" t="s">
        <v>318</v>
      </c>
      <c r="BG494" s="23" t="s">
        <v>410</v>
      </c>
      <c r="BT494" s="23" t="s">
        <v>395</v>
      </c>
      <c r="CG494" s="23" t="s">
        <v>385</v>
      </c>
      <c r="CT494" s="23" t="s">
        <v>338</v>
      </c>
      <c r="DG494" s="23" t="s">
        <v>394</v>
      </c>
      <c r="DT494" s="23" t="s">
        <v>390</v>
      </c>
      <c r="EG494" s="23" t="s">
        <v>385</v>
      </c>
      <c r="ET494" s="23" t="s">
        <v>386</v>
      </c>
      <c r="FG494" s="23" t="s">
        <v>384</v>
      </c>
      <c r="FT494" s="23" t="s">
        <v>412</v>
      </c>
      <c r="GG494" s="23" t="s">
        <v>360</v>
      </c>
      <c r="HC494" s="23" t="s">
        <v>336</v>
      </c>
    </row>
    <row r="495" spans="6:211" x14ac:dyDescent="0.25">
      <c r="F495" s="23" t="s">
        <v>384</v>
      </c>
      <c r="S495" s="23" t="s">
        <v>385</v>
      </c>
      <c r="AF495" s="23" t="s">
        <v>352</v>
      </c>
      <c r="AT495" s="23" t="s">
        <v>319</v>
      </c>
      <c r="BG495" s="23" t="s">
        <v>411</v>
      </c>
      <c r="BT495" s="23" t="s">
        <v>396</v>
      </c>
      <c r="CG495" s="23" t="s">
        <v>386</v>
      </c>
      <c r="CT495" s="23" t="s">
        <v>339</v>
      </c>
      <c r="DG495" s="23" t="s">
        <v>395</v>
      </c>
      <c r="DT495" s="23" t="s">
        <v>391</v>
      </c>
      <c r="EG495" s="23" t="s">
        <v>386</v>
      </c>
      <c r="ET495" s="23" t="s">
        <v>387</v>
      </c>
      <c r="FG495" s="23" t="s">
        <v>385</v>
      </c>
      <c r="FT495" s="23" t="s">
        <v>45</v>
      </c>
      <c r="GG495" s="23" t="s">
        <v>361</v>
      </c>
      <c r="HC495" s="23" t="s">
        <v>337</v>
      </c>
    </row>
    <row r="496" spans="6:211" x14ac:dyDescent="0.25">
      <c r="F496" s="23" t="s">
        <v>385</v>
      </c>
      <c r="S496" s="23" t="s">
        <v>386</v>
      </c>
      <c r="AF496" s="23" t="s">
        <v>353</v>
      </c>
      <c r="AT496" s="23" t="s">
        <v>78</v>
      </c>
      <c r="BG496" s="23" t="s">
        <v>412</v>
      </c>
      <c r="BT496" s="23" t="s">
        <v>397</v>
      </c>
      <c r="CG496" s="23" t="s">
        <v>387</v>
      </c>
      <c r="CT496" s="23" t="s">
        <v>340</v>
      </c>
      <c r="DG496" s="23" t="s">
        <v>396</v>
      </c>
      <c r="DT496" s="23" t="s">
        <v>392</v>
      </c>
      <c r="EG496" s="23" t="s">
        <v>387</v>
      </c>
      <c r="ET496" s="23" t="s">
        <v>388</v>
      </c>
      <c r="FG496" s="23" t="s">
        <v>386</v>
      </c>
      <c r="FT496" s="23" t="s">
        <v>9</v>
      </c>
      <c r="GG496" s="23" t="s">
        <v>362</v>
      </c>
      <c r="HC496" s="23" t="s">
        <v>338</v>
      </c>
    </row>
    <row r="497" spans="6:211" x14ac:dyDescent="0.25">
      <c r="F497" s="23" t="s">
        <v>386</v>
      </c>
      <c r="S497" s="23" t="s">
        <v>387</v>
      </c>
      <c r="AF497" s="23" t="s">
        <v>354</v>
      </c>
      <c r="AT497" s="23" t="s">
        <v>320</v>
      </c>
      <c r="BG497" s="23" t="s">
        <v>45</v>
      </c>
      <c r="BT497" s="23" t="s">
        <v>398</v>
      </c>
      <c r="CG497" s="23" t="s">
        <v>388</v>
      </c>
      <c r="CT497" s="23" t="s">
        <v>341</v>
      </c>
      <c r="DG497" s="23" t="s">
        <v>397</v>
      </c>
      <c r="DT497" s="23" t="s">
        <v>393</v>
      </c>
      <c r="EG497" s="23" t="s">
        <v>388</v>
      </c>
      <c r="ET497" s="23" t="s">
        <v>389</v>
      </c>
      <c r="FG497" s="23" t="s">
        <v>387</v>
      </c>
      <c r="FT497" s="23" t="s">
        <v>413</v>
      </c>
      <c r="GG497" s="23" t="s">
        <v>363</v>
      </c>
      <c r="HC497" s="23" t="s">
        <v>339</v>
      </c>
    </row>
    <row r="498" spans="6:211" x14ac:dyDescent="0.25">
      <c r="F498" s="23" t="s">
        <v>387</v>
      </c>
      <c r="S498" s="23" t="s">
        <v>388</v>
      </c>
      <c r="AF498" s="23" t="s">
        <v>355</v>
      </c>
      <c r="AT498" s="23" t="s">
        <v>321</v>
      </c>
      <c r="BG498" s="23" t="s">
        <v>9</v>
      </c>
      <c r="BT498" s="23" t="s">
        <v>399</v>
      </c>
      <c r="CG498" s="23" t="s">
        <v>389</v>
      </c>
      <c r="CT498" s="23" t="s">
        <v>342</v>
      </c>
      <c r="DG498" s="23" t="s">
        <v>398</v>
      </c>
      <c r="DT498" s="23" t="s">
        <v>394</v>
      </c>
      <c r="EG498" s="23" t="s">
        <v>389</v>
      </c>
      <c r="ET498" s="23" t="s">
        <v>390</v>
      </c>
      <c r="FG498" s="23" t="s">
        <v>388</v>
      </c>
      <c r="FT498" s="23" t="s">
        <v>10</v>
      </c>
      <c r="GG498" s="23" t="s">
        <v>364</v>
      </c>
      <c r="HC498" s="23" t="s">
        <v>340</v>
      </c>
    </row>
    <row r="499" spans="6:211" x14ac:dyDescent="0.25">
      <c r="F499" s="23" t="s">
        <v>388</v>
      </c>
      <c r="S499" s="23" t="s">
        <v>389</v>
      </c>
      <c r="AF499" s="23" t="s">
        <v>356</v>
      </c>
      <c r="AT499" s="23" t="s">
        <v>322</v>
      </c>
      <c r="BG499" s="23" t="s">
        <v>413</v>
      </c>
      <c r="BT499" s="23" t="s">
        <v>400</v>
      </c>
      <c r="CG499" s="23" t="s">
        <v>390</v>
      </c>
      <c r="CT499" s="23" t="s">
        <v>343</v>
      </c>
      <c r="DG499" s="23" t="s">
        <v>399</v>
      </c>
      <c r="DT499" s="23" t="s">
        <v>395</v>
      </c>
      <c r="EG499" s="23" t="s">
        <v>390</v>
      </c>
      <c r="ET499" s="23" t="s">
        <v>391</v>
      </c>
      <c r="FG499" s="23" t="s">
        <v>389</v>
      </c>
      <c r="FT499" s="23" t="s">
        <v>414</v>
      </c>
      <c r="GG499" s="23" t="s">
        <v>365</v>
      </c>
      <c r="HC499" s="23" t="s">
        <v>341</v>
      </c>
    </row>
    <row r="500" spans="6:211" x14ac:dyDescent="0.25">
      <c r="F500" s="23" t="s">
        <v>389</v>
      </c>
      <c r="S500" s="23" t="s">
        <v>390</v>
      </c>
      <c r="AF500" s="23" t="s">
        <v>357</v>
      </c>
      <c r="AT500" s="23" t="s">
        <v>323</v>
      </c>
      <c r="BG500" s="23" t="s">
        <v>10</v>
      </c>
      <c r="BT500" s="23" t="s">
        <v>401</v>
      </c>
      <c r="CG500" s="23" t="s">
        <v>391</v>
      </c>
      <c r="CT500" s="23" t="s">
        <v>344</v>
      </c>
      <c r="DG500" s="23" t="s">
        <v>400</v>
      </c>
      <c r="DT500" s="23" t="s">
        <v>396</v>
      </c>
      <c r="EG500" s="23" t="s">
        <v>391</v>
      </c>
      <c r="ET500" s="23" t="s">
        <v>392</v>
      </c>
      <c r="FG500" s="23" t="s">
        <v>390</v>
      </c>
      <c r="FT500" s="23" t="s">
        <v>415</v>
      </c>
      <c r="GG500" s="23" t="s">
        <v>366</v>
      </c>
      <c r="HC500" s="23" t="s">
        <v>342</v>
      </c>
    </row>
    <row r="501" spans="6:211" x14ac:dyDescent="0.25">
      <c r="F501" s="23" t="s">
        <v>390</v>
      </c>
      <c r="S501" s="23" t="s">
        <v>391</v>
      </c>
      <c r="AF501" s="23" t="s">
        <v>358</v>
      </c>
      <c r="AT501" s="23" t="s">
        <v>324</v>
      </c>
      <c r="BG501" s="23" t="s">
        <v>414</v>
      </c>
      <c r="BT501" s="23" t="s">
        <v>402</v>
      </c>
      <c r="CG501" s="23" t="s">
        <v>392</v>
      </c>
      <c r="CT501" s="23" t="s">
        <v>345</v>
      </c>
      <c r="DG501" s="23" t="s">
        <v>401</v>
      </c>
      <c r="DT501" s="23" t="s">
        <v>397</v>
      </c>
      <c r="EG501" s="23" t="s">
        <v>392</v>
      </c>
      <c r="ET501" s="23" t="s">
        <v>393</v>
      </c>
      <c r="FG501" s="23" t="s">
        <v>391</v>
      </c>
      <c r="FT501" s="23" t="s">
        <v>416</v>
      </c>
      <c r="GG501" s="23" t="s">
        <v>367</v>
      </c>
      <c r="HC501" s="23" t="s">
        <v>343</v>
      </c>
    </row>
    <row r="502" spans="6:211" x14ac:dyDescent="0.25">
      <c r="F502" s="23" t="s">
        <v>391</v>
      </c>
      <c r="S502" s="23" t="s">
        <v>392</v>
      </c>
      <c r="AF502" s="23" t="s">
        <v>359</v>
      </c>
      <c r="AT502" s="23" t="s">
        <v>325</v>
      </c>
      <c r="BG502" s="23" t="s">
        <v>415</v>
      </c>
      <c r="BT502" s="23" t="s">
        <v>403</v>
      </c>
      <c r="CG502" s="23" t="s">
        <v>393</v>
      </c>
      <c r="CT502" s="23" t="s">
        <v>346</v>
      </c>
      <c r="DG502" s="23" t="s">
        <v>402</v>
      </c>
      <c r="DT502" s="23" t="s">
        <v>398</v>
      </c>
      <c r="EG502" s="23" t="s">
        <v>393</v>
      </c>
      <c r="ET502" s="23" t="s">
        <v>394</v>
      </c>
      <c r="FG502" s="23" t="s">
        <v>392</v>
      </c>
      <c r="FT502" s="23" t="s">
        <v>417</v>
      </c>
      <c r="GG502" s="23" t="s">
        <v>368</v>
      </c>
      <c r="HC502" s="23" t="s">
        <v>344</v>
      </c>
    </row>
    <row r="503" spans="6:211" x14ac:dyDescent="0.25">
      <c r="F503" s="23" t="s">
        <v>392</v>
      </c>
      <c r="S503" s="23" t="s">
        <v>393</v>
      </c>
      <c r="AF503" s="23" t="s">
        <v>360</v>
      </c>
      <c r="AT503" s="23" t="s">
        <v>326</v>
      </c>
      <c r="BG503" s="23" t="s">
        <v>416</v>
      </c>
      <c r="BT503" s="23" t="s">
        <v>404</v>
      </c>
      <c r="CG503" s="23" t="s">
        <v>394</v>
      </c>
      <c r="CT503" s="23" t="s">
        <v>347</v>
      </c>
      <c r="DG503" s="23" t="s">
        <v>403</v>
      </c>
      <c r="DT503" s="23" t="s">
        <v>399</v>
      </c>
      <c r="EG503" s="23" t="s">
        <v>394</v>
      </c>
      <c r="ET503" s="23" t="s">
        <v>395</v>
      </c>
      <c r="FG503" s="23" t="s">
        <v>393</v>
      </c>
      <c r="FT503" s="23" t="s">
        <v>418</v>
      </c>
      <c r="GG503" s="23" t="s">
        <v>369</v>
      </c>
      <c r="HC503" s="23" t="s">
        <v>345</v>
      </c>
    </row>
    <row r="504" spans="6:211" x14ac:dyDescent="0.25">
      <c r="F504" s="23" t="s">
        <v>393</v>
      </c>
      <c r="S504" s="23" t="s">
        <v>394</v>
      </c>
      <c r="AF504" s="23" t="s">
        <v>361</v>
      </c>
      <c r="AT504" s="23" t="s">
        <v>327</v>
      </c>
      <c r="BG504" s="23" t="s">
        <v>417</v>
      </c>
      <c r="BT504" s="23" t="s">
        <v>405</v>
      </c>
      <c r="CG504" s="23" t="s">
        <v>395</v>
      </c>
      <c r="CT504" s="23" t="s">
        <v>54</v>
      </c>
      <c r="DG504" s="23" t="s">
        <v>404</v>
      </c>
      <c r="DT504" s="23" t="s">
        <v>400</v>
      </c>
      <c r="EG504" s="23" t="s">
        <v>395</v>
      </c>
      <c r="ET504" s="23" t="s">
        <v>396</v>
      </c>
      <c r="FG504" s="23" t="s">
        <v>394</v>
      </c>
      <c r="FT504" s="23" t="s">
        <v>256</v>
      </c>
      <c r="GG504" s="23" t="s">
        <v>370</v>
      </c>
      <c r="HC504" s="23" t="s">
        <v>346</v>
      </c>
    </row>
    <row r="505" spans="6:211" x14ac:dyDescent="0.25">
      <c r="F505" s="23" t="s">
        <v>394</v>
      </c>
      <c r="S505" s="23" t="s">
        <v>395</v>
      </c>
      <c r="AF505" s="23" t="s">
        <v>362</v>
      </c>
      <c r="AT505" s="23" t="s">
        <v>328</v>
      </c>
      <c r="BG505" s="23" t="s">
        <v>418</v>
      </c>
      <c r="BT505" s="23" t="s">
        <v>406</v>
      </c>
      <c r="CG505" s="23" t="s">
        <v>396</v>
      </c>
      <c r="CT505" s="23" t="s">
        <v>348</v>
      </c>
      <c r="DG505" s="23" t="s">
        <v>405</v>
      </c>
      <c r="DT505" s="23" t="s">
        <v>401</v>
      </c>
      <c r="EG505" s="23" t="s">
        <v>396</v>
      </c>
      <c r="ET505" s="23" t="s">
        <v>397</v>
      </c>
      <c r="FG505" s="23" t="s">
        <v>395</v>
      </c>
      <c r="FT505" s="23" t="s">
        <v>419</v>
      </c>
      <c r="GG505" s="23" t="s">
        <v>371</v>
      </c>
      <c r="HC505" s="23" t="s">
        <v>347</v>
      </c>
    </row>
    <row r="506" spans="6:211" x14ac:dyDescent="0.25">
      <c r="F506" s="23" t="s">
        <v>395</v>
      </c>
      <c r="S506" s="23" t="s">
        <v>396</v>
      </c>
      <c r="AF506" s="23" t="s">
        <v>363</v>
      </c>
      <c r="AT506" s="23" t="s">
        <v>329</v>
      </c>
      <c r="BG506" s="23" t="s">
        <v>256</v>
      </c>
      <c r="BT506" s="23" t="s">
        <v>407</v>
      </c>
      <c r="CG506" s="23" t="s">
        <v>397</v>
      </c>
      <c r="CT506" s="23" t="s">
        <v>349</v>
      </c>
      <c r="DG506" s="23" t="s">
        <v>406</v>
      </c>
      <c r="DT506" s="23" t="s">
        <v>402</v>
      </c>
      <c r="EG506" s="23" t="s">
        <v>397</v>
      </c>
      <c r="ET506" s="23" t="s">
        <v>398</v>
      </c>
      <c r="FG506" s="23" t="s">
        <v>396</v>
      </c>
      <c r="FT506" s="23" t="s">
        <v>420</v>
      </c>
      <c r="GG506" s="23" t="s">
        <v>372</v>
      </c>
      <c r="HC506" s="23" t="s">
        <v>54</v>
      </c>
    </row>
    <row r="507" spans="6:211" x14ac:dyDescent="0.25">
      <c r="F507" s="23" t="s">
        <v>396</v>
      </c>
      <c r="S507" s="23" t="s">
        <v>397</v>
      </c>
      <c r="AF507" s="23" t="s">
        <v>364</v>
      </c>
      <c r="AT507" s="23" t="s">
        <v>330</v>
      </c>
      <c r="BG507" s="23" t="s">
        <v>419</v>
      </c>
      <c r="BT507" s="23" t="s">
        <v>408</v>
      </c>
      <c r="CG507" s="23" t="s">
        <v>398</v>
      </c>
      <c r="CT507" s="23" t="s">
        <v>350</v>
      </c>
      <c r="DG507" s="23" t="s">
        <v>407</v>
      </c>
      <c r="DT507" s="23" t="s">
        <v>403</v>
      </c>
      <c r="EG507" s="23" t="s">
        <v>398</v>
      </c>
      <c r="ET507" s="23" t="s">
        <v>399</v>
      </c>
      <c r="FG507" s="23" t="s">
        <v>397</v>
      </c>
      <c r="FT507" s="23" t="s">
        <v>421</v>
      </c>
      <c r="GG507" s="23" t="s">
        <v>373</v>
      </c>
      <c r="HC507" s="23" t="s">
        <v>348</v>
      </c>
    </row>
    <row r="508" spans="6:211" x14ac:dyDescent="0.25">
      <c r="F508" s="23" t="s">
        <v>397</v>
      </c>
      <c r="S508" s="23" t="s">
        <v>398</v>
      </c>
      <c r="AF508" s="23" t="s">
        <v>365</v>
      </c>
      <c r="AT508" s="23" t="s">
        <v>331</v>
      </c>
      <c r="BG508" s="23" t="s">
        <v>420</v>
      </c>
      <c r="BT508" s="23" t="s">
        <v>409</v>
      </c>
      <c r="CG508" s="23" t="s">
        <v>399</v>
      </c>
      <c r="CT508" s="23" t="s">
        <v>351</v>
      </c>
      <c r="DG508" s="23" t="s">
        <v>408</v>
      </c>
      <c r="DT508" s="23" t="s">
        <v>404</v>
      </c>
      <c r="EG508" s="23" t="s">
        <v>399</v>
      </c>
      <c r="ET508" s="23" t="s">
        <v>400</v>
      </c>
      <c r="FG508" s="23" t="s">
        <v>398</v>
      </c>
      <c r="FT508" s="23" t="s">
        <v>422</v>
      </c>
      <c r="GG508" s="23" t="s">
        <v>374</v>
      </c>
      <c r="HC508" s="23" t="s">
        <v>349</v>
      </c>
    </row>
    <row r="509" spans="6:211" x14ac:dyDescent="0.25">
      <c r="F509" s="23" t="s">
        <v>398</v>
      </c>
      <c r="S509" s="23" t="s">
        <v>399</v>
      </c>
      <c r="AF509" s="23" t="s">
        <v>366</v>
      </c>
      <c r="AT509" s="23" t="s">
        <v>332</v>
      </c>
      <c r="BG509" s="23" t="s">
        <v>421</v>
      </c>
      <c r="BT509" s="23" t="s">
        <v>410</v>
      </c>
      <c r="CG509" s="23" t="s">
        <v>400</v>
      </c>
      <c r="CT509" s="23" t="s">
        <v>352</v>
      </c>
      <c r="DG509" s="23" t="s">
        <v>409</v>
      </c>
      <c r="DT509" s="23" t="s">
        <v>405</v>
      </c>
      <c r="EG509" s="23" t="s">
        <v>400</v>
      </c>
      <c r="ET509" s="23" t="s">
        <v>401</v>
      </c>
      <c r="FG509" s="23" t="s">
        <v>399</v>
      </c>
      <c r="FT509" s="23" t="s">
        <v>423</v>
      </c>
      <c r="GG509" s="23" t="s">
        <v>375</v>
      </c>
      <c r="HC509" s="23" t="s">
        <v>350</v>
      </c>
    </row>
    <row r="510" spans="6:211" x14ac:dyDescent="0.25">
      <c r="F510" s="23" t="s">
        <v>399</v>
      </c>
      <c r="S510" s="23" t="s">
        <v>400</v>
      </c>
      <c r="AF510" s="23" t="s">
        <v>367</v>
      </c>
      <c r="AT510" s="23" t="s">
        <v>333</v>
      </c>
      <c r="BG510" s="23" t="s">
        <v>422</v>
      </c>
      <c r="BT510" s="23" t="s">
        <v>411</v>
      </c>
      <c r="CG510" s="23" t="s">
        <v>401</v>
      </c>
      <c r="CT510" s="23" t="s">
        <v>353</v>
      </c>
      <c r="DG510" s="23" t="s">
        <v>410</v>
      </c>
      <c r="DT510" s="23" t="s">
        <v>406</v>
      </c>
      <c r="EG510" s="23" t="s">
        <v>401</v>
      </c>
      <c r="ET510" s="23" t="s">
        <v>402</v>
      </c>
      <c r="FG510" s="23" t="s">
        <v>400</v>
      </c>
      <c r="FT510" s="23" t="s">
        <v>424</v>
      </c>
      <c r="GG510" s="23" t="s">
        <v>376</v>
      </c>
      <c r="HC510" s="23" t="s">
        <v>351</v>
      </c>
    </row>
    <row r="511" spans="6:211" x14ac:dyDescent="0.25">
      <c r="F511" s="23" t="s">
        <v>400</v>
      </c>
      <c r="S511" s="23" t="s">
        <v>401</v>
      </c>
      <c r="AF511" s="23" t="s">
        <v>368</v>
      </c>
      <c r="AT511" s="23" t="s">
        <v>334</v>
      </c>
      <c r="BG511" s="23" t="s">
        <v>423</v>
      </c>
      <c r="BT511" s="23" t="s">
        <v>412</v>
      </c>
      <c r="CG511" s="23" t="s">
        <v>402</v>
      </c>
      <c r="CT511" s="23" t="s">
        <v>354</v>
      </c>
      <c r="DG511" s="23" t="s">
        <v>411</v>
      </c>
      <c r="DT511" s="23" t="s">
        <v>407</v>
      </c>
      <c r="EG511" s="23" t="s">
        <v>402</v>
      </c>
      <c r="ET511" s="23" t="s">
        <v>403</v>
      </c>
      <c r="FG511" s="23" t="s">
        <v>401</v>
      </c>
      <c r="FT511" s="23" t="s">
        <v>425</v>
      </c>
      <c r="GG511" s="23" t="s">
        <v>377</v>
      </c>
      <c r="HC511" s="23" t="s">
        <v>352</v>
      </c>
    </row>
    <row r="512" spans="6:211" x14ac:dyDescent="0.25">
      <c r="F512" s="23" t="s">
        <v>401</v>
      </c>
      <c r="S512" s="23" t="s">
        <v>402</v>
      </c>
      <c r="AF512" s="23" t="s">
        <v>369</v>
      </c>
      <c r="AT512" s="23" t="s">
        <v>335</v>
      </c>
      <c r="BG512" s="23" t="s">
        <v>424</v>
      </c>
      <c r="BT512" s="23" t="s">
        <v>45</v>
      </c>
      <c r="CG512" s="23" t="s">
        <v>403</v>
      </c>
      <c r="CT512" s="23" t="s">
        <v>355</v>
      </c>
      <c r="DG512" s="23" t="s">
        <v>412</v>
      </c>
      <c r="DT512" s="23" t="s">
        <v>408</v>
      </c>
      <c r="EG512" s="23" t="s">
        <v>403</v>
      </c>
      <c r="ET512" s="23" t="s">
        <v>404</v>
      </c>
      <c r="FG512" s="23" t="s">
        <v>402</v>
      </c>
      <c r="FT512" s="23" t="s">
        <v>67</v>
      </c>
      <c r="GG512" s="23" t="s">
        <v>378</v>
      </c>
      <c r="HC512" s="23" t="s">
        <v>353</v>
      </c>
    </row>
    <row r="513" spans="6:211" x14ac:dyDescent="0.25">
      <c r="F513" s="23" t="s">
        <v>402</v>
      </c>
      <c r="S513" s="23" t="s">
        <v>403</v>
      </c>
      <c r="AF513" s="23" t="s">
        <v>370</v>
      </c>
      <c r="AT513" s="23" t="s">
        <v>336</v>
      </c>
      <c r="BG513" s="23" t="s">
        <v>425</v>
      </c>
      <c r="BT513" s="23" t="s">
        <v>9</v>
      </c>
      <c r="CG513" s="23" t="s">
        <v>404</v>
      </c>
      <c r="CT513" s="23" t="s">
        <v>356</v>
      </c>
      <c r="DG513" s="23" t="s">
        <v>45</v>
      </c>
      <c r="DT513" s="23" t="s">
        <v>409</v>
      </c>
      <c r="EG513" s="23" t="s">
        <v>404</v>
      </c>
      <c r="ET513" s="23" t="s">
        <v>405</v>
      </c>
      <c r="FG513" s="23" t="s">
        <v>403</v>
      </c>
      <c r="FT513" s="23" t="s">
        <v>426</v>
      </c>
      <c r="GG513" s="23" t="s">
        <v>379</v>
      </c>
      <c r="HC513" s="23" t="s">
        <v>354</v>
      </c>
    </row>
    <row r="514" spans="6:211" x14ac:dyDescent="0.25">
      <c r="F514" s="23" t="s">
        <v>403</v>
      </c>
      <c r="S514" s="23" t="s">
        <v>404</v>
      </c>
      <c r="AF514" s="23" t="s">
        <v>371</v>
      </c>
      <c r="AT514" s="23" t="s">
        <v>337</v>
      </c>
      <c r="BG514" s="23" t="s">
        <v>67</v>
      </c>
      <c r="BT514" s="23" t="s">
        <v>413</v>
      </c>
      <c r="CG514" s="23" t="s">
        <v>405</v>
      </c>
      <c r="CT514" s="23" t="s">
        <v>357</v>
      </c>
      <c r="DG514" s="23" t="s">
        <v>9</v>
      </c>
      <c r="DT514" s="23" t="s">
        <v>410</v>
      </c>
      <c r="EG514" s="23" t="s">
        <v>405</v>
      </c>
      <c r="ET514" s="23" t="s">
        <v>406</v>
      </c>
      <c r="FG514" s="23" t="s">
        <v>404</v>
      </c>
      <c r="FT514" s="23" t="s">
        <v>427</v>
      </c>
      <c r="GG514" s="23" t="s">
        <v>380</v>
      </c>
      <c r="HC514" s="23" t="s">
        <v>355</v>
      </c>
    </row>
    <row r="515" spans="6:211" x14ac:dyDescent="0.25">
      <c r="F515" s="23" t="s">
        <v>404</v>
      </c>
      <c r="S515" s="23" t="s">
        <v>405</v>
      </c>
      <c r="AF515" s="23" t="s">
        <v>372</v>
      </c>
      <c r="AT515" s="23" t="s">
        <v>338</v>
      </c>
      <c r="BG515" s="23" t="s">
        <v>426</v>
      </c>
      <c r="BT515" s="23" t="s">
        <v>10</v>
      </c>
      <c r="CG515" s="23" t="s">
        <v>406</v>
      </c>
      <c r="CT515" s="23" t="s">
        <v>358</v>
      </c>
      <c r="DG515" s="23" t="s">
        <v>413</v>
      </c>
      <c r="DT515" s="23" t="s">
        <v>411</v>
      </c>
      <c r="EG515" s="23" t="s">
        <v>406</v>
      </c>
      <c r="ET515" s="23" t="s">
        <v>407</v>
      </c>
      <c r="FG515" s="23" t="s">
        <v>405</v>
      </c>
      <c r="FT515" s="23" t="s">
        <v>428</v>
      </c>
      <c r="GG515" s="23" t="s">
        <v>381</v>
      </c>
      <c r="HC515" s="23" t="s">
        <v>356</v>
      </c>
    </row>
    <row r="516" spans="6:211" x14ac:dyDescent="0.25">
      <c r="F516" s="23" t="s">
        <v>405</v>
      </c>
      <c r="S516" s="23" t="s">
        <v>406</v>
      </c>
      <c r="AF516" s="23" t="s">
        <v>373</v>
      </c>
      <c r="AT516" s="23" t="s">
        <v>339</v>
      </c>
      <c r="BG516" s="23" t="s">
        <v>427</v>
      </c>
      <c r="BT516" s="23" t="s">
        <v>414</v>
      </c>
      <c r="CG516" s="23" t="s">
        <v>407</v>
      </c>
      <c r="CT516" s="23" t="s">
        <v>359</v>
      </c>
      <c r="DG516" s="23" t="s">
        <v>10</v>
      </c>
      <c r="DT516" s="23" t="s">
        <v>412</v>
      </c>
      <c r="EG516" s="23" t="s">
        <v>407</v>
      </c>
      <c r="ET516" s="23" t="s">
        <v>408</v>
      </c>
      <c r="FG516" s="23" t="s">
        <v>406</v>
      </c>
      <c r="FT516" s="23" t="s">
        <v>429</v>
      </c>
      <c r="GG516" s="23" t="s">
        <v>382</v>
      </c>
      <c r="HC516" s="23" t="s">
        <v>357</v>
      </c>
    </row>
    <row r="517" spans="6:211" x14ac:dyDescent="0.25">
      <c r="F517" s="23" t="s">
        <v>406</v>
      </c>
      <c r="S517" s="23" t="s">
        <v>407</v>
      </c>
      <c r="AF517" s="23" t="s">
        <v>374</v>
      </c>
      <c r="AT517" s="23" t="s">
        <v>340</v>
      </c>
      <c r="BG517" s="23" t="s">
        <v>428</v>
      </c>
      <c r="BT517" s="23" t="s">
        <v>415</v>
      </c>
      <c r="CG517" s="23" t="s">
        <v>408</v>
      </c>
      <c r="CT517" s="23" t="s">
        <v>360</v>
      </c>
      <c r="DG517" s="23" t="s">
        <v>414</v>
      </c>
      <c r="DT517" s="23" t="s">
        <v>45</v>
      </c>
      <c r="EG517" s="23" t="s">
        <v>408</v>
      </c>
      <c r="ET517" s="23" t="s">
        <v>409</v>
      </c>
      <c r="FG517" s="23" t="s">
        <v>407</v>
      </c>
      <c r="FT517" s="23" t="s">
        <v>430</v>
      </c>
      <c r="GG517" s="23" t="s">
        <v>383</v>
      </c>
      <c r="HC517" s="23" t="s">
        <v>358</v>
      </c>
    </row>
    <row r="518" spans="6:211" x14ac:dyDescent="0.25">
      <c r="F518" s="23" t="s">
        <v>407</v>
      </c>
      <c r="S518" s="23" t="s">
        <v>408</v>
      </c>
      <c r="AF518" s="23" t="s">
        <v>375</v>
      </c>
      <c r="AT518" s="23" t="s">
        <v>341</v>
      </c>
      <c r="BG518" s="23" t="s">
        <v>429</v>
      </c>
      <c r="BT518" s="23" t="s">
        <v>416</v>
      </c>
      <c r="CG518" s="23" t="s">
        <v>409</v>
      </c>
      <c r="CT518" s="23" t="s">
        <v>361</v>
      </c>
      <c r="DG518" s="23" t="s">
        <v>415</v>
      </c>
      <c r="DT518" s="23" t="s">
        <v>9</v>
      </c>
      <c r="EG518" s="23" t="s">
        <v>409</v>
      </c>
      <c r="ET518" s="23" t="s">
        <v>410</v>
      </c>
      <c r="FG518" s="23" t="s">
        <v>408</v>
      </c>
      <c r="FT518" s="23" t="s">
        <v>431</v>
      </c>
      <c r="GG518" s="23" t="s">
        <v>384</v>
      </c>
      <c r="HC518" s="23" t="s">
        <v>359</v>
      </c>
    </row>
    <row r="519" spans="6:211" x14ac:dyDescent="0.25">
      <c r="F519" s="23" t="s">
        <v>408</v>
      </c>
      <c r="S519" s="23" t="s">
        <v>409</v>
      </c>
      <c r="AF519" s="23" t="s">
        <v>376</v>
      </c>
      <c r="AT519" s="23" t="s">
        <v>342</v>
      </c>
      <c r="BG519" s="23" t="s">
        <v>430</v>
      </c>
      <c r="BT519" s="23" t="s">
        <v>417</v>
      </c>
      <c r="CG519" s="23" t="s">
        <v>410</v>
      </c>
      <c r="CT519" s="23" t="s">
        <v>362</v>
      </c>
      <c r="DG519" s="23" t="s">
        <v>416</v>
      </c>
      <c r="DT519" s="23" t="s">
        <v>413</v>
      </c>
      <c r="EG519" s="23" t="s">
        <v>410</v>
      </c>
      <c r="ET519" s="23" t="s">
        <v>411</v>
      </c>
      <c r="FG519" s="23" t="s">
        <v>409</v>
      </c>
      <c r="FT519" s="23" t="s">
        <v>432</v>
      </c>
      <c r="GG519" s="23" t="s">
        <v>385</v>
      </c>
      <c r="HC519" s="23" t="s">
        <v>360</v>
      </c>
    </row>
    <row r="520" spans="6:211" x14ac:dyDescent="0.25">
      <c r="F520" s="23" t="s">
        <v>409</v>
      </c>
      <c r="S520" s="23" t="s">
        <v>410</v>
      </c>
      <c r="AF520" s="23" t="s">
        <v>377</v>
      </c>
      <c r="AT520" s="23" t="s">
        <v>343</v>
      </c>
      <c r="BG520" s="23" t="s">
        <v>431</v>
      </c>
      <c r="BT520" s="23" t="s">
        <v>418</v>
      </c>
      <c r="CG520" s="23" t="s">
        <v>411</v>
      </c>
      <c r="CT520" s="23" t="s">
        <v>363</v>
      </c>
      <c r="DG520" s="23" t="s">
        <v>417</v>
      </c>
      <c r="DT520" s="23" t="s">
        <v>10</v>
      </c>
      <c r="EG520" s="23" t="s">
        <v>411</v>
      </c>
      <c r="ET520" s="23" t="s">
        <v>412</v>
      </c>
      <c r="FG520" s="23" t="s">
        <v>410</v>
      </c>
      <c r="FT520" s="23" t="s">
        <v>433</v>
      </c>
      <c r="GG520" s="23" t="s">
        <v>386</v>
      </c>
      <c r="HC520" s="23" t="s">
        <v>361</v>
      </c>
    </row>
    <row r="521" spans="6:211" x14ac:dyDescent="0.25">
      <c r="F521" s="23" t="s">
        <v>410</v>
      </c>
      <c r="S521" s="23" t="s">
        <v>411</v>
      </c>
      <c r="AF521" s="23" t="s">
        <v>378</v>
      </c>
      <c r="AT521" s="23" t="s">
        <v>344</v>
      </c>
      <c r="BG521" s="23" t="s">
        <v>432</v>
      </c>
      <c r="BT521" s="23" t="s">
        <v>256</v>
      </c>
      <c r="CG521" s="23" t="s">
        <v>412</v>
      </c>
      <c r="CT521" s="23" t="s">
        <v>364</v>
      </c>
      <c r="DG521" s="23" t="s">
        <v>418</v>
      </c>
      <c r="DT521" s="23" t="s">
        <v>414</v>
      </c>
      <c r="EG521" s="23" t="s">
        <v>412</v>
      </c>
      <c r="ET521" s="23" t="s">
        <v>45</v>
      </c>
      <c r="FG521" s="23" t="s">
        <v>411</v>
      </c>
      <c r="FT521" s="23" t="s">
        <v>434</v>
      </c>
      <c r="GG521" s="23" t="s">
        <v>387</v>
      </c>
      <c r="HC521" s="23" t="s">
        <v>362</v>
      </c>
    </row>
    <row r="522" spans="6:211" x14ac:dyDescent="0.25">
      <c r="F522" s="23" t="s">
        <v>411</v>
      </c>
      <c r="S522" s="23" t="s">
        <v>412</v>
      </c>
      <c r="AF522" s="23" t="s">
        <v>379</v>
      </c>
      <c r="AT522" s="23" t="s">
        <v>345</v>
      </c>
      <c r="BG522" s="23" t="s">
        <v>433</v>
      </c>
      <c r="BT522" s="23" t="s">
        <v>419</v>
      </c>
      <c r="CG522" s="23" t="s">
        <v>45</v>
      </c>
      <c r="CT522" s="23" t="s">
        <v>365</v>
      </c>
      <c r="DG522" s="23" t="s">
        <v>256</v>
      </c>
      <c r="DT522" s="23" t="s">
        <v>415</v>
      </c>
      <c r="EG522" s="23" t="s">
        <v>45</v>
      </c>
      <c r="ET522" s="23" t="s">
        <v>9</v>
      </c>
      <c r="FG522" s="23" t="s">
        <v>412</v>
      </c>
      <c r="FT522" s="23" t="s">
        <v>435</v>
      </c>
      <c r="GG522" s="23" t="s">
        <v>388</v>
      </c>
      <c r="HC522" s="23" t="s">
        <v>363</v>
      </c>
    </row>
    <row r="523" spans="6:211" x14ac:dyDescent="0.25">
      <c r="F523" s="23" t="s">
        <v>412</v>
      </c>
      <c r="S523" s="23" t="s">
        <v>45</v>
      </c>
      <c r="AF523" s="23" t="s">
        <v>380</v>
      </c>
      <c r="AT523" s="23" t="s">
        <v>346</v>
      </c>
      <c r="BG523" s="23" t="s">
        <v>434</v>
      </c>
      <c r="BT523" s="23" t="s">
        <v>420</v>
      </c>
      <c r="CG523" s="23" t="s">
        <v>9</v>
      </c>
      <c r="CT523" s="23" t="s">
        <v>366</v>
      </c>
      <c r="DG523" s="23" t="s">
        <v>419</v>
      </c>
      <c r="DT523" s="23" t="s">
        <v>416</v>
      </c>
      <c r="EG523" s="23" t="s">
        <v>9</v>
      </c>
      <c r="ET523" s="23" t="s">
        <v>413</v>
      </c>
      <c r="FG523" s="23" t="s">
        <v>45</v>
      </c>
      <c r="FT523" s="23" t="s">
        <v>47</v>
      </c>
      <c r="GG523" s="23" t="s">
        <v>389</v>
      </c>
      <c r="HC523" s="23" t="s">
        <v>364</v>
      </c>
    </row>
    <row r="524" spans="6:211" x14ac:dyDescent="0.25">
      <c r="F524" s="23" t="s">
        <v>45</v>
      </c>
      <c r="S524" s="23" t="s">
        <v>9</v>
      </c>
      <c r="AF524" s="23" t="s">
        <v>381</v>
      </c>
      <c r="AT524" s="23" t="s">
        <v>347</v>
      </c>
      <c r="BG524" s="23" t="s">
        <v>435</v>
      </c>
      <c r="BT524" s="23" t="s">
        <v>421</v>
      </c>
      <c r="CG524" s="23" t="s">
        <v>413</v>
      </c>
      <c r="CT524" s="23" t="s">
        <v>367</v>
      </c>
      <c r="DG524" s="23" t="s">
        <v>420</v>
      </c>
      <c r="DT524" s="23" t="s">
        <v>417</v>
      </c>
      <c r="EG524" s="23" t="s">
        <v>413</v>
      </c>
      <c r="ET524" s="23" t="s">
        <v>10</v>
      </c>
      <c r="FG524" s="23" t="s">
        <v>9</v>
      </c>
      <c r="FT524" s="23" t="s">
        <v>436</v>
      </c>
      <c r="GG524" s="23" t="s">
        <v>390</v>
      </c>
      <c r="HC524" s="23" t="s">
        <v>365</v>
      </c>
    </row>
    <row r="525" spans="6:211" x14ac:dyDescent="0.25">
      <c r="F525" s="23" t="s">
        <v>9</v>
      </c>
      <c r="S525" s="23" t="s">
        <v>413</v>
      </c>
      <c r="AF525" s="23" t="s">
        <v>382</v>
      </c>
      <c r="AT525" s="23" t="s">
        <v>54</v>
      </c>
      <c r="BG525" s="23" t="s">
        <v>47</v>
      </c>
      <c r="BT525" s="23" t="s">
        <v>422</v>
      </c>
      <c r="CG525" s="23" t="s">
        <v>10</v>
      </c>
      <c r="CT525" s="23" t="s">
        <v>368</v>
      </c>
      <c r="DG525" s="23" t="s">
        <v>421</v>
      </c>
      <c r="DT525" s="23" t="s">
        <v>418</v>
      </c>
      <c r="EG525" s="23" t="s">
        <v>10</v>
      </c>
      <c r="ET525" s="23" t="s">
        <v>414</v>
      </c>
      <c r="FG525" s="23" t="s">
        <v>413</v>
      </c>
      <c r="FT525" s="23" t="s">
        <v>437</v>
      </c>
      <c r="GG525" s="23" t="s">
        <v>391</v>
      </c>
      <c r="HC525" s="23" t="s">
        <v>366</v>
      </c>
    </row>
    <row r="526" spans="6:211" x14ac:dyDescent="0.25">
      <c r="F526" s="23" t="s">
        <v>413</v>
      </c>
      <c r="S526" s="23" t="s">
        <v>10</v>
      </c>
      <c r="AF526" s="23" t="s">
        <v>383</v>
      </c>
      <c r="AT526" s="23" t="s">
        <v>348</v>
      </c>
      <c r="BG526" s="23" t="s">
        <v>436</v>
      </c>
      <c r="BT526" s="23" t="s">
        <v>423</v>
      </c>
      <c r="CG526" s="23" t="s">
        <v>414</v>
      </c>
      <c r="CT526" s="23" t="s">
        <v>369</v>
      </c>
      <c r="DG526" s="23" t="s">
        <v>422</v>
      </c>
      <c r="DT526" s="23" t="s">
        <v>256</v>
      </c>
      <c r="EG526" s="23" t="s">
        <v>414</v>
      </c>
      <c r="ET526" s="23" t="s">
        <v>415</v>
      </c>
      <c r="FG526" s="23" t="s">
        <v>10</v>
      </c>
      <c r="FT526" s="23" t="s">
        <v>438</v>
      </c>
      <c r="GG526" s="23" t="s">
        <v>392</v>
      </c>
      <c r="HC526" s="23" t="s">
        <v>367</v>
      </c>
    </row>
    <row r="527" spans="6:211" x14ac:dyDescent="0.25">
      <c r="F527" s="23" t="s">
        <v>10</v>
      </c>
      <c r="S527" s="23" t="s">
        <v>414</v>
      </c>
      <c r="AF527" s="23" t="s">
        <v>384</v>
      </c>
      <c r="AT527" s="23" t="s">
        <v>349</v>
      </c>
      <c r="BG527" s="23" t="s">
        <v>437</v>
      </c>
      <c r="BT527" s="23" t="s">
        <v>424</v>
      </c>
      <c r="CG527" s="23" t="s">
        <v>415</v>
      </c>
      <c r="CT527" s="23" t="s">
        <v>370</v>
      </c>
      <c r="DG527" s="23" t="s">
        <v>423</v>
      </c>
      <c r="DT527" s="23" t="s">
        <v>419</v>
      </c>
      <c r="EG527" s="23" t="s">
        <v>415</v>
      </c>
      <c r="ET527" s="23" t="s">
        <v>416</v>
      </c>
      <c r="FG527" s="23" t="s">
        <v>414</v>
      </c>
      <c r="FT527" s="23" t="s">
        <v>439</v>
      </c>
      <c r="GG527" s="23" t="s">
        <v>393</v>
      </c>
      <c r="HC527" s="23" t="s">
        <v>368</v>
      </c>
    </row>
    <row r="528" spans="6:211" x14ac:dyDescent="0.25">
      <c r="F528" s="23" t="s">
        <v>414</v>
      </c>
      <c r="S528" s="23" t="s">
        <v>415</v>
      </c>
      <c r="AF528" s="23" t="s">
        <v>385</v>
      </c>
      <c r="AT528" s="23" t="s">
        <v>350</v>
      </c>
      <c r="BG528" s="23" t="s">
        <v>438</v>
      </c>
      <c r="BT528" s="23" t="s">
        <v>425</v>
      </c>
      <c r="CG528" s="23" t="s">
        <v>416</v>
      </c>
      <c r="CT528" s="23" t="s">
        <v>371</v>
      </c>
      <c r="DG528" s="23" t="s">
        <v>424</v>
      </c>
      <c r="DT528" s="23" t="s">
        <v>420</v>
      </c>
      <c r="EG528" s="23" t="s">
        <v>416</v>
      </c>
      <c r="ET528" s="23" t="s">
        <v>417</v>
      </c>
      <c r="FG528" s="23" t="s">
        <v>415</v>
      </c>
      <c r="FT528" s="41" t="s">
        <v>440</v>
      </c>
      <c r="GG528" s="23" t="s">
        <v>394</v>
      </c>
      <c r="HC528" s="23" t="s">
        <v>369</v>
      </c>
    </row>
    <row r="529" spans="6:211" x14ac:dyDescent="0.25">
      <c r="F529" s="23" t="s">
        <v>415</v>
      </c>
      <c r="S529" s="23" t="s">
        <v>416</v>
      </c>
      <c r="AF529" s="23" t="s">
        <v>386</v>
      </c>
      <c r="AT529" s="23" t="s">
        <v>351</v>
      </c>
      <c r="BG529" s="23" t="s">
        <v>439</v>
      </c>
      <c r="BT529" s="23" t="s">
        <v>67</v>
      </c>
      <c r="CG529" s="23" t="s">
        <v>417</v>
      </c>
      <c r="CT529" s="23" t="s">
        <v>372</v>
      </c>
      <c r="DG529" s="23" t="s">
        <v>425</v>
      </c>
      <c r="DT529" s="23" t="s">
        <v>421</v>
      </c>
      <c r="EG529" s="23" t="s">
        <v>417</v>
      </c>
      <c r="ET529" s="23" t="s">
        <v>418</v>
      </c>
      <c r="FG529" s="23" t="s">
        <v>416</v>
      </c>
      <c r="FT529" s="23" t="s">
        <v>441</v>
      </c>
      <c r="GG529" s="23" t="s">
        <v>395</v>
      </c>
      <c r="HC529" s="23" t="s">
        <v>370</v>
      </c>
    </row>
    <row r="530" spans="6:211" x14ac:dyDescent="0.25">
      <c r="F530" s="23" t="s">
        <v>416</v>
      </c>
      <c r="S530" s="23" t="s">
        <v>417</v>
      </c>
      <c r="AF530" s="23" t="s">
        <v>387</v>
      </c>
      <c r="AT530" s="23" t="s">
        <v>352</v>
      </c>
      <c r="BG530" s="41" t="s">
        <v>440</v>
      </c>
      <c r="BT530" s="23" t="s">
        <v>426</v>
      </c>
      <c r="CG530" s="23" t="s">
        <v>418</v>
      </c>
      <c r="CT530" s="23" t="s">
        <v>373</v>
      </c>
      <c r="DG530" s="23" t="s">
        <v>67</v>
      </c>
      <c r="DT530" s="23" t="s">
        <v>422</v>
      </c>
      <c r="EG530" s="23" t="s">
        <v>418</v>
      </c>
      <c r="ET530" s="23" t="s">
        <v>256</v>
      </c>
      <c r="FG530" s="23" t="s">
        <v>417</v>
      </c>
      <c r="FT530" s="23" t="s">
        <v>442</v>
      </c>
      <c r="GG530" s="23" t="s">
        <v>396</v>
      </c>
      <c r="HC530" s="23" t="s">
        <v>371</v>
      </c>
    </row>
    <row r="531" spans="6:211" x14ac:dyDescent="0.25">
      <c r="F531" s="23" t="s">
        <v>417</v>
      </c>
      <c r="S531" s="23" t="s">
        <v>418</v>
      </c>
      <c r="AF531" s="23" t="s">
        <v>388</v>
      </c>
      <c r="AT531" s="23" t="s">
        <v>353</v>
      </c>
      <c r="BG531" s="23" t="s">
        <v>441</v>
      </c>
      <c r="BT531" s="23" t="s">
        <v>427</v>
      </c>
      <c r="CG531" s="23" t="s">
        <v>256</v>
      </c>
      <c r="CT531" s="23" t="s">
        <v>374</v>
      </c>
      <c r="DG531" s="23" t="s">
        <v>426</v>
      </c>
      <c r="DT531" s="23" t="s">
        <v>423</v>
      </c>
      <c r="EG531" s="23" t="s">
        <v>256</v>
      </c>
      <c r="ET531" s="23" t="s">
        <v>419</v>
      </c>
      <c r="FG531" s="23" t="s">
        <v>418</v>
      </c>
      <c r="FT531" s="23" t="s">
        <v>443</v>
      </c>
      <c r="GG531" s="23" t="s">
        <v>397</v>
      </c>
      <c r="HC531" s="23" t="s">
        <v>372</v>
      </c>
    </row>
    <row r="532" spans="6:211" x14ac:dyDescent="0.25">
      <c r="F532" s="23" t="s">
        <v>418</v>
      </c>
      <c r="S532" s="23" t="s">
        <v>256</v>
      </c>
      <c r="AF532" s="23" t="s">
        <v>389</v>
      </c>
      <c r="AT532" s="23" t="s">
        <v>354</v>
      </c>
      <c r="BG532" s="23" t="s">
        <v>442</v>
      </c>
      <c r="BT532" s="23" t="s">
        <v>428</v>
      </c>
      <c r="CG532" s="23" t="s">
        <v>419</v>
      </c>
      <c r="CT532" s="23" t="s">
        <v>375</v>
      </c>
      <c r="DG532" s="23" t="s">
        <v>427</v>
      </c>
      <c r="DT532" s="23" t="s">
        <v>424</v>
      </c>
      <c r="EG532" s="23" t="s">
        <v>419</v>
      </c>
      <c r="ET532" s="23" t="s">
        <v>420</v>
      </c>
      <c r="FG532" s="23" t="s">
        <v>256</v>
      </c>
      <c r="FT532" s="23" t="s">
        <v>444</v>
      </c>
      <c r="GG532" s="23" t="s">
        <v>398</v>
      </c>
      <c r="HC532" s="23" t="s">
        <v>373</v>
      </c>
    </row>
    <row r="533" spans="6:211" x14ac:dyDescent="0.25">
      <c r="F533" s="23" t="s">
        <v>256</v>
      </c>
      <c r="S533" s="23" t="s">
        <v>419</v>
      </c>
      <c r="AF533" s="23" t="s">
        <v>390</v>
      </c>
      <c r="AT533" s="23" t="s">
        <v>355</v>
      </c>
      <c r="BG533" s="23" t="s">
        <v>443</v>
      </c>
      <c r="BT533" s="23" t="s">
        <v>429</v>
      </c>
      <c r="CG533" s="23" t="s">
        <v>420</v>
      </c>
      <c r="CT533" s="23" t="s">
        <v>376</v>
      </c>
      <c r="DG533" s="23" t="s">
        <v>428</v>
      </c>
      <c r="DT533" s="23" t="s">
        <v>425</v>
      </c>
      <c r="EG533" s="23" t="s">
        <v>420</v>
      </c>
      <c r="ET533" s="23" t="s">
        <v>421</v>
      </c>
      <c r="FG533" s="23" t="s">
        <v>419</v>
      </c>
      <c r="FT533" s="23" t="s">
        <v>445</v>
      </c>
      <c r="GG533" s="23" t="s">
        <v>399</v>
      </c>
      <c r="HC533" s="23" t="s">
        <v>374</v>
      </c>
    </row>
    <row r="534" spans="6:211" x14ac:dyDescent="0.25">
      <c r="F534" s="23" t="s">
        <v>419</v>
      </c>
      <c r="S534" s="23" t="s">
        <v>420</v>
      </c>
      <c r="AF534" s="23" t="s">
        <v>391</v>
      </c>
      <c r="AT534" s="23" t="s">
        <v>356</v>
      </c>
      <c r="BG534" s="23" t="s">
        <v>444</v>
      </c>
      <c r="BT534" s="23" t="s">
        <v>430</v>
      </c>
      <c r="CG534" s="23" t="s">
        <v>421</v>
      </c>
      <c r="CT534" s="23" t="s">
        <v>377</v>
      </c>
      <c r="DG534" s="23" t="s">
        <v>429</v>
      </c>
      <c r="DT534" s="23" t="s">
        <v>67</v>
      </c>
      <c r="EG534" s="23" t="s">
        <v>421</v>
      </c>
      <c r="ET534" s="23" t="s">
        <v>422</v>
      </c>
      <c r="FG534" s="23" t="s">
        <v>420</v>
      </c>
      <c r="FT534" s="23" t="s">
        <v>446</v>
      </c>
      <c r="GG534" s="23" t="s">
        <v>400</v>
      </c>
      <c r="HC534" s="23" t="s">
        <v>375</v>
      </c>
    </row>
    <row r="535" spans="6:211" x14ac:dyDescent="0.25">
      <c r="F535" s="23" t="s">
        <v>420</v>
      </c>
      <c r="S535" s="23" t="s">
        <v>421</v>
      </c>
      <c r="AF535" s="23" t="s">
        <v>392</v>
      </c>
      <c r="AT535" s="23" t="s">
        <v>357</v>
      </c>
      <c r="BG535" s="23" t="s">
        <v>445</v>
      </c>
      <c r="BT535" s="23" t="s">
        <v>431</v>
      </c>
      <c r="CG535" s="23" t="s">
        <v>422</v>
      </c>
      <c r="CT535" s="23" t="s">
        <v>378</v>
      </c>
      <c r="DG535" s="23" t="s">
        <v>430</v>
      </c>
      <c r="DT535" s="23" t="s">
        <v>426</v>
      </c>
      <c r="EG535" s="23" t="s">
        <v>422</v>
      </c>
      <c r="ET535" s="23" t="s">
        <v>423</v>
      </c>
      <c r="FG535" s="23" t="s">
        <v>421</v>
      </c>
      <c r="FT535" s="23" t="s">
        <v>447</v>
      </c>
      <c r="GG535" s="23" t="s">
        <v>401</v>
      </c>
      <c r="HC535" s="23" t="s">
        <v>376</v>
      </c>
    </row>
    <row r="536" spans="6:211" x14ac:dyDescent="0.25">
      <c r="F536" s="23" t="s">
        <v>421</v>
      </c>
      <c r="S536" s="23" t="s">
        <v>422</v>
      </c>
      <c r="AF536" s="23" t="s">
        <v>393</v>
      </c>
      <c r="AT536" s="23" t="s">
        <v>358</v>
      </c>
      <c r="BG536" s="23" t="s">
        <v>446</v>
      </c>
      <c r="BT536" s="23" t="s">
        <v>432</v>
      </c>
      <c r="CG536" s="23" t="s">
        <v>423</v>
      </c>
      <c r="CT536" s="23" t="s">
        <v>379</v>
      </c>
      <c r="DG536" s="23" t="s">
        <v>431</v>
      </c>
      <c r="DT536" s="23" t="s">
        <v>427</v>
      </c>
      <c r="EG536" s="23" t="s">
        <v>423</v>
      </c>
      <c r="ET536" s="23" t="s">
        <v>424</v>
      </c>
      <c r="FG536" s="23" t="s">
        <v>422</v>
      </c>
      <c r="FT536" s="23" t="s">
        <v>448</v>
      </c>
      <c r="GG536" s="23" t="s">
        <v>402</v>
      </c>
      <c r="HC536" s="23" t="s">
        <v>377</v>
      </c>
    </row>
    <row r="537" spans="6:211" x14ac:dyDescent="0.25">
      <c r="F537" s="23" t="s">
        <v>422</v>
      </c>
      <c r="S537" s="23" t="s">
        <v>423</v>
      </c>
      <c r="AF537" s="23" t="s">
        <v>394</v>
      </c>
      <c r="AT537" s="23" t="s">
        <v>359</v>
      </c>
      <c r="BG537" s="23" t="s">
        <v>447</v>
      </c>
      <c r="BT537" s="23" t="s">
        <v>433</v>
      </c>
      <c r="CG537" s="23" t="s">
        <v>424</v>
      </c>
      <c r="CT537" s="23" t="s">
        <v>380</v>
      </c>
      <c r="DG537" s="23" t="s">
        <v>432</v>
      </c>
      <c r="DT537" s="23" t="s">
        <v>428</v>
      </c>
      <c r="EG537" s="23" t="s">
        <v>424</v>
      </c>
      <c r="ET537" s="23" t="s">
        <v>425</v>
      </c>
      <c r="FG537" s="23" t="s">
        <v>423</v>
      </c>
      <c r="FT537" s="23" t="s">
        <v>449</v>
      </c>
      <c r="GG537" s="23" t="s">
        <v>403</v>
      </c>
      <c r="HC537" s="23" t="s">
        <v>378</v>
      </c>
    </row>
    <row r="538" spans="6:211" x14ac:dyDescent="0.25">
      <c r="F538" s="23" t="s">
        <v>423</v>
      </c>
      <c r="S538" s="23" t="s">
        <v>424</v>
      </c>
      <c r="AF538" s="23" t="s">
        <v>395</v>
      </c>
      <c r="AT538" s="23" t="s">
        <v>360</v>
      </c>
      <c r="BG538" s="23" t="s">
        <v>448</v>
      </c>
      <c r="BT538" s="23" t="s">
        <v>434</v>
      </c>
      <c r="CG538" s="23" t="s">
        <v>425</v>
      </c>
      <c r="CT538" s="23" t="s">
        <v>381</v>
      </c>
      <c r="DG538" s="23" t="s">
        <v>433</v>
      </c>
      <c r="DT538" s="23" t="s">
        <v>429</v>
      </c>
      <c r="EG538" s="23" t="s">
        <v>425</v>
      </c>
      <c r="ET538" s="23" t="s">
        <v>67</v>
      </c>
      <c r="FG538" s="23" t="s">
        <v>424</v>
      </c>
      <c r="FT538" s="23" t="s">
        <v>450</v>
      </c>
      <c r="GG538" s="23" t="s">
        <v>404</v>
      </c>
      <c r="HC538" s="23" t="s">
        <v>379</v>
      </c>
    </row>
    <row r="539" spans="6:211" x14ac:dyDescent="0.25">
      <c r="F539" s="23" t="s">
        <v>424</v>
      </c>
      <c r="S539" s="23" t="s">
        <v>425</v>
      </c>
      <c r="AF539" s="23" t="s">
        <v>396</v>
      </c>
      <c r="AT539" s="23" t="s">
        <v>361</v>
      </c>
      <c r="BG539" s="23" t="s">
        <v>449</v>
      </c>
      <c r="BT539" s="23" t="s">
        <v>435</v>
      </c>
      <c r="CG539" s="23" t="s">
        <v>67</v>
      </c>
      <c r="CT539" s="23" t="s">
        <v>382</v>
      </c>
      <c r="DG539" s="23" t="s">
        <v>434</v>
      </c>
      <c r="DT539" s="23" t="s">
        <v>430</v>
      </c>
      <c r="EG539" s="23" t="s">
        <v>67</v>
      </c>
      <c r="ET539" s="23" t="s">
        <v>426</v>
      </c>
      <c r="FG539" s="23" t="s">
        <v>425</v>
      </c>
      <c r="FT539" s="23" t="s">
        <v>451</v>
      </c>
      <c r="GG539" s="23" t="s">
        <v>405</v>
      </c>
      <c r="HC539" s="23" t="s">
        <v>380</v>
      </c>
    </row>
    <row r="540" spans="6:211" x14ac:dyDescent="0.25">
      <c r="F540" s="23" t="s">
        <v>425</v>
      </c>
      <c r="S540" s="23" t="s">
        <v>67</v>
      </c>
      <c r="AF540" s="23" t="s">
        <v>397</v>
      </c>
      <c r="AT540" s="23" t="s">
        <v>362</v>
      </c>
      <c r="BG540" s="23" t="s">
        <v>450</v>
      </c>
      <c r="BT540" s="23" t="s">
        <v>47</v>
      </c>
      <c r="CG540" s="23" t="s">
        <v>426</v>
      </c>
      <c r="CT540" s="23" t="s">
        <v>383</v>
      </c>
      <c r="DG540" s="23" t="s">
        <v>435</v>
      </c>
      <c r="DT540" s="23" t="s">
        <v>431</v>
      </c>
      <c r="EG540" s="23" t="s">
        <v>426</v>
      </c>
      <c r="ET540" s="23" t="s">
        <v>427</v>
      </c>
      <c r="FG540" s="23" t="s">
        <v>67</v>
      </c>
      <c r="FT540" s="23" t="s">
        <v>452</v>
      </c>
      <c r="GG540" s="23" t="s">
        <v>406</v>
      </c>
      <c r="HC540" s="23" t="s">
        <v>381</v>
      </c>
    </row>
    <row r="541" spans="6:211" x14ac:dyDescent="0.25">
      <c r="F541" s="23" t="s">
        <v>67</v>
      </c>
      <c r="S541" s="23" t="s">
        <v>426</v>
      </c>
      <c r="AF541" s="23" t="s">
        <v>398</v>
      </c>
      <c r="AT541" s="23" t="s">
        <v>363</v>
      </c>
      <c r="BG541" s="23" t="s">
        <v>451</v>
      </c>
      <c r="BT541" s="23" t="s">
        <v>436</v>
      </c>
      <c r="CG541" s="23" t="s">
        <v>427</v>
      </c>
      <c r="CT541" s="23" t="s">
        <v>384</v>
      </c>
      <c r="DG541" s="23" t="s">
        <v>47</v>
      </c>
      <c r="DT541" s="23" t="s">
        <v>432</v>
      </c>
      <c r="EG541" s="23" t="s">
        <v>427</v>
      </c>
      <c r="ET541" s="23" t="s">
        <v>428</v>
      </c>
      <c r="FG541" s="23" t="s">
        <v>426</v>
      </c>
      <c r="FT541" s="23" t="s">
        <v>453</v>
      </c>
      <c r="GG541" s="23" t="s">
        <v>407</v>
      </c>
      <c r="HC541" s="23" t="s">
        <v>382</v>
      </c>
    </row>
    <row r="542" spans="6:211" x14ac:dyDescent="0.25">
      <c r="F542" s="23" t="s">
        <v>426</v>
      </c>
      <c r="S542" s="23" t="s">
        <v>427</v>
      </c>
      <c r="AF542" s="23" t="s">
        <v>399</v>
      </c>
      <c r="AT542" s="23" t="s">
        <v>364</v>
      </c>
      <c r="BG542" s="23" t="s">
        <v>452</v>
      </c>
      <c r="BT542" s="23" t="s">
        <v>437</v>
      </c>
      <c r="CG542" s="23" t="s">
        <v>428</v>
      </c>
      <c r="CT542" s="23" t="s">
        <v>385</v>
      </c>
      <c r="DG542" s="23" t="s">
        <v>436</v>
      </c>
      <c r="DT542" s="23" t="s">
        <v>433</v>
      </c>
      <c r="EG542" s="23" t="s">
        <v>428</v>
      </c>
      <c r="ET542" s="23" t="s">
        <v>429</v>
      </c>
      <c r="FG542" s="23" t="s">
        <v>427</v>
      </c>
      <c r="FT542" s="23" t="s">
        <v>454</v>
      </c>
      <c r="GG542" s="23" t="s">
        <v>408</v>
      </c>
      <c r="HC542" s="23" t="s">
        <v>383</v>
      </c>
    </row>
    <row r="543" spans="6:211" x14ac:dyDescent="0.25">
      <c r="F543" s="23" t="s">
        <v>427</v>
      </c>
      <c r="S543" s="23" t="s">
        <v>428</v>
      </c>
      <c r="AF543" s="23" t="s">
        <v>400</v>
      </c>
      <c r="AT543" s="23" t="s">
        <v>365</v>
      </c>
      <c r="BG543" s="23" t="s">
        <v>453</v>
      </c>
      <c r="BT543" s="23" t="s">
        <v>438</v>
      </c>
      <c r="CG543" s="23" t="s">
        <v>429</v>
      </c>
      <c r="CT543" s="23" t="s">
        <v>386</v>
      </c>
      <c r="DG543" s="23" t="s">
        <v>437</v>
      </c>
      <c r="DT543" s="23" t="s">
        <v>434</v>
      </c>
      <c r="EG543" s="23" t="s">
        <v>429</v>
      </c>
      <c r="ET543" s="23" t="s">
        <v>430</v>
      </c>
      <c r="FG543" s="23" t="s">
        <v>428</v>
      </c>
      <c r="FT543" s="23" t="s">
        <v>455</v>
      </c>
      <c r="GG543" s="23" t="s">
        <v>409</v>
      </c>
      <c r="HC543" s="23" t="s">
        <v>384</v>
      </c>
    </row>
    <row r="544" spans="6:211" x14ac:dyDescent="0.25">
      <c r="F544" s="23" t="s">
        <v>428</v>
      </c>
      <c r="S544" s="23" t="s">
        <v>429</v>
      </c>
      <c r="AF544" s="23" t="s">
        <v>401</v>
      </c>
      <c r="AT544" s="23" t="s">
        <v>366</v>
      </c>
      <c r="BG544" s="23" t="s">
        <v>454</v>
      </c>
      <c r="BT544" s="23" t="s">
        <v>439</v>
      </c>
      <c r="CG544" s="23" t="s">
        <v>430</v>
      </c>
      <c r="CT544" s="23" t="s">
        <v>387</v>
      </c>
      <c r="DG544" s="23" t="s">
        <v>438</v>
      </c>
      <c r="DT544" s="23" t="s">
        <v>435</v>
      </c>
      <c r="EG544" s="23" t="s">
        <v>430</v>
      </c>
      <c r="ET544" s="23" t="s">
        <v>431</v>
      </c>
      <c r="FG544" s="23" t="s">
        <v>429</v>
      </c>
      <c r="FT544" s="23" t="s">
        <v>114</v>
      </c>
      <c r="GG544" s="23" t="s">
        <v>410</v>
      </c>
      <c r="HC544" s="23" t="s">
        <v>385</v>
      </c>
    </row>
    <row r="545" spans="6:211" x14ac:dyDescent="0.25">
      <c r="F545" s="23" t="s">
        <v>429</v>
      </c>
      <c r="S545" s="23" t="s">
        <v>430</v>
      </c>
      <c r="AF545" s="23" t="s">
        <v>402</v>
      </c>
      <c r="AT545" s="23" t="s">
        <v>367</v>
      </c>
      <c r="BG545" s="23" t="s">
        <v>455</v>
      </c>
      <c r="BT545" s="41" t="s">
        <v>440</v>
      </c>
      <c r="CG545" s="23" t="s">
        <v>431</v>
      </c>
      <c r="CT545" s="23" t="s">
        <v>388</v>
      </c>
      <c r="DG545" s="23" t="s">
        <v>439</v>
      </c>
      <c r="DT545" s="23" t="s">
        <v>47</v>
      </c>
      <c r="EG545" s="23" t="s">
        <v>431</v>
      </c>
      <c r="ET545" s="23" t="s">
        <v>432</v>
      </c>
      <c r="FG545" s="23" t="s">
        <v>430</v>
      </c>
      <c r="FT545" s="23" t="s">
        <v>456</v>
      </c>
      <c r="GG545" s="23" t="s">
        <v>411</v>
      </c>
      <c r="HC545" s="23" t="s">
        <v>386</v>
      </c>
    </row>
    <row r="546" spans="6:211" x14ac:dyDescent="0.25">
      <c r="F546" s="23" t="s">
        <v>430</v>
      </c>
      <c r="S546" s="23" t="s">
        <v>431</v>
      </c>
      <c r="AF546" s="23" t="s">
        <v>403</v>
      </c>
      <c r="AT546" s="23" t="s">
        <v>368</v>
      </c>
      <c r="BG546" s="23" t="s">
        <v>114</v>
      </c>
      <c r="BT546" s="23" t="s">
        <v>441</v>
      </c>
      <c r="CG546" s="23" t="s">
        <v>432</v>
      </c>
      <c r="CT546" s="23" t="s">
        <v>389</v>
      </c>
      <c r="DG546" s="41" t="s">
        <v>440</v>
      </c>
      <c r="DT546" s="23" t="s">
        <v>436</v>
      </c>
      <c r="EG546" s="23" t="s">
        <v>432</v>
      </c>
      <c r="ET546" s="23" t="s">
        <v>433</v>
      </c>
      <c r="FG546" s="23" t="s">
        <v>431</v>
      </c>
      <c r="FT546" s="23" t="s">
        <v>457</v>
      </c>
      <c r="GG546" s="23" t="s">
        <v>412</v>
      </c>
      <c r="HC546" s="23" t="s">
        <v>387</v>
      </c>
    </row>
    <row r="547" spans="6:211" x14ac:dyDescent="0.25">
      <c r="F547" s="23" t="s">
        <v>431</v>
      </c>
      <c r="S547" s="23" t="s">
        <v>432</v>
      </c>
      <c r="AF547" s="23" t="s">
        <v>404</v>
      </c>
      <c r="AT547" s="23" t="s">
        <v>369</v>
      </c>
      <c r="BG547" s="23" t="s">
        <v>456</v>
      </c>
      <c r="BT547" s="23" t="s">
        <v>442</v>
      </c>
      <c r="CG547" s="23" t="s">
        <v>433</v>
      </c>
      <c r="CT547" s="23" t="s">
        <v>390</v>
      </c>
      <c r="DG547" s="23" t="s">
        <v>441</v>
      </c>
      <c r="DT547" s="23" t="s">
        <v>437</v>
      </c>
      <c r="EG547" s="23" t="s">
        <v>433</v>
      </c>
      <c r="ET547" s="23" t="s">
        <v>434</v>
      </c>
      <c r="FG547" s="23" t="s">
        <v>432</v>
      </c>
      <c r="FT547" s="23" t="s">
        <v>458</v>
      </c>
      <c r="GG547" s="23" t="s">
        <v>45</v>
      </c>
      <c r="HC547" s="23" t="s">
        <v>388</v>
      </c>
    </row>
    <row r="548" spans="6:211" x14ac:dyDescent="0.25">
      <c r="F548" s="23" t="s">
        <v>432</v>
      </c>
      <c r="S548" s="23" t="s">
        <v>433</v>
      </c>
      <c r="AF548" s="23" t="s">
        <v>405</v>
      </c>
      <c r="AT548" s="23" t="s">
        <v>370</v>
      </c>
      <c r="BG548" s="23" t="s">
        <v>457</v>
      </c>
      <c r="BT548" s="23" t="s">
        <v>443</v>
      </c>
      <c r="CG548" s="23" t="s">
        <v>434</v>
      </c>
      <c r="CT548" s="23" t="s">
        <v>391</v>
      </c>
      <c r="DG548" s="23" t="s">
        <v>442</v>
      </c>
      <c r="DT548" s="23" t="s">
        <v>438</v>
      </c>
      <c r="EG548" s="23" t="s">
        <v>434</v>
      </c>
      <c r="ET548" s="23" t="s">
        <v>435</v>
      </c>
      <c r="FG548" s="23" t="s">
        <v>433</v>
      </c>
      <c r="FT548" s="23" t="s">
        <v>459</v>
      </c>
      <c r="GG548" s="23" t="s">
        <v>9</v>
      </c>
      <c r="HC548" s="23" t="s">
        <v>389</v>
      </c>
    </row>
    <row r="549" spans="6:211" x14ac:dyDescent="0.25">
      <c r="F549" s="23" t="s">
        <v>433</v>
      </c>
      <c r="S549" s="23" t="s">
        <v>434</v>
      </c>
      <c r="AF549" s="23" t="s">
        <v>406</v>
      </c>
      <c r="AT549" s="23" t="s">
        <v>371</v>
      </c>
      <c r="BG549" s="23" t="s">
        <v>458</v>
      </c>
      <c r="BT549" s="23" t="s">
        <v>444</v>
      </c>
      <c r="CG549" s="23" t="s">
        <v>435</v>
      </c>
      <c r="CT549" s="23" t="s">
        <v>392</v>
      </c>
      <c r="DG549" s="23" t="s">
        <v>443</v>
      </c>
      <c r="DT549" s="23" t="s">
        <v>439</v>
      </c>
      <c r="EG549" s="23" t="s">
        <v>435</v>
      </c>
      <c r="ET549" s="23" t="s">
        <v>47</v>
      </c>
      <c r="FG549" s="23" t="s">
        <v>434</v>
      </c>
      <c r="FT549" s="23" t="s">
        <v>460</v>
      </c>
      <c r="GG549" s="23" t="s">
        <v>413</v>
      </c>
      <c r="HC549" s="23" t="s">
        <v>390</v>
      </c>
    </row>
    <row r="550" spans="6:211" x14ac:dyDescent="0.25">
      <c r="F550" s="23" t="s">
        <v>434</v>
      </c>
      <c r="S550" s="23" t="s">
        <v>435</v>
      </c>
      <c r="AF550" s="23" t="s">
        <v>407</v>
      </c>
      <c r="AT550" s="23" t="s">
        <v>372</v>
      </c>
      <c r="BG550" s="23" t="s">
        <v>459</v>
      </c>
      <c r="BT550" s="23" t="s">
        <v>445</v>
      </c>
      <c r="CG550" s="23" t="s">
        <v>47</v>
      </c>
      <c r="CT550" s="23" t="s">
        <v>393</v>
      </c>
      <c r="DG550" s="23" t="s">
        <v>444</v>
      </c>
      <c r="DT550" s="41" t="s">
        <v>440</v>
      </c>
      <c r="EG550" s="23" t="s">
        <v>47</v>
      </c>
      <c r="ET550" s="23" t="s">
        <v>436</v>
      </c>
      <c r="FG550" s="23" t="s">
        <v>435</v>
      </c>
      <c r="FT550" s="23" t="s">
        <v>461</v>
      </c>
      <c r="GG550" s="23" t="s">
        <v>10</v>
      </c>
      <c r="HC550" s="23" t="s">
        <v>391</v>
      </c>
    </row>
    <row r="551" spans="6:211" x14ac:dyDescent="0.25">
      <c r="F551" s="23" t="s">
        <v>435</v>
      </c>
      <c r="S551" s="23" t="s">
        <v>47</v>
      </c>
      <c r="AF551" s="23" t="s">
        <v>408</v>
      </c>
      <c r="AT551" s="23" t="s">
        <v>373</v>
      </c>
      <c r="BG551" s="23" t="s">
        <v>460</v>
      </c>
      <c r="BT551" s="23" t="s">
        <v>446</v>
      </c>
      <c r="CG551" s="23" t="s">
        <v>436</v>
      </c>
      <c r="CT551" s="23" t="s">
        <v>394</v>
      </c>
      <c r="DG551" s="23" t="s">
        <v>445</v>
      </c>
      <c r="DT551" s="23" t="s">
        <v>441</v>
      </c>
      <c r="EG551" s="23" t="s">
        <v>436</v>
      </c>
      <c r="ET551" s="23" t="s">
        <v>437</v>
      </c>
      <c r="FG551" s="23" t="s">
        <v>47</v>
      </c>
      <c r="FT551" s="23" t="s">
        <v>462</v>
      </c>
      <c r="GG551" s="23" t="s">
        <v>414</v>
      </c>
      <c r="HC551" s="23" t="s">
        <v>392</v>
      </c>
    </row>
    <row r="552" spans="6:211" x14ac:dyDescent="0.25">
      <c r="F552" s="23" t="s">
        <v>47</v>
      </c>
      <c r="S552" s="23" t="s">
        <v>436</v>
      </c>
      <c r="AF552" s="23" t="s">
        <v>409</v>
      </c>
      <c r="AT552" s="23" t="s">
        <v>374</v>
      </c>
      <c r="BG552" s="23" t="s">
        <v>461</v>
      </c>
      <c r="BT552" s="23" t="s">
        <v>447</v>
      </c>
      <c r="CG552" s="23" t="s">
        <v>437</v>
      </c>
      <c r="CT552" s="23" t="s">
        <v>395</v>
      </c>
      <c r="DG552" s="23" t="s">
        <v>446</v>
      </c>
      <c r="DT552" s="23" t="s">
        <v>442</v>
      </c>
      <c r="EG552" s="23" t="s">
        <v>437</v>
      </c>
      <c r="ET552" s="23" t="s">
        <v>438</v>
      </c>
      <c r="FG552" s="23" t="s">
        <v>436</v>
      </c>
      <c r="FT552" s="23" t="s">
        <v>463</v>
      </c>
      <c r="GG552" s="23" t="s">
        <v>415</v>
      </c>
      <c r="HC552" s="23" t="s">
        <v>393</v>
      </c>
    </row>
    <row r="553" spans="6:211" x14ac:dyDescent="0.25">
      <c r="F553" s="23" t="s">
        <v>436</v>
      </c>
      <c r="S553" s="23" t="s">
        <v>437</v>
      </c>
      <c r="AF553" s="23" t="s">
        <v>410</v>
      </c>
      <c r="AT553" s="23" t="s">
        <v>375</v>
      </c>
      <c r="BG553" s="23" t="s">
        <v>462</v>
      </c>
      <c r="BT553" s="23" t="s">
        <v>448</v>
      </c>
      <c r="CG553" s="23" t="s">
        <v>438</v>
      </c>
      <c r="CT553" s="23" t="s">
        <v>396</v>
      </c>
      <c r="DG553" s="23" t="s">
        <v>447</v>
      </c>
      <c r="DT553" s="23" t="s">
        <v>443</v>
      </c>
      <c r="EG553" s="23" t="s">
        <v>438</v>
      </c>
      <c r="ET553" s="23" t="s">
        <v>439</v>
      </c>
      <c r="FG553" s="23" t="s">
        <v>437</v>
      </c>
      <c r="FT553" s="23" t="s">
        <v>464</v>
      </c>
      <c r="GG553" s="23" t="s">
        <v>416</v>
      </c>
      <c r="HC553" s="23" t="s">
        <v>394</v>
      </c>
    </row>
    <row r="554" spans="6:211" x14ac:dyDescent="0.25">
      <c r="F554" s="23" t="s">
        <v>437</v>
      </c>
      <c r="S554" s="23" t="s">
        <v>438</v>
      </c>
      <c r="AF554" s="23" t="s">
        <v>411</v>
      </c>
      <c r="AT554" s="23" t="s">
        <v>376</v>
      </c>
      <c r="BG554" s="23" t="s">
        <v>463</v>
      </c>
      <c r="BT554" s="23" t="s">
        <v>449</v>
      </c>
      <c r="CG554" s="23" t="s">
        <v>439</v>
      </c>
      <c r="CT554" s="23" t="s">
        <v>397</v>
      </c>
      <c r="DG554" s="23" t="s">
        <v>448</v>
      </c>
      <c r="DT554" s="23" t="s">
        <v>444</v>
      </c>
      <c r="EG554" s="23" t="s">
        <v>439</v>
      </c>
      <c r="ET554" s="41" t="s">
        <v>440</v>
      </c>
      <c r="FG554" s="23" t="s">
        <v>438</v>
      </c>
      <c r="FT554" s="23" t="s">
        <v>465</v>
      </c>
      <c r="GG554" s="23" t="s">
        <v>417</v>
      </c>
      <c r="HC554" s="23" t="s">
        <v>395</v>
      </c>
    </row>
    <row r="555" spans="6:211" x14ac:dyDescent="0.25">
      <c r="F555" s="23" t="s">
        <v>438</v>
      </c>
      <c r="S555" s="23" t="s">
        <v>439</v>
      </c>
      <c r="AF555" s="23" t="s">
        <v>412</v>
      </c>
      <c r="AT555" s="23" t="s">
        <v>377</v>
      </c>
      <c r="BG555" s="23" t="s">
        <v>464</v>
      </c>
      <c r="BT555" s="23" t="s">
        <v>450</v>
      </c>
      <c r="CG555" s="41" t="s">
        <v>440</v>
      </c>
      <c r="CT555" s="23" t="s">
        <v>398</v>
      </c>
      <c r="DG555" s="23" t="s">
        <v>449</v>
      </c>
      <c r="DT555" s="23" t="s">
        <v>445</v>
      </c>
      <c r="EG555" s="41" t="s">
        <v>440</v>
      </c>
      <c r="ET555" s="23" t="s">
        <v>441</v>
      </c>
      <c r="FG555" s="23" t="s">
        <v>439</v>
      </c>
      <c r="FT555" s="23" t="s">
        <v>466</v>
      </c>
      <c r="GG555" s="23" t="s">
        <v>418</v>
      </c>
      <c r="HC555" s="23" t="s">
        <v>396</v>
      </c>
    </row>
    <row r="556" spans="6:211" x14ac:dyDescent="0.25">
      <c r="F556" s="23" t="s">
        <v>439</v>
      </c>
      <c r="S556" s="41" t="s">
        <v>440</v>
      </c>
      <c r="AF556" s="23" t="s">
        <v>45</v>
      </c>
      <c r="AT556" s="23" t="s">
        <v>378</v>
      </c>
      <c r="BG556" s="23" t="s">
        <v>465</v>
      </c>
      <c r="BT556" s="23" t="s">
        <v>451</v>
      </c>
      <c r="CG556" s="23" t="s">
        <v>441</v>
      </c>
      <c r="CT556" s="23" t="s">
        <v>399</v>
      </c>
      <c r="DG556" s="23" t="s">
        <v>450</v>
      </c>
      <c r="DT556" s="23" t="s">
        <v>446</v>
      </c>
      <c r="EG556" s="23" t="s">
        <v>441</v>
      </c>
      <c r="ET556" s="23" t="s">
        <v>442</v>
      </c>
      <c r="FG556" s="41" t="s">
        <v>440</v>
      </c>
      <c r="FT556" s="23" t="s">
        <v>467</v>
      </c>
      <c r="GG556" s="23" t="s">
        <v>256</v>
      </c>
      <c r="HC556" s="23" t="s">
        <v>397</v>
      </c>
    </row>
    <row r="557" spans="6:211" x14ac:dyDescent="0.25">
      <c r="F557" s="41" t="s">
        <v>440</v>
      </c>
      <c r="S557" s="23" t="s">
        <v>441</v>
      </c>
      <c r="AF557" s="23" t="s">
        <v>9</v>
      </c>
      <c r="AT557" s="23" t="s">
        <v>379</v>
      </c>
      <c r="BG557" s="23" t="s">
        <v>466</v>
      </c>
      <c r="BT557" s="23" t="s">
        <v>452</v>
      </c>
      <c r="CG557" s="23" t="s">
        <v>442</v>
      </c>
      <c r="CT557" s="23" t="s">
        <v>400</v>
      </c>
      <c r="DG557" s="23" t="s">
        <v>451</v>
      </c>
      <c r="DT557" s="23" t="s">
        <v>447</v>
      </c>
      <c r="EG557" s="23" t="s">
        <v>442</v>
      </c>
      <c r="ET557" s="23" t="s">
        <v>443</v>
      </c>
      <c r="FG557" s="23" t="s">
        <v>441</v>
      </c>
      <c r="FT557" s="23" t="s">
        <v>468</v>
      </c>
      <c r="GG557" s="23" t="s">
        <v>419</v>
      </c>
      <c r="HC557" s="23" t="s">
        <v>398</v>
      </c>
    </row>
    <row r="558" spans="6:211" x14ac:dyDescent="0.25">
      <c r="F558" s="23" t="s">
        <v>441</v>
      </c>
      <c r="S558" s="23" t="s">
        <v>442</v>
      </c>
      <c r="AF558" s="23" t="s">
        <v>413</v>
      </c>
      <c r="AT558" s="23" t="s">
        <v>380</v>
      </c>
      <c r="BG558" s="23" t="s">
        <v>467</v>
      </c>
      <c r="BT558" s="23" t="s">
        <v>453</v>
      </c>
      <c r="CG558" s="23" t="s">
        <v>443</v>
      </c>
      <c r="CT558" s="23" t="s">
        <v>401</v>
      </c>
      <c r="DG558" s="23" t="s">
        <v>452</v>
      </c>
      <c r="DT558" s="23" t="s">
        <v>448</v>
      </c>
      <c r="EG558" s="23" t="s">
        <v>443</v>
      </c>
      <c r="ET558" s="23" t="s">
        <v>444</v>
      </c>
      <c r="FG558" s="23" t="s">
        <v>442</v>
      </c>
      <c r="FT558" s="23" t="s">
        <v>469</v>
      </c>
      <c r="GG558" s="23" t="s">
        <v>420</v>
      </c>
      <c r="HC558" s="23" t="s">
        <v>399</v>
      </c>
    </row>
    <row r="559" spans="6:211" x14ac:dyDescent="0.25">
      <c r="F559" s="23" t="s">
        <v>442</v>
      </c>
      <c r="S559" s="23" t="s">
        <v>443</v>
      </c>
      <c r="AF559" s="23" t="s">
        <v>10</v>
      </c>
      <c r="AT559" s="23" t="s">
        <v>381</v>
      </c>
      <c r="BG559" s="23" t="s">
        <v>468</v>
      </c>
      <c r="BT559" s="23" t="s">
        <v>454</v>
      </c>
      <c r="CG559" s="23" t="s">
        <v>444</v>
      </c>
      <c r="CT559" s="23" t="s">
        <v>402</v>
      </c>
      <c r="DG559" s="23" t="s">
        <v>453</v>
      </c>
      <c r="DT559" s="23" t="s">
        <v>449</v>
      </c>
      <c r="EG559" s="23" t="s">
        <v>444</v>
      </c>
      <c r="ET559" s="23" t="s">
        <v>445</v>
      </c>
      <c r="FG559" s="23" t="s">
        <v>443</v>
      </c>
      <c r="FT559" s="23" t="s">
        <v>470</v>
      </c>
      <c r="GG559" s="23" t="s">
        <v>421</v>
      </c>
      <c r="HC559" s="23" t="s">
        <v>400</v>
      </c>
    </row>
    <row r="560" spans="6:211" x14ac:dyDescent="0.25">
      <c r="F560" s="23" t="s">
        <v>443</v>
      </c>
      <c r="S560" s="23" t="s">
        <v>444</v>
      </c>
      <c r="AF560" s="23" t="s">
        <v>414</v>
      </c>
      <c r="AT560" s="23" t="s">
        <v>382</v>
      </c>
      <c r="BG560" s="23" t="s">
        <v>469</v>
      </c>
      <c r="BT560" s="23" t="s">
        <v>455</v>
      </c>
      <c r="CG560" s="23" t="s">
        <v>445</v>
      </c>
      <c r="CT560" s="23" t="s">
        <v>403</v>
      </c>
      <c r="DG560" s="23" t="s">
        <v>454</v>
      </c>
      <c r="DT560" s="23" t="s">
        <v>450</v>
      </c>
      <c r="EG560" s="23" t="s">
        <v>445</v>
      </c>
      <c r="ET560" s="23" t="s">
        <v>446</v>
      </c>
      <c r="FG560" s="23" t="s">
        <v>444</v>
      </c>
      <c r="FT560" s="23" t="s">
        <v>471</v>
      </c>
      <c r="GG560" s="23" t="s">
        <v>422</v>
      </c>
      <c r="HC560" s="23" t="s">
        <v>401</v>
      </c>
    </row>
    <row r="561" spans="6:211" x14ac:dyDescent="0.25">
      <c r="F561" s="23" t="s">
        <v>444</v>
      </c>
      <c r="S561" s="23" t="s">
        <v>445</v>
      </c>
      <c r="AF561" s="23" t="s">
        <v>415</v>
      </c>
      <c r="AT561" s="23" t="s">
        <v>383</v>
      </c>
      <c r="BG561" s="23" t="s">
        <v>470</v>
      </c>
      <c r="BT561" s="23" t="s">
        <v>114</v>
      </c>
      <c r="CG561" s="23" t="s">
        <v>446</v>
      </c>
      <c r="CT561" s="23" t="s">
        <v>404</v>
      </c>
      <c r="DG561" s="23" t="s">
        <v>455</v>
      </c>
      <c r="DT561" s="23" t="s">
        <v>451</v>
      </c>
      <c r="EG561" s="23" t="s">
        <v>446</v>
      </c>
      <c r="ET561" s="23" t="s">
        <v>447</v>
      </c>
      <c r="FG561" s="23" t="s">
        <v>445</v>
      </c>
      <c r="FT561" s="23" t="s">
        <v>472</v>
      </c>
      <c r="GG561" s="23" t="s">
        <v>423</v>
      </c>
      <c r="HC561" s="23" t="s">
        <v>402</v>
      </c>
    </row>
    <row r="562" spans="6:211" x14ac:dyDescent="0.25">
      <c r="F562" s="23" t="s">
        <v>445</v>
      </c>
      <c r="S562" s="23" t="s">
        <v>446</v>
      </c>
      <c r="AF562" s="23" t="s">
        <v>416</v>
      </c>
      <c r="AT562" s="23" t="s">
        <v>384</v>
      </c>
      <c r="BG562" s="23" t="s">
        <v>471</v>
      </c>
      <c r="BT562" s="23" t="s">
        <v>456</v>
      </c>
      <c r="CG562" s="23" t="s">
        <v>447</v>
      </c>
      <c r="CT562" s="23" t="s">
        <v>405</v>
      </c>
      <c r="DG562" s="23" t="s">
        <v>114</v>
      </c>
      <c r="DT562" s="23" t="s">
        <v>452</v>
      </c>
      <c r="EG562" s="23" t="s">
        <v>447</v>
      </c>
      <c r="ET562" s="23" t="s">
        <v>448</v>
      </c>
      <c r="FG562" s="23" t="s">
        <v>446</v>
      </c>
      <c r="FT562" s="23" t="s">
        <v>473</v>
      </c>
      <c r="GG562" s="23" t="s">
        <v>424</v>
      </c>
      <c r="HC562" s="23" t="s">
        <v>403</v>
      </c>
    </row>
    <row r="563" spans="6:211" x14ac:dyDescent="0.25">
      <c r="F563" s="23" t="s">
        <v>446</v>
      </c>
      <c r="S563" s="23" t="s">
        <v>447</v>
      </c>
      <c r="AF563" s="23" t="s">
        <v>417</v>
      </c>
      <c r="AT563" s="23" t="s">
        <v>385</v>
      </c>
      <c r="BG563" s="23" t="s">
        <v>472</v>
      </c>
      <c r="BT563" s="23" t="s">
        <v>457</v>
      </c>
      <c r="CG563" s="23" t="s">
        <v>448</v>
      </c>
      <c r="CT563" s="23" t="s">
        <v>406</v>
      </c>
      <c r="DG563" s="23" t="s">
        <v>456</v>
      </c>
      <c r="DT563" s="23" t="s">
        <v>453</v>
      </c>
      <c r="EG563" s="23" t="s">
        <v>448</v>
      </c>
      <c r="ET563" s="23" t="s">
        <v>449</v>
      </c>
      <c r="FG563" s="23" t="s">
        <v>447</v>
      </c>
      <c r="FT563" s="23" t="s">
        <v>474</v>
      </c>
      <c r="GG563" s="23" t="s">
        <v>425</v>
      </c>
      <c r="HC563" s="23" t="s">
        <v>404</v>
      </c>
    </row>
    <row r="564" spans="6:211" x14ac:dyDescent="0.25">
      <c r="F564" s="23" t="s">
        <v>447</v>
      </c>
      <c r="S564" s="23" t="s">
        <v>448</v>
      </c>
      <c r="AF564" s="23" t="s">
        <v>418</v>
      </c>
      <c r="AT564" s="23" t="s">
        <v>386</v>
      </c>
      <c r="BG564" s="23" t="s">
        <v>473</v>
      </c>
      <c r="BT564" s="23" t="s">
        <v>458</v>
      </c>
      <c r="CG564" s="23" t="s">
        <v>449</v>
      </c>
      <c r="CT564" s="23" t="s">
        <v>407</v>
      </c>
      <c r="DG564" s="23" t="s">
        <v>457</v>
      </c>
      <c r="DT564" s="23" t="s">
        <v>454</v>
      </c>
      <c r="EG564" s="23" t="s">
        <v>449</v>
      </c>
      <c r="ET564" s="23" t="s">
        <v>450</v>
      </c>
      <c r="FG564" s="23" t="s">
        <v>448</v>
      </c>
      <c r="FT564" s="23" t="s">
        <v>475</v>
      </c>
      <c r="GG564" s="23" t="s">
        <v>67</v>
      </c>
      <c r="HC564" s="23" t="s">
        <v>405</v>
      </c>
    </row>
    <row r="565" spans="6:211" x14ac:dyDescent="0.25">
      <c r="F565" s="23" t="s">
        <v>448</v>
      </c>
      <c r="S565" s="23" t="s">
        <v>449</v>
      </c>
      <c r="AF565" s="23" t="s">
        <v>256</v>
      </c>
      <c r="AT565" s="23" t="s">
        <v>387</v>
      </c>
      <c r="BG565" s="23" t="s">
        <v>474</v>
      </c>
      <c r="BT565" s="23" t="s">
        <v>459</v>
      </c>
      <c r="CG565" s="23" t="s">
        <v>450</v>
      </c>
      <c r="CT565" s="23" t="s">
        <v>408</v>
      </c>
      <c r="DG565" s="23" t="s">
        <v>458</v>
      </c>
      <c r="DT565" s="23" t="s">
        <v>455</v>
      </c>
      <c r="EG565" s="23" t="s">
        <v>450</v>
      </c>
      <c r="ET565" s="23" t="s">
        <v>451</v>
      </c>
      <c r="FG565" s="23" t="s">
        <v>449</v>
      </c>
      <c r="FT565" s="23" t="s">
        <v>476</v>
      </c>
      <c r="GG565" s="23" t="s">
        <v>426</v>
      </c>
      <c r="HC565" s="23" t="s">
        <v>406</v>
      </c>
    </row>
    <row r="566" spans="6:211" x14ac:dyDescent="0.25">
      <c r="F566" s="23" t="s">
        <v>449</v>
      </c>
      <c r="S566" s="23" t="s">
        <v>450</v>
      </c>
      <c r="AF566" s="23" t="s">
        <v>419</v>
      </c>
      <c r="AT566" s="23" t="s">
        <v>388</v>
      </c>
      <c r="BG566" s="23" t="s">
        <v>475</v>
      </c>
      <c r="BT566" s="23" t="s">
        <v>460</v>
      </c>
      <c r="CG566" s="23" t="s">
        <v>451</v>
      </c>
      <c r="CT566" s="23" t="s">
        <v>409</v>
      </c>
      <c r="DG566" s="23" t="s">
        <v>459</v>
      </c>
      <c r="DT566" s="23" t="s">
        <v>114</v>
      </c>
      <c r="EG566" s="23" t="s">
        <v>451</v>
      </c>
      <c r="ET566" s="23" t="s">
        <v>452</v>
      </c>
      <c r="FG566" s="23" t="s">
        <v>450</v>
      </c>
      <c r="FT566" s="23" t="s">
        <v>477</v>
      </c>
      <c r="GG566" s="23" t="s">
        <v>427</v>
      </c>
      <c r="HC566" s="23" t="s">
        <v>407</v>
      </c>
    </row>
    <row r="567" spans="6:211" x14ac:dyDescent="0.25">
      <c r="F567" s="23" t="s">
        <v>450</v>
      </c>
      <c r="S567" s="23" t="s">
        <v>451</v>
      </c>
      <c r="AF567" s="23" t="s">
        <v>420</v>
      </c>
      <c r="AT567" s="23" t="s">
        <v>389</v>
      </c>
      <c r="BG567" s="23" t="s">
        <v>476</v>
      </c>
      <c r="BT567" s="23" t="s">
        <v>461</v>
      </c>
      <c r="CG567" s="23" t="s">
        <v>452</v>
      </c>
      <c r="CT567" s="23" t="s">
        <v>410</v>
      </c>
      <c r="DG567" s="23" t="s">
        <v>460</v>
      </c>
      <c r="DT567" s="23" t="s">
        <v>456</v>
      </c>
      <c r="EG567" s="23" t="s">
        <v>452</v>
      </c>
      <c r="ET567" s="23" t="s">
        <v>453</v>
      </c>
      <c r="FG567" s="23" t="s">
        <v>451</v>
      </c>
      <c r="FT567" s="23" t="s">
        <v>478</v>
      </c>
      <c r="GG567" s="23" t="s">
        <v>428</v>
      </c>
      <c r="HC567" s="23" t="s">
        <v>408</v>
      </c>
    </row>
    <row r="568" spans="6:211" x14ac:dyDescent="0.25">
      <c r="F568" s="23" t="s">
        <v>451</v>
      </c>
      <c r="S568" s="23" t="s">
        <v>452</v>
      </c>
      <c r="AF568" s="23" t="s">
        <v>421</v>
      </c>
      <c r="AT568" s="23" t="s">
        <v>390</v>
      </c>
      <c r="BG568" s="23" t="s">
        <v>477</v>
      </c>
      <c r="BT568" s="23" t="s">
        <v>462</v>
      </c>
      <c r="CG568" s="23" t="s">
        <v>453</v>
      </c>
      <c r="CT568" s="23" t="s">
        <v>411</v>
      </c>
      <c r="DG568" s="23" t="s">
        <v>461</v>
      </c>
      <c r="DT568" s="23" t="s">
        <v>457</v>
      </c>
      <c r="EG568" s="23" t="s">
        <v>453</v>
      </c>
      <c r="ET568" s="23" t="s">
        <v>454</v>
      </c>
      <c r="FG568" s="23" t="s">
        <v>452</v>
      </c>
      <c r="FT568" s="23" t="s">
        <v>479</v>
      </c>
      <c r="GG568" s="23" t="s">
        <v>429</v>
      </c>
      <c r="HC568" s="23" t="s">
        <v>409</v>
      </c>
    </row>
    <row r="569" spans="6:211" x14ac:dyDescent="0.25">
      <c r="F569" s="23" t="s">
        <v>452</v>
      </c>
      <c r="S569" s="23" t="s">
        <v>453</v>
      </c>
      <c r="AF569" s="23" t="s">
        <v>422</v>
      </c>
      <c r="AT569" s="23" t="s">
        <v>391</v>
      </c>
      <c r="BG569" s="23" t="s">
        <v>478</v>
      </c>
      <c r="BT569" s="23" t="s">
        <v>463</v>
      </c>
      <c r="CG569" s="23" t="s">
        <v>454</v>
      </c>
      <c r="CT569" s="23" t="s">
        <v>412</v>
      </c>
      <c r="DG569" s="23" t="s">
        <v>462</v>
      </c>
      <c r="DT569" s="23" t="s">
        <v>458</v>
      </c>
      <c r="EG569" s="23" t="s">
        <v>454</v>
      </c>
      <c r="ET569" s="23" t="s">
        <v>455</v>
      </c>
      <c r="FG569" s="23" t="s">
        <v>453</v>
      </c>
      <c r="FT569" s="23" t="s">
        <v>480</v>
      </c>
      <c r="GG569" s="23" t="s">
        <v>430</v>
      </c>
      <c r="HC569" s="23" t="s">
        <v>410</v>
      </c>
    </row>
    <row r="570" spans="6:211" x14ac:dyDescent="0.25">
      <c r="F570" s="23" t="s">
        <v>453</v>
      </c>
      <c r="S570" s="23" t="s">
        <v>454</v>
      </c>
      <c r="AF570" s="23" t="s">
        <v>423</v>
      </c>
      <c r="AT570" s="23" t="s">
        <v>392</v>
      </c>
      <c r="BG570" s="23" t="s">
        <v>479</v>
      </c>
      <c r="BT570" s="23" t="s">
        <v>464</v>
      </c>
      <c r="CG570" s="23" t="s">
        <v>455</v>
      </c>
      <c r="CT570" s="23" t="s">
        <v>45</v>
      </c>
      <c r="DG570" s="23" t="s">
        <v>463</v>
      </c>
      <c r="DT570" s="23" t="s">
        <v>459</v>
      </c>
      <c r="EG570" s="23" t="s">
        <v>455</v>
      </c>
      <c r="ET570" s="23" t="s">
        <v>114</v>
      </c>
      <c r="FG570" s="23" t="s">
        <v>454</v>
      </c>
      <c r="FT570" s="23" t="s">
        <v>481</v>
      </c>
      <c r="GG570" s="23" t="s">
        <v>431</v>
      </c>
      <c r="HC570" s="23" t="s">
        <v>411</v>
      </c>
    </row>
    <row r="571" spans="6:211" x14ac:dyDescent="0.25">
      <c r="F571" s="23" t="s">
        <v>454</v>
      </c>
      <c r="S571" s="23" t="s">
        <v>455</v>
      </c>
      <c r="AF571" s="23" t="s">
        <v>424</v>
      </c>
      <c r="AT571" s="23" t="s">
        <v>393</v>
      </c>
      <c r="BG571" s="23" t="s">
        <v>480</v>
      </c>
      <c r="BT571" s="23" t="s">
        <v>465</v>
      </c>
      <c r="CG571" s="23" t="s">
        <v>114</v>
      </c>
      <c r="CT571" s="23" t="s">
        <v>9</v>
      </c>
      <c r="DG571" s="23" t="s">
        <v>464</v>
      </c>
      <c r="DT571" s="23" t="s">
        <v>460</v>
      </c>
      <c r="EG571" s="23" t="s">
        <v>114</v>
      </c>
      <c r="ET571" s="23" t="s">
        <v>456</v>
      </c>
      <c r="FG571" s="23" t="s">
        <v>455</v>
      </c>
      <c r="FT571" s="23" t="s">
        <v>482</v>
      </c>
      <c r="GG571" s="23" t="s">
        <v>432</v>
      </c>
      <c r="HC571" s="23" t="s">
        <v>412</v>
      </c>
    </row>
    <row r="572" spans="6:211" x14ac:dyDescent="0.25">
      <c r="F572" s="23" t="s">
        <v>455</v>
      </c>
      <c r="S572" s="23" t="s">
        <v>114</v>
      </c>
      <c r="AF572" s="23" t="s">
        <v>425</v>
      </c>
      <c r="AT572" s="23" t="s">
        <v>394</v>
      </c>
      <c r="BG572" s="23" t="s">
        <v>481</v>
      </c>
      <c r="BT572" s="23" t="s">
        <v>466</v>
      </c>
      <c r="CG572" s="23" t="s">
        <v>456</v>
      </c>
      <c r="CT572" s="23" t="s">
        <v>413</v>
      </c>
      <c r="DG572" s="23" t="s">
        <v>465</v>
      </c>
      <c r="DT572" s="23" t="s">
        <v>461</v>
      </c>
      <c r="EG572" s="23" t="s">
        <v>456</v>
      </c>
      <c r="ET572" s="23" t="s">
        <v>457</v>
      </c>
      <c r="FG572" s="23" t="s">
        <v>114</v>
      </c>
      <c r="FT572" s="23" t="s">
        <v>483</v>
      </c>
      <c r="GG572" s="23" t="s">
        <v>433</v>
      </c>
      <c r="HC572" s="23" t="s">
        <v>2798</v>
      </c>
    </row>
    <row r="573" spans="6:211" x14ac:dyDescent="0.25">
      <c r="F573" s="23" t="s">
        <v>114</v>
      </c>
      <c r="S573" s="23" t="s">
        <v>456</v>
      </c>
      <c r="AF573" s="23" t="s">
        <v>67</v>
      </c>
      <c r="AT573" s="23" t="s">
        <v>395</v>
      </c>
      <c r="BG573" s="23" t="s">
        <v>482</v>
      </c>
      <c r="BT573" s="23" t="s">
        <v>467</v>
      </c>
      <c r="CG573" s="23" t="s">
        <v>457</v>
      </c>
      <c r="CT573" s="23" t="s">
        <v>10</v>
      </c>
      <c r="DG573" s="23" t="s">
        <v>466</v>
      </c>
      <c r="DT573" s="23" t="s">
        <v>462</v>
      </c>
      <c r="EG573" s="23" t="s">
        <v>457</v>
      </c>
      <c r="ET573" s="23" t="s">
        <v>458</v>
      </c>
      <c r="FG573" s="23" t="s">
        <v>456</v>
      </c>
      <c r="FT573" s="23" t="s">
        <v>484</v>
      </c>
      <c r="GG573" s="23" t="s">
        <v>434</v>
      </c>
      <c r="HC573" s="23" t="s">
        <v>9</v>
      </c>
    </row>
    <row r="574" spans="6:211" x14ac:dyDescent="0.25">
      <c r="F574" s="23" t="s">
        <v>456</v>
      </c>
      <c r="S574" s="23" t="s">
        <v>457</v>
      </c>
      <c r="AF574" s="23" t="s">
        <v>426</v>
      </c>
      <c r="AT574" s="23" t="s">
        <v>396</v>
      </c>
      <c r="BG574" s="23" t="s">
        <v>483</v>
      </c>
      <c r="BT574" s="23" t="s">
        <v>468</v>
      </c>
      <c r="CG574" s="23" t="s">
        <v>458</v>
      </c>
      <c r="CT574" s="23" t="s">
        <v>414</v>
      </c>
      <c r="DG574" s="23" t="s">
        <v>467</v>
      </c>
      <c r="DT574" s="23" t="s">
        <v>463</v>
      </c>
      <c r="EG574" s="23" t="s">
        <v>458</v>
      </c>
      <c r="ET574" s="23" t="s">
        <v>459</v>
      </c>
      <c r="FG574" s="23" t="s">
        <v>457</v>
      </c>
      <c r="FT574" s="23" t="s">
        <v>485</v>
      </c>
      <c r="GG574" s="23" t="s">
        <v>435</v>
      </c>
      <c r="HC574" s="23" t="s">
        <v>413</v>
      </c>
    </row>
    <row r="575" spans="6:211" x14ac:dyDescent="0.25">
      <c r="F575" s="23" t="s">
        <v>457</v>
      </c>
      <c r="S575" s="23" t="s">
        <v>458</v>
      </c>
      <c r="AF575" s="23" t="s">
        <v>427</v>
      </c>
      <c r="AT575" s="23" t="s">
        <v>397</v>
      </c>
      <c r="BG575" s="23" t="s">
        <v>484</v>
      </c>
      <c r="BT575" s="23" t="s">
        <v>469</v>
      </c>
      <c r="CG575" s="23" t="s">
        <v>459</v>
      </c>
      <c r="CT575" s="23" t="s">
        <v>415</v>
      </c>
      <c r="DG575" s="23" t="s">
        <v>468</v>
      </c>
      <c r="DT575" s="23" t="s">
        <v>464</v>
      </c>
      <c r="EG575" s="23" t="s">
        <v>459</v>
      </c>
      <c r="ET575" s="23" t="s">
        <v>460</v>
      </c>
      <c r="FG575" s="23" t="s">
        <v>458</v>
      </c>
      <c r="FT575" s="23" t="s">
        <v>486</v>
      </c>
      <c r="GG575" s="23" t="s">
        <v>47</v>
      </c>
      <c r="HC575" s="23" t="s">
        <v>10</v>
      </c>
    </row>
    <row r="576" spans="6:211" x14ac:dyDescent="0.25">
      <c r="F576" s="23" t="s">
        <v>458</v>
      </c>
      <c r="S576" s="23" t="s">
        <v>459</v>
      </c>
      <c r="AF576" s="23" t="s">
        <v>428</v>
      </c>
      <c r="AT576" s="23" t="s">
        <v>398</v>
      </c>
      <c r="BG576" s="23" t="s">
        <v>485</v>
      </c>
      <c r="BT576" s="23" t="s">
        <v>470</v>
      </c>
      <c r="CG576" s="23" t="s">
        <v>460</v>
      </c>
      <c r="CT576" s="23" t="s">
        <v>416</v>
      </c>
      <c r="DG576" s="23" t="s">
        <v>469</v>
      </c>
      <c r="DT576" s="23" t="s">
        <v>465</v>
      </c>
      <c r="EG576" s="23" t="s">
        <v>460</v>
      </c>
      <c r="ET576" s="23" t="s">
        <v>461</v>
      </c>
      <c r="FG576" s="23" t="s">
        <v>459</v>
      </c>
      <c r="FT576" s="23" t="s">
        <v>487</v>
      </c>
      <c r="GG576" s="23" t="s">
        <v>436</v>
      </c>
      <c r="HC576" s="23" t="s">
        <v>414</v>
      </c>
    </row>
    <row r="577" spans="6:211" x14ac:dyDescent="0.25">
      <c r="F577" s="23" t="s">
        <v>459</v>
      </c>
      <c r="S577" s="23" t="s">
        <v>460</v>
      </c>
      <c r="AF577" s="23" t="s">
        <v>429</v>
      </c>
      <c r="AT577" s="23" t="s">
        <v>399</v>
      </c>
      <c r="BG577" s="23" t="s">
        <v>486</v>
      </c>
      <c r="BT577" s="23" t="s">
        <v>471</v>
      </c>
      <c r="CG577" s="23" t="s">
        <v>461</v>
      </c>
      <c r="CT577" s="23" t="s">
        <v>417</v>
      </c>
      <c r="DG577" s="23" t="s">
        <v>470</v>
      </c>
      <c r="DT577" s="23" t="s">
        <v>466</v>
      </c>
      <c r="EG577" s="23" t="s">
        <v>461</v>
      </c>
      <c r="ET577" s="23" t="s">
        <v>462</v>
      </c>
      <c r="FG577" s="23" t="s">
        <v>460</v>
      </c>
      <c r="FT577" s="23" t="s">
        <v>488</v>
      </c>
      <c r="GG577" s="23" t="s">
        <v>437</v>
      </c>
      <c r="HC577" s="23" t="s">
        <v>415</v>
      </c>
    </row>
    <row r="578" spans="6:211" x14ac:dyDescent="0.25">
      <c r="F578" s="23" t="s">
        <v>460</v>
      </c>
      <c r="S578" s="23" t="s">
        <v>461</v>
      </c>
      <c r="AF578" s="23" t="s">
        <v>430</v>
      </c>
      <c r="AT578" s="23" t="s">
        <v>400</v>
      </c>
      <c r="BG578" s="23" t="s">
        <v>487</v>
      </c>
      <c r="BT578" s="23" t="s">
        <v>472</v>
      </c>
      <c r="CG578" s="23" t="s">
        <v>462</v>
      </c>
      <c r="CT578" s="23" t="s">
        <v>418</v>
      </c>
      <c r="DG578" s="23" t="s">
        <v>471</v>
      </c>
      <c r="DT578" s="23" t="s">
        <v>467</v>
      </c>
      <c r="EG578" s="23" t="s">
        <v>462</v>
      </c>
      <c r="ET578" s="23" t="s">
        <v>463</v>
      </c>
      <c r="FG578" s="23" t="s">
        <v>461</v>
      </c>
      <c r="FT578" s="23" t="s">
        <v>489</v>
      </c>
      <c r="GG578" s="23" t="s">
        <v>438</v>
      </c>
      <c r="HC578" s="23" t="s">
        <v>416</v>
      </c>
    </row>
    <row r="579" spans="6:211" x14ac:dyDescent="0.25">
      <c r="F579" s="23" t="s">
        <v>461</v>
      </c>
      <c r="S579" s="23" t="s">
        <v>462</v>
      </c>
      <c r="AF579" s="23" t="s">
        <v>431</v>
      </c>
      <c r="AT579" s="23" t="s">
        <v>401</v>
      </c>
      <c r="BG579" s="23" t="s">
        <v>488</v>
      </c>
      <c r="BT579" s="23" t="s">
        <v>473</v>
      </c>
      <c r="CG579" s="23" t="s">
        <v>463</v>
      </c>
      <c r="CT579" s="23" t="s">
        <v>256</v>
      </c>
      <c r="DG579" s="23" t="s">
        <v>472</v>
      </c>
      <c r="DT579" s="23" t="s">
        <v>468</v>
      </c>
      <c r="EG579" s="23" t="s">
        <v>463</v>
      </c>
      <c r="ET579" s="23" t="s">
        <v>464</v>
      </c>
      <c r="FG579" s="23" t="s">
        <v>462</v>
      </c>
      <c r="FT579" s="23" t="s">
        <v>490</v>
      </c>
      <c r="GG579" s="23" t="s">
        <v>439</v>
      </c>
      <c r="HC579" s="23" t="s">
        <v>417</v>
      </c>
    </row>
    <row r="580" spans="6:211" x14ac:dyDescent="0.25">
      <c r="F580" s="23" t="s">
        <v>462</v>
      </c>
      <c r="S580" s="23" t="s">
        <v>463</v>
      </c>
      <c r="AF580" s="23" t="s">
        <v>432</v>
      </c>
      <c r="AT580" s="23" t="s">
        <v>402</v>
      </c>
      <c r="BG580" s="23" t="s">
        <v>489</v>
      </c>
      <c r="BT580" s="23" t="s">
        <v>474</v>
      </c>
      <c r="CG580" s="23" t="s">
        <v>464</v>
      </c>
      <c r="CT580" s="23" t="s">
        <v>419</v>
      </c>
      <c r="DG580" s="23" t="s">
        <v>473</v>
      </c>
      <c r="DT580" s="23" t="s">
        <v>469</v>
      </c>
      <c r="EG580" s="23" t="s">
        <v>464</v>
      </c>
      <c r="ET580" s="23" t="s">
        <v>465</v>
      </c>
      <c r="FG580" s="23" t="s">
        <v>463</v>
      </c>
      <c r="FT580" s="23" t="s">
        <v>491</v>
      </c>
      <c r="GG580" s="41" t="s">
        <v>440</v>
      </c>
      <c r="HC580" s="23" t="s">
        <v>418</v>
      </c>
    </row>
    <row r="581" spans="6:211" x14ac:dyDescent="0.25">
      <c r="F581" s="23" t="s">
        <v>463</v>
      </c>
      <c r="S581" s="23" t="s">
        <v>464</v>
      </c>
      <c r="AF581" s="23" t="s">
        <v>433</v>
      </c>
      <c r="AT581" s="23" t="s">
        <v>403</v>
      </c>
      <c r="BG581" s="23" t="s">
        <v>490</v>
      </c>
      <c r="BT581" s="23" t="s">
        <v>475</v>
      </c>
      <c r="CG581" s="23" t="s">
        <v>465</v>
      </c>
      <c r="CT581" s="23" t="s">
        <v>420</v>
      </c>
      <c r="DG581" s="23" t="s">
        <v>474</v>
      </c>
      <c r="DT581" s="23" t="s">
        <v>470</v>
      </c>
      <c r="EG581" s="23" t="s">
        <v>465</v>
      </c>
      <c r="ET581" s="23" t="s">
        <v>466</v>
      </c>
      <c r="FG581" s="23" t="s">
        <v>464</v>
      </c>
      <c r="FT581" s="23" t="s">
        <v>492</v>
      </c>
      <c r="GG581" s="23" t="s">
        <v>441</v>
      </c>
      <c r="HC581" s="23" t="s">
        <v>256</v>
      </c>
    </row>
    <row r="582" spans="6:211" x14ac:dyDescent="0.25">
      <c r="F582" s="23" t="s">
        <v>464</v>
      </c>
      <c r="S582" s="23" t="s">
        <v>465</v>
      </c>
      <c r="AF582" s="23" t="s">
        <v>434</v>
      </c>
      <c r="AT582" s="23" t="s">
        <v>404</v>
      </c>
      <c r="BG582" s="23" t="s">
        <v>491</v>
      </c>
      <c r="BT582" s="23" t="s">
        <v>476</v>
      </c>
      <c r="CG582" s="23" t="s">
        <v>466</v>
      </c>
      <c r="CT582" s="23" t="s">
        <v>421</v>
      </c>
      <c r="DG582" s="23" t="s">
        <v>475</v>
      </c>
      <c r="DT582" s="23" t="s">
        <v>471</v>
      </c>
      <c r="EG582" s="23" t="s">
        <v>466</v>
      </c>
      <c r="ET582" s="23" t="s">
        <v>467</v>
      </c>
      <c r="FG582" s="23" t="s">
        <v>465</v>
      </c>
      <c r="FT582" s="23" t="s">
        <v>493</v>
      </c>
      <c r="GG582" s="23" t="s">
        <v>442</v>
      </c>
      <c r="HC582" s="23" t="s">
        <v>419</v>
      </c>
    </row>
    <row r="583" spans="6:211" x14ac:dyDescent="0.25">
      <c r="F583" s="23" t="s">
        <v>465</v>
      </c>
      <c r="S583" s="23" t="s">
        <v>466</v>
      </c>
      <c r="AF583" s="23" t="s">
        <v>435</v>
      </c>
      <c r="AT583" s="23" t="s">
        <v>405</v>
      </c>
      <c r="BG583" s="23" t="s">
        <v>492</v>
      </c>
      <c r="BT583" s="23" t="s">
        <v>477</v>
      </c>
      <c r="CG583" s="23" t="s">
        <v>467</v>
      </c>
      <c r="CT583" s="23" t="s">
        <v>422</v>
      </c>
      <c r="DG583" s="23" t="s">
        <v>476</v>
      </c>
      <c r="DT583" s="23" t="s">
        <v>472</v>
      </c>
      <c r="EG583" s="23" t="s">
        <v>467</v>
      </c>
      <c r="ET583" s="23" t="s">
        <v>468</v>
      </c>
      <c r="FG583" s="23" t="s">
        <v>466</v>
      </c>
      <c r="FT583" s="23" t="s">
        <v>494</v>
      </c>
      <c r="GG583" s="23" t="s">
        <v>443</v>
      </c>
      <c r="HC583" s="23" t="s">
        <v>420</v>
      </c>
    </row>
    <row r="584" spans="6:211" x14ac:dyDescent="0.25">
      <c r="F584" s="23" t="s">
        <v>466</v>
      </c>
      <c r="S584" s="23" t="s">
        <v>467</v>
      </c>
      <c r="AF584" s="23" t="s">
        <v>47</v>
      </c>
      <c r="AT584" s="23" t="s">
        <v>406</v>
      </c>
      <c r="BG584" s="23" t="s">
        <v>493</v>
      </c>
      <c r="BT584" s="23" t="s">
        <v>478</v>
      </c>
      <c r="CG584" s="23" t="s">
        <v>468</v>
      </c>
      <c r="CT584" s="23" t="s">
        <v>423</v>
      </c>
      <c r="DG584" s="23" t="s">
        <v>477</v>
      </c>
      <c r="DT584" s="23" t="s">
        <v>473</v>
      </c>
      <c r="EG584" s="23" t="s">
        <v>468</v>
      </c>
      <c r="ET584" s="23" t="s">
        <v>469</v>
      </c>
      <c r="FG584" s="23" t="s">
        <v>467</v>
      </c>
      <c r="FT584" s="23" t="s">
        <v>495</v>
      </c>
      <c r="GG584" s="23" t="s">
        <v>444</v>
      </c>
      <c r="HC584" s="23" t="s">
        <v>421</v>
      </c>
    </row>
    <row r="585" spans="6:211" x14ac:dyDescent="0.25">
      <c r="F585" s="23" t="s">
        <v>467</v>
      </c>
      <c r="S585" s="23" t="s">
        <v>468</v>
      </c>
      <c r="AF585" s="23" t="s">
        <v>436</v>
      </c>
      <c r="AT585" s="23" t="s">
        <v>407</v>
      </c>
      <c r="BG585" s="23" t="s">
        <v>494</v>
      </c>
      <c r="BT585" s="23" t="s">
        <v>479</v>
      </c>
      <c r="CG585" s="23" t="s">
        <v>469</v>
      </c>
      <c r="CT585" s="23" t="s">
        <v>424</v>
      </c>
      <c r="DG585" s="23" t="s">
        <v>478</v>
      </c>
      <c r="DT585" s="23" t="s">
        <v>474</v>
      </c>
      <c r="EG585" s="23" t="s">
        <v>469</v>
      </c>
      <c r="ET585" s="23" t="s">
        <v>470</v>
      </c>
      <c r="FG585" s="23" t="s">
        <v>468</v>
      </c>
      <c r="FT585" s="23" t="s">
        <v>496</v>
      </c>
      <c r="GG585" s="23" t="s">
        <v>445</v>
      </c>
      <c r="HC585" s="23" t="s">
        <v>422</v>
      </c>
    </row>
    <row r="586" spans="6:211" x14ac:dyDescent="0.25">
      <c r="F586" s="23" t="s">
        <v>468</v>
      </c>
      <c r="S586" s="23" t="s">
        <v>469</v>
      </c>
      <c r="AF586" s="23" t="s">
        <v>437</v>
      </c>
      <c r="AT586" s="23" t="s">
        <v>408</v>
      </c>
      <c r="BG586" s="23" t="s">
        <v>495</v>
      </c>
      <c r="BT586" s="23" t="s">
        <v>480</v>
      </c>
      <c r="CG586" s="23" t="s">
        <v>470</v>
      </c>
      <c r="CT586" s="23" t="s">
        <v>425</v>
      </c>
      <c r="DG586" s="23" t="s">
        <v>479</v>
      </c>
      <c r="DT586" s="23" t="s">
        <v>475</v>
      </c>
      <c r="EG586" s="23" t="s">
        <v>470</v>
      </c>
      <c r="ET586" s="23" t="s">
        <v>471</v>
      </c>
      <c r="FG586" s="23" t="s">
        <v>469</v>
      </c>
      <c r="FT586" s="23" t="s">
        <v>497</v>
      </c>
      <c r="GG586" s="23" t="s">
        <v>446</v>
      </c>
      <c r="HC586" s="23" t="s">
        <v>423</v>
      </c>
    </row>
    <row r="587" spans="6:211" x14ac:dyDescent="0.25">
      <c r="F587" s="23" t="s">
        <v>469</v>
      </c>
      <c r="S587" s="23" t="s">
        <v>470</v>
      </c>
      <c r="AF587" s="23" t="s">
        <v>438</v>
      </c>
      <c r="AT587" s="23" t="s">
        <v>409</v>
      </c>
      <c r="BG587" s="23" t="s">
        <v>496</v>
      </c>
      <c r="BT587" s="23" t="s">
        <v>481</v>
      </c>
      <c r="CG587" s="23" t="s">
        <v>471</v>
      </c>
      <c r="CT587" s="23" t="s">
        <v>67</v>
      </c>
      <c r="DG587" s="23" t="s">
        <v>480</v>
      </c>
      <c r="DT587" s="23" t="s">
        <v>476</v>
      </c>
      <c r="EG587" s="23" t="s">
        <v>471</v>
      </c>
      <c r="ET587" s="23" t="s">
        <v>472</v>
      </c>
      <c r="FG587" s="23" t="s">
        <v>470</v>
      </c>
      <c r="FT587" s="23" t="s">
        <v>498</v>
      </c>
      <c r="GG587" s="23" t="s">
        <v>447</v>
      </c>
      <c r="HC587" s="23" t="s">
        <v>424</v>
      </c>
    </row>
    <row r="588" spans="6:211" x14ac:dyDescent="0.25">
      <c r="F588" s="23" t="s">
        <v>470</v>
      </c>
      <c r="S588" s="23" t="s">
        <v>471</v>
      </c>
      <c r="AF588" s="23" t="s">
        <v>439</v>
      </c>
      <c r="AT588" s="23" t="s">
        <v>410</v>
      </c>
      <c r="BG588" s="23" t="s">
        <v>497</v>
      </c>
      <c r="BT588" s="23" t="s">
        <v>482</v>
      </c>
      <c r="CG588" s="23" t="s">
        <v>472</v>
      </c>
      <c r="CT588" s="23" t="s">
        <v>426</v>
      </c>
      <c r="DG588" s="23" t="s">
        <v>481</v>
      </c>
      <c r="DT588" s="23" t="s">
        <v>477</v>
      </c>
      <c r="EG588" s="23" t="s">
        <v>472</v>
      </c>
      <c r="ET588" s="23" t="s">
        <v>473</v>
      </c>
      <c r="FG588" s="23" t="s">
        <v>471</v>
      </c>
      <c r="FT588" s="23" t="s">
        <v>499</v>
      </c>
      <c r="GG588" s="23" t="s">
        <v>448</v>
      </c>
      <c r="HC588" s="23" t="s">
        <v>425</v>
      </c>
    </row>
    <row r="589" spans="6:211" x14ac:dyDescent="0.25">
      <c r="F589" s="23" t="s">
        <v>471</v>
      </c>
      <c r="S589" s="23" t="s">
        <v>472</v>
      </c>
      <c r="AF589" s="41" t="s">
        <v>440</v>
      </c>
      <c r="AT589" s="23" t="s">
        <v>411</v>
      </c>
      <c r="BG589" s="23" t="s">
        <v>498</v>
      </c>
      <c r="BT589" s="23" t="s">
        <v>483</v>
      </c>
      <c r="CG589" s="23" t="s">
        <v>473</v>
      </c>
      <c r="CT589" s="23" t="s">
        <v>427</v>
      </c>
      <c r="DG589" s="23" t="s">
        <v>482</v>
      </c>
      <c r="DT589" s="23" t="s">
        <v>478</v>
      </c>
      <c r="EG589" s="23" t="s">
        <v>473</v>
      </c>
      <c r="ET589" s="23" t="s">
        <v>474</v>
      </c>
      <c r="FG589" s="23" t="s">
        <v>472</v>
      </c>
      <c r="FT589" s="23" t="s">
        <v>500</v>
      </c>
      <c r="GG589" s="23" t="s">
        <v>449</v>
      </c>
      <c r="HC589" s="23" t="s">
        <v>67</v>
      </c>
    </row>
    <row r="590" spans="6:211" x14ac:dyDescent="0.25">
      <c r="F590" s="23" t="s">
        <v>472</v>
      </c>
      <c r="S590" s="23" t="s">
        <v>473</v>
      </c>
      <c r="AF590" s="23" t="s">
        <v>441</v>
      </c>
      <c r="AT590" s="23" t="s">
        <v>412</v>
      </c>
      <c r="BG590" s="23" t="s">
        <v>499</v>
      </c>
      <c r="BT590" s="23" t="s">
        <v>484</v>
      </c>
      <c r="CG590" s="23" t="s">
        <v>474</v>
      </c>
      <c r="CT590" s="23" t="s">
        <v>428</v>
      </c>
      <c r="DG590" s="23" t="s">
        <v>483</v>
      </c>
      <c r="DT590" s="23" t="s">
        <v>479</v>
      </c>
      <c r="EG590" s="23" t="s">
        <v>474</v>
      </c>
      <c r="ET590" s="23" t="s">
        <v>475</v>
      </c>
      <c r="FG590" s="23" t="s">
        <v>473</v>
      </c>
      <c r="FT590" s="23" t="s">
        <v>501</v>
      </c>
      <c r="GG590" s="23" t="s">
        <v>450</v>
      </c>
      <c r="HC590" s="23" t="s">
        <v>426</v>
      </c>
    </row>
    <row r="591" spans="6:211" x14ac:dyDescent="0.25">
      <c r="F591" s="23" t="s">
        <v>473</v>
      </c>
      <c r="S591" s="23" t="s">
        <v>474</v>
      </c>
      <c r="AF591" s="23" t="s">
        <v>442</v>
      </c>
      <c r="AT591" s="23" t="s">
        <v>45</v>
      </c>
      <c r="BG591" s="23" t="s">
        <v>500</v>
      </c>
      <c r="BT591" s="23" t="s">
        <v>485</v>
      </c>
      <c r="CG591" s="23" t="s">
        <v>475</v>
      </c>
      <c r="CT591" s="23" t="s">
        <v>429</v>
      </c>
      <c r="DG591" s="23" t="s">
        <v>484</v>
      </c>
      <c r="DT591" s="23" t="s">
        <v>480</v>
      </c>
      <c r="EG591" s="23" t="s">
        <v>475</v>
      </c>
      <c r="ET591" s="23" t="s">
        <v>476</v>
      </c>
      <c r="FG591" s="23" t="s">
        <v>474</v>
      </c>
      <c r="FT591" s="23" t="s">
        <v>502</v>
      </c>
      <c r="GG591" s="23" t="s">
        <v>451</v>
      </c>
      <c r="HC591" s="23" t="s">
        <v>427</v>
      </c>
    </row>
    <row r="592" spans="6:211" x14ac:dyDescent="0.25">
      <c r="F592" s="23" t="s">
        <v>474</v>
      </c>
      <c r="S592" s="23" t="s">
        <v>475</v>
      </c>
      <c r="AF592" s="23" t="s">
        <v>443</v>
      </c>
      <c r="AT592" s="23" t="s">
        <v>9</v>
      </c>
      <c r="BG592" s="23" t="s">
        <v>501</v>
      </c>
      <c r="BT592" s="23" t="s">
        <v>486</v>
      </c>
      <c r="CG592" s="23" t="s">
        <v>476</v>
      </c>
      <c r="CT592" s="23" t="s">
        <v>430</v>
      </c>
      <c r="DG592" s="23" t="s">
        <v>485</v>
      </c>
      <c r="DT592" s="23" t="s">
        <v>481</v>
      </c>
      <c r="EG592" s="23" t="s">
        <v>476</v>
      </c>
      <c r="ET592" s="23" t="s">
        <v>477</v>
      </c>
      <c r="FG592" s="23" t="s">
        <v>475</v>
      </c>
      <c r="FT592" s="23" t="s">
        <v>503</v>
      </c>
      <c r="GG592" s="23" t="s">
        <v>452</v>
      </c>
      <c r="HC592" s="23" t="s">
        <v>428</v>
      </c>
    </row>
    <row r="593" spans="6:211" x14ac:dyDescent="0.25">
      <c r="F593" s="23" t="s">
        <v>475</v>
      </c>
      <c r="S593" s="23" t="s">
        <v>476</v>
      </c>
      <c r="AF593" s="23" t="s">
        <v>444</v>
      </c>
      <c r="AT593" s="23" t="s">
        <v>413</v>
      </c>
      <c r="BG593" s="23" t="s">
        <v>502</v>
      </c>
      <c r="BT593" s="23" t="s">
        <v>487</v>
      </c>
      <c r="CG593" s="23" t="s">
        <v>477</v>
      </c>
      <c r="CT593" s="23" t="s">
        <v>431</v>
      </c>
      <c r="DG593" s="23" t="s">
        <v>486</v>
      </c>
      <c r="DT593" s="23" t="s">
        <v>482</v>
      </c>
      <c r="EG593" s="23" t="s">
        <v>477</v>
      </c>
      <c r="ET593" s="23" t="s">
        <v>478</v>
      </c>
      <c r="FG593" s="23" t="s">
        <v>476</v>
      </c>
      <c r="FT593" s="23" t="s">
        <v>504</v>
      </c>
      <c r="GG593" s="23" t="s">
        <v>453</v>
      </c>
      <c r="HC593" s="23" t="s">
        <v>429</v>
      </c>
    </row>
    <row r="594" spans="6:211" x14ac:dyDescent="0.25">
      <c r="F594" s="23" t="s">
        <v>476</v>
      </c>
      <c r="S594" s="23" t="s">
        <v>477</v>
      </c>
      <c r="AF594" s="23" t="s">
        <v>445</v>
      </c>
      <c r="AT594" s="23" t="s">
        <v>10</v>
      </c>
      <c r="BG594" s="23" t="s">
        <v>503</v>
      </c>
      <c r="BT594" s="23" t="s">
        <v>488</v>
      </c>
      <c r="CG594" s="23" t="s">
        <v>478</v>
      </c>
      <c r="CT594" s="23" t="s">
        <v>432</v>
      </c>
      <c r="DG594" s="23" t="s">
        <v>487</v>
      </c>
      <c r="DT594" s="23" t="s">
        <v>483</v>
      </c>
      <c r="EG594" s="23" t="s">
        <v>478</v>
      </c>
      <c r="ET594" s="23" t="s">
        <v>479</v>
      </c>
      <c r="FG594" s="23" t="s">
        <v>477</v>
      </c>
      <c r="FT594" s="23" t="s">
        <v>505</v>
      </c>
      <c r="GG594" s="23" t="s">
        <v>454</v>
      </c>
      <c r="HC594" s="23" t="s">
        <v>430</v>
      </c>
    </row>
    <row r="595" spans="6:211" x14ac:dyDescent="0.25">
      <c r="F595" s="23" t="s">
        <v>477</v>
      </c>
      <c r="S595" s="23" t="s">
        <v>478</v>
      </c>
      <c r="AF595" s="23" t="s">
        <v>446</v>
      </c>
      <c r="AT595" s="23" t="s">
        <v>414</v>
      </c>
      <c r="BG595" s="23" t="s">
        <v>504</v>
      </c>
      <c r="BT595" s="23" t="s">
        <v>489</v>
      </c>
      <c r="CG595" s="23" t="s">
        <v>479</v>
      </c>
      <c r="CT595" s="23" t="s">
        <v>433</v>
      </c>
      <c r="DG595" s="23" t="s">
        <v>488</v>
      </c>
      <c r="DT595" s="23" t="s">
        <v>484</v>
      </c>
      <c r="EG595" s="23" t="s">
        <v>479</v>
      </c>
      <c r="ET595" s="23" t="s">
        <v>480</v>
      </c>
      <c r="FG595" s="23" t="s">
        <v>478</v>
      </c>
      <c r="FT595" s="23" t="s">
        <v>506</v>
      </c>
      <c r="GG595" s="23" t="s">
        <v>455</v>
      </c>
      <c r="HC595" s="23" t="s">
        <v>2941</v>
      </c>
    </row>
    <row r="596" spans="6:211" x14ac:dyDescent="0.25">
      <c r="F596" s="23" t="s">
        <v>478</v>
      </c>
      <c r="S596" s="23" t="s">
        <v>479</v>
      </c>
      <c r="AF596" s="23" t="s">
        <v>447</v>
      </c>
      <c r="AT596" s="23" t="s">
        <v>415</v>
      </c>
      <c r="BG596" s="23" t="s">
        <v>505</v>
      </c>
      <c r="BT596" s="23" t="s">
        <v>490</v>
      </c>
      <c r="CG596" s="23" t="s">
        <v>480</v>
      </c>
      <c r="CT596" s="23" t="s">
        <v>434</v>
      </c>
      <c r="DG596" s="23" t="s">
        <v>489</v>
      </c>
      <c r="DT596" s="23" t="s">
        <v>485</v>
      </c>
      <c r="EG596" s="23" t="s">
        <v>480</v>
      </c>
      <c r="ET596" s="23" t="s">
        <v>481</v>
      </c>
      <c r="FG596" s="23" t="s">
        <v>479</v>
      </c>
      <c r="FT596" s="23" t="s">
        <v>507</v>
      </c>
      <c r="GG596" s="23" t="s">
        <v>114</v>
      </c>
      <c r="HC596" s="23" t="s">
        <v>432</v>
      </c>
    </row>
    <row r="597" spans="6:211" x14ac:dyDescent="0.25">
      <c r="F597" s="23" t="s">
        <v>479</v>
      </c>
      <c r="S597" s="23" t="s">
        <v>480</v>
      </c>
      <c r="AF597" s="23" t="s">
        <v>448</v>
      </c>
      <c r="AT597" s="23" t="s">
        <v>416</v>
      </c>
      <c r="BG597" s="23" t="s">
        <v>506</v>
      </c>
      <c r="BT597" s="23" t="s">
        <v>491</v>
      </c>
      <c r="CG597" s="23" t="s">
        <v>481</v>
      </c>
      <c r="CT597" s="23" t="s">
        <v>435</v>
      </c>
      <c r="DG597" s="23" t="s">
        <v>490</v>
      </c>
      <c r="DT597" s="23" t="s">
        <v>486</v>
      </c>
      <c r="EG597" s="23" t="s">
        <v>481</v>
      </c>
      <c r="ET597" s="23" t="s">
        <v>482</v>
      </c>
      <c r="FG597" s="23" t="s">
        <v>480</v>
      </c>
      <c r="FT597" s="23" t="s">
        <v>508</v>
      </c>
      <c r="GG597" s="23" t="s">
        <v>456</v>
      </c>
      <c r="HC597" s="23" t="s">
        <v>433</v>
      </c>
    </row>
    <row r="598" spans="6:211" x14ac:dyDescent="0.25">
      <c r="F598" s="23" t="s">
        <v>480</v>
      </c>
      <c r="S598" s="23" t="s">
        <v>481</v>
      </c>
      <c r="AF598" s="23" t="s">
        <v>449</v>
      </c>
      <c r="AT598" s="23" t="s">
        <v>417</v>
      </c>
      <c r="BG598" s="23" t="s">
        <v>507</v>
      </c>
      <c r="BT598" s="23" t="s">
        <v>492</v>
      </c>
      <c r="CG598" s="23" t="s">
        <v>482</v>
      </c>
      <c r="CT598" s="23" t="s">
        <v>47</v>
      </c>
      <c r="DG598" s="23" t="s">
        <v>491</v>
      </c>
      <c r="DT598" s="23" t="s">
        <v>487</v>
      </c>
      <c r="EG598" s="23" t="s">
        <v>482</v>
      </c>
      <c r="ET598" s="23" t="s">
        <v>483</v>
      </c>
      <c r="FG598" s="23" t="s">
        <v>481</v>
      </c>
      <c r="FT598" s="23" t="s">
        <v>509</v>
      </c>
      <c r="GG598" s="23" t="s">
        <v>457</v>
      </c>
      <c r="HC598" s="23" t="s">
        <v>434</v>
      </c>
    </row>
    <row r="599" spans="6:211" x14ac:dyDescent="0.25">
      <c r="F599" s="23" t="s">
        <v>481</v>
      </c>
      <c r="S599" s="23" t="s">
        <v>482</v>
      </c>
      <c r="AF599" s="23" t="s">
        <v>450</v>
      </c>
      <c r="AT599" s="23" t="s">
        <v>418</v>
      </c>
      <c r="BG599" s="23" t="s">
        <v>508</v>
      </c>
      <c r="BT599" s="23" t="s">
        <v>493</v>
      </c>
      <c r="CG599" s="23" t="s">
        <v>483</v>
      </c>
      <c r="CT599" s="23" t="s">
        <v>436</v>
      </c>
      <c r="DG599" s="23" t="s">
        <v>492</v>
      </c>
      <c r="DT599" s="23" t="s">
        <v>488</v>
      </c>
      <c r="EG599" s="23" t="s">
        <v>483</v>
      </c>
      <c r="ET599" s="23" t="s">
        <v>484</v>
      </c>
      <c r="FG599" s="23" t="s">
        <v>482</v>
      </c>
      <c r="FT599" s="23" t="s">
        <v>510</v>
      </c>
      <c r="GG599" s="23" t="s">
        <v>458</v>
      </c>
      <c r="HC599" s="23" t="s">
        <v>435</v>
      </c>
    </row>
    <row r="600" spans="6:211" x14ac:dyDescent="0.25">
      <c r="F600" s="23" t="s">
        <v>482</v>
      </c>
      <c r="S600" s="23" t="s">
        <v>483</v>
      </c>
      <c r="AF600" s="23" t="s">
        <v>451</v>
      </c>
      <c r="AT600" s="23" t="s">
        <v>256</v>
      </c>
      <c r="BG600" s="23" t="s">
        <v>509</v>
      </c>
      <c r="BT600" s="23" t="s">
        <v>494</v>
      </c>
      <c r="CG600" s="23" t="s">
        <v>484</v>
      </c>
      <c r="CT600" s="23" t="s">
        <v>437</v>
      </c>
      <c r="DG600" s="23" t="s">
        <v>493</v>
      </c>
      <c r="DT600" s="23" t="s">
        <v>489</v>
      </c>
      <c r="EG600" s="23" t="s">
        <v>484</v>
      </c>
      <c r="ET600" s="23" t="s">
        <v>485</v>
      </c>
      <c r="FG600" s="23" t="s">
        <v>483</v>
      </c>
      <c r="FT600" s="23" t="s">
        <v>511</v>
      </c>
      <c r="GG600" s="23" t="s">
        <v>459</v>
      </c>
      <c r="HC600" s="23" t="s">
        <v>2942</v>
      </c>
    </row>
    <row r="601" spans="6:211" x14ac:dyDescent="0.25">
      <c r="F601" s="23" t="s">
        <v>483</v>
      </c>
      <c r="S601" s="23" t="s">
        <v>484</v>
      </c>
      <c r="AF601" s="23" t="s">
        <v>452</v>
      </c>
      <c r="AT601" s="23" t="s">
        <v>419</v>
      </c>
      <c r="BG601" s="23" t="s">
        <v>510</v>
      </c>
      <c r="BT601" s="23" t="s">
        <v>495</v>
      </c>
      <c r="CG601" s="23" t="s">
        <v>485</v>
      </c>
      <c r="CT601" s="23" t="s">
        <v>438</v>
      </c>
      <c r="DG601" s="23" t="s">
        <v>494</v>
      </c>
      <c r="DT601" s="23" t="s">
        <v>490</v>
      </c>
      <c r="EG601" s="23" t="s">
        <v>485</v>
      </c>
      <c r="ET601" s="23" t="s">
        <v>486</v>
      </c>
      <c r="FG601" s="23" t="s">
        <v>484</v>
      </c>
      <c r="FT601" s="23" t="s">
        <v>512</v>
      </c>
      <c r="GG601" s="23" t="s">
        <v>460</v>
      </c>
      <c r="HC601" s="23" t="s">
        <v>436</v>
      </c>
    </row>
    <row r="602" spans="6:211" x14ac:dyDescent="0.25">
      <c r="F602" s="23" t="s">
        <v>484</v>
      </c>
      <c r="S602" s="23" t="s">
        <v>485</v>
      </c>
      <c r="AF602" s="23" t="s">
        <v>453</v>
      </c>
      <c r="AT602" s="23" t="s">
        <v>420</v>
      </c>
      <c r="BG602" s="23" t="s">
        <v>511</v>
      </c>
      <c r="BT602" s="23" t="s">
        <v>496</v>
      </c>
      <c r="CG602" s="23" t="s">
        <v>486</v>
      </c>
      <c r="CT602" s="23" t="s">
        <v>439</v>
      </c>
      <c r="DG602" s="23" t="s">
        <v>495</v>
      </c>
      <c r="DT602" s="23" t="s">
        <v>491</v>
      </c>
      <c r="EG602" s="23" t="s">
        <v>486</v>
      </c>
      <c r="ET602" s="23" t="s">
        <v>487</v>
      </c>
      <c r="FG602" s="23" t="s">
        <v>485</v>
      </c>
      <c r="FT602" s="23" t="s">
        <v>513</v>
      </c>
      <c r="GG602" s="23" t="s">
        <v>461</v>
      </c>
      <c r="HC602" s="23" t="s">
        <v>437</v>
      </c>
    </row>
    <row r="603" spans="6:211" x14ac:dyDescent="0.25">
      <c r="F603" s="23" t="s">
        <v>485</v>
      </c>
      <c r="S603" s="23" t="s">
        <v>486</v>
      </c>
      <c r="AF603" s="23" t="s">
        <v>454</v>
      </c>
      <c r="AT603" s="23" t="s">
        <v>421</v>
      </c>
      <c r="BG603" s="23" t="s">
        <v>512</v>
      </c>
      <c r="BT603" s="23" t="s">
        <v>497</v>
      </c>
      <c r="CG603" s="23" t="s">
        <v>487</v>
      </c>
      <c r="CT603" s="41" t="s">
        <v>440</v>
      </c>
      <c r="DG603" s="23" t="s">
        <v>496</v>
      </c>
      <c r="DT603" s="23" t="s">
        <v>492</v>
      </c>
      <c r="EG603" s="23" t="s">
        <v>487</v>
      </c>
      <c r="ET603" s="23" t="s">
        <v>488</v>
      </c>
      <c r="FG603" s="23" t="s">
        <v>486</v>
      </c>
      <c r="FT603" s="23" t="s">
        <v>514</v>
      </c>
      <c r="GG603" s="23" t="s">
        <v>462</v>
      </c>
      <c r="HC603" s="23" t="s">
        <v>438</v>
      </c>
    </row>
    <row r="604" spans="6:211" x14ac:dyDescent="0.25">
      <c r="F604" s="23" t="s">
        <v>486</v>
      </c>
      <c r="S604" s="23" t="s">
        <v>487</v>
      </c>
      <c r="AF604" s="23" t="s">
        <v>455</v>
      </c>
      <c r="AT604" s="23" t="s">
        <v>422</v>
      </c>
      <c r="BG604" s="23" t="s">
        <v>513</v>
      </c>
      <c r="BT604" s="23" t="s">
        <v>498</v>
      </c>
      <c r="CG604" s="23" t="s">
        <v>488</v>
      </c>
      <c r="CT604" s="23" t="s">
        <v>441</v>
      </c>
      <c r="DG604" s="23" t="s">
        <v>497</v>
      </c>
      <c r="DT604" s="23" t="s">
        <v>493</v>
      </c>
      <c r="EG604" s="23" t="s">
        <v>488</v>
      </c>
      <c r="ET604" s="23" t="s">
        <v>489</v>
      </c>
      <c r="FG604" s="23" t="s">
        <v>487</v>
      </c>
      <c r="FT604" s="23" t="s">
        <v>515</v>
      </c>
      <c r="GG604" s="23" t="s">
        <v>463</v>
      </c>
      <c r="HC604" s="23" t="s">
        <v>439</v>
      </c>
    </row>
    <row r="605" spans="6:211" x14ac:dyDescent="0.25">
      <c r="F605" s="23" t="s">
        <v>487</v>
      </c>
      <c r="S605" s="23" t="s">
        <v>488</v>
      </c>
      <c r="AF605" s="23" t="s">
        <v>114</v>
      </c>
      <c r="AT605" s="23" t="s">
        <v>423</v>
      </c>
      <c r="BG605" s="23" t="s">
        <v>514</v>
      </c>
      <c r="BT605" s="23" t="s">
        <v>499</v>
      </c>
      <c r="CG605" s="23" t="s">
        <v>489</v>
      </c>
      <c r="CT605" s="23" t="s">
        <v>442</v>
      </c>
      <c r="DG605" s="23" t="s">
        <v>498</v>
      </c>
      <c r="DT605" s="23" t="s">
        <v>494</v>
      </c>
      <c r="EG605" s="23" t="s">
        <v>489</v>
      </c>
      <c r="ET605" s="23" t="s">
        <v>490</v>
      </c>
      <c r="FG605" s="23" t="s">
        <v>488</v>
      </c>
      <c r="FT605" s="23" t="s">
        <v>516</v>
      </c>
      <c r="GG605" s="23" t="s">
        <v>464</v>
      </c>
      <c r="HC605" s="41" t="s">
        <v>2943</v>
      </c>
    </row>
    <row r="606" spans="6:211" x14ac:dyDescent="0.25">
      <c r="F606" s="23" t="s">
        <v>488</v>
      </c>
      <c r="S606" s="23" t="s">
        <v>489</v>
      </c>
      <c r="AF606" s="23" t="s">
        <v>456</v>
      </c>
      <c r="AT606" s="23" t="s">
        <v>424</v>
      </c>
      <c r="BG606" s="23" t="s">
        <v>515</v>
      </c>
      <c r="BT606" s="23" t="s">
        <v>500</v>
      </c>
      <c r="CG606" s="23" t="s">
        <v>490</v>
      </c>
      <c r="CT606" s="23" t="s">
        <v>443</v>
      </c>
      <c r="DG606" s="23" t="s">
        <v>499</v>
      </c>
      <c r="DT606" s="23" t="s">
        <v>495</v>
      </c>
      <c r="EG606" s="23" t="s">
        <v>490</v>
      </c>
      <c r="ET606" s="23" t="s">
        <v>491</v>
      </c>
      <c r="FG606" s="23" t="s">
        <v>489</v>
      </c>
      <c r="FT606" s="23" t="s">
        <v>88</v>
      </c>
      <c r="GG606" s="23" t="s">
        <v>465</v>
      </c>
      <c r="HC606" s="23" t="s">
        <v>2944</v>
      </c>
    </row>
    <row r="607" spans="6:211" x14ac:dyDescent="0.25">
      <c r="F607" s="23" t="s">
        <v>489</v>
      </c>
      <c r="S607" s="23" t="s">
        <v>490</v>
      </c>
      <c r="AF607" s="23" t="s">
        <v>457</v>
      </c>
      <c r="AT607" s="23" t="s">
        <v>425</v>
      </c>
      <c r="BG607" s="23" t="s">
        <v>516</v>
      </c>
      <c r="BT607" s="23" t="s">
        <v>501</v>
      </c>
      <c r="CG607" s="23" t="s">
        <v>491</v>
      </c>
      <c r="CT607" s="23" t="s">
        <v>444</v>
      </c>
      <c r="DG607" s="23" t="s">
        <v>500</v>
      </c>
      <c r="DT607" s="23" t="s">
        <v>496</v>
      </c>
      <c r="EG607" s="23" t="s">
        <v>491</v>
      </c>
      <c r="ET607" s="23" t="s">
        <v>492</v>
      </c>
      <c r="FG607" s="23" t="s">
        <v>490</v>
      </c>
      <c r="FT607" s="23" t="s">
        <v>517</v>
      </c>
      <c r="GG607" s="23" t="s">
        <v>466</v>
      </c>
      <c r="HC607" s="23" t="s">
        <v>442</v>
      </c>
    </row>
    <row r="608" spans="6:211" x14ac:dyDescent="0.25">
      <c r="F608" s="23" t="s">
        <v>490</v>
      </c>
      <c r="S608" s="23" t="s">
        <v>491</v>
      </c>
      <c r="AF608" s="23" t="s">
        <v>458</v>
      </c>
      <c r="AT608" s="23" t="s">
        <v>67</v>
      </c>
      <c r="BG608" s="23" t="s">
        <v>88</v>
      </c>
      <c r="BT608" s="23" t="s">
        <v>502</v>
      </c>
      <c r="CG608" s="23" t="s">
        <v>492</v>
      </c>
      <c r="CT608" s="23" t="s">
        <v>445</v>
      </c>
      <c r="DG608" s="23" t="s">
        <v>501</v>
      </c>
      <c r="DT608" s="23" t="s">
        <v>497</v>
      </c>
      <c r="EG608" s="23" t="s">
        <v>492</v>
      </c>
      <c r="ET608" s="23" t="s">
        <v>493</v>
      </c>
      <c r="FG608" s="23" t="s">
        <v>491</v>
      </c>
      <c r="FT608" s="23" t="s">
        <v>518</v>
      </c>
      <c r="GG608" s="23" t="s">
        <v>467</v>
      </c>
      <c r="HC608" s="23" t="s">
        <v>2945</v>
      </c>
    </row>
    <row r="609" spans="6:211" x14ac:dyDescent="0.25">
      <c r="F609" s="23" t="s">
        <v>491</v>
      </c>
      <c r="S609" s="23" t="s">
        <v>492</v>
      </c>
      <c r="AF609" s="23" t="s">
        <v>459</v>
      </c>
      <c r="AT609" s="23" t="s">
        <v>426</v>
      </c>
      <c r="BG609" s="23" t="s">
        <v>517</v>
      </c>
      <c r="BT609" s="23" t="s">
        <v>503</v>
      </c>
      <c r="CG609" s="23" t="s">
        <v>493</v>
      </c>
      <c r="CT609" s="23" t="s">
        <v>446</v>
      </c>
      <c r="DG609" s="23" t="s">
        <v>502</v>
      </c>
      <c r="DT609" s="23" t="s">
        <v>498</v>
      </c>
      <c r="EG609" s="23" t="s">
        <v>493</v>
      </c>
      <c r="ET609" s="23" t="s">
        <v>494</v>
      </c>
      <c r="FG609" s="23" t="s">
        <v>492</v>
      </c>
      <c r="FT609" s="23" t="s">
        <v>519</v>
      </c>
      <c r="GG609" s="23" t="s">
        <v>468</v>
      </c>
      <c r="HC609" s="23" t="s">
        <v>444</v>
      </c>
    </row>
    <row r="610" spans="6:211" x14ac:dyDescent="0.25">
      <c r="F610" s="23" t="s">
        <v>492</v>
      </c>
      <c r="S610" s="23" t="s">
        <v>493</v>
      </c>
      <c r="AF610" s="23" t="s">
        <v>460</v>
      </c>
      <c r="AT610" s="23" t="s">
        <v>427</v>
      </c>
      <c r="BG610" s="23" t="s">
        <v>518</v>
      </c>
      <c r="BT610" s="23" t="s">
        <v>504</v>
      </c>
      <c r="CG610" s="23" t="s">
        <v>494</v>
      </c>
      <c r="CT610" s="23" t="s">
        <v>447</v>
      </c>
      <c r="DG610" s="23" t="s">
        <v>503</v>
      </c>
      <c r="DT610" s="23" t="s">
        <v>499</v>
      </c>
      <c r="EG610" s="23" t="s">
        <v>494</v>
      </c>
      <c r="ET610" s="23" t="s">
        <v>495</v>
      </c>
      <c r="FG610" s="23" t="s">
        <v>493</v>
      </c>
      <c r="FT610" s="23" t="s">
        <v>512</v>
      </c>
      <c r="GG610" s="23" t="s">
        <v>469</v>
      </c>
      <c r="HC610" s="23" t="s">
        <v>445</v>
      </c>
    </row>
    <row r="611" spans="6:211" x14ac:dyDescent="0.25">
      <c r="F611" s="23" t="s">
        <v>493</v>
      </c>
      <c r="S611" s="23" t="s">
        <v>494</v>
      </c>
      <c r="AF611" s="23" t="s">
        <v>461</v>
      </c>
      <c r="AT611" s="23" t="s">
        <v>428</v>
      </c>
      <c r="BG611" s="23" t="s">
        <v>519</v>
      </c>
      <c r="BT611" s="23" t="s">
        <v>505</v>
      </c>
      <c r="CG611" s="23" t="s">
        <v>495</v>
      </c>
      <c r="CT611" s="23" t="s">
        <v>448</v>
      </c>
      <c r="DG611" s="23" t="s">
        <v>504</v>
      </c>
      <c r="DT611" s="23" t="s">
        <v>500</v>
      </c>
      <c r="EG611" s="23" t="s">
        <v>495</v>
      </c>
      <c r="ET611" s="23" t="s">
        <v>496</v>
      </c>
      <c r="FG611" s="23" t="s">
        <v>494</v>
      </c>
      <c r="FT611" s="23" t="s">
        <v>513</v>
      </c>
      <c r="GG611" s="23" t="s">
        <v>470</v>
      </c>
      <c r="HC611" s="23" t="s">
        <v>446</v>
      </c>
    </row>
    <row r="612" spans="6:211" x14ac:dyDescent="0.25">
      <c r="F612" s="23" t="s">
        <v>494</v>
      </c>
      <c r="S612" s="23" t="s">
        <v>495</v>
      </c>
      <c r="AF612" s="23" t="s">
        <v>462</v>
      </c>
      <c r="AT612" s="23" t="s">
        <v>429</v>
      </c>
      <c r="BG612" s="23" t="s">
        <v>512</v>
      </c>
      <c r="BT612" s="23" t="s">
        <v>506</v>
      </c>
      <c r="CG612" s="23" t="s">
        <v>496</v>
      </c>
      <c r="CT612" s="23" t="s">
        <v>449</v>
      </c>
      <c r="DG612" s="23" t="s">
        <v>505</v>
      </c>
      <c r="DT612" s="23" t="s">
        <v>501</v>
      </c>
      <c r="EG612" s="23" t="s">
        <v>496</v>
      </c>
      <c r="ET612" s="23" t="s">
        <v>497</v>
      </c>
      <c r="FG612" s="23" t="s">
        <v>495</v>
      </c>
      <c r="FT612" s="23" t="s">
        <v>514</v>
      </c>
      <c r="GG612" s="23" t="s">
        <v>471</v>
      </c>
      <c r="HC612" s="23" t="s">
        <v>447</v>
      </c>
    </row>
    <row r="613" spans="6:211" x14ac:dyDescent="0.25">
      <c r="F613" s="23" t="s">
        <v>495</v>
      </c>
      <c r="S613" s="23" t="s">
        <v>496</v>
      </c>
      <c r="AF613" s="23" t="s">
        <v>463</v>
      </c>
      <c r="AT613" s="23" t="s">
        <v>430</v>
      </c>
      <c r="BG613" s="23" t="s">
        <v>513</v>
      </c>
      <c r="BT613" s="23" t="s">
        <v>507</v>
      </c>
      <c r="CG613" s="23" t="s">
        <v>497</v>
      </c>
      <c r="CT613" s="23" t="s">
        <v>450</v>
      </c>
      <c r="DG613" s="23" t="s">
        <v>506</v>
      </c>
      <c r="DT613" s="23" t="s">
        <v>502</v>
      </c>
      <c r="EG613" s="23" t="s">
        <v>497</v>
      </c>
      <c r="ET613" s="23" t="s">
        <v>498</v>
      </c>
      <c r="FG613" s="23" t="s">
        <v>496</v>
      </c>
      <c r="FT613" s="23" t="s">
        <v>515</v>
      </c>
      <c r="GG613" s="23" t="s">
        <v>472</v>
      </c>
      <c r="HC613" s="23" t="s">
        <v>448</v>
      </c>
    </row>
    <row r="614" spans="6:211" x14ac:dyDescent="0.25">
      <c r="F614" s="23" t="s">
        <v>496</v>
      </c>
      <c r="S614" s="23" t="s">
        <v>497</v>
      </c>
      <c r="AF614" s="23" t="s">
        <v>464</v>
      </c>
      <c r="AT614" s="23" t="s">
        <v>431</v>
      </c>
      <c r="BG614" s="23" t="s">
        <v>514</v>
      </c>
      <c r="BT614" s="23" t="s">
        <v>508</v>
      </c>
      <c r="CG614" s="23" t="s">
        <v>498</v>
      </c>
      <c r="CT614" s="23" t="s">
        <v>451</v>
      </c>
      <c r="DG614" s="23" t="s">
        <v>507</v>
      </c>
      <c r="DT614" s="23" t="s">
        <v>503</v>
      </c>
      <c r="EG614" s="23" t="s">
        <v>498</v>
      </c>
      <c r="ET614" s="23" t="s">
        <v>499</v>
      </c>
      <c r="FG614" s="23" t="s">
        <v>497</v>
      </c>
      <c r="FT614" s="23" t="s">
        <v>520</v>
      </c>
      <c r="GG614" s="23" t="s">
        <v>473</v>
      </c>
      <c r="HC614" s="23" t="s">
        <v>449</v>
      </c>
    </row>
    <row r="615" spans="6:211" x14ac:dyDescent="0.25">
      <c r="F615" s="23" t="s">
        <v>497</v>
      </c>
      <c r="S615" s="23" t="s">
        <v>498</v>
      </c>
      <c r="AF615" s="23" t="s">
        <v>465</v>
      </c>
      <c r="AT615" s="23" t="s">
        <v>432</v>
      </c>
      <c r="BG615" s="23" t="s">
        <v>515</v>
      </c>
      <c r="BT615" s="23" t="s">
        <v>509</v>
      </c>
      <c r="CG615" s="23" t="s">
        <v>499</v>
      </c>
      <c r="CT615" s="23" t="s">
        <v>452</v>
      </c>
      <c r="DG615" s="23" t="s">
        <v>508</v>
      </c>
      <c r="DT615" s="23" t="s">
        <v>504</v>
      </c>
      <c r="EG615" s="23" t="s">
        <v>499</v>
      </c>
      <c r="ET615" s="23" t="s">
        <v>500</v>
      </c>
      <c r="FG615" s="23" t="s">
        <v>498</v>
      </c>
      <c r="FT615" s="23" t="s">
        <v>521</v>
      </c>
      <c r="GG615" s="23" t="s">
        <v>474</v>
      </c>
      <c r="HC615" s="23" t="s">
        <v>450</v>
      </c>
    </row>
    <row r="616" spans="6:211" x14ac:dyDescent="0.25">
      <c r="F616" s="23" t="s">
        <v>498</v>
      </c>
      <c r="S616" s="23" t="s">
        <v>499</v>
      </c>
      <c r="AF616" s="23" t="s">
        <v>466</v>
      </c>
      <c r="AT616" s="23" t="s">
        <v>433</v>
      </c>
      <c r="BG616" s="23" t="s">
        <v>520</v>
      </c>
      <c r="BT616" s="23" t="s">
        <v>510</v>
      </c>
      <c r="CG616" s="23" t="s">
        <v>500</v>
      </c>
      <c r="CT616" s="23" t="s">
        <v>453</v>
      </c>
      <c r="DG616" s="23" t="s">
        <v>509</v>
      </c>
      <c r="DT616" s="23" t="s">
        <v>505</v>
      </c>
      <c r="EG616" s="23" t="s">
        <v>500</v>
      </c>
      <c r="ET616" s="23" t="s">
        <v>501</v>
      </c>
      <c r="FG616" s="23" t="s">
        <v>499</v>
      </c>
      <c r="FT616" s="23" t="s">
        <v>522</v>
      </c>
      <c r="GG616" s="23" t="s">
        <v>475</v>
      </c>
      <c r="HC616" s="23" t="s">
        <v>451</v>
      </c>
    </row>
    <row r="617" spans="6:211" x14ac:dyDescent="0.25">
      <c r="F617" s="23" t="s">
        <v>499</v>
      </c>
      <c r="S617" s="23" t="s">
        <v>500</v>
      </c>
      <c r="AF617" s="23" t="s">
        <v>467</v>
      </c>
      <c r="AT617" s="23" t="s">
        <v>434</v>
      </c>
      <c r="BG617" s="23" t="s">
        <v>521</v>
      </c>
      <c r="BT617" s="23" t="s">
        <v>511</v>
      </c>
      <c r="CG617" s="23" t="s">
        <v>501</v>
      </c>
      <c r="CT617" s="23" t="s">
        <v>454</v>
      </c>
      <c r="DG617" s="23" t="s">
        <v>510</v>
      </c>
      <c r="DT617" s="23" t="s">
        <v>506</v>
      </c>
      <c r="EG617" s="23" t="s">
        <v>501</v>
      </c>
      <c r="ET617" s="23" t="s">
        <v>502</v>
      </c>
      <c r="FG617" s="23" t="s">
        <v>500</v>
      </c>
      <c r="FT617" s="23" t="s">
        <v>517</v>
      </c>
      <c r="GG617" s="23" t="s">
        <v>476</v>
      </c>
      <c r="HC617" s="23" t="s">
        <v>452</v>
      </c>
    </row>
    <row r="618" spans="6:211" x14ac:dyDescent="0.25">
      <c r="F618" s="23" t="s">
        <v>500</v>
      </c>
      <c r="S618" s="23" t="s">
        <v>501</v>
      </c>
      <c r="AF618" s="23" t="s">
        <v>468</v>
      </c>
      <c r="AT618" s="23" t="s">
        <v>435</v>
      </c>
      <c r="BG618" s="23" t="s">
        <v>522</v>
      </c>
      <c r="BT618" s="23" t="s">
        <v>512</v>
      </c>
      <c r="CG618" s="23" t="s">
        <v>502</v>
      </c>
      <c r="CT618" s="23" t="s">
        <v>455</v>
      </c>
      <c r="DG618" s="23" t="s">
        <v>511</v>
      </c>
      <c r="DT618" s="23" t="s">
        <v>507</v>
      </c>
      <c r="EG618" s="23" t="s">
        <v>502</v>
      </c>
      <c r="ET618" s="23" t="s">
        <v>503</v>
      </c>
      <c r="FG618" s="23" t="s">
        <v>501</v>
      </c>
      <c r="FT618" s="23" t="s">
        <v>518</v>
      </c>
      <c r="GG618" s="23" t="s">
        <v>477</v>
      </c>
      <c r="HC618" s="23" t="s">
        <v>453</v>
      </c>
    </row>
    <row r="619" spans="6:211" x14ac:dyDescent="0.25">
      <c r="F619" s="23" t="s">
        <v>501</v>
      </c>
      <c r="S619" s="23" t="s">
        <v>502</v>
      </c>
      <c r="AF619" s="23" t="s">
        <v>469</v>
      </c>
      <c r="AT619" s="23" t="s">
        <v>47</v>
      </c>
      <c r="BG619" s="23" t="s">
        <v>517</v>
      </c>
      <c r="BT619" s="23" t="s">
        <v>513</v>
      </c>
      <c r="CG619" s="23" t="s">
        <v>503</v>
      </c>
      <c r="CT619" s="23" t="s">
        <v>114</v>
      </c>
      <c r="DG619" s="23" t="s">
        <v>512</v>
      </c>
      <c r="DT619" s="23" t="s">
        <v>508</v>
      </c>
      <c r="EG619" s="23" t="s">
        <v>503</v>
      </c>
      <c r="ET619" s="23" t="s">
        <v>504</v>
      </c>
      <c r="FG619" s="23" t="s">
        <v>502</v>
      </c>
      <c r="FT619" s="23" t="s">
        <v>523</v>
      </c>
      <c r="GG619" s="23" t="s">
        <v>478</v>
      </c>
      <c r="HC619" s="23" t="s">
        <v>454</v>
      </c>
    </row>
    <row r="620" spans="6:211" x14ac:dyDescent="0.25">
      <c r="F620" s="23" t="s">
        <v>502</v>
      </c>
      <c r="S620" s="23" t="s">
        <v>503</v>
      </c>
      <c r="AF620" s="23" t="s">
        <v>470</v>
      </c>
      <c r="AT620" s="23" t="s">
        <v>436</v>
      </c>
      <c r="BG620" s="23" t="s">
        <v>518</v>
      </c>
      <c r="BT620" s="23" t="s">
        <v>514</v>
      </c>
      <c r="CG620" s="23" t="s">
        <v>504</v>
      </c>
      <c r="CT620" s="23" t="s">
        <v>456</v>
      </c>
      <c r="DG620" s="23" t="s">
        <v>513</v>
      </c>
      <c r="DT620" s="23" t="s">
        <v>509</v>
      </c>
      <c r="EG620" s="23" t="s">
        <v>504</v>
      </c>
      <c r="ET620" s="23" t="s">
        <v>505</v>
      </c>
      <c r="FG620" s="23" t="s">
        <v>503</v>
      </c>
      <c r="FT620" s="23" t="s">
        <v>524</v>
      </c>
      <c r="GG620" s="23" t="s">
        <v>479</v>
      </c>
      <c r="HC620" s="23" t="s">
        <v>455</v>
      </c>
    </row>
    <row r="621" spans="6:211" x14ac:dyDescent="0.25">
      <c r="F621" s="23" t="s">
        <v>503</v>
      </c>
      <c r="S621" s="23" t="s">
        <v>504</v>
      </c>
      <c r="AF621" s="23" t="s">
        <v>471</v>
      </c>
      <c r="AT621" s="23" t="s">
        <v>437</v>
      </c>
      <c r="BG621" s="23" t="s">
        <v>523</v>
      </c>
      <c r="BT621" s="23" t="s">
        <v>515</v>
      </c>
      <c r="CG621" s="23" t="s">
        <v>505</v>
      </c>
      <c r="CT621" s="23" t="s">
        <v>457</v>
      </c>
      <c r="DG621" s="23" t="s">
        <v>514</v>
      </c>
      <c r="DT621" s="23" t="s">
        <v>510</v>
      </c>
      <c r="EG621" s="23" t="s">
        <v>505</v>
      </c>
      <c r="ET621" s="23" t="s">
        <v>506</v>
      </c>
      <c r="FG621" s="23" t="s">
        <v>504</v>
      </c>
      <c r="FT621" s="23" t="s">
        <v>525</v>
      </c>
      <c r="GG621" s="23" t="s">
        <v>480</v>
      </c>
      <c r="HC621" s="23" t="s">
        <v>114</v>
      </c>
    </row>
    <row r="622" spans="6:211" x14ac:dyDescent="0.25">
      <c r="F622" s="23" t="s">
        <v>504</v>
      </c>
      <c r="S622" s="23" t="s">
        <v>505</v>
      </c>
      <c r="AF622" s="23" t="s">
        <v>472</v>
      </c>
      <c r="AT622" s="23" t="s">
        <v>438</v>
      </c>
      <c r="BG622" s="23" t="s">
        <v>524</v>
      </c>
      <c r="BT622" s="23" t="s">
        <v>516</v>
      </c>
      <c r="CG622" s="23" t="s">
        <v>506</v>
      </c>
      <c r="CT622" s="23" t="s">
        <v>458</v>
      </c>
      <c r="DG622" s="23" t="s">
        <v>515</v>
      </c>
      <c r="DT622" s="23" t="s">
        <v>511</v>
      </c>
      <c r="EG622" s="23" t="s">
        <v>506</v>
      </c>
      <c r="ET622" s="23" t="s">
        <v>507</v>
      </c>
      <c r="FG622" s="23" t="s">
        <v>505</v>
      </c>
      <c r="FT622" s="23" t="s">
        <v>518</v>
      </c>
      <c r="GG622" s="23" t="s">
        <v>481</v>
      </c>
      <c r="HC622" s="23" t="s">
        <v>76</v>
      </c>
    </row>
    <row r="623" spans="6:211" x14ac:dyDescent="0.25">
      <c r="F623" s="23" t="s">
        <v>505</v>
      </c>
      <c r="S623" s="23" t="s">
        <v>506</v>
      </c>
      <c r="AF623" s="23" t="s">
        <v>473</v>
      </c>
      <c r="AT623" s="23" t="s">
        <v>439</v>
      </c>
      <c r="BG623" s="23" t="s">
        <v>525</v>
      </c>
      <c r="BT623" s="23" t="s">
        <v>88</v>
      </c>
      <c r="CG623" s="23" t="s">
        <v>507</v>
      </c>
      <c r="CT623" s="23" t="s">
        <v>459</v>
      </c>
      <c r="DG623" s="23" t="s">
        <v>516</v>
      </c>
      <c r="DT623" s="23" t="s">
        <v>512</v>
      </c>
      <c r="EG623" s="23" t="s">
        <v>507</v>
      </c>
      <c r="ET623" s="23" t="s">
        <v>508</v>
      </c>
      <c r="FG623" s="23" t="s">
        <v>506</v>
      </c>
      <c r="FT623" s="23" t="s">
        <v>526</v>
      </c>
      <c r="GG623" s="23" t="s">
        <v>482</v>
      </c>
      <c r="HC623" s="23" t="s">
        <v>2946</v>
      </c>
    </row>
    <row r="624" spans="6:211" x14ac:dyDescent="0.25">
      <c r="F624" s="23" t="s">
        <v>506</v>
      </c>
      <c r="S624" s="23" t="s">
        <v>507</v>
      </c>
      <c r="AF624" s="23" t="s">
        <v>474</v>
      </c>
      <c r="AT624" s="41" t="s">
        <v>440</v>
      </c>
      <c r="BG624" s="23" t="s">
        <v>518</v>
      </c>
      <c r="BT624" s="23" t="s">
        <v>517</v>
      </c>
      <c r="CG624" s="23" t="s">
        <v>508</v>
      </c>
      <c r="CT624" s="23" t="s">
        <v>460</v>
      </c>
      <c r="DG624" s="23" t="s">
        <v>88</v>
      </c>
      <c r="DT624" s="23" t="s">
        <v>513</v>
      </c>
      <c r="EG624" s="23" t="s">
        <v>508</v>
      </c>
      <c r="ET624" s="23" t="s">
        <v>509</v>
      </c>
      <c r="FG624" s="23" t="s">
        <v>507</v>
      </c>
      <c r="FT624" s="23" t="s">
        <v>518</v>
      </c>
      <c r="GG624" s="23" t="s">
        <v>483</v>
      </c>
      <c r="HC624" s="23" t="s">
        <v>458</v>
      </c>
    </row>
    <row r="625" spans="6:211" x14ac:dyDescent="0.25">
      <c r="F625" s="23" t="s">
        <v>507</v>
      </c>
      <c r="S625" s="23" t="s">
        <v>508</v>
      </c>
      <c r="AF625" s="23" t="s">
        <v>475</v>
      </c>
      <c r="AT625" s="23" t="s">
        <v>441</v>
      </c>
      <c r="BG625" s="23" t="s">
        <v>526</v>
      </c>
      <c r="BT625" s="23" t="s">
        <v>518</v>
      </c>
      <c r="CG625" s="23" t="s">
        <v>509</v>
      </c>
      <c r="CT625" s="23" t="s">
        <v>461</v>
      </c>
      <c r="DG625" s="23" t="s">
        <v>517</v>
      </c>
      <c r="DT625" s="23" t="s">
        <v>514</v>
      </c>
      <c r="EG625" s="23" t="s">
        <v>509</v>
      </c>
      <c r="ET625" s="23" t="s">
        <v>510</v>
      </c>
      <c r="FG625" s="23" t="s">
        <v>508</v>
      </c>
      <c r="FT625" s="41" t="s">
        <v>527</v>
      </c>
      <c r="GG625" s="23" t="s">
        <v>484</v>
      </c>
      <c r="HC625" s="23" t="s">
        <v>459</v>
      </c>
    </row>
    <row r="626" spans="6:211" x14ac:dyDescent="0.25">
      <c r="F626" s="23" t="s">
        <v>508</v>
      </c>
      <c r="S626" s="23" t="s">
        <v>509</v>
      </c>
      <c r="AF626" s="23" t="s">
        <v>476</v>
      </c>
      <c r="AT626" s="23" t="s">
        <v>442</v>
      </c>
      <c r="BG626" s="23" t="s">
        <v>518</v>
      </c>
      <c r="BT626" s="23" t="s">
        <v>519</v>
      </c>
      <c r="CG626" s="23" t="s">
        <v>510</v>
      </c>
      <c r="CT626" s="23" t="s">
        <v>462</v>
      </c>
      <c r="DG626" s="23" t="s">
        <v>518</v>
      </c>
      <c r="DT626" s="23" t="s">
        <v>515</v>
      </c>
      <c r="EG626" s="23" t="s">
        <v>510</v>
      </c>
      <c r="ET626" s="23" t="s">
        <v>511</v>
      </c>
      <c r="FG626" s="23" t="s">
        <v>509</v>
      </c>
      <c r="FT626" s="23" t="s">
        <v>528</v>
      </c>
      <c r="GG626" s="23" t="s">
        <v>485</v>
      </c>
      <c r="HC626" s="23" t="s">
        <v>460</v>
      </c>
    </row>
    <row r="627" spans="6:211" x14ac:dyDescent="0.25">
      <c r="F627" s="23" t="s">
        <v>509</v>
      </c>
      <c r="S627" s="23" t="s">
        <v>510</v>
      </c>
      <c r="AF627" s="23" t="s">
        <v>477</v>
      </c>
      <c r="AT627" s="23" t="s">
        <v>443</v>
      </c>
      <c r="BG627" s="41" t="s">
        <v>527</v>
      </c>
      <c r="BT627" s="23" t="s">
        <v>512</v>
      </c>
      <c r="CG627" s="23" t="s">
        <v>511</v>
      </c>
      <c r="CT627" s="23" t="s">
        <v>463</v>
      </c>
      <c r="DG627" s="23" t="s">
        <v>519</v>
      </c>
      <c r="DT627" s="23" t="s">
        <v>516</v>
      </c>
      <c r="EG627" s="23" t="s">
        <v>511</v>
      </c>
      <c r="ET627" s="23" t="s">
        <v>512</v>
      </c>
      <c r="FG627" s="23" t="s">
        <v>510</v>
      </c>
      <c r="FT627" s="23" t="s">
        <v>300</v>
      </c>
      <c r="GG627" s="23" t="s">
        <v>486</v>
      </c>
      <c r="HC627" s="23" t="s">
        <v>461</v>
      </c>
    </row>
    <row r="628" spans="6:211" x14ac:dyDescent="0.25">
      <c r="F628" s="23" t="s">
        <v>510</v>
      </c>
      <c r="S628" s="23" t="s">
        <v>511</v>
      </c>
      <c r="AF628" s="23" t="s">
        <v>478</v>
      </c>
      <c r="AT628" s="23" t="s">
        <v>444</v>
      </c>
      <c r="BG628" s="23" t="s">
        <v>528</v>
      </c>
      <c r="BT628" s="23" t="s">
        <v>513</v>
      </c>
      <c r="CG628" s="23" t="s">
        <v>512</v>
      </c>
      <c r="CT628" s="23" t="s">
        <v>464</v>
      </c>
      <c r="DG628" s="23" t="s">
        <v>512</v>
      </c>
      <c r="DT628" s="23" t="s">
        <v>88</v>
      </c>
      <c r="EG628" s="23" t="s">
        <v>512</v>
      </c>
      <c r="ET628" s="23" t="s">
        <v>513</v>
      </c>
      <c r="FG628" s="23" t="s">
        <v>511</v>
      </c>
      <c r="FT628" s="23" t="s">
        <v>529</v>
      </c>
      <c r="GG628" s="23" t="s">
        <v>487</v>
      </c>
      <c r="HC628" s="23" t="s">
        <v>462</v>
      </c>
    </row>
    <row r="629" spans="6:211" x14ac:dyDescent="0.25">
      <c r="F629" s="23" t="s">
        <v>511</v>
      </c>
      <c r="S629" s="23" t="s">
        <v>512</v>
      </c>
      <c r="AF629" s="23" t="s">
        <v>479</v>
      </c>
      <c r="AT629" s="23" t="s">
        <v>445</v>
      </c>
      <c r="BG629" s="23" t="s">
        <v>300</v>
      </c>
      <c r="BT629" s="23" t="s">
        <v>514</v>
      </c>
      <c r="CG629" s="23" t="s">
        <v>513</v>
      </c>
      <c r="CT629" s="23" t="s">
        <v>465</v>
      </c>
      <c r="DG629" s="23" t="s">
        <v>513</v>
      </c>
      <c r="DT629" s="23" t="s">
        <v>517</v>
      </c>
      <c r="EG629" s="23" t="s">
        <v>513</v>
      </c>
      <c r="ET629" s="23" t="s">
        <v>514</v>
      </c>
      <c r="FG629" s="23" t="s">
        <v>512</v>
      </c>
      <c r="FT629" s="23" t="s">
        <v>530</v>
      </c>
      <c r="GG629" s="23" t="s">
        <v>488</v>
      </c>
      <c r="HC629" s="23" t="s">
        <v>463</v>
      </c>
    </row>
    <row r="630" spans="6:211" x14ac:dyDescent="0.25">
      <c r="F630" s="23" t="s">
        <v>512</v>
      </c>
      <c r="S630" s="23" t="s">
        <v>513</v>
      </c>
      <c r="AF630" s="23" t="s">
        <v>480</v>
      </c>
      <c r="AT630" s="23" t="s">
        <v>446</v>
      </c>
      <c r="BG630" s="23" t="s">
        <v>529</v>
      </c>
      <c r="BT630" s="23" t="s">
        <v>515</v>
      </c>
      <c r="CG630" s="23" t="s">
        <v>514</v>
      </c>
      <c r="CT630" s="23" t="s">
        <v>466</v>
      </c>
      <c r="DG630" s="23" t="s">
        <v>514</v>
      </c>
      <c r="DT630" s="23" t="s">
        <v>518</v>
      </c>
      <c r="EG630" s="23" t="s">
        <v>514</v>
      </c>
      <c r="ET630" s="23" t="s">
        <v>515</v>
      </c>
      <c r="FG630" s="23" t="s">
        <v>513</v>
      </c>
      <c r="FT630" s="23" t="s">
        <v>531</v>
      </c>
      <c r="GG630" s="23" t="s">
        <v>489</v>
      </c>
      <c r="HC630" s="23" t="s">
        <v>464</v>
      </c>
    </row>
    <row r="631" spans="6:211" x14ac:dyDescent="0.25">
      <c r="F631" s="23" t="s">
        <v>513</v>
      </c>
      <c r="S631" s="23" t="s">
        <v>514</v>
      </c>
      <c r="AF631" s="23" t="s">
        <v>481</v>
      </c>
      <c r="AT631" s="23" t="s">
        <v>447</v>
      </c>
      <c r="BG631" s="23" t="s">
        <v>530</v>
      </c>
      <c r="BT631" s="23" t="s">
        <v>520</v>
      </c>
      <c r="CG631" s="23" t="s">
        <v>515</v>
      </c>
      <c r="CT631" s="23" t="s">
        <v>467</v>
      </c>
      <c r="DG631" s="23" t="s">
        <v>515</v>
      </c>
      <c r="DT631" s="23" t="s">
        <v>519</v>
      </c>
      <c r="EG631" s="23" t="s">
        <v>515</v>
      </c>
      <c r="ET631" s="23" t="s">
        <v>516</v>
      </c>
      <c r="FG631" s="23" t="s">
        <v>514</v>
      </c>
      <c r="FT631" s="13" t="s">
        <v>532</v>
      </c>
      <c r="GG631" s="23" t="s">
        <v>490</v>
      </c>
      <c r="HC631" s="23" t="s">
        <v>465</v>
      </c>
    </row>
    <row r="632" spans="6:211" x14ac:dyDescent="0.25">
      <c r="F632" s="23" t="s">
        <v>514</v>
      </c>
      <c r="S632" s="23" t="s">
        <v>515</v>
      </c>
      <c r="AF632" s="23" t="s">
        <v>482</v>
      </c>
      <c r="AT632" s="23" t="s">
        <v>448</v>
      </c>
      <c r="BG632" s="23" t="s">
        <v>531</v>
      </c>
      <c r="BT632" s="23" t="s">
        <v>521</v>
      </c>
      <c r="CG632" s="23" t="s">
        <v>516</v>
      </c>
      <c r="CT632" s="23" t="s">
        <v>468</v>
      </c>
      <c r="DG632" s="23" t="s">
        <v>520</v>
      </c>
      <c r="DT632" s="23" t="s">
        <v>512</v>
      </c>
      <c r="EG632" s="23" t="s">
        <v>516</v>
      </c>
      <c r="ET632" s="23" t="s">
        <v>88</v>
      </c>
      <c r="FG632" s="23" t="s">
        <v>515</v>
      </c>
      <c r="GG632" s="23" t="s">
        <v>491</v>
      </c>
      <c r="HC632" s="23" t="s">
        <v>466</v>
      </c>
    </row>
    <row r="633" spans="6:211" x14ac:dyDescent="0.25">
      <c r="F633" s="23" t="s">
        <v>515</v>
      </c>
      <c r="S633" s="23" t="s">
        <v>516</v>
      </c>
      <c r="AF633" s="23" t="s">
        <v>483</v>
      </c>
      <c r="AT633" s="23" t="s">
        <v>449</v>
      </c>
      <c r="BG633" s="13" t="s">
        <v>532</v>
      </c>
      <c r="BT633" s="23" t="s">
        <v>522</v>
      </c>
      <c r="CG633" s="23" t="s">
        <v>88</v>
      </c>
      <c r="CT633" s="23" t="s">
        <v>469</v>
      </c>
      <c r="DG633" s="23" t="s">
        <v>521</v>
      </c>
      <c r="DT633" s="23" t="s">
        <v>513</v>
      </c>
      <c r="EG633" s="23" t="s">
        <v>88</v>
      </c>
      <c r="ET633" s="23" t="s">
        <v>517</v>
      </c>
      <c r="FG633" s="23" t="s">
        <v>516</v>
      </c>
      <c r="GG633" s="23" t="s">
        <v>492</v>
      </c>
      <c r="HC633" s="23" t="s">
        <v>467</v>
      </c>
    </row>
    <row r="634" spans="6:211" x14ac:dyDescent="0.25">
      <c r="F634" s="23" t="s">
        <v>516</v>
      </c>
      <c r="S634" s="23" t="s">
        <v>88</v>
      </c>
      <c r="AF634" s="23" t="s">
        <v>484</v>
      </c>
      <c r="AT634" s="23" t="s">
        <v>450</v>
      </c>
      <c r="BT634" s="23" t="s">
        <v>517</v>
      </c>
      <c r="CG634" s="23" t="s">
        <v>517</v>
      </c>
      <c r="CT634" s="23" t="s">
        <v>470</v>
      </c>
      <c r="DG634" s="23" t="s">
        <v>522</v>
      </c>
      <c r="DT634" s="23" t="s">
        <v>514</v>
      </c>
      <c r="EG634" s="23" t="s">
        <v>517</v>
      </c>
      <c r="ET634" s="23" t="s">
        <v>518</v>
      </c>
      <c r="FG634" s="23" t="s">
        <v>88</v>
      </c>
      <c r="GG634" s="23" t="s">
        <v>493</v>
      </c>
      <c r="HC634" s="23" t="s">
        <v>468</v>
      </c>
    </row>
    <row r="635" spans="6:211" x14ac:dyDescent="0.25">
      <c r="F635" s="23" t="s">
        <v>88</v>
      </c>
      <c r="S635" s="23" t="s">
        <v>517</v>
      </c>
      <c r="AF635" s="23" t="s">
        <v>485</v>
      </c>
      <c r="AT635" s="23" t="s">
        <v>451</v>
      </c>
      <c r="BT635" s="23" t="s">
        <v>518</v>
      </c>
      <c r="CG635" s="23" t="s">
        <v>518</v>
      </c>
      <c r="CT635" s="23" t="s">
        <v>471</v>
      </c>
      <c r="DG635" s="23" t="s">
        <v>517</v>
      </c>
      <c r="DT635" s="23" t="s">
        <v>515</v>
      </c>
      <c r="EG635" s="23" t="s">
        <v>518</v>
      </c>
      <c r="ET635" s="23" t="s">
        <v>519</v>
      </c>
      <c r="FG635" s="23" t="s">
        <v>517</v>
      </c>
      <c r="GG635" s="23" t="s">
        <v>494</v>
      </c>
      <c r="HC635" s="23" t="s">
        <v>469</v>
      </c>
    </row>
    <row r="636" spans="6:211" x14ac:dyDescent="0.25">
      <c r="F636" s="23" t="s">
        <v>517</v>
      </c>
      <c r="S636" s="23" t="s">
        <v>518</v>
      </c>
      <c r="AF636" s="23" t="s">
        <v>486</v>
      </c>
      <c r="AT636" s="23" t="s">
        <v>452</v>
      </c>
      <c r="BT636" s="23" t="s">
        <v>523</v>
      </c>
      <c r="CG636" s="23" t="s">
        <v>519</v>
      </c>
      <c r="CT636" s="23" t="s">
        <v>472</v>
      </c>
      <c r="DG636" s="23" t="s">
        <v>518</v>
      </c>
      <c r="DT636" s="23" t="s">
        <v>520</v>
      </c>
      <c r="EG636" s="23" t="s">
        <v>519</v>
      </c>
      <c r="ET636" s="23" t="s">
        <v>512</v>
      </c>
      <c r="FG636" s="23" t="s">
        <v>518</v>
      </c>
      <c r="GG636" s="23" t="s">
        <v>495</v>
      </c>
      <c r="HC636" s="23" t="s">
        <v>470</v>
      </c>
    </row>
    <row r="637" spans="6:211" x14ac:dyDescent="0.25">
      <c r="F637" s="23" t="s">
        <v>518</v>
      </c>
      <c r="S637" s="23" t="s">
        <v>519</v>
      </c>
      <c r="AF637" s="23" t="s">
        <v>487</v>
      </c>
      <c r="AT637" s="23" t="s">
        <v>453</v>
      </c>
      <c r="BT637" s="23" t="s">
        <v>524</v>
      </c>
      <c r="CG637" s="23" t="s">
        <v>512</v>
      </c>
      <c r="CT637" s="23" t="s">
        <v>473</v>
      </c>
      <c r="DG637" s="23" t="s">
        <v>523</v>
      </c>
      <c r="DT637" s="23" t="s">
        <v>521</v>
      </c>
      <c r="EG637" s="23" t="s">
        <v>512</v>
      </c>
      <c r="ET637" s="23" t="s">
        <v>513</v>
      </c>
      <c r="FG637" s="23" t="s">
        <v>519</v>
      </c>
      <c r="GG637" s="23" t="s">
        <v>496</v>
      </c>
      <c r="HC637" s="23" t="s">
        <v>471</v>
      </c>
    </row>
    <row r="638" spans="6:211" x14ac:dyDescent="0.25">
      <c r="F638" s="23" t="s">
        <v>519</v>
      </c>
      <c r="S638" s="23" t="s">
        <v>512</v>
      </c>
      <c r="AF638" s="23" t="s">
        <v>488</v>
      </c>
      <c r="AT638" s="23" t="s">
        <v>454</v>
      </c>
      <c r="BT638" s="23" t="s">
        <v>525</v>
      </c>
      <c r="CG638" s="23" t="s">
        <v>513</v>
      </c>
      <c r="CT638" s="23" t="s">
        <v>474</v>
      </c>
      <c r="DG638" s="23" t="s">
        <v>524</v>
      </c>
      <c r="DT638" s="23" t="s">
        <v>522</v>
      </c>
      <c r="EG638" s="23" t="s">
        <v>513</v>
      </c>
      <c r="ET638" s="23" t="s">
        <v>514</v>
      </c>
      <c r="FG638" s="23" t="s">
        <v>512</v>
      </c>
      <c r="GG638" s="23" t="s">
        <v>497</v>
      </c>
      <c r="HC638" s="23" t="s">
        <v>472</v>
      </c>
    </row>
    <row r="639" spans="6:211" x14ac:dyDescent="0.25">
      <c r="F639" s="23" t="s">
        <v>512</v>
      </c>
      <c r="S639" s="23" t="s">
        <v>513</v>
      </c>
      <c r="AF639" s="23" t="s">
        <v>489</v>
      </c>
      <c r="AT639" s="23" t="s">
        <v>455</v>
      </c>
      <c r="BT639" s="23" t="s">
        <v>518</v>
      </c>
      <c r="CG639" s="23" t="s">
        <v>514</v>
      </c>
      <c r="CT639" s="23" t="s">
        <v>475</v>
      </c>
      <c r="DG639" s="23" t="s">
        <v>525</v>
      </c>
      <c r="DT639" s="23" t="s">
        <v>517</v>
      </c>
      <c r="EG639" s="23" t="s">
        <v>514</v>
      </c>
      <c r="ET639" s="23" t="s">
        <v>515</v>
      </c>
      <c r="FG639" s="23" t="s">
        <v>513</v>
      </c>
      <c r="GG639" s="23" t="s">
        <v>498</v>
      </c>
      <c r="HC639" s="23" t="s">
        <v>473</v>
      </c>
    </row>
    <row r="640" spans="6:211" x14ac:dyDescent="0.25">
      <c r="F640" s="23" t="s">
        <v>513</v>
      </c>
      <c r="S640" s="23" t="s">
        <v>514</v>
      </c>
      <c r="AF640" s="23" t="s">
        <v>490</v>
      </c>
      <c r="AT640" s="23" t="s">
        <v>114</v>
      </c>
      <c r="BT640" s="23" t="s">
        <v>526</v>
      </c>
      <c r="CG640" s="23" t="s">
        <v>515</v>
      </c>
      <c r="CT640" s="23" t="s">
        <v>476</v>
      </c>
      <c r="DG640" s="23" t="s">
        <v>518</v>
      </c>
      <c r="DT640" s="23" t="s">
        <v>518</v>
      </c>
      <c r="EG640" s="23" t="s">
        <v>515</v>
      </c>
      <c r="ET640" s="23" t="s">
        <v>520</v>
      </c>
      <c r="FG640" s="23" t="s">
        <v>514</v>
      </c>
      <c r="GG640" s="23" t="s">
        <v>499</v>
      </c>
      <c r="HC640" s="23" t="s">
        <v>474</v>
      </c>
    </row>
    <row r="641" spans="6:211" x14ac:dyDescent="0.25">
      <c r="F641" s="23" t="s">
        <v>514</v>
      </c>
      <c r="S641" s="23" t="s">
        <v>515</v>
      </c>
      <c r="AF641" s="23" t="s">
        <v>491</v>
      </c>
      <c r="AT641" s="23" t="s">
        <v>456</v>
      </c>
      <c r="BT641" s="23" t="s">
        <v>518</v>
      </c>
      <c r="CG641" s="23" t="s">
        <v>520</v>
      </c>
      <c r="CT641" s="23" t="s">
        <v>477</v>
      </c>
      <c r="DG641" s="23" t="s">
        <v>526</v>
      </c>
      <c r="DT641" s="23" t="s">
        <v>523</v>
      </c>
      <c r="EG641" s="23" t="s">
        <v>520</v>
      </c>
      <c r="ET641" s="23" t="s">
        <v>521</v>
      </c>
      <c r="FG641" s="23" t="s">
        <v>515</v>
      </c>
      <c r="GG641" s="23" t="s">
        <v>500</v>
      </c>
      <c r="HC641" s="23" t="s">
        <v>475</v>
      </c>
    </row>
    <row r="642" spans="6:211" x14ac:dyDescent="0.25">
      <c r="F642" s="23" t="s">
        <v>515</v>
      </c>
      <c r="S642" s="23" t="s">
        <v>520</v>
      </c>
      <c r="AF642" s="23" t="s">
        <v>492</v>
      </c>
      <c r="AT642" s="23" t="s">
        <v>457</v>
      </c>
      <c r="BT642" s="41" t="s">
        <v>527</v>
      </c>
      <c r="CG642" s="23" t="s">
        <v>521</v>
      </c>
      <c r="CT642" s="23" t="s">
        <v>478</v>
      </c>
      <c r="DG642" s="23" t="s">
        <v>518</v>
      </c>
      <c r="DT642" s="23" t="s">
        <v>524</v>
      </c>
      <c r="EG642" s="23" t="s">
        <v>521</v>
      </c>
      <c r="ET642" s="23" t="s">
        <v>522</v>
      </c>
      <c r="FG642" s="23" t="s">
        <v>520</v>
      </c>
      <c r="GG642" s="23" t="s">
        <v>501</v>
      </c>
      <c r="HC642" s="23" t="s">
        <v>476</v>
      </c>
    </row>
    <row r="643" spans="6:211" x14ac:dyDescent="0.25">
      <c r="F643" s="23" t="s">
        <v>520</v>
      </c>
      <c r="S643" s="23" t="s">
        <v>521</v>
      </c>
      <c r="AF643" s="23" t="s">
        <v>493</v>
      </c>
      <c r="AT643" s="23" t="s">
        <v>458</v>
      </c>
      <c r="BT643" s="23" t="s">
        <v>528</v>
      </c>
      <c r="CG643" s="23" t="s">
        <v>522</v>
      </c>
      <c r="CT643" s="23" t="s">
        <v>479</v>
      </c>
      <c r="DG643" s="41" t="s">
        <v>527</v>
      </c>
      <c r="DT643" s="23" t="s">
        <v>525</v>
      </c>
      <c r="EG643" s="23" t="s">
        <v>522</v>
      </c>
      <c r="ET643" s="23" t="s">
        <v>517</v>
      </c>
      <c r="FG643" s="23" t="s">
        <v>521</v>
      </c>
      <c r="GG643" s="23" t="s">
        <v>502</v>
      </c>
      <c r="HC643" s="23" t="s">
        <v>477</v>
      </c>
    </row>
    <row r="644" spans="6:211" x14ac:dyDescent="0.25">
      <c r="F644" s="23" t="s">
        <v>521</v>
      </c>
      <c r="S644" s="23" t="s">
        <v>522</v>
      </c>
      <c r="AF644" s="23" t="s">
        <v>494</v>
      </c>
      <c r="AT644" s="23" t="s">
        <v>459</v>
      </c>
      <c r="BT644" s="23" t="s">
        <v>300</v>
      </c>
      <c r="CG644" s="23" t="s">
        <v>517</v>
      </c>
      <c r="CT644" s="23" t="s">
        <v>480</v>
      </c>
      <c r="DG644" s="23" t="s">
        <v>528</v>
      </c>
      <c r="DT644" s="23" t="s">
        <v>518</v>
      </c>
      <c r="EG644" s="23" t="s">
        <v>517</v>
      </c>
      <c r="ET644" s="23" t="s">
        <v>518</v>
      </c>
      <c r="FG644" s="23" t="s">
        <v>522</v>
      </c>
      <c r="GG644" s="23" t="s">
        <v>503</v>
      </c>
      <c r="HC644" s="23" t="s">
        <v>478</v>
      </c>
    </row>
    <row r="645" spans="6:211" x14ac:dyDescent="0.25">
      <c r="F645" s="23" t="s">
        <v>522</v>
      </c>
      <c r="S645" s="23" t="s">
        <v>517</v>
      </c>
      <c r="AF645" s="23" t="s">
        <v>495</v>
      </c>
      <c r="AT645" s="23" t="s">
        <v>460</v>
      </c>
      <c r="BT645" s="23" t="s">
        <v>529</v>
      </c>
      <c r="CG645" s="23" t="s">
        <v>518</v>
      </c>
      <c r="CT645" s="23" t="s">
        <v>481</v>
      </c>
      <c r="DG645" s="23" t="s">
        <v>300</v>
      </c>
      <c r="DT645" s="23" t="s">
        <v>526</v>
      </c>
      <c r="EG645" s="23" t="s">
        <v>518</v>
      </c>
      <c r="ET645" s="23" t="s">
        <v>523</v>
      </c>
      <c r="FG645" s="23" t="s">
        <v>517</v>
      </c>
      <c r="GG645" s="23" t="s">
        <v>504</v>
      </c>
      <c r="HC645" s="23" t="s">
        <v>479</v>
      </c>
    </row>
    <row r="646" spans="6:211" x14ac:dyDescent="0.25">
      <c r="F646" s="23" t="s">
        <v>517</v>
      </c>
      <c r="S646" s="23" t="s">
        <v>518</v>
      </c>
      <c r="AF646" s="23" t="s">
        <v>496</v>
      </c>
      <c r="AT646" s="23" t="s">
        <v>461</v>
      </c>
      <c r="BT646" s="23" t="s">
        <v>530</v>
      </c>
      <c r="CG646" s="23" t="s">
        <v>523</v>
      </c>
      <c r="CT646" s="23" t="s">
        <v>482</v>
      </c>
      <c r="DG646" s="23" t="s">
        <v>529</v>
      </c>
      <c r="DT646" s="23" t="s">
        <v>518</v>
      </c>
      <c r="EG646" s="23" t="s">
        <v>523</v>
      </c>
      <c r="ET646" s="23" t="s">
        <v>524</v>
      </c>
      <c r="FG646" s="23" t="s">
        <v>518</v>
      </c>
      <c r="GG646" s="23" t="s">
        <v>505</v>
      </c>
      <c r="HC646" s="23" t="s">
        <v>480</v>
      </c>
    </row>
    <row r="647" spans="6:211" x14ac:dyDescent="0.25">
      <c r="F647" s="23" t="s">
        <v>518</v>
      </c>
      <c r="S647" s="23" t="s">
        <v>523</v>
      </c>
      <c r="AF647" s="23" t="s">
        <v>497</v>
      </c>
      <c r="AT647" s="23" t="s">
        <v>462</v>
      </c>
      <c r="BT647" s="23" t="s">
        <v>531</v>
      </c>
      <c r="CG647" s="23" t="s">
        <v>524</v>
      </c>
      <c r="CT647" s="23" t="s">
        <v>483</v>
      </c>
      <c r="DG647" s="23" t="s">
        <v>530</v>
      </c>
      <c r="DT647" s="41" t="s">
        <v>527</v>
      </c>
      <c r="EG647" s="23" t="s">
        <v>524</v>
      </c>
      <c r="ET647" s="23" t="s">
        <v>525</v>
      </c>
      <c r="FG647" s="23" t="s">
        <v>523</v>
      </c>
      <c r="GG647" s="23" t="s">
        <v>506</v>
      </c>
      <c r="HC647" s="23" t="s">
        <v>481</v>
      </c>
    </row>
    <row r="648" spans="6:211" x14ac:dyDescent="0.25">
      <c r="F648" s="23" t="s">
        <v>523</v>
      </c>
      <c r="S648" s="23" t="s">
        <v>524</v>
      </c>
      <c r="AF648" s="23" t="s">
        <v>498</v>
      </c>
      <c r="AT648" s="23" t="s">
        <v>463</v>
      </c>
      <c r="BT648" s="13" t="s">
        <v>532</v>
      </c>
      <c r="CG648" s="23" t="s">
        <v>525</v>
      </c>
      <c r="CT648" s="23" t="s">
        <v>484</v>
      </c>
      <c r="DG648" s="23" t="s">
        <v>531</v>
      </c>
      <c r="DT648" s="23" t="s">
        <v>528</v>
      </c>
      <c r="EG648" s="23" t="s">
        <v>525</v>
      </c>
      <c r="ET648" s="23" t="s">
        <v>518</v>
      </c>
      <c r="FG648" s="23" t="s">
        <v>524</v>
      </c>
      <c r="GG648" s="23" t="s">
        <v>507</v>
      </c>
      <c r="HC648" s="23" t="s">
        <v>482</v>
      </c>
    </row>
    <row r="649" spans="6:211" x14ac:dyDescent="0.25">
      <c r="F649" s="23" t="s">
        <v>524</v>
      </c>
      <c r="S649" s="23" t="s">
        <v>525</v>
      </c>
      <c r="AF649" s="23" t="s">
        <v>499</v>
      </c>
      <c r="AT649" s="23" t="s">
        <v>464</v>
      </c>
      <c r="CG649" s="23" t="s">
        <v>518</v>
      </c>
      <c r="CT649" s="23" t="s">
        <v>485</v>
      </c>
      <c r="DG649" s="13" t="s">
        <v>532</v>
      </c>
      <c r="DT649" s="23" t="s">
        <v>300</v>
      </c>
      <c r="EG649" s="23" t="s">
        <v>518</v>
      </c>
      <c r="ET649" s="23" t="s">
        <v>526</v>
      </c>
      <c r="FG649" s="23" t="s">
        <v>525</v>
      </c>
      <c r="GG649" s="23" t="s">
        <v>508</v>
      </c>
      <c r="HC649" s="23" t="s">
        <v>483</v>
      </c>
    </row>
    <row r="650" spans="6:211" x14ac:dyDescent="0.25">
      <c r="F650" s="23" t="s">
        <v>525</v>
      </c>
      <c r="S650" s="23" t="s">
        <v>518</v>
      </c>
      <c r="AF650" s="23" t="s">
        <v>500</v>
      </c>
      <c r="AT650" s="23" t="s">
        <v>465</v>
      </c>
      <c r="CG650" s="23" t="s">
        <v>526</v>
      </c>
      <c r="CT650" s="23" t="s">
        <v>486</v>
      </c>
      <c r="DT650" s="23" t="s">
        <v>529</v>
      </c>
      <c r="EG650" s="23" t="s">
        <v>526</v>
      </c>
      <c r="ET650" s="23" t="s">
        <v>518</v>
      </c>
      <c r="FG650" s="23" t="s">
        <v>518</v>
      </c>
      <c r="GG650" s="23" t="s">
        <v>509</v>
      </c>
      <c r="HC650" s="23" t="s">
        <v>484</v>
      </c>
    </row>
    <row r="651" spans="6:211" x14ac:dyDescent="0.25">
      <c r="F651" s="23" t="s">
        <v>518</v>
      </c>
      <c r="S651" s="23" t="s">
        <v>526</v>
      </c>
      <c r="AF651" s="23" t="s">
        <v>501</v>
      </c>
      <c r="AT651" s="23" t="s">
        <v>466</v>
      </c>
      <c r="CG651" s="23" t="s">
        <v>518</v>
      </c>
      <c r="CT651" s="23" t="s">
        <v>487</v>
      </c>
      <c r="DT651" s="23" t="s">
        <v>530</v>
      </c>
      <c r="EG651" s="23" t="s">
        <v>518</v>
      </c>
      <c r="ET651" s="41" t="s">
        <v>527</v>
      </c>
      <c r="FG651" s="23" t="s">
        <v>526</v>
      </c>
      <c r="GG651" s="23" t="s">
        <v>510</v>
      </c>
      <c r="HC651" s="23" t="s">
        <v>485</v>
      </c>
    </row>
    <row r="652" spans="6:211" x14ac:dyDescent="0.25">
      <c r="F652" s="23" t="s">
        <v>526</v>
      </c>
      <c r="S652" s="23" t="s">
        <v>518</v>
      </c>
      <c r="AF652" s="23" t="s">
        <v>502</v>
      </c>
      <c r="AT652" s="23" t="s">
        <v>467</v>
      </c>
      <c r="CG652" s="41" t="s">
        <v>527</v>
      </c>
      <c r="CT652" s="23" t="s">
        <v>488</v>
      </c>
      <c r="DT652" s="23" t="s">
        <v>531</v>
      </c>
      <c r="EG652" s="41" t="s">
        <v>527</v>
      </c>
      <c r="ET652" s="23" t="s">
        <v>528</v>
      </c>
      <c r="FG652" s="23" t="s">
        <v>518</v>
      </c>
      <c r="GG652" s="23" t="s">
        <v>511</v>
      </c>
      <c r="HC652" s="23" t="s">
        <v>486</v>
      </c>
    </row>
    <row r="653" spans="6:211" x14ac:dyDescent="0.25">
      <c r="F653" s="23" t="s">
        <v>518</v>
      </c>
      <c r="S653" s="41" t="s">
        <v>527</v>
      </c>
      <c r="AF653" s="23" t="s">
        <v>503</v>
      </c>
      <c r="AT653" s="23" t="s">
        <v>468</v>
      </c>
      <c r="CG653" s="23" t="s">
        <v>528</v>
      </c>
      <c r="CT653" s="23" t="s">
        <v>489</v>
      </c>
      <c r="DT653" s="13" t="s">
        <v>532</v>
      </c>
      <c r="EG653" s="23" t="s">
        <v>528</v>
      </c>
      <c r="ET653" s="23" t="s">
        <v>300</v>
      </c>
      <c r="FG653" s="41" t="s">
        <v>527</v>
      </c>
      <c r="GG653" s="23" t="s">
        <v>512</v>
      </c>
      <c r="HC653" s="23" t="s">
        <v>487</v>
      </c>
    </row>
    <row r="654" spans="6:211" x14ac:dyDescent="0.25">
      <c r="F654" s="41" t="s">
        <v>527</v>
      </c>
      <c r="S654" s="23" t="s">
        <v>528</v>
      </c>
      <c r="AF654" s="23" t="s">
        <v>504</v>
      </c>
      <c r="AT654" s="23" t="s">
        <v>469</v>
      </c>
      <c r="CG654" s="23" t="s">
        <v>300</v>
      </c>
      <c r="CT654" s="23" t="s">
        <v>490</v>
      </c>
      <c r="EG654" s="23" t="s">
        <v>300</v>
      </c>
      <c r="ET654" s="23" t="s">
        <v>529</v>
      </c>
      <c r="FG654" s="23" t="s">
        <v>528</v>
      </c>
      <c r="GG654" s="23" t="s">
        <v>513</v>
      </c>
      <c r="HC654" s="23" t="s">
        <v>488</v>
      </c>
    </row>
    <row r="655" spans="6:211" x14ac:dyDescent="0.25">
      <c r="F655" s="23" t="s">
        <v>528</v>
      </c>
      <c r="S655" s="23" t="s">
        <v>300</v>
      </c>
      <c r="AF655" s="23" t="s">
        <v>505</v>
      </c>
      <c r="AT655" s="23" t="s">
        <v>470</v>
      </c>
      <c r="CG655" s="23" t="s">
        <v>529</v>
      </c>
      <c r="CT655" s="23" t="s">
        <v>491</v>
      </c>
      <c r="EG655" s="23" t="s">
        <v>529</v>
      </c>
      <c r="ET655" s="23" t="s">
        <v>530</v>
      </c>
      <c r="FG655" s="23" t="s">
        <v>300</v>
      </c>
      <c r="GG655" s="23" t="s">
        <v>514</v>
      </c>
      <c r="HC655" s="23" t="s">
        <v>489</v>
      </c>
    </row>
    <row r="656" spans="6:211" x14ac:dyDescent="0.25">
      <c r="F656" s="23" t="s">
        <v>300</v>
      </c>
      <c r="S656" s="23" t="s">
        <v>529</v>
      </c>
      <c r="AF656" s="23" t="s">
        <v>506</v>
      </c>
      <c r="AT656" s="23" t="s">
        <v>471</v>
      </c>
      <c r="CG656" s="23" t="s">
        <v>530</v>
      </c>
      <c r="CT656" s="23" t="s">
        <v>492</v>
      </c>
      <c r="EG656" s="23" t="s">
        <v>530</v>
      </c>
      <c r="ET656" s="23" t="s">
        <v>531</v>
      </c>
      <c r="FG656" s="23" t="s">
        <v>529</v>
      </c>
      <c r="GG656" s="23" t="s">
        <v>515</v>
      </c>
      <c r="HC656" s="23" t="s">
        <v>490</v>
      </c>
    </row>
    <row r="657" spans="6:211" x14ac:dyDescent="0.25">
      <c r="F657" s="23" t="s">
        <v>529</v>
      </c>
      <c r="S657" s="23" t="s">
        <v>530</v>
      </c>
      <c r="AF657" s="23" t="s">
        <v>507</v>
      </c>
      <c r="AT657" s="23" t="s">
        <v>472</v>
      </c>
      <c r="CG657" s="23" t="s">
        <v>531</v>
      </c>
      <c r="CT657" s="23" t="s">
        <v>493</v>
      </c>
      <c r="EG657" s="23" t="s">
        <v>531</v>
      </c>
      <c r="ET657" s="13" t="s">
        <v>532</v>
      </c>
      <c r="FG657" s="23" t="s">
        <v>530</v>
      </c>
      <c r="GG657" s="23" t="s">
        <v>516</v>
      </c>
      <c r="HC657" s="23" t="s">
        <v>491</v>
      </c>
    </row>
    <row r="658" spans="6:211" x14ac:dyDescent="0.25">
      <c r="F658" s="23" t="s">
        <v>530</v>
      </c>
      <c r="S658" s="23" t="s">
        <v>531</v>
      </c>
      <c r="AF658" s="23" t="s">
        <v>508</v>
      </c>
      <c r="AT658" s="23" t="s">
        <v>473</v>
      </c>
      <c r="CG658" s="13" t="s">
        <v>532</v>
      </c>
      <c r="CT658" s="23" t="s">
        <v>494</v>
      </c>
      <c r="EG658" s="13" t="s">
        <v>532</v>
      </c>
      <c r="FG658" s="23" t="s">
        <v>531</v>
      </c>
      <c r="GG658" s="23" t="s">
        <v>88</v>
      </c>
      <c r="HC658" s="23" t="s">
        <v>492</v>
      </c>
    </row>
    <row r="659" spans="6:211" x14ac:dyDescent="0.25">
      <c r="F659" s="23" t="s">
        <v>531</v>
      </c>
      <c r="S659" s="13" t="s">
        <v>532</v>
      </c>
      <c r="AF659" s="23" t="s">
        <v>509</v>
      </c>
      <c r="AT659" s="23" t="s">
        <v>474</v>
      </c>
      <c r="CT659" s="23" t="s">
        <v>495</v>
      </c>
      <c r="FG659" s="13" t="s">
        <v>532</v>
      </c>
      <c r="GG659" s="23" t="s">
        <v>517</v>
      </c>
      <c r="HC659" s="23" t="s">
        <v>493</v>
      </c>
    </row>
    <row r="660" spans="6:211" x14ac:dyDescent="0.25">
      <c r="F660" s="13" t="s">
        <v>532</v>
      </c>
      <c r="AF660" s="23" t="s">
        <v>510</v>
      </c>
      <c r="AT660" s="23" t="s">
        <v>475</v>
      </c>
      <c r="CT660" s="23" t="s">
        <v>496</v>
      </c>
      <c r="GG660" s="23" t="s">
        <v>518</v>
      </c>
      <c r="HC660" s="23" t="s">
        <v>494</v>
      </c>
    </row>
    <row r="661" spans="6:211" x14ac:dyDescent="0.25">
      <c r="AF661" s="23" t="s">
        <v>511</v>
      </c>
      <c r="AT661" s="23" t="s">
        <v>476</v>
      </c>
      <c r="CT661" s="23" t="s">
        <v>497</v>
      </c>
      <c r="GG661" s="23" t="s">
        <v>519</v>
      </c>
      <c r="HC661" s="23" t="s">
        <v>495</v>
      </c>
    </row>
    <row r="662" spans="6:211" x14ac:dyDescent="0.25">
      <c r="AF662" s="23" t="s">
        <v>512</v>
      </c>
      <c r="AT662" s="23" t="s">
        <v>477</v>
      </c>
      <c r="CT662" s="23" t="s">
        <v>498</v>
      </c>
      <c r="GG662" s="23" t="s">
        <v>512</v>
      </c>
      <c r="HC662" s="23" t="s">
        <v>496</v>
      </c>
    </row>
    <row r="663" spans="6:211" x14ac:dyDescent="0.25">
      <c r="AF663" s="23" t="s">
        <v>513</v>
      </c>
      <c r="AT663" s="23" t="s">
        <v>478</v>
      </c>
      <c r="CT663" s="23" t="s">
        <v>499</v>
      </c>
      <c r="GG663" s="23" t="s">
        <v>513</v>
      </c>
      <c r="HC663" s="23" t="s">
        <v>497</v>
      </c>
    </row>
    <row r="664" spans="6:211" x14ac:dyDescent="0.25">
      <c r="AF664" s="23" t="s">
        <v>514</v>
      </c>
      <c r="AT664" s="23" t="s">
        <v>479</v>
      </c>
      <c r="CT664" s="23" t="s">
        <v>500</v>
      </c>
      <c r="GG664" s="23" t="s">
        <v>514</v>
      </c>
      <c r="HC664" s="23" t="s">
        <v>498</v>
      </c>
    </row>
    <row r="665" spans="6:211" x14ac:dyDescent="0.25">
      <c r="AF665" s="23" t="s">
        <v>515</v>
      </c>
      <c r="AT665" s="23" t="s">
        <v>480</v>
      </c>
      <c r="CT665" s="23" t="s">
        <v>501</v>
      </c>
      <c r="GG665" s="23" t="s">
        <v>515</v>
      </c>
      <c r="HC665" s="23" t="s">
        <v>499</v>
      </c>
    </row>
    <row r="666" spans="6:211" x14ac:dyDescent="0.25">
      <c r="AF666" s="23" t="s">
        <v>516</v>
      </c>
      <c r="AT666" s="23" t="s">
        <v>481</v>
      </c>
      <c r="CT666" s="23" t="s">
        <v>502</v>
      </c>
      <c r="GG666" s="23" t="s">
        <v>520</v>
      </c>
      <c r="HC666" s="23" t="s">
        <v>500</v>
      </c>
    </row>
    <row r="667" spans="6:211" x14ac:dyDescent="0.25">
      <c r="AF667" s="23" t="s">
        <v>88</v>
      </c>
      <c r="AT667" s="23" t="s">
        <v>482</v>
      </c>
      <c r="CT667" s="23" t="s">
        <v>503</v>
      </c>
      <c r="GG667" s="23" t="s">
        <v>521</v>
      </c>
      <c r="HC667" s="23" t="s">
        <v>501</v>
      </c>
    </row>
    <row r="668" spans="6:211" x14ac:dyDescent="0.25">
      <c r="AF668" s="23" t="s">
        <v>517</v>
      </c>
      <c r="AT668" s="23" t="s">
        <v>483</v>
      </c>
      <c r="CT668" s="23" t="s">
        <v>504</v>
      </c>
      <c r="GG668" s="23" t="s">
        <v>522</v>
      </c>
      <c r="HC668" s="23" t="s">
        <v>502</v>
      </c>
    </row>
    <row r="669" spans="6:211" x14ac:dyDescent="0.25">
      <c r="AF669" s="23" t="s">
        <v>518</v>
      </c>
      <c r="AT669" s="23" t="s">
        <v>484</v>
      </c>
      <c r="CT669" s="23" t="s">
        <v>505</v>
      </c>
      <c r="GG669" s="23" t="s">
        <v>517</v>
      </c>
      <c r="HC669" s="23" t="s">
        <v>503</v>
      </c>
    </row>
    <row r="670" spans="6:211" x14ac:dyDescent="0.25">
      <c r="AF670" s="23" t="s">
        <v>519</v>
      </c>
      <c r="AT670" s="23" t="s">
        <v>485</v>
      </c>
      <c r="CT670" s="23" t="s">
        <v>506</v>
      </c>
      <c r="GG670" s="23" t="s">
        <v>518</v>
      </c>
      <c r="HC670" s="23" t="s">
        <v>504</v>
      </c>
    </row>
    <row r="671" spans="6:211" x14ac:dyDescent="0.25">
      <c r="AF671" s="23" t="s">
        <v>512</v>
      </c>
      <c r="AT671" s="23" t="s">
        <v>486</v>
      </c>
      <c r="CT671" s="23" t="s">
        <v>507</v>
      </c>
      <c r="GG671" s="23" t="s">
        <v>523</v>
      </c>
      <c r="HC671" s="23" t="s">
        <v>505</v>
      </c>
    </row>
    <row r="672" spans="6:211" x14ac:dyDescent="0.25">
      <c r="AF672" s="23" t="s">
        <v>513</v>
      </c>
      <c r="AT672" s="23" t="s">
        <v>487</v>
      </c>
      <c r="CT672" s="23" t="s">
        <v>508</v>
      </c>
      <c r="GG672" s="23" t="s">
        <v>524</v>
      </c>
      <c r="HC672" s="23" t="s">
        <v>506</v>
      </c>
    </row>
    <row r="673" spans="32:211" x14ac:dyDescent="0.25">
      <c r="AF673" s="23" t="s">
        <v>514</v>
      </c>
      <c r="AT673" s="23" t="s">
        <v>488</v>
      </c>
      <c r="CT673" s="23" t="s">
        <v>509</v>
      </c>
      <c r="GG673" s="23" t="s">
        <v>525</v>
      </c>
      <c r="HC673" s="23" t="s">
        <v>507</v>
      </c>
    </row>
    <row r="674" spans="32:211" x14ac:dyDescent="0.25">
      <c r="AF674" s="23" t="s">
        <v>515</v>
      </c>
      <c r="AT674" s="23" t="s">
        <v>489</v>
      </c>
      <c r="CT674" s="23" t="s">
        <v>510</v>
      </c>
      <c r="GG674" s="23" t="s">
        <v>518</v>
      </c>
      <c r="HC674" s="23" t="s">
        <v>508</v>
      </c>
    </row>
    <row r="675" spans="32:211" x14ac:dyDescent="0.25">
      <c r="AF675" s="23" t="s">
        <v>520</v>
      </c>
      <c r="AT675" s="23" t="s">
        <v>490</v>
      </c>
      <c r="CT675" s="23" t="s">
        <v>511</v>
      </c>
      <c r="GG675" s="23" t="s">
        <v>526</v>
      </c>
      <c r="HC675" s="23" t="s">
        <v>509</v>
      </c>
    </row>
    <row r="676" spans="32:211" x14ac:dyDescent="0.25">
      <c r="AF676" s="23" t="s">
        <v>521</v>
      </c>
      <c r="AT676" s="23" t="s">
        <v>491</v>
      </c>
      <c r="CT676" s="23" t="s">
        <v>512</v>
      </c>
      <c r="GG676" s="23" t="s">
        <v>518</v>
      </c>
      <c r="HC676" s="23" t="s">
        <v>2947</v>
      </c>
    </row>
    <row r="677" spans="32:211" x14ac:dyDescent="0.25">
      <c r="AF677" s="23" t="s">
        <v>522</v>
      </c>
      <c r="AT677" s="23" t="s">
        <v>492</v>
      </c>
      <c r="CT677" s="23" t="s">
        <v>513</v>
      </c>
      <c r="GG677" s="41" t="s">
        <v>527</v>
      </c>
      <c r="HC677" s="23" t="s">
        <v>2948</v>
      </c>
    </row>
    <row r="678" spans="32:211" x14ac:dyDescent="0.25">
      <c r="AF678" s="23" t="s">
        <v>517</v>
      </c>
      <c r="AT678" s="23" t="s">
        <v>493</v>
      </c>
      <c r="CT678" s="23" t="s">
        <v>514</v>
      </c>
      <c r="GG678" s="23" t="s">
        <v>528</v>
      </c>
      <c r="HC678" s="23" t="s">
        <v>2949</v>
      </c>
    </row>
    <row r="679" spans="32:211" x14ac:dyDescent="0.25">
      <c r="AF679" s="23" t="s">
        <v>518</v>
      </c>
      <c r="AT679" s="23" t="s">
        <v>494</v>
      </c>
      <c r="CT679" s="23" t="s">
        <v>515</v>
      </c>
      <c r="GG679" s="23" t="s">
        <v>300</v>
      </c>
      <c r="HC679" s="23" t="s">
        <v>2950</v>
      </c>
    </row>
    <row r="680" spans="32:211" x14ac:dyDescent="0.25">
      <c r="AF680" s="23" t="s">
        <v>523</v>
      </c>
      <c r="AT680" s="23" t="s">
        <v>495</v>
      </c>
      <c r="CT680" s="23" t="s">
        <v>516</v>
      </c>
      <c r="GG680" s="23" t="s">
        <v>529</v>
      </c>
      <c r="HC680" s="23" t="s">
        <v>2951</v>
      </c>
    </row>
    <row r="681" spans="32:211" x14ac:dyDescent="0.25">
      <c r="AF681" s="23" t="s">
        <v>524</v>
      </c>
      <c r="AT681" s="23" t="s">
        <v>496</v>
      </c>
      <c r="CT681" s="23" t="s">
        <v>88</v>
      </c>
      <c r="GG681" s="23" t="s">
        <v>530</v>
      </c>
      <c r="HC681" s="23" t="s">
        <v>2952</v>
      </c>
    </row>
    <row r="682" spans="32:211" x14ac:dyDescent="0.25">
      <c r="AF682" s="23" t="s">
        <v>525</v>
      </c>
      <c r="AT682" s="23" t="s">
        <v>497</v>
      </c>
      <c r="CT682" s="23" t="s">
        <v>517</v>
      </c>
      <c r="GG682" s="23" t="s">
        <v>531</v>
      </c>
      <c r="HC682" s="23" t="s">
        <v>2953</v>
      </c>
    </row>
    <row r="683" spans="32:211" x14ac:dyDescent="0.25">
      <c r="AF683" s="23" t="s">
        <v>518</v>
      </c>
      <c r="AT683" s="23" t="s">
        <v>498</v>
      </c>
      <c r="CT683" s="23" t="s">
        <v>518</v>
      </c>
      <c r="GG683" s="13" t="s">
        <v>532</v>
      </c>
      <c r="HC683" s="23" t="s">
        <v>2794</v>
      </c>
    </row>
    <row r="684" spans="32:211" x14ac:dyDescent="0.25">
      <c r="AF684" s="23" t="s">
        <v>526</v>
      </c>
      <c r="AT684" s="23" t="s">
        <v>499</v>
      </c>
      <c r="CT684" s="23" t="s">
        <v>519</v>
      </c>
      <c r="HC684" s="23" t="s">
        <v>2954</v>
      </c>
    </row>
    <row r="685" spans="32:211" x14ac:dyDescent="0.25">
      <c r="AF685" s="23" t="s">
        <v>518</v>
      </c>
      <c r="AT685" s="23" t="s">
        <v>500</v>
      </c>
      <c r="CT685" s="23" t="s">
        <v>512</v>
      </c>
      <c r="HC685" s="23" t="s">
        <v>2955</v>
      </c>
    </row>
    <row r="686" spans="32:211" x14ac:dyDescent="0.25">
      <c r="AF686" s="41" t="s">
        <v>527</v>
      </c>
      <c r="AT686" s="23" t="s">
        <v>501</v>
      </c>
      <c r="CT686" s="23" t="s">
        <v>513</v>
      </c>
      <c r="HC686" s="23" t="s">
        <v>2956</v>
      </c>
    </row>
    <row r="687" spans="32:211" x14ac:dyDescent="0.25">
      <c r="AF687" s="23" t="s">
        <v>528</v>
      </c>
      <c r="AT687" s="23" t="s">
        <v>502</v>
      </c>
      <c r="CT687" s="23" t="s">
        <v>514</v>
      </c>
      <c r="HC687" s="23" t="s">
        <v>2949</v>
      </c>
    </row>
    <row r="688" spans="32:211" x14ac:dyDescent="0.25">
      <c r="AF688" s="23" t="s">
        <v>300</v>
      </c>
      <c r="AT688" s="23" t="s">
        <v>503</v>
      </c>
      <c r="CT688" s="23" t="s">
        <v>515</v>
      </c>
      <c r="HC688" s="23" t="s">
        <v>2950</v>
      </c>
    </row>
    <row r="689" spans="32:211" x14ac:dyDescent="0.25">
      <c r="AF689" s="23" t="s">
        <v>529</v>
      </c>
      <c r="AT689" s="23" t="s">
        <v>504</v>
      </c>
      <c r="CT689" s="23" t="s">
        <v>520</v>
      </c>
      <c r="HC689" s="23" t="s">
        <v>2951</v>
      </c>
    </row>
    <row r="690" spans="32:211" x14ac:dyDescent="0.25">
      <c r="AF690" s="23" t="s">
        <v>530</v>
      </c>
      <c r="AT690" s="23" t="s">
        <v>505</v>
      </c>
      <c r="CT690" s="23" t="s">
        <v>521</v>
      </c>
      <c r="HC690" s="23" t="s">
        <v>2952</v>
      </c>
    </row>
    <row r="691" spans="32:211" x14ac:dyDescent="0.25">
      <c r="AF691" s="23" t="s">
        <v>531</v>
      </c>
      <c r="AT691" s="23" t="s">
        <v>506</v>
      </c>
      <c r="CT691" s="23" t="s">
        <v>522</v>
      </c>
      <c r="HC691" s="23" t="s">
        <v>2957</v>
      </c>
    </row>
    <row r="692" spans="32:211" x14ac:dyDescent="0.25">
      <c r="AF692" s="13" t="s">
        <v>532</v>
      </c>
      <c r="AT692" s="23" t="s">
        <v>507</v>
      </c>
      <c r="CT692" s="23" t="s">
        <v>517</v>
      </c>
      <c r="HC692" s="23" t="s">
        <v>2958</v>
      </c>
    </row>
    <row r="693" spans="32:211" x14ac:dyDescent="0.25">
      <c r="AT693" s="23" t="s">
        <v>508</v>
      </c>
      <c r="CT693" s="23" t="s">
        <v>518</v>
      </c>
      <c r="HC693" s="23" t="s">
        <v>2959</v>
      </c>
    </row>
    <row r="694" spans="32:211" x14ac:dyDescent="0.25">
      <c r="AT694" s="23" t="s">
        <v>509</v>
      </c>
      <c r="CT694" s="23" t="s">
        <v>523</v>
      </c>
      <c r="HC694" s="23" t="s">
        <v>2954</v>
      </c>
    </row>
    <row r="695" spans="32:211" x14ac:dyDescent="0.25">
      <c r="AT695" s="23" t="s">
        <v>510</v>
      </c>
      <c r="CT695" s="23" t="s">
        <v>524</v>
      </c>
      <c r="HC695" s="23" t="s">
        <v>2955</v>
      </c>
    </row>
    <row r="696" spans="32:211" x14ac:dyDescent="0.25">
      <c r="AT696" s="23" t="s">
        <v>511</v>
      </c>
      <c r="CT696" s="23" t="s">
        <v>525</v>
      </c>
      <c r="HC696" s="23" t="s">
        <v>2960</v>
      </c>
    </row>
    <row r="697" spans="32:211" x14ac:dyDescent="0.25">
      <c r="AT697" s="23" t="s">
        <v>512</v>
      </c>
      <c r="CT697" s="23" t="s">
        <v>518</v>
      </c>
      <c r="HC697" s="23" t="s">
        <v>2961</v>
      </c>
    </row>
    <row r="698" spans="32:211" x14ac:dyDescent="0.25">
      <c r="AT698" s="23" t="s">
        <v>513</v>
      </c>
      <c r="CT698" s="23" t="s">
        <v>526</v>
      </c>
      <c r="HC698" s="23" t="s">
        <v>2962</v>
      </c>
    </row>
    <row r="699" spans="32:211" x14ac:dyDescent="0.25">
      <c r="AT699" s="23" t="s">
        <v>514</v>
      </c>
      <c r="CT699" s="23" t="s">
        <v>518</v>
      </c>
      <c r="HC699" s="23" t="s">
        <v>2955</v>
      </c>
    </row>
    <row r="700" spans="32:211" x14ac:dyDescent="0.25">
      <c r="AT700" s="23" t="s">
        <v>515</v>
      </c>
      <c r="CT700" s="41" t="s">
        <v>527</v>
      </c>
      <c r="HC700" s="23" t="s">
        <v>2963</v>
      </c>
    </row>
    <row r="701" spans="32:211" x14ac:dyDescent="0.25">
      <c r="AT701" s="23" t="s">
        <v>516</v>
      </c>
      <c r="CT701" s="23" t="s">
        <v>528</v>
      </c>
      <c r="HC701" s="23" t="s">
        <v>2955</v>
      </c>
    </row>
    <row r="702" spans="32:211" x14ac:dyDescent="0.25">
      <c r="AT702" s="23" t="s">
        <v>88</v>
      </c>
      <c r="CT702" s="23" t="s">
        <v>300</v>
      </c>
      <c r="HC702" s="41" t="s">
        <v>2964</v>
      </c>
    </row>
    <row r="703" spans="32:211" x14ac:dyDescent="0.25">
      <c r="AT703" s="23" t="s">
        <v>517</v>
      </c>
      <c r="CT703" s="23" t="s">
        <v>529</v>
      </c>
      <c r="HC703" s="23" t="s">
        <v>2965</v>
      </c>
    </row>
    <row r="704" spans="32:211" x14ac:dyDescent="0.25">
      <c r="AT704" s="23" t="s">
        <v>518</v>
      </c>
      <c r="CT704" s="23" t="s">
        <v>530</v>
      </c>
      <c r="HC704" s="23" t="s">
        <v>300</v>
      </c>
    </row>
    <row r="705" spans="46:211" x14ac:dyDescent="0.25">
      <c r="AT705" s="23" t="s">
        <v>519</v>
      </c>
      <c r="CT705" s="23" t="s">
        <v>531</v>
      </c>
      <c r="HC705" s="23" t="s">
        <v>529</v>
      </c>
    </row>
    <row r="706" spans="46:211" x14ac:dyDescent="0.25">
      <c r="AT706" s="23" t="s">
        <v>512</v>
      </c>
      <c r="CT706" s="13" t="s">
        <v>532</v>
      </c>
      <c r="HC706" s="23" t="s">
        <v>2966</v>
      </c>
    </row>
    <row r="707" spans="46:211" x14ac:dyDescent="0.25">
      <c r="AT707" s="23" t="s">
        <v>513</v>
      </c>
      <c r="HC707" s="23" t="s">
        <v>2967</v>
      </c>
    </row>
    <row r="708" spans="46:211" x14ac:dyDescent="0.25">
      <c r="AT708" s="23" t="s">
        <v>514</v>
      </c>
      <c r="HC708" s="13" t="s">
        <v>2968</v>
      </c>
    </row>
    <row r="709" spans="46:211" x14ac:dyDescent="0.25">
      <c r="AT709" s="23" t="s">
        <v>515</v>
      </c>
      <c r="HC709" s="13" t="s">
        <v>2969</v>
      </c>
    </row>
    <row r="710" spans="46:211" x14ac:dyDescent="0.25">
      <c r="AT710" s="23" t="s">
        <v>520</v>
      </c>
    </row>
    <row r="711" spans="46:211" x14ac:dyDescent="0.25">
      <c r="AT711" s="23" t="s">
        <v>521</v>
      </c>
      <c r="HC711" s="11"/>
    </row>
    <row r="712" spans="46:211" x14ac:dyDescent="0.25">
      <c r="AT712" s="23" t="s">
        <v>522</v>
      </c>
      <c r="HC712" s="13" t="s">
        <v>2970</v>
      </c>
    </row>
    <row r="713" spans="46:211" x14ac:dyDescent="0.25">
      <c r="AT713" s="23" t="s">
        <v>517</v>
      </c>
      <c r="HC713" s="13" t="s">
        <v>2971</v>
      </c>
    </row>
    <row r="714" spans="46:211" x14ac:dyDescent="0.25">
      <c r="AT714" s="23" t="s">
        <v>518</v>
      </c>
    </row>
    <row r="715" spans="46:211" x14ac:dyDescent="0.25">
      <c r="AT715" s="23" t="s">
        <v>523</v>
      </c>
      <c r="HC715" s="11"/>
    </row>
    <row r="716" spans="46:211" x14ac:dyDescent="0.25">
      <c r="AT716" s="23" t="s">
        <v>524</v>
      </c>
      <c r="HC716" s="13" t="s">
        <v>2972</v>
      </c>
    </row>
    <row r="717" spans="46:211" x14ac:dyDescent="0.25">
      <c r="AT717" s="23" t="s">
        <v>525</v>
      </c>
      <c r="HC717" s="13" t="s">
        <v>2973</v>
      </c>
    </row>
    <row r="718" spans="46:211" x14ac:dyDescent="0.25">
      <c r="AT718" s="23" t="s">
        <v>518</v>
      </c>
    </row>
    <row r="719" spans="46:211" x14ac:dyDescent="0.25">
      <c r="AT719" s="23" t="s">
        <v>526</v>
      </c>
      <c r="HC719" s="11"/>
    </row>
    <row r="720" spans="46:211" x14ac:dyDescent="0.25">
      <c r="AT720" s="23" t="s">
        <v>518</v>
      </c>
      <c r="HC720" s="23" t="s">
        <v>2974</v>
      </c>
    </row>
    <row r="721" spans="46:46" x14ac:dyDescent="0.25">
      <c r="AT721" s="41" t="s">
        <v>527</v>
      </c>
    </row>
    <row r="722" spans="46:46" x14ac:dyDescent="0.25">
      <c r="AT722" s="23" t="s">
        <v>528</v>
      </c>
    </row>
    <row r="723" spans="46:46" x14ac:dyDescent="0.25">
      <c r="AT723" s="23" t="s">
        <v>300</v>
      </c>
    </row>
    <row r="724" spans="46:46" x14ac:dyDescent="0.25">
      <c r="AT724" s="23" t="s">
        <v>529</v>
      </c>
    </row>
    <row r="725" spans="46:46" x14ac:dyDescent="0.25">
      <c r="AT725" s="23" t="s">
        <v>530</v>
      </c>
    </row>
    <row r="726" spans="46:46" x14ac:dyDescent="0.25">
      <c r="AT726" s="23" t="s">
        <v>531</v>
      </c>
    </row>
    <row r="727" spans="46:46" x14ac:dyDescent="0.25">
      <c r="AT727" s="13" t="s">
        <v>532</v>
      </c>
    </row>
  </sheetData>
  <mergeCells count="1916">
    <mergeCell ref="GQ290:GQ291"/>
    <mergeCell ref="GR290:GR291"/>
    <mergeCell ref="GG290:GG291"/>
    <mergeCell ref="GI290:GI291"/>
    <mergeCell ref="GJ290:GJ291"/>
    <mergeCell ref="GK290:GK291"/>
    <mergeCell ref="GL290:GL291"/>
    <mergeCell ref="GM290:GM291"/>
    <mergeCell ref="GN290:GN291"/>
    <mergeCell ref="GO290:GO291"/>
    <mergeCell ref="GP290:GP291"/>
    <mergeCell ref="GQ286:GQ287"/>
    <mergeCell ref="GR286:GR287"/>
    <mergeCell ref="GG288:GG289"/>
    <mergeCell ref="GI288:GI289"/>
    <mergeCell ref="GJ288:GJ289"/>
    <mergeCell ref="GK288:GK289"/>
    <mergeCell ref="GL288:GL289"/>
    <mergeCell ref="GM288:GM289"/>
    <mergeCell ref="GN288:GN289"/>
    <mergeCell ref="GO288:GO289"/>
    <mergeCell ref="GP288:GP289"/>
    <mergeCell ref="GQ288:GQ289"/>
    <mergeCell ref="GR288:GR289"/>
    <mergeCell ref="GG286:GG287"/>
    <mergeCell ref="GI286:GI287"/>
    <mergeCell ref="GJ286:GJ287"/>
    <mergeCell ref="GK286:GK287"/>
    <mergeCell ref="GL286:GL287"/>
    <mergeCell ref="GM286:GM287"/>
    <mergeCell ref="GN286:GN287"/>
    <mergeCell ref="GO286:GO287"/>
    <mergeCell ref="GP286:GP287"/>
    <mergeCell ref="GQ282:GQ283"/>
    <mergeCell ref="GR282:GR283"/>
    <mergeCell ref="GG284:GG285"/>
    <mergeCell ref="GI284:GI285"/>
    <mergeCell ref="GJ284:GJ285"/>
    <mergeCell ref="GK284:GK285"/>
    <mergeCell ref="GL284:GL285"/>
    <mergeCell ref="GM284:GM285"/>
    <mergeCell ref="GN284:GN285"/>
    <mergeCell ref="GO284:GO285"/>
    <mergeCell ref="GP284:GP285"/>
    <mergeCell ref="GQ284:GQ285"/>
    <mergeCell ref="GR284:GR285"/>
    <mergeCell ref="GG282:GG283"/>
    <mergeCell ref="GI282:GI283"/>
    <mergeCell ref="GJ282:GJ283"/>
    <mergeCell ref="GK282:GK283"/>
    <mergeCell ref="GL282:GL283"/>
    <mergeCell ref="GM282:GM283"/>
    <mergeCell ref="GN282:GN283"/>
    <mergeCell ref="GO282:GO283"/>
    <mergeCell ref="GP282:GP283"/>
    <mergeCell ref="GQ278:GQ279"/>
    <mergeCell ref="GR278:GR279"/>
    <mergeCell ref="GG280:GG281"/>
    <mergeCell ref="GI280:GI281"/>
    <mergeCell ref="GJ280:GJ281"/>
    <mergeCell ref="GK280:GK281"/>
    <mergeCell ref="GL280:GL281"/>
    <mergeCell ref="GM280:GM281"/>
    <mergeCell ref="GN280:GN281"/>
    <mergeCell ref="GO280:GO281"/>
    <mergeCell ref="GP280:GP281"/>
    <mergeCell ref="GQ280:GQ281"/>
    <mergeCell ref="GR280:GR281"/>
    <mergeCell ref="GG278:GG279"/>
    <mergeCell ref="GI278:GI279"/>
    <mergeCell ref="GJ278:GJ279"/>
    <mergeCell ref="GK278:GK279"/>
    <mergeCell ref="GL278:GL279"/>
    <mergeCell ref="GM278:GM279"/>
    <mergeCell ref="GN278:GN279"/>
    <mergeCell ref="GO278:GO279"/>
    <mergeCell ref="GP278:GP279"/>
    <mergeCell ref="GQ274:GQ275"/>
    <mergeCell ref="GR274:GR275"/>
    <mergeCell ref="GG276:GG277"/>
    <mergeCell ref="GI276:GI277"/>
    <mergeCell ref="GJ276:GJ277"/>
    <mergeCell ref="GK276:GK277"/>
    <mergeCell ref="GL276:GL277"/>
    <mergeCell ref="GM276:GM277"/>
    <mergeCell ref="GN276:GN277"/>
    <mergeCell ref="GO276:GO277"/>
    <mergeCell ref="GP276:GP277"/>
    <mergeCell ref="GQ276:GQ277"/>
    <mergeCell ref="GR276:GR277"/>
    <mergeCell ref="GG274:GG275"/>
    <mergeCell ref="GI274:GI275"/>
    <mergeCell ref="GJ274:GJ275"/>
    <mergeCell ref="GK274:GK275"/>
    <mergeCell ref="GL274:GL275"/>
    <mergeCell ref="GM274:GM275"/>
    <mergeCell ref="GN274:GN275"/>
    <mergeCell ref="GO274:GO275"/>
    <mergeCell ref="GP274:GP275"/>
    <mergeCell ref="GG271:GR271"/>
    <mergeCell ref="GG272:GG273"/>
    <mergeCell ref="GI272:GI273"/>
    <mergeCell ref="GJ272:GJ273"/>
    <mergeCell ref="GK272:GK273"/>
    <mergeCell ref="GL272:GL273"/>
    <mergeCell ref="GM272:GM273"/>
    <mergeCell ref="GN272:GN273"/>
    <mergeCell ref="GO272:GO273"/>
    <mergeCell ref="GP272:GP273"/>
    <mergeCell ref="GQ272:GQ273"/>
    <mergeCell ref="GR272:GR273"/>
    <mergeCell ref="GD250:GD251"/>
    <mergeCell ref="GE250:GE251"/>
    <mergeCell ref="GH118:GH123"/>
    <mergeCell ref="GH124:GH129"/>
    <mergeCell ref="GH130:GH135"/>
    <mergeCell ref="GH136:GH139"/>
    <mergeCell ref="GH167:GH170"/>
    <mergeCell ref="GG209:GG210"/>
    <mergeCell ref="GG211:GG212"/>
    <mergeCell ref="GD242:GD243"/>
    <mergeCell ref="GE242:GE243"/>
    <mergeCell ref="GD238:GD239"/>
    <mergeCell ref="GE238:GE239"/>
    <mergeCell ref="GD234:GD235"/>
    <mergeCell ref="GE234:GE235"/>
    <mergeCell ref="FT231:GE231"/>
    <mergeCell ref="FT232:FT233"/>
    <mergeCell ref="FV232:FV233"/>
    <mergeCell ref="FW232:FW233"/>
    <mergeCell ref="FX232:FX233"/>
    <mergeCell ref="FT250:FT251"/>
    <mergeCell ref="FV250:FV251"/>
    <mergeCell ref="FW250:FW251"/>
    <mergeCell ref="FX250:FX251"/>
    <mergeCell ref="FY250:FY251"/>
    <mergeCell ref="FZ250:FZ251"/>
    <mergeCell ref="GA250:GA251"/>
    <mergeCell ref="GB250:GB251"/>
    <mergeCell ref="GC250:GC251"/>
    <mergeCell ref="GD246:GD247"/>
    <mergeCell ref="GE246:GE247"/>
    <mergeCell ref="FT248:FT249"/>
    <mergeCell ref="FV248:FV249"/>
    <mergeCell ref="FW248:FW249"/>
    <mergeCell ref="FX248:FX249"/>
    <mergeCell ref="FY248:FY249"/>
    <mergeCell ref="FZ248:FZ249"/>
    <mergeCell ref="GA248:GA249"/>
    <mergeCell ref="GB248:GB249"/>
    <mergeCell ref="GC248:GC249"/>
    <mergeCell ref="GD248:GD249"/>
    <mergeCell ref="GE248:GE249"/>
    <mergeCell ref="FT246:FT247"/>
    <mergeCell ref="FV246:FV247"/>
    <mergeCell ref="FW246:FW247"/>
    <mergeCell ref="FX246:FX247"/>
    <mergeCell ref="FY246:FY247"/>
    <mergeCell ref="FZ246:FZ247"/>
    <mergeCell ref="GA246:GA247"/>
    <mergeCell ref="GB246:GB247"/>
    <mergeCell ref="GC246:GC247"/>
    <mergeCell ref="FT244:FT245"/>
    <mergeCell ref="FV244:FV245"/>
    <mergeCell ref="FW244:FW245"/>
    <mergeCell ref="FX244:FX245"/>
    <mergeCell ref="FY244:FY245"/>
    <mergeCell ref="FZ244:FZ245"/>
    <mergeCell ref="GA244:GA245"/>
    <mergeCell ref="GB244:GB245"/>
    <mergeCell ref="GC244:GC245"/>
    <mergeCell ref="GD244:GD245"/>
    <mergeCell ref="GE244:GE245"/>
    <mergeCell ref="FT242:FT243"/>
    <mergeCell ref="FV242:FV243"/>
    <mergeCell ref="FW242:FW243"/>
    <mergeCell ref="FX242:FX243"/>
    <mergeCell ref="FY242:FY243"/>
    <mergeCell ref="FZ242:FZ243"/>
    <mergeCell ref="GA242:GA243"/>
    <mergeCell ref="GB242:GB243"/>
    <mergeCell ref="GC242:GC243"/>
    <mergeCell ref="GC236:GC237"/>
    <mergeCell ref="GD236:GD237"/>
    <mergeCell ref="GE236:GE237"/>
    <mergeCell ref="FT234:FT235"/>
    <mergeCell ref="FV234:FV235"/>
    <mergeCell ref="FW234:FW235"/>
    <mergeCell ref="FX234:FX235"/>
    <mergeCell ref="FY234:FY235"/>
    <mergeCell ref="FZ234:FZ235"/>
    <mergeCell ref="GA234:GA235"/>
    <mergeCell ref="GB234:GB235"/>
    <mergeCell ref="GC234:GC235"/>
    <mergeCell ref="FT240:FT241"/>
    <mergeCell ref="FV240:FV241"/>
    <mergeCell ref="FW240:FW241"/>
    <mergeCell ref="FX240:FX241"/>
    <mergeCell ref="FY240:FY241"/>
    <mergeCell ref="FZ240:FZ241"/>
    <mergeCell ref="GA240:GA241"/>
    <mergeCell ref="GB240:GB241"/>
    <mergeCell ref="GC240:GC241"/>
    <mergeCell ref="GD240:GD241"/>
    <mergeCell ref="GE240:GE241"/>
    <mergeCell ref="FT238:FT239"/>
    <mergeCell ref="FV238:FV239"/>
    <mergeCell ref="FW238:FW239"/>
    <mergeCell ref="FX238:FX239"/>
    <mergeCell ref="FY238:FY239"/>
    <mergeCell ref="FZ238:FZ239"/>
    <mergeCell ref="GA238:GA239"/>
    <mergeCell ref="GB238:GB239"/>
    <mergeCell ref="GC238:GC239"/>
    <mergeCell ref="FY232:FY233"/>
    <mergeCell ref="FZ232:FZ233"/>
    <mergeCell ref="GA232:GA233"/>
    <mergeCell ref="GB232:GB233"/>
    <mergeCell ref="GC232:GC233"/>
    <mergeCell ref="GD232:GD233"/>
    <mergeCell ref="GE232:GE233"/>
    <mergeCell ref="FU117:FU122"/>
    <mergeCell ref="FU123:FU128"/>
    <mergeCell ref="FU129:FU134"/>
    <mergeCell ref="FU135:FU138"/>
    <mergeCell ref="FU139:FU142"/>
    <mergeCell ref="FU143:FU146"/>
    <mergeCell ref="FU147:FU150"/>
    <mergeCell ref="FT183:FT184"/>
    <mergeCell ref="FT185:FT186"/>
    <mergeCell ref="FQ264:FQ265"/>
    <mergeCell ref="FR264:FR265"/>
    <mergeCell ref="FQ260:FQ261"/>
    <mergeCell ref="FR260:FR261"/>
    <mergeCell ref="FQ256:FQ257"/>
    <mergeCell ref="FR256:FR257"/>
    <mergeCell ref="FQ252:FQ253"/>
    <mergeCell ref="FR252:FR253"/>
    <mergeCell ref="FT236:FT237"/>
    <mergeCell ref="FV236:FV237"/>
    <mergeCell ref="FW236:FW237"/>
    <mergeCell ref="FX236:FX237"/>
    <mergeCell ref="FY236:FY237"/>
    <mergeCell ref="FZ236:FZ237"/>
    <mergeCell ref="GA236:GA237"/>
    <mergeCell ref="GB236:GB237"/>
    <mergeCell ref="FG266:FG267"/>
    <mergeCell ref="FI266:FI267"/>
    <mergeCell ref="FJ266:FJ267"/>
    <mergeCell ref="FK266:FK267"/>
    <mergeCell ref="FL266:FL267"/>
    <mergeCell ref="FM266:FM267"/>
    <mergeCell ref="FN266:FN267"/>
    <mergeCell ref="FO266:FO267"/>
    <mergeCell ref="FP266:FP267"/>
    <mergeCell ref="FQ266:FQ267"/>
    <mergeCell ref="FR266:FR267"/>
    <mergeCell ref="FG264:FG265"/>
    <mergeCell ref="FI264:FI265"/>
    <mergeCell ref="FJ264:FJ265"/>
    <mergeCell ref="FK264:FK265"/>
    <mergeCell ref="FL264:FL265"/>
    <mergeCell ref="FM264:FM265"/>
    <mergeCell ref="FN264:FN265"/>
    <mergeCell ref="FO264:FO265"/>
    <mergeCell ref="FP264:FP265"/>
    <mergeCell ref="FG262:FG263"/>
    <mergeCell ref="FI262:FI263"/>
    <mergeCell ref="FJ262:FJ263"/>
    <mergeCell ref="FK262:FK263"/>
    <mergeCell ref="FL262:FL263"/>
    <mergeCell ref="FM262:FM263"/>
    <mergeCell ref="FN262:FN263"/>
    <mergeCell ref="FO262:FO263"/>
    <mergeCell ref="FP262:FP263"/>
    <mergeCell ref="FQ262:FQ263"/>
    <mergeCell ref="FR262:FR263"/>
    <mergeCell ref="FG260:FG261"/>
    <mergeCell ref="FI260:FI261"/>
    <mergeCell ref="FJ260:FJ261"/>
    <mergeCell ref="FK260:FK261"/>
    <mergeCell ref="FL260:FL261"/>
    <mergeCell ref="FM260:FM261"/>
    <mergeCell ref="FN260:FN261"/>
    <mergeCell ref="FO260:FO261"/>
    <mergeCell ref="FP260:FP261"/>
    <mergeCell ref="FG258:FG259"/>
    <mergeCell ref="FI258:FI259"/>
    <mergeCell ref="FJ258:FJ259"/>
    <mergeCell ref="FK258:FK259"/>
    <mergeCell ref="FL258:FL259"/>
    <mergeCell ref="FM258:FM259"/>
    <mergeCell ref="FN258:FN259"/>
    <mergeCell ref="FO258:FO259"/>
    <mergeCell ref="FP258:FP259"/>
    <mergeCell ref="FQ258:FQ259"/>
    <mergeCell ref="FR258:FR259"/>
    <mergeCell ref="FG256:FG257"/>
    <mergeCell ref="FI256:FI257"/>
    <mergeCell ref="FJ256:FJ257"/>
    <mergeCell ref="FK256:FK257"/>
    <mergeCell ref="FL256:FL257"/>
    <mergeCell ref="FM256:FM257"/>
    <mergeCell ref="FN256:FN257"/>
    <mergeCell ref="FO256:FO257"/>
    <mergeCell ref="FP256:FP257"/>
    <mergeCell ref="FG254:FG255"/>
    <mergeCell ref="FI254:FI255"/>
    <mergeCell ref="FJ254:FJ255"/>
    <mergeCell ref="FK254:FK255"/>
    <mergeCell ref="FL254:FL255"/>
    <mergeCell ref="FM254:FM255"/>
    <mergeCell ref="FN254:FN255"/>
    <mergeCell ref="FO254:FO255"/>
    <mergeCell ref="FP254:FP255"/>
    <mergeCell ref="FQ254:FQ255"/>
    <mergeCell ref="FR254:FR255"/>
    <mergeCell ref="FG252:FG253"/>
    <mergeCell ref="FI252:FI253"/>
    <mergeCell ref="FJ252:FJ253"/>
    <mergeCell ref="FK252:FK253"/>
    <mergeCell ref="FL252:FL253"/>
    <mergeCell ref="FM252:FM253"/>
    <mergeCell ref="FN252:FN253"/>
    <mergeCell ref="FO252:FO253"/>
    <mergeCell ref="FP252:FP253"/>
    <mergeCell ref="FJ250:FJ251"/>
    <mergeCell ref="FK250:FK251"/>
    <mergeCell ref="FL250:FL251"/>
    <mergeCell ref="FM250:FM251"/>
    <mergeCell ref="FN250:FN251"/>
    <mergeCell ref="FO250:FO251"/>
    <mergeCell ref="FP250:FP251"/>
    <mergeCell ref="FQ250:FQ251"/>
    <mergeCell ref="FR250:FR251"/>
    <mergeCell ref="FD272:FD273"/>
    <mergeCell ref="FE272:FE273"/>
    <mergeCell ref="FH118:FH123"/>
    <mergeCell ref="FH124:FH129"/>
    <mergeCell ref="FH130:FH135"/>
    <mergeCell ref="FH136:FH139"/>
    <mergeCell ref="FH144:FH147"/>
    <mergeCell ref="FH148:FH151"/>
    <mergeCell ref="FG189:FG190"/>
    <mergeCell ref="FG191:FG192"/>
    <mergeCell ref="FG247:FR247"/>
    <mergeCell ref="FG248:FG249"/>
    <mergeCell ref="FI248:FI249"/>
    <mergeCell ref="FJ248:FJ249"/>
    <mergeCell ref="FK248:FK249"/>
    <mergeCell ref="FL248:FL249"/>
    <mergeCell ref="FM248:FM249"/>
    <mergeCell ref="FN248:FN249"/>
    <mergeCell ref="FO248:FO249"/>
    <mergeCell ref="FP248:FP249"/>
    <mergeCell ref="FQ248:FQ249"/>
    <mergeCell ref="FR248:FR249"/>
    <mergeCell ref="FG250:FG251"/>
    <mergeCell ref="FI250:FI251"/>
    <mergeCell ref="ET272:ET273"/>
    <mergeCell ref="EV272:EV273"/>
    <mergeCell ref="EW272:EW273"/>
    <mergeCell ref="EX272:EX273"/>
    <mergeCell ref="EY272:EY273"/>
    <mergeCell ref="EZ272:EZ273"/>
    <mergeCell ref="FA272:FA273"/>
    <mergeCell ref="FB272:FB273"/>
    <mergeCell ref="FC272:FC273"/>
    <mergeCell ref="FD268:FD269"/>
    <mergeCell ref="FE268:FE269"/>
    <mergeCell ref="ET270:ET271"/>
    <mergeCell ref="EV270:EV271"/>
    <mergeCell ref="EW270:EW271"/>
    <mergeCell ref="EX270:EX271"/>
    <mergeCell ref="EY270:EY271"/>
    <mergeCell ref="EZ270:EZ271"/>
    <mergeCell ref="FA270:FA271"/>
    <mergeCell ref="FB270:FB271"/>
    <mergeCell ref="FC270:FC271"/>
    <mergeCell ref="FD270:FD271"/>
    <mergeCell ref="FE270:FE271"/>
    <mergeCell ref="ET268:ET269"/>
    <mergeCell ref="EV268:EV269"/>
    <mergeCell ref="EW268:EW269"/>
    <mergeCell ref="EX268:EX269"/>
    <mergeCell ref="EY268:EY269"/>
    <mergeCell ref="EZ268:EZ269"/>
    <mergeCell ref="FA268:FA269"/>
    <mergeCell ref="FB268:FB269"/>
    <mergeCell ref="FC268:FC269"/>
    <mergeCell ref="FD264:FD265"/>
    <mergeCell ref="FE264:FE265"/>
    <mergeCell ref="ET266:ET267"/>
    <mergeCell ref="EV266:EV267"/>
    <mergeCell ref="EW266:EW267"/>
    <mergeCell ref="EX266:EX267"/>
    <mergeCell ref="EY266:EY267"/>
    <mergeCell ref="EZ266:EZ267"/>
    <mergeCell ref="FA266:FA267"/>
    <mergeCell ref="FB266:FB267"/>
    <mergeCell ref="FC266:FC267"/>
    <mergeCell ref="FD266:FD267"/>
    <mergeCell ref="FE266:FE267"/>
    <mergeCell ref="ET264:ET265"/>
    <mergeCell ref="EV264:EV265"/>
    <mergeCell ref="EW264:EW265"/>
    <mergeCell ref="EX264:EX265"/>
    <mergeCell ref="EY264:EY265"/>
    <mergeCell ref="EZ264:EZ265"/>
    <mergeCell ref="FA264:FA265"/>
    <mergeCell ref="FB264:FB265"/>
    <mergeCell ref="FC264:FC265"/>
    <mergeCell ref="FD260:FD261"/>
    <mergeCell ref="FE260:FE261"/>
    <mergeCell ref="ET262:ET263"/>
    <mergeCell ref="EV262:EV263"/>
    <mergeCell ref="EW262:EW263"/>
    <mergeCell ref="EX262:EX263"/>
    <mergeCell ref="EY262:EY263"/>
    <mergeCell ref="EZ262:EZ263"/>
    <mergeCell ref="FA262:FA263"/>
    <mergeCell ref="FB262:FB263"/>
    <mergeCell ref="FC262:FC263"/>
    <mergeCell ref="FD262:FD263"/>
    <mergeCell ref="FE262:FE263"/>
    <mergeCell ref="ET260:ET261"/>
    <mergeCell ref="EV260:EV261"/>
    <mergeCell ref="EW260:EW261"/>
    <mergeCell ref="EX260:EX261"/>
    <mergeCell ref="EY260:EY261"/>
    <mergeCell ref="EZ260:EZ261"/>
    <mergeCell ref="FA260:FA261"/>
    <mergeCell ref="FB260:FB261"/>
    <mergeCell ref="FC260:FC261"/>
    <mergeCell ref="FD256:FD257"/>
    <mergeCell ref="FE256:FE257"/>
    <mergeCell ref="ET258:ET259"/>
    <mergeCell ref="EV258:EV259"/>
    <mergeCell ref="EW258:EW259"/>
    <mergeCell ref="EX258:EX259"/>
    <mergeCell ref="EY258:EY259"/>
    <mergeCell ref="EZ258:EZ259"/>
    <mergeCell ref="FA258:FA259"/>
    <mergeCell ref="FB258:FB259"/>
    <mergeCell ref="FC258:FC259"/>
    <mergeCell ref="FD258:FD259"/>
    <mergeCell ref="FE258:FE259"/>
    <mergeCell ref="ET256:ET257"/>
    <mergeCell ref="EV256:EV257"/>
    <mergeCell ref="EW256:EW257"/>
    <mergeCell ref="EX256:EX257"/>
    <mergeCell ref="EY256:EY257"/>
    <mergeCell ref="EZ256:EZ257"/>
    <mergeCell ref="FA256:FA257"/>
    <mergeCell ref="FB256:FB257"/>
    <mergeCell ref="FC256:FC257"/>
    <mergeCell ref="ET205:ET206"/>
    <mergeCell ref="ET207:ET208"/>
    <mergeCell ref="ET253:FE253"/>
    <mergeCell ref="ET254:ET255"/>
    <mergeCell ref="EV254:EV255"/>
    <mergeCell ref="EW254:EW255"/>
    <mergeCell ref="EX254:EX255"/>
    <mergeCell ref="EY254:EY255"/>
    <mergeCell ref="EZ254:EZ255"/>
    <mergeCell ref="FA254:FA255"/>
    <mergeCell ref="FB254:FB255"/>
    <mergeCell ref="FC254:FC255"/>
    <mergeCell ref="FD254:FD255"/>
    <mergeCell ref="FE254:FE255"/>
    <mergeCell ref="EU118:EU123"/>
    <mergeCell ref="EU124:EU129"/>
    <mergeCell ref="EU130:EU133"/>
    <mergeCell ref="EU134:EU139"/>
    <mergeCell ref="EU140:EU143"/>
    <mergeCell ref="EU144:EU147"/>
    <mergeCell ref="EU148:EU151"/>
    <mergeCell ref="EU156:EU159"/>
    <mergeCell ref="EU160:EU163"/>
    <mergeCell ref="EQ275:EQ276"/>
    <mergeCell ref="ER275:ER276"/>
    <mergeCell ref="EG277:EG278"/>
    <mergeCell ref="EI277:EI278"/>
    <mergeCell ref="EJ277:EJ278"/>
    <mergeCell ref="EK277:EK278"/>
    <mergeCell ref="EL277:EL278"/>
    <mergeCell ref="EM277:EM278"/>
    <mergeCell ref="EN277:EN278"/>
    <mergeCell ref="EO277:EO278"/>
    <mergeCell ref="EP277:EP278"/>
    <mergeCell ref="EQ277:EQ278"/>
    <mergeCell ref="ER277:ER278"/>
    <mergeCell ref="EG275:EG276"/>
    <mergeCell ref="EI275:EI276"/>
    <mergeCell ref="EJ275:EJ276"/>
    <mergeCell ref="EK275:EK276"/>
    <mergeCell ref="EL275:EL276"/>
    <mergeCell ref="EM275:EM276"/>
    <mergeCell ref="EN275:EN276"/>
    <mergeCell ref="EO275:EO276"/>
    <mergeCell ref="EP275:EP276"/>
    <mergeCell ref="EQ271:EQ272"/>
    <mergeCell ref="ER271:ER272"/>
    <mergeCell ref="EG273:EG274"/>
    <mergeCell ref="EI273:EI274"/>
    <mergeCell ref="EJ273:EJ274"/>
    <mergeCell ref="EK273:EK274"/>
    <mergeCell ref="EL273:EL274"/>
    <mergeCell ref="EM273:EM274"/>
    <mergeCell ref="EN273:EN274"/>
    <mergeCell ref="EO273:EO274"/>
    <mergeCell ref="EP273:EP274"/>
    <mergeCell ref="EQ273:EQ274"/>
    <mergeCell ref="ER273:ER274"/>
    <mergeCell ref="EG271:EG272"/>
    <mergeCell ref="EI271:EI272"/>
    <mergeCell ref="EJ271:EJ272"/>
    <mergeCell ref="EK271:EK272"/>
    <mergeCell ref="EL271:EL272"/>
    <mergeCell ref="EM271:EM272"/>
    <mergeCell ref="EN271:EN272"/>
    <mergeCell ref="EO271:EO272"/>
    <mergeCell ref="EP271:EP272"/>
    <mergeCell ref="EQ267:EQ268"/>
    <mergeCell ref="ER267:ER268"/>
    <mergeCell ref="EG269:EG270"/>
    <mergeCell ref="EI269:EI270"/>
    <mergeCell ref="EJ269:EJ270"/>
    <mergeCell ref="EK269:EK270"/>
    <mergeCell ref="EL269:EL270"/>
    <mergeCell ref="EM269:EM270"/>
    <mergeCell ref="EN269:EN270"/>
    <mergeCell ref="EO269:EO270"/>
    <mergeCell ref="EP269:EP270"/>
    <mergeCell ref="EQ269:EQ270"/>
    <mergeCell ref="ER269:ER270"/>
    <mergeCell ref="EG267:EG268"/>
    <mergeCell ref="EI267:EI268"/>
    <mergeCell ref="EJ267:EJ268"/>
    <mergeCell ref="EK267:EK268"/>
    <mergeCell ref="EL267:EL268"/>
    <mergeCell ref="EM267:EM268"/>
    <mergeCell ref="EN267:EN268"/>
    <mergeCell ref="EO267:EO268"/>
    <mergeCell ref="EP267:EP268"/>
    <mergeCell ref="EQ263:EQ264"/>
    <mergeCell ref="ER263:ER264"/>
    <mergeCell ref="EG265:EG266"/>
    <mergeCell ref="EI265:EI266"/>
    <mergeCell ref="EJ265:EJ266"/>
    <mergeCell ref="EK265:EK266"/>
    <mergeCell ref="EL265:EL266"/>
    <mergeCell ref="EM265:EM266"/>
    <mergeCell ref="EN265:EN266"/>
    <mergeCell ref="EO265:EO266"/>
    <mergeCell ref="EP265:EP266"/>
    <mergeCell ref="EQ265:EQ266"/>
    <mergeCell ref="ER265:ER266"/>
    <mergeCell ref="EG263:EG264"/>
    <mergeCell ref="EI263:EI264"/>
    <mergeCell ref="EJ263:EJ264"/>
    <mergeCell ref="EK263:EK264"/>
    <mergeCell ref="EL263:EL264"/>
    <mergeCell ref="EM263:EM264"/>
    <mergeCell ref="EN263:EN264"/>
    <mergeCell ref="EO263:EO264"/>
    <mergeCell ref="EP263:EP264"/>
    <mergeCell ref="EJ261:EJ262"/>
    <mergeCell ref="EK261:EK262"/>
    <mergeCell ref="EL261:EL262"/>
    <mergeCell ref="EM261:EM262"/>
    <mergeCell ref="EN261:EN262"/>
    <mergeCell ref="EO261:EO262"/>
    <mergeCell ref="EP261:EP262"/>
    <mergeCell ref="EQ261:EQ262"/>
    <mergeCell ref="ER261:ER262"/>
    <mergeCell ref="ED260:ED261"/>
    <mergeCell ref="EE260:EE261"/>
    <mergeCell ref="EH118:EH123"/>
    <mergeCell ref="EH124:EH129"/>
    <mergeCell ref="EH130:EH135"/>
    <mergeCell ref="EH136:EH139"/>
    <mergeCell ref="EH147:EH150"/>
    <mergeCell ref="EH151:EH154"/>
    <mergeCell ref="EG204:EG205"/>
    <mergeCell ref="EG206:EG207"/>
    <mergeCell ref="EG258:ER258"/>
    <mergeCell ref="EG259:EG260"/>
    <mergeCell ref="EI259:EI260"/>
    <mergeCell ref="EJ259:EJ260"/>
    <mergeCell ref="EK259:EK260"/>
    <mergeCell ref="EL259:EL260"/>
    <mergeCell ref="EM259:EM260"/>
    <mergeCell ref="EN259:EN260"/>
    <mergeCell ref="EO259:EO260"/>
    <mergeCell ref="EP259:EP260"/>
    <mergeCell ref="EQ259:EQ260"/>
    <mergeCell ref="ER259:ER260"/>
    <mergeCell ref="EG261:EG262"/>
    <mergeCell ref="EI261:EI262"/>
    <mergeCell ref="DT260:DT261"/>
    <mergeCell ref="DV260:DV261"/>
    <mergeCell ref="DW260:DW261"/>
    <mergeCell ref="DX260:DX261"/>
    <mergeCell ref="DY260:DY261"/>
    <mergeCell ref="DZ260:DZ261"/>
    <mergeCell ref="EA260:EA261"/>
    <mergeCell ref="EB260:EB261"/>
    <mergeCell ref="EC260:EC261"/>
    <mergeCell ref="ED256:ED257"/>
    <mergeCell ref="EE256:EE257"/>
    <mergeCell ref="DT258:DT259"/>
    <mergeCell ref="DV258:DV259"/>
    <mergeCell ref="DW258:DW259"/>
    <mergeCell ref="DX258:DX259"/>
    <mergeCell ref="DY258:DY259"/>
    <mergeCell ref="DZ258:DZ259"/>
    <mergeCell ref="EA258:EA259"/>
    <mergeCell ref="EB258:EB259"/>
    <mergeCell ref="EC258:EC259"/>
    <mergeCell ref="ED258:ED259"/>
    <mergeCell ref="EE258:EE259"/>
    <mergeCell ref="DT256:DT257"/>
    <mergeCell ref="DV256:DV257"/>
    <mergeCell ref="DW256:DW257"/>
    <mergeCell ref="DX256:DX257"/>
    <mergeCell ref="DY256:DY257"/>
    <mergeCell ref="DZ256:DZ257"/>
    <mergeCell ref="EA256:EA257"/>
    <mergeCell ref="EB256:EB257"/>
    <mergeCell ref="EC256:EC257"/>
    <mergeCell ref="ED252:ED253"/>
    <mergeCell ref="EE252:EE253"/>
    <mergeCell ref="DT254:DT255"/>
    <mergeCell ref="DV254:DV255"/>
    <mergeCell ref="DW254:DW255"/>
    <mergeCell ref="DX254:DX255"/>
    <mergeCell ref="DY254:DY255"/>
    <mergeCell ref="DZ254:DZ255"/>
    <mergeCell ref="EA254:EA255"/>
    <mergeCell ref="EB254:EB255"/>
    <mergeCell ref="EC254:EC255"/>
    <mergeCell ref="ED254:ED255"/>
    <mergeCell ref="EE254:EE255"/>
    <mergeCell ref="DT252:DT253"/>
    <mergeCell ref="DV252:DV253"/>
    <mergeCell ref="DW252:DW253"/>
    <mergeCell ref="DX252:DX253"/>
    <mergeCell ref="DY252:DY253"/>
    <mergeCell ref="DZ252:DZ253"/>
    <mergeCell ref="EA252:EA253"/>
    <mergeCell ref="EB252:EB253"/>
    <mergeCell ref="EC252:EC253"/>
    <mergeCell ref="ED248:ED249"/>
    <mergeCell ref="EE248:EE249"/>
    <mergeCell ref="DT250:DT251"/>
    <mergeCell ref="DV250:DV251"/>
    <mergeCell ref="DW250:DW251"/>
    <mergeCell ref="DX250:DX251"/>
    <mergeCell ref="DY250:DY251"/>
    <mergeCell ref="DZ250:DZ251"/>
    <mergeCell ref="EA250:EA251"/>
    <mergeCell ref="EB250:EB251"/>
    <mergeCell ref="EC250:EC251"/>
    <mergeCell ref="ED250:ED251"/>
    <mergeCell ref="EE250:EE251"/>
    <mergeCell ref="DT248:DT249"/>
    <mergeCell ref="DV248:DV249"/>
    <mergeCell ref="DW248:DW249"/>
    <mergeCell ref="DX248:DX249"/>
    <mergeCell ref="DY248:DY249"/>
    <mergeCell ref="DZ248:DZ249"/>
    <mergeCell ref="EA248:EA249"/>
    <mergeCell ref="EB248:EB249"/>
    <mergeCell ref="EC248:EC249"/>
    <mergeCell ref="ED244:ED245"/>
    <mergeCell ref="EE244:EE245"/>
    <mergeCell ref="DT246:DT247"/>
    <mergeCell ref="DV246:DV247"/>
    <mergeCell ref="DW246:DW247"/>
    <mergeCell ref="DX246:DX247"/>
    <mergeCell ref="DY246:DY247"/>
    <mergeCell ref="DZ246:DZ247"/>
    <mergeCell ref="EA246:EA247"/>
    <mergeCell ref="EB246:EB247"/>
    <mergeCell ref="EC246:EC247"/>
    <mergeCell ref="ED246:ED247"/>
    <mergeCell ref="EE246:EE247"/>
    <mergeCell ref="DT244:DT245"/>
    <mergeCell ref="DV244:DV245"/>
    <mergeCell ref="DW244:DW245"/>
    <mergeCell ref="DX244:DX245"/>
    <mergeCell ref="DY244:DY245"/>
    <mergeCell ref="DZ244:DZ245"/>
    <mergeCell ref="EA244:EA245"/>
    <mergeCell ref="EB244:EB245"/>
    <mergeCell ref="EC244:EC245"/>
    <mergeCell ref="DT241:EE241"/>
    <mergeCell ref="DT242:DT243"/>
    <mergeCell ref="DV242:DV243"/>
    <mergeCell ref="DW242:DW243"/>
    <mergeCell ref="DX242:DX243"/>
    <mergeCell ref="DY242:DY243"/>
    <mergeCell ref="DZ242:DZ243"/>
    <mergeCell ref="EA242:EA243"/>
    <mergeCell ref="EB242:EB243"/>
    <mergeCell ref="EC242:EC243"/>
    <mergeCell ref="ED242:ED243"/>
    <mergeCell ref="EE242:EE243"/>
    <mergeCell ref="DU117:DU122"/>
    <mergeCell ref="DU123:DU128"/>
    <mergeCell ref="DU129:DU134"/>
    <mergeCell ref="DU135:DU138"/>
    <mergeCell ref="DU139:DU142"/>
    <mergeCell ref="DU143:DU146"/>
    <mergeCell ref="DU147:DU150"/>
    <mergeCell ref="DT193:DT194"/>
    <mergeCell ref="DT195:DT196"/>
    <mergeCell ref="DQ254:DQ255"/>
    <mergeCell ref="DR254:DR255"/>
    <mergeCell ref="DG256:DG257"/>
    <mergeCell ref="DI256:DI257"/>
    <mergeCell ref="DJ256:DJ257"/>
    <mergeCell ref="DK256:DK257"/>
    <mergeCell ref="DL256:DL257"/>
    <mergeCell ref="DM256:DM257"/>
    <mergeCell ref="DN256:DN257"/>
    <mergeCell ref="DO256:DO257"/>
    <mergeCell ref="DP256:DP257"/>
    <mergeCell ref="DQ256:DQ257"/>
    <mergeCell ref="DR256:DR257"/>
    <mergeCell ref="DG254:DG255"/>
    <mergeCell ref="DI254:DI255"/>
    <mergeCell ref="DJ254:DJ255"/>
    <mergeCell ref="DK254:DK255"/>
    <mergeCell ref="DL254:DL255"/>
    <mergeCell ref="DM254:DM255"/>
    <mergeCell ref="DN254:DN255"/>
    <mergeCell ref="DO254:DO255"/>
    <mergeCell ref="DP254:DP255"/>
    <mergeCell ref="DQ250:DQ251"/>
    <mergeCell ref="DR250:DR251"/>
    <mergeCell ref="DG252:DG253"/>
    <mergeCell ref="DI252:DI253"/>
    <mergeCell ref="DJ252:DJ253"/>
    <mergeCell ref="DK252:DK253"/>
    <mergeCell ref="DL252:DL253"/>
    <mergeCell ref="DM252:DM253"/>
    <mergeCell ref="DN252:DN253"/>
    <mergeCell ref="DO252:DO253"/>
    <mergeCell ref="DP252:DP253"/>
    <mergeCell ref="DQ252:DQ253"/>
    <mergeCell ref="DR252:DR253"/>
    <mergeCell ref="DG250:DG251"/>
    <mergeCell ref="DI250:DI251"/>
    <mergeCell ref="DJ250:DJ251"/>
    <mergeCell ref="DK250:DK251"/>
    <mergeCell ref="DL250:DL251"/>
    <mergeCell ref="DM250:DM251"/>
    <mergeCell ref="DN250:DN251"/>
    <mergeCell ref="DO250:DO251"/>
    <mergeCell ref="DP250:DP251"/>
    <mergeCell ref="DQ246:DQ247"/>
    <mergeCell ref="DR246:DR247"/>
    <mergeCell ref="DG248:DG249"/>
    <mergeCell ref="DI248:DI249"/>
    <mergeCell ref="DJ248:DJ249"/>
    <mergeCell ref="DK248:DK249"/>
    <mergeCell ref="DL248:DL249"/>
    <mergeCell ref="DM248:DM249"/>
    <mergeCell ref="DN248:DN249"/>
    <mergeCell ref="DO248:DO249"/>
    <mergeCell ref="DP248:DP249"/>
    <mergeCell ref="DQ248:DQ249"/>
    <mergeCell ref="DR248:DR249"/>
    <mergeCell ref="DG246:DG247"/>
    <mergeCell ref="DI246:DI247"/>
    <mergeCell ref="DJ246:DJ247"/>
    <mergeCell ref="DK246:DK247"/>
    <mergeCell ref="DL246:DL247"/>
    <mergeCell ref="DM246:DM247"/>
    <mergeCell ref="DN246:DN247"/>
    <mergeCell ref="DO246:DO247"/>
    <mergeCell ref="DP246:DP247"/>
    <mergeCell ref="DQ242:DQ243"/>
    <mergeCell ref="DR242:DR243"/>
    <mergeCell ref="DG244:DG245"/>
    <mergeCell ref="DI244:DI245"/>
    <mergeCell ref="DJ244:DJ245"/>
    <mergeCell ref="DK244:DK245"/>
    <mergeCell ref="DL244:DL245"/>
    <mergeCell ref="DM244:DM245"/>
    <mergeCell ref="DN244:DN245"/>
    <mergeCell ref="DO244:DO245"/>
    <mergeCell ref="DP244:DP245"/>
    <mergeCell ref="DQ244:DQ245"/>
    <mergeCell ref="DR244:DR245"/>
    <mergeCell ref="DG242:DG243"/>
    <mergeCell ref="DI242:DI243"/>
    <mergeCell ref="DJ242:DJ243"/>
    <mergeCell ref="DK242:DK243"/>
    <mergeCell ref="DL242:DL243"/>
    <mergeCell ref="DM242:DM243"/>
    <mergeCell ref="DN242:DN243"/>
    <mergeCell ref="DO242:DO243"/>
    <mergeCell ref="DP242:DP243"/>
    <mergeCell ref="DJ240:DJ241"/>
    <mergeCell ref="DK240:DK241"/>
    <mergeCell ref="DL240:DL241"/>
    <mergeCell ref="DM240:DM241"/>
    <mergeCell ref="DN240:DN241"/>
    <mergeCell ref="DO240:DO241"/>
    <mergeCell ref="DP240:DP241"/>
    <mergeCell ref="DQ240:DQ241"/>
    <mergeCell ref="DR240:DR241"/>
    <mergeCell ref="DD313:DD314"/>
    <mergeCell ref="DE313:DE314"/>
    <mergeCell ref="DH117:DH122"/>
    <mergeCell ref="DH123:DH128"/>
    <mergeCell ref="DH129:DH134"/>
    <mergeCell ref="DH135:DH138"/>
    <mergeCell ref="DH143:DH146"/>
    <mergeCell ref="DH147:DH150"/>
    <mergeCell ref="DG189:DG190"/>
    <mergeCell ref="DG191:DG192"/>
    <mergeCell ref="DG237:DR237"/>
    <mergeCell ref="DG238:DG239"/>
    <mergeCell ref="DI238:DI239"/>
    <mergeCell ref="DJ238:DJ239"/>
    <mergeCell ref="DK238:DK239"/>
    <mergeCell ref="DL238:DL239"/>
    <mergeCell ref="DM238:DM239"/>
    <mergeCell ref="DN238:DN239"/>
    <mergeCell ref="DO238:DO239"/>
    <mergeCell ref="DP238:DP239"/>
    <mergeCell ref="DQ238:DQ239"/>
    <mergeCell ref="DR238:DR239"/>
    <mergeCell ref="DG240:DG241"/>
    <mergeCell ref="DI240:DI241"/>
    <mergeCell ref="CT313:CT314"/>
    <mergeCell ref="CV313:CV314"/>
    <mergeCell ref="CW313:CW314"/>
    <mergeCell ref="CX313:CX314"/>
    <mergeCell ref="CY313:CY314"/>
    <mergeCell ref="CZ313:CZ314"/>
    <mergeCell ref="DA313:DA314"/>
    <mergeCell ref="DB313:DB314"/>
    <mergeCell ref="DC313:DC314"/>
    <mergeCell ref="DD309:DD310"/>
    <mergeCell ref="DE309:DE310"/>
    <mergeCell ref="CT311:CT312"/>
    <mergeCell ref="CV311:CV312"/>
    <mergeCell ref="CW311:CW312"/>
    <mergeCell ref="CX311:CX312"/>
    <mergeCell ref="CY311:CY312"/>
    <mergeCell ref="CZ311:CZ312"/>
    <mergeCell ref="DA311:DA312"/>
    <mergeCell ref="DB311:DB312"/>
    <mergeCell ref="DC311:DC312"/>
    <mergeCell ref="DD311:DD312"/>
    <mergeCell ref="DE311:DE312"/>
    <mergeCell ref="CT309:CT310"/>
    <mergeCell ref="CV309:CV310"/>
    <mergeCell ref="CW309:CW310"/>
    <mergeCell ref="CX309:CX310"/>
    <mergeCell ref="CY309:CY310"/>
    <mergeCell ref="CZ309:CZ310"/>
    <mergeCell ref="DA309:DA310"/>
    <mergeCell ref="DB309:DB310"/>
    <mergeCell ref="DC309:DC310"/>
    <mergeCell ref="DD305:DD306"/>
    <mergeCell ref="DE305:DE306"/>
    <mergeCell ref="CT307:CT308"/>
    <mergeCell ref="CV307:CV308"/>
    <mergeCell ref="CW307:CW308"/>
    <mergeCell ref="CX307:CX308"/>
    <mergeCell ref="CY307:CY308"/>
    <mergeCell ref="CZ307:CZ308"/>
    <mergeCell ref="DA307:DA308"/>
    <mergeCell ref="DB307:DB308"/>
    <mergeCell ref="DC307:DC308"/>
    <mergeCell ref="DD307:DD308"/>
    <mergeCell ref="DE307:DE308"/>
    <mergeCell ref="CT305:CT306"/>
    <mergeCell ref="CV305:CV306"/>
    <mergeCell ref="CW305:CW306"/>
    <mergeCell ref="CX305:CX306"/>
    <mergeCell ref="CY305:CY306"/>
    <mergeCell ref="CZ305:CZ306"/>
    <mergeCell ref="DA305:DA306"/>
    <mergeCell ref="DB305:DB306"/>
    <mergeCell ref="DC305:DC306"/>
    <mergeCell ref="DD301:DD302"/>
    <mergeCell ref="DE301:DE302"/>
    <mergeCell ref="CT303:CT304"/>
    <mergeCell ref="CV303:CV304"/>
    <mergeCell ref="CW303:CW304"/>
    <mergeCell ref="CX303:CX304"/>
    <mergeCell ref="CY303:CY304"/>
    <mergeCell ref="CZ303:CZ304"/>
    <mergeCell ref="DA303:DA304"/>
    <mergeCell ref="DB303:DB304"/>
    <mergeCell ref="DC303:DC304"/>
    <mergeCell ref="DD303:DD304"/>
    <mergeCell ref="DE303:DE304"/>
    <mergeCell ref="CT301:CT302"/>
    <mergeCell ref="CV301:CV302"/>
    <mergeCell ref="CW301:CW302"/>
    <mergeCell ref="CX301:CX302"/>
    <mergeCell ref="CY301:CY302"/>
    <mergeCell ref="CZ301:CZ302"/>
    <mergeCell ref="DA301:DA302"/>
    <mergeCell ref="DB301:DB302"/>
    <mergeCell ref="DC301:DC302"/>
    <mergeCell ref="DD297:DD298"/>
    <mergeCell ref="DE297:DE298"/>
    <mergeCell ref="CT299:CT300"/>
    <mergeCell ref="CV299:CV300"/>
    <mergeCell ref="CW299:CW300"/>
    <mergeCell ref="CX299:CX300"/>
    <mergeCell ref="CY299:CY300"/>
    <mergeCell ref="CZ299:CZ300"/>
    <mergeCell ref="DA299:DA300"/>
    <mergeCell ref="DB299:DB300"/>
    <mergeCell ref="DC299:DC300"/>
    <mergeCell ref="DD299:DD300"/>
    <mergeCell ref="DE299:DE300"/>
    <mergeCell ref="CT297:CT298"/>
    <mergeCell ref="CV297:CV298"/>
    <mergeCell ref="CW297:CW298"/>
    <mergeCell ref="CX297:CX298"/>
    <mergeCell ref="CY297:CY298"/>
    <mergeCell ref="CZ297:CZ298"/>
    <mergeCell ref="DA297:DA298"/>
    <mergeCell ref="DB297:DB298"/>
    <mergeCell ref="DC297:DC298"/>
    <mergeCell ref="CT228:CT229"/>
    <mergeCell ref="CT230:CT231"/>
    <mergeCell ref="CT294:DE294"/>
    <mergeCell ref="CT295:CT296"/>
    <mergeCell ref="CV295:CV296"/>
    <mergeCell ref="CW295:CW296"/>
    <mergeCell ref="CX295:CX296"/>
    <mergeCell ref="CY295:CY296"/>
    <mergeCell ref="CZ295:CZ296"/>
    <mergeCell ref="DA295:DA296"/>
    <mergeCell ref="DB295:DB296"/>
    <mergeCell ref="DC295:DC296"/>
    <mergeCell ref="DD295:DD296"/>
    <mergeCell ref="DE295:DE296"/>
    <mergeCell ref="CU119:CU124"/>
    <mergeCell ref="CU125:CU130"/>
    <mergeCell ref="CU131:CU134"/>
    <mergeCell ref="CU135:CU140"/>
    <mergeCell ref="CU141:CU144"/>
    <mergeCell ref="CU145:CU148"/>
    <mergeCell ref="CU149:CU152"/>
    <mergeCell ref="CU166:CU169"/>
    <mergeCell ref="CU170:CU173"/>
    <mergeCell ref="CQ263:CQ264"/>
    <mergeCell ref="CR263:CR264"/>
    <mergeCell ref="CG265:CG266"/>
    <mergeCell ref="CI265:CI266"/>
    <mergeCell ref="CJ265:CJ266"/>
    <mergeCell ref="CK265:CK266"/>
    <mergeCell ref="CL265:CL266"/>
    <mergeCell ref="CM265:CM266"/>
    <mergeCell ref="CN265:CN266"/>
    <mergeCell ref="CO265:CO266"/>
    <mergeCell ref="CP265:CP266"/>
    <mergeCell ref="CQ265:CQ266"/>
    <mergeCell ref="CR265:CR266"/>
    <mergeCell ref="CG263:CG264"/>
    <mergeCell ref="CI263:CI264"/>
    <mergeCell ref="CJ263:CJ264"/>
    <mergeCell ref="CK263:CK264"/>
    <mergeCell ref="CL263:CL264"/>
    <mergeCell ref="CM263:CM264"/>
    <mergeCell ref="CN263:CN264"/>
    <mergeCell ref="CO263:CO264"/>
    <mergeCell ref="CP263:CP264"/>
    <mergeCell ref="CQ259:CQ260"/>
    <mergeCell ref="CR259:CR260"/>
    <mergeCell ref="CG261:CG262"/>
    <mergeCell ref="CI261:CI262"/>
    <mergeCell ref="CJ261:CJ262"/>
    <mergeCell ref="CK261:CK262"/>
    <mergeCell ref="CL261:CL262"/>
    <mergeCell ref="CM261:CM262"/>
    <mergeCell ref="CN261:CN262"/>
    <mergeCell ref="CO261:CO262"/>
    <mergeCell ref="CP261:CP262"/>
    <mergeCell ref="CQ261:CQ262"/>
    <mergeCell ref="CR261:CR262"/>
    <mergeCell ref="CG259:CG260"/>
    <mergeCell ref="CI259:CI260"/>
    <mergeCell ref="CJ259:CJ260"/>
    <mergeCell ref="CK259:CK260"/>
    <mergeCell ref="CL259:CL260"/>
    <mergeCell ref="CM259:CM260"/>
    <mergeCell ref="CN259:CN260"/>
    <mergeCell ref="CO259:CO260"/>
    <mergeCell ref="CP259:CP260"/>
    <mergeCell ref="CQ255:CQ256"/>
    <mergeCell ref="CR255:CR256"/>
    <mergeCell ref="CG257:CG258"/>
    <mergeCell ref="CI257:CI258"/>
    <mergeCell ref="CJ257:CJ258"/>
    <mergeCell ref="CK257:CK258"/>
    <mergeCell ref="CL257:CL258"/>
    <mergeCell ref="CM257:CM258"/>
    <mergeCell ref="CN257:CN258"/>
    <mergeCell ref="CO257:CO258"/>
    <mergeCell ref="CP257:CP258"/>
    <mergeCell ref="CQ257:CQ258"/>
    <mergeCell ref="CR257:CR258"/>
    <mergeCell ref="CG255:CG256"/>
    <mergeCell ref="CI255:CI256"/>
    <mergeCell ref="CJ255:CJ256"/>
    <mergeCell ref="CK255:CK256"/>
    <mergeCell ref="CL255:CL256"/>
    <mergeCell ref="CM255:CM256"/>
    <mergeCell ref="CN255:CN256"/>
    <mergeCell ref="CO255:CO256"/>
    <mergeCell ref="CP255:CP256"/>
    <mergeCell ref="CQ251:CQ252"/>
    <mergeCell ref="CR251:CR252"/>
    <mergeCell ref="CG253:CG254"/>
    <mergeCell ref="CI253:CI254"/>
    <mergeCell ref="CJ253:CJ254"/>
    <mergeCell ref="CK253:CK254"/>
    <mergeCell ref="CL253:CL254"/>
    <mergeCell ref="CM253:CM254"/>
    <mergeCell ref="CN253:CN254"/>
    <mergeCell ref="CO253:CO254"/>
    <mergeCell ref="CP253:CP254"/>
    <mergeCell ref="CQ253:CQ254"/>
    <mergeCell ref="CR253:CR254"/>
    <mergeCell ref="CG251:CG252"/>
    <mergeCell ref="CI251:CI252"/>
    <mergeCell ref="CJ251:CJ252"/>
    <mergeCell ref="CK251:CK252"/>
    <mergeCell ref="CL251:CL252"/>
    <mergeCell ref="CM251:CM252"/>
    <mergeCell ref="CN251:CN252"/>
    <mergeCell ref="CO251:CO252"/>
    <mergeCell ref="CP251:CP252"/>
    <mergeCell ref="CQ247:CQ248"/>
    <mergeCell ref="CR247:CR248"/>
    <mergeCell ref="CG249:CG250"/>
    <mergeCell ref="CI249:CI250"/>
    <mergeCell ref="CJ249:CJ250"/>
    <mergeCell ref="CK249:CK250"/>
    <mergeCell ref="CL249:CL250"/>
    <mergeCell ref="CM249:CM250"/>
    <mergeCell ref="CN249:CN250"/>
    <mergeCell ref="CO249:CO250"/>
    <mergeCell ref="CP249:CP250"/>
    <mergeCell ref="CQ249:CQ250"/>
    <mergeCell ref="CR249:CR250"/>
    <mergeCell ref="CG247:CG248"/>
    <mergeCell ref="CI247:CI248"/>
    <mergeCell ref="CJ247:CJ248"/>
    <mergeCell ref="CK247:CK248"/>
    <mergeCell ref="CL247:CL248"/>
    <mergeCell ref="CM247:CM248"/>
    <mergeCell ref="CN247:CN248"/>
    <mergeCell ref="CO247:CO248"/>
    <mergeCell ref="CP247:CP248"/>
    <mergeCell ref="CH118:CH123"/>
    <mergeCell ref="CH124:CH129"/>
    <mergeCell ref="CH130:CH135"/>
    <mergeCell ref="CH136:CH139"/>
    <mergeCell ref="CH144:CH147"/>
    <mergeCell ref="CH148:CH151"/>
    <mergeCell ref="CG192:CG193"/>
    <mergeCell ref="CG194:CG195"/>
    <mergeCell ref="CG246:CR246"/>
    <mergeCell ref="CD265:CD266"/>
    <mergeCell ref="CE265:CE266"/>
    <mergeCell ref="BT267:BT268"/>
    <mergeCell ref="BV267:BV268"/>
    <mergeCell ref="BW267:BW268"/>
    <mergeCell ref="BX267:BX268"/>
    <mergeCell ref="BY267:BY268"/>
    <mergeCell ref="BZ267:BZ268"/>
    <mergeCell ref="CA267:CA268"/>
    <mergeCell ref="CB267:CB268"/>
    <mergeCell ref="CC267:CC268"/>
    <mergeCell ref="CD267:CD268"/>
    <mergeCell ref="CE267:CE268"/>
    <mergeCell ref="BT265:BT266"/>
    <mergeCell ref="BV265:BV266"/>
    <mergeCell ref="BW265:BW266"/>
    <mergeCell ref="BX265:BX266"/>
    <mergeCell ref="BY265:BY266"/>
    <mergeCell ref="BZ265:BZ266"/>
    <mergeCell ref="CA265:CA266"/>
    <mergeCell ref="CB265:CB266"/>
    <mergeCell ref="CC265:CC266"/>
    <mergeCell ref="CD261:CD262"/>
    <mergeCell ref="CE261:CE262"/>
    <mergeCell ref="BT263:BT264"/>
    <mergeCell ref="BV263:BV264"/>
    <mergeCell ref="BW263:BW264"/>
    <mergeCell ref="BX263:BX264"/>
    <mergeCell ref="BY263:BY264"/>
    <mergeCell ref="BZ263:BZ264"/>
    <mergeCell ref="CA263:CA264"/>
    <mergeCell ref="CB263:CB264"/>
    <mergeCell ref="CC263:CC264"/>
    <mergeCell ref="CD263:CD264"/>
    <mergeCell ref="CE263:CE264"/>
    <mergeCell ref="BT261:BT262"/>
    <mergeCell ref="BV261:BV262"/>
    <mergeCell ref="BW261:BW262"/>
    <mergeCell ref="BX261:BX262"/>
    <mergeCell ref="BY261:BY262"/>
    <mergeCell ref="BZ261:BZ262"/>
    <mergeCell ref="CA261:CA262"/>
    <mergeCell ref="CB261:CB262"/>
    <mergeCell ref="CC261:CC262"/>
    <mergeCell ref="CD257:CD258"/>
    <mergeCell ref="CE257:CE258"/>
    <mergeCell ref="BT259:BT260"/>
    <mergeCell ref="BV259:BV260"/>
    <mergeCell ref="BW259:BW260"/>
    <mergeCell ref="BX259:BX260"/>
    <mergeCell ref="BY259:BY260"/>
    <mergeCell ref="BZ259:BZ260"/>
    <mergeCell ref="CA259:CA260"/>
    <mergeCell ref="CB259:CB260"/>
    <mergeCell ref="CC259:CC260"/>
    <mergeCell ref="CD259:CD260"/>
    <mergeCell ref="CE259:CE260"/>
    <mergeCell ref="BT257:BT258"/>
    <mergeCell ref="BV257:BV258"/>
    <mergeCell ref="BW257:BW258"/>
    <mergeCell ref="BX257:BX258"/>
    <mergeCell ref="BY257:BY258"/>
    <mergeCell ref="BZ257:BZ258"/>
    <mergeCell ref="CA257:CA258"/>
    <mergeCell ref="CB257:CB258"/>
    <mergeCell ref="CC257:CC258"/>
    <mergeCell ref="CD253:CD254"/>
    <mergeCell ref="CE253:CE254"/>
    <mergeCell ref="BT255:BT256"/>
    <mergeCell ref="BV255:BV256"/>
    <mergeCell ref="BW255:BW256"/>
    <mergeCell ref="BX255:BX256"/>
    <mergeCell ref="BY255:BY256"/>
    <mergeCell ref="BZ255:BZ256"/>
    <mergeCell ref="CA255:CA256"/>
    <mergeCell ref="CB255:CB256"/>
    <mergeCell ref="CC255:CC256"/>
    <mergeCell ref="CD255:CD256"/>
    <mergeCell ref="CE255:CE256"/>
    <mergeCell ref="BT253:BT254"/>
    <mergeCell ref="BV253:BV254"/>
    <mergeCell ref="BW253:BW254"/>
    <mergeCell ref="BX253:BX254"/>
    <mergeCell ref="BY253:BY254"/>
    <mergeCell ref="BZ253:BZ254"/>
    <mergeCell ref="CA253:CA254"/>
    <mergeCell ref="CB253:CB254"/>
    <mergeCell ref="CC253:CC254"/>
    <mergeCell ref="BU118:BU123"/>
    <mergeCell ref="BU124:BU129"/>
    <mergeCell ref="BU130:BU135"/>
    <mergeCell ref="BU136:BU139"/>
    <mergeCell ref="BU149:BU152"/>
    <mergeCell ref="BU153:BU156"/>
    <mergeCell ref="BT194:BT195"/>
    <mergeCell ref="BT196:BT197"/>
    <mergeCell ref="BT248:CE248"/>
    <mergeCell ref="CD249:CD250"/>
    <mergeCell ref="CE249:CE250"/>
    <mergeCell ref="BT251:BT252"/>
    <mergeCell ref="BV251:BV252"/>
    <mergeCell ref="BW251:BW252"/>
    <mergeCell ref="BX251:BX252"/>
    <mergeCell ref="BY251:BY252"/>
    <mergeCell ref="BZ251:BZ252"/>
    <mergeCell ref="CA251:CA252"/>
    <mergeCell ref="CB251:CB252"/>
    <mergeCell ref="CC251:CC252"/>
    <mergeCell ref="CD251:CD252"/>
    <mergeCell ref="CE251:CE252"/>
    <mergeCell ref="BT249:BT250"/>
    <mergeCell ref="BV249:BV250"/>
    <mergeCell ref="BW249:BW250"/>
    <mergeCell ref="BX249:BX250"/>
    <mergeCell ref="BY249:BY250"/>
    <mergeCell ref="BZ249:BZ250"/>
    <mergeCell ref="CA249:CA250"/>
    <mergeCell ref="CB249:CB250"/>
    <mergeCell ref="CC249:CC250"/>
    <mergeCell ref="BR246:BR247"/>
    <mergeCell ref="BG248:BG249"/>
    <mergeCell ref="BI248:BI249"/>
    <mergeCell ref="BJ248:BJ249"/>
    <mergeCell ref="BK248:BK249"/>
    <mergeCell ref="BL248:BL249"/>
    <mergeCell ref="BM248:BM249"/>
    <mergeCell ref="BN248:BN249"/>
    <mergeCell ref="BO248:BO249"/>
    <mergeCell ref="BP248:BP249"/>
    <mergeCell ref="BQ248:BQ249"/>
    <mergeCell ref="BR248:BR249"/>
    <mergeCell ref="BG246:BG247"/>
    <mergeCell ref="BI246:BI247"/>
    <mergeCell ref="BJ246:BJ247"/>
    <mergeCell ref="BK246:BK247"/>
    <mergeCell ref="BL246:BL247"/>
    <mergeCell ref="BM246:BM247"/>
    <mergeCell ref="BN246:BN247"/>
    <mergeCell ref="BO246:BO247"/>
    <mergeCell ref="BP246:BP247"/>
    <mergeCell ref="BQ246:BQ247"/>
    <mergeCell ref="BQ242:BQ243"/>
    <mergeCell ref="BR242:BR243"/>
    <mergeCell ref="BG244:BG245"/>
    <mergeCell ref="BI244:BI245"/>
    <mergeCell ref="BJ244:BJ245"/>
    <mergeCell ref="BK244:BK245"/>
    <mergeCell ref="BL244:BL245"/>
    <mergeCell ref="BM244:BM245"/>
    <mergeCell ref="BN244:BN245"/>
    <mergeCell ref="BO244:BO245"/>
    <mergeCell ref="BP244:BP245"/>
    <mergeCell ref="BQ244:BQ245"/>
    <mergeCell ref="BR244:BR245"/>
    <mergeCell ref="BG242:BG243"/>
    <mergeCell ref="BI242:BI243"/>
    <mergeCell ref="BJ242:BJ243"/>
    <mergeCell ref="BK242:BK243"/>
    <mergeCell ref="BL242:BL243"/>
    <mergeCell ref="BM242:BM243"/>
    <mergeCell ref="BN242:BN243"/>
    <mergeCell ref="BO242:BO243"/>
    <mergeCell ref="BP242:BP243"/>
    <mergeCell ref="BQ238:BQ239"/>
    <mergeCell ref="BR238:BR239"/>
    <mergeCell ref="BG240:BG241"/>
    <mergeCell ref="BI240:BI241"/>
    <mergeCell ref="BJ240:BJ241"/>
    <mergeCell ref="BK240:BK241"/>
    <mergeCell ref="BL240:BL241"/>
    <mergeCell ref="BM240:BM241"/>
    <mergeCell ref="BN240:BN241"/>
    <mergeCell ref="BO240:BO241"/>
    <mergeCell ref="BP240:BP241"/>
    <mergeCell ref="BQ240:BQ241"/>
    <mergeCell ref="BR240:BR241"/>
    <mergeCell ref="BG238:BG239"/>
    <mergeCell ref="BI238:BI239"/>
    <mergeCell ref="BJ238:BJ239"/>
    <mergeCell ref="BK238:BK239"/>
    <mergeCell ref="BL238:BL239"/>
    <mergeCell ref="BM238:BM239"/>
    <mergeCell ref="BN238:BN239"/>
    <mergeCell ref="BO238:BO239"/>
    <mergeCell ref="BP238:BP239"/>
    <mergeCell ref="BQ234:BQ235"/>
    <mergeCell ref="BR234:BR235"/>
    <mergeCell ref="BG236:BG237"/>
    <mergeCell ref="BI236:BI237"/>
    <mergeCell ref="BJ236:BJ237"/>
    <mergeCell ref="BK236:BK237"/>
    <mergeCell ref="BL236:BL237"/>
    <mergeCell ref="BM236:BM237"/>
    <mergeCell ref="BN236:BN237"/>
    <mergeCell ref="BO236:BO237"/>
    <mergeCell ref="BP236:BP237"/>
    <mergeCell ref="BQ236:BQ237"/>
    <mergeCell ref="BR236:BR237"/>
    <mergeCell ref="BG234:BG235"/>
    <mergeCell ref="BI234:BI235"/>
    <mergeCell ref="BJ234:BJ235"/>
    <mergeCell ref="BK234:BK235"/>
    <mergeCell ref="BL234:BL235"/>
    <mergeCell ref="BM234:BM235"/>
    <mergeCell ref="BN234:BN235"/>
    <mergeCell ref="BO234:BO235"/>
    <mergeCell ref="BP234:BP235"/>
    <mergeCell ref="BH117:BH122"/>
    <mergeCell ref="BH123:BH128"/>
    <mergeCell ref="BH129:BH134"/>
    <mergeCell ref="BH135:BH138"/>
    <mergeCell ref="BH143:BH146"/>
    <mergeCell ref="BH147:BH150"/>
    <mergeCell ref="BG185:BG186"/>
    <mergeCell ref="BG187:BG188"/>
    <mergeCell ref="BG233:BR233"/>
    <mergeCell ref="BD332:BD333"/>
    <mergeCell ref="BE332:BE333"/>
    <mergeCell ref="AT334:AT335"/>
    <mergeCell ref="AV334:AV335"/>
    <mergeCell ref="AW334:AW335"/>
    <mergeCell ref="AX334:AX335"/>
    <mergeCell ref="AY334:AY335"/>
    <mergeCell ref="AZ334:AZ335"/>
    <mergeCell ref="BA334:BA335"/>
    <mergeCell ref="BB334:BB335"/>
    <mergeCell ref="BC334:BC335"/>
    <mergeCell ref="BD334:BD335"/>
    <mergeCell ref="BE334:BE335"/>
    <mergeCell ref="AT332:AT333"/>
    <mergeCell ref="AV332:AV333"/>
    <mergeCell ref="AW332:AW333"/>
    <mergeCell ref="AX332:AX333"/>
    <mergeCell ref="AY332:AY333"/>
    <mergeCell ref="AZ332:AZ333"/>
    <mergeCell ref="BA332:BA333"/>
    <mergeCell ref="BB332:BB333"/>
    <mergeCell ref="BC332:BC333"/>
    <mergeCell ref="BD328:BD329"/>
    <mergeCell ref="BE328:BE329"/>
    <mergeCell ref="AT330:AT331"/>
    <mergeCell ref="AV330:AV331"/>
    <mergeCell ref="AW330:AW331"/>
    <mergeCell ref="AX330:AX331"/>
    <mergeCell ref="AY330:AY331"/>
    <mergeCell ref="AZ330:AZ331"/>
    <mergeCell ref="BA330:BA331"/>
    <mergeCell ref="BB330:BB331"/>
    <mergeCell ref="BC330:BC331"/>
    <mergeCell ref="BD330:BD331"/>
    <mergeCell ref="BE330:BE331"/>
    <mergeCell ref="AT328:AT329"/>
    <mergeCell ref="AV328:AV329"/>
    <mergeCell ref="AW328:AW329"/>
    <mergeCell ref="AX328:AX329"/>
    <mergeCell ref="AY328:AY329"/>
    <mergeCell ref="AZ328:AZ329"/>
    <mergeCell ref="BA328:BA329"/>
    <mergeCell ref="BB328:BB329"/>
    <mergeCell ref="BC328:BC329"/>
    <mergeCell ref="BD324:BD325"/>
    <mergeCell ref="BE324:BE325"/>
    <mergeCell ref="AT326:AT327"/>
    <mergeCell ref="AV326:AV327"/>
    <mergeCell ref="AW326:AW327"/>
    <mergeCell ref="AX326:AX327"/>
    <mergeCell ref="AY326:AY327"/>
    <mergeCell ref="AZ326:AZ327"/>
    <mergeCell ref="BA326:BA327"/>
    <mergeCell ref="BB326:BB327"/>
    <mergeCell ref="BC326:BC327"/>
    <mergeCell ref="BD326:BD327"/>
    <mergeCell ref="BE326:BE327"/>
    <mergeCell ref="AT324:AT325"/>
    <mergeCell ref="AV324:AV325"/>
    <mergeCell ref="AW324:AW325"/>
    <mergeCell ref="AX324:AX325"/>
    <mergeCell ref="AY324:AY325"/>
    <mergeCell ref="AZ324:AZ325"/>
    <mergeCell ref="BA324:BA325"/>
    <mergeCell ref="BB324:BB325"/>
    <mergeCell ref="BC324:BC325"/>
    <mergeCell ref="BD320:BD321"/>
    <mergeCell ref="BE320:BE321"/>
    <mergeCell ref="AT322:AT323"/>
    <mergeCell ref="AV322:AV323"/>
    <mergeCell ref="AW322:AW323"/>
    <mergeCell ref="AX322:AX323"/>
    <mergeCell ref="AY322:AY323"/>
    <mergeCell ref="AZ322:AZ323"/>
    <mergeCell ref="BA322:BA323"/>
    <mergeCell ref="BB322:BB323"/>
    <mergeCell ref="BC322:BC323"/>
    <mergeCell ref="BD322:BD323"/>
    <mergeCell ref="BE322:BE323"/>
    <mergeCell ref="AT320:AT321"/>
    <mergeCell ref="AV320:AV321"/>
    <mergeCell ref="AW320:AW321"/>
    <mergeCell ref="AX320:AX321"/>
    <mergeCell ref="AY320:AY321"/>
    <mergeCell ref="AZ320:AZ321"/>
    <mergeCell ref="BA320:BA321"/>
    <mergeCell ref="BB320:BB321"/>
    <mergeCell ref="BC320:BC321"/>
    <mergeCell ref="BD316:BD317"/>
    <mergeCell ref="BE316:BE317"/>
    <mergeCell ref="AT318:AT319"/>
    <mergeCell ref="AV318:AV319"/>
    <mergeCell ref="AW318:AW319"/>
    <mergeCell ref="AX318:AX319"/>
    <mergeCell ref="AY318:AY319"/>
    <mergeCell ref="AZ318:AZ319"/>
    <mergeCell ref="BA318:BA319"/>
    <mergeCell ref="BB318:BB319"/>
    <mergeCell ref="BC318:BC319"/>
    <mergeCell ref="BD318:BD319"/>
    <mergeCell ref="BE318:BE319"/>
    <mergeCell ref="AT316:AT317"/>
    <mergeCell ref="AV316:AV317"/>
    <mergeCell ref="AW316:AW317"/>
    <mergeCell ref="AX316:AX317"/>
    <mergeCell ref="AY316:AY317"/>
    <mergeCell ref="AZ316:AZ317"/>
    <mergeCell ref="BA316:BA317"/>
    <mergeCell ref="BB316:BB317"/>
    <mergeCell ref="BC316:BC317"/>
    <mergeCell ref="AU118:AU123"/>
    <mergeCell ref="AU124:AU129"/>
    <mergeCell ref="AU130:AU135"/>
    <mergeCell ref="AU136:AU139"/>
    <mergeCell ref="AU185:AU188"/>
    <mergeCell ref="AU189:AU192"/>
    <mergeCell ref="AT255:AT256"/>
    <mergeCell ref="AT257:AT258"/>
    <mergeCell ref="AT315:BE315"/>
    <mergeCell ref="AP297:AP298"/>
    <mergeCell ref="AQ297:AQ298"/>
    <mergeCell ref="AF299:AF300"/>
    <mergeCell ref="AH299:AH300"/>
    <mergeCell ref="AI299:AI300"/>
    <mergeCell ref="AJ299:AJ300"/>
    <mergeCell ref="AK299:AK300"/>
    <mergeCell ref="AL299:AL300"/>
    <mergeCell ref="AM299:AM300"/>
    <mergeCell ref="AN299:AN300"/>
    <mergeCell ref="AO299:AO300"/>
    <mergeCell ref="AP299:AP300"/>
    <mergeCell ref="AQ299:AQ300"/>
    <mergeCell ref="AF297:AF298"/>
    <mergeCell ref="AH297:AH298"/>
    <mergeCell ref="AI297:AI298"/>
    <mergeCell ref="AJ297:AJ298"/>
    <mergeCell ref="AK297:AK298"/>
    <mergeCell ref="AL297:AL298"/>
    <mergeCell ref="AM297:AM298"/>
    <mergeCell ref="AN297:AN298"/>
    <mergeCell ref="AO297:AO298"/>
    <mergeCell ref="AP293:AP294"/>
    <mergeCell ref="AQ293:AQ294"/>
    <mergeCell ref="AF295:AF296"/>
    <mergeCell ref="AH295:AH296"/>
    <mergeCell ref="AI295:AI296"/>
    <mergeCell ref="AJ295:AJ296"/>
    <mergeCell ref="AK295:AK296"/>
    <mergeCell ref="AL295:AL296"/>
    <mergeCell ref="AM295:AM296"/>
    <mergeCell ref="AN295:AN296"/>
    <mergeCell ref="AO295:AO296"/>
    <mergeCell ref="AP295:AP296"/>
    <mergeCell ref="AQ295:AQ296"/>
    <mergeCell ref="AF293:AF294"/>
    <mergeCell ref="AH293:AH294"/>
    <mergeCell ref="AI293:AI294"/>
    <mergeCell ref="AJ293:AJ294"/>
    <mergeCell ref="AK293:AK294"/>
    <mergeCell ref="AL293:AL294"/>
    <mergeCell ref="AM293:AM294"/>
    <mergeCell ref="AN293:AN294"/>
    <mergeCell ref="AO293:AO294"/>
    <mergeCell ref="AP289:AP290"/>
    <mergeCell ref="AQ289:AQ290"/>
    <mergeCell ref="AF291:AF292"/>
    <mergeCell ref="AH291:AH292"/>
    <mergeCell ref="AI291:AI292"/>
    <mergeCell ref="AJ291:AJ292"/>
    <mergeCell ref="AK291:AK292"/>
    <mergeCell ref="AL291:AL292"/>
    <mergeCell ref="AM291:AM292"/>
    <mergeCell ref="AN291:AN292"/>
    <mergeCell ref="AO291:AO292"/>
    <mergeCell ref="AP291:AP292"/>
    <mergeCell ref="AQ291:AQ292"/>
    <mergeCell ref="AF289:AF290"/>
    <mergeCell ref="AH289:AH290"/>
    <mergeCell ref="AI289:AI290"/>
    <mergeCell ref="AJ289:AJ290"/>
    <mergeCell ref="AK289:AK290"/>
    <mergeCell ref="AL289:AL290"/>
    <mergeCell ref="AM289:AM290"/>
    <mergeCell ref="AN289:AN290"/>
    <mergeCell ref="AO289:AO290"/>
    <mergeCell ref="AP285:AP286"/>
    <mergeCell ref="AQ285:AQ286"/>
    <mergeCell ref="AF287:AF288"/>
    <mergeCell ref="AH287:AH288"/>
    <mergeCell ref="AI287:AI288"/>
    <mergeCell ref="AJ287:AJ288"/>
    <mergeCell ref="AK287:AK288"/>
    <mergeCell ref="AL287:AL288"/>
    <mergeCell ref="AM287:AM288"/>
    <mergeCell ref="AN287:AN288"/>
    <mergeCell ref="AO287:AO288"/>
    <mergeCell ref="AP287:AP288"/>
    <mergeCell ref="AQ287:AQ288"/>
    <mergeCell ref="AF285:AF286"/>
    <mergeCell ref="AH285:AH286"/>
    <mergeCell ref="AI285:AI286"/>
    <mergeCell ref="AJ285:AJ286"/>
    <mergeCell ref="AK285:AK286"/>
    <mergeCell ref="AL285:AL286"/>
    <mergeCell ref="AM285:AM286"/>
    <mergeCell ref="AN285:AN286"/>
    <mergeCell ref="AO285:AO286"/>
    <mergeCell ref="AP281:AP282"/>
    <mergeCell ref="AQ281:AQ282"/>
    <mergeCell ref="AF283:AF284"/>
    <mergeCell ref="AH283:AH284"/>
    <mergeCell ref="AI283:AI284"/>
    <mergeCell ref="AJ283:AJ284"/>
    <mergeCell ref="AK283:AK284"/>
    <mergeCell ref="AL283:AL284"/>
    <mergeCell ref="AM283:AM284"/>
    <mergeCell ref="AN283:AN284"/>
    <mergeCell ref="AO283:AO284"/>
    <mergeCell ref="AP283:AP284"/>
    <mergeCell ref="AQ283:AQ284"/>
    <mergeCell ref="AF281:AF282"/>
    <mergeCell ref="AH281:AH282"/>
    <mergeCell ref="AI281:AI282"/>
    <mergeCell ref="AJ281:AJ282"/>
    <mergeCell ref="AK281:AK282"/>
    <mergeCell ref="AL281:AL282"/>
    <mergeCell ref="AM281:AM282"/>
    <mergeCell ref="AN281:AN282"/>
    <mergeCell ref="AO281:AO282"/>
    <mergeCell ref="AG150:AG155"/>
    <mergeCell ref="AG156:AG161"/>
    <mergeCell ref="AG162:AG167"/>
    <mergeCell ref="AG168:AG171"/>
    <mergeCell ref="AG176:AG179"/>
    <mergeCell ref="AG180:AG183"/>
    <mergeCell ref="AF220:AF221"/>
    <mergeCell ref="AF222:AF223"/>
    <mergeCell ref="AF280:AQ280"/>
    <mergeCell ref="A1:D1"/>
    <mergeCell ref="Y266:Y267"/>
    <mergeCell ref="Z266:Z267"/>
    <mergeCell ref="AA266:AA267"/>
    <mergeCell ref="AB266:AB267"/>
    <mergeCell ref="AC266:AC267"/>
    <mergeCell ref="AD266:AD267"/>
    <mergeCell ref="Z264:Z265"/>
    <mergeCell ref="AA264:AA265"/>
    <mergeCell ref="AB264:AB265"/>
    <mergeCell ref="AC264:AC265"/>
    <mergeCell ref="AD264:AD265"/>
    <mergeCell ref="Y264:Y265"/>
    <mergeCell ref="U266:U267"/>
    <mergeCell ref="V266:V267"/>
    <mergeCell ref="W266:W267"/>
    <mergeCell ref="X266:X267"/>
    <mergeCell ref="S264:S265"/>
    <mergeCell ref="U264:U265"/>
    <mergeCell ref="V264:V265"/>
    <mergeCell ref="W264:W265"/>
    <mergeCell ref="X264:X265"/>
    <mergeCell ref="Y262:Y263"/>
    <mergeCell ref="Z262:Z263"/>
    <mergeCell ref="AA262:AA263"/>
    <mergeCell ref="AB262:AB263"/>
    <mergeCell ref="AC262:AC263"/>
    <mergeCell ref="AD262:AD263"/>
    <mergeCell ref="Z260:Z261"/>
    <mergeCell ref="AA260:AA261"/>
    <mergeCell ref="AB260:AB261"/>
    <mergeCell ref="AC260:AC261"/>
    <mergeCell ref="AD260:AD261"/>
    <mergeCell ref="Y260:Y261"/>
    <mergeCell ref="U262:U263"/>
    <mergeCell ref="V262:V263"/>
    <mergeCell ref="W262:W263"/>
    <mergeCell ref="X262:X263"/>
    <mergeCell ref="S260:S261"/>
    <mergeCell ref="U260:U261"/>
    <mergeCell ref="V260:V261"/>
    <mergeCell ref="W260:W261"/>
    <mergeCell ref="X260:X261"/>
    <mergeCell ref="Y258:Y259"/>
    <mergeCell ref="Z258:Z259"/>
    <mergeCell ref="AA258:AA259"/>
    <mergeCell ref="AB258:AB259"/>
    <mergeCell ref="AC258:AC259"/>
    <mergeCell ref="AD258:AD259"/>
    <mergeCell ref="Z256:Z257"/>
    <mergeCell ref="AA256:AA257"/>
    <mergeCell ref="AB256:AB257"/>
    <mergeCell ref="AC256:AC257"/>
    <mergeCell ref="AD256:AD257"/>
    <mergeCell ref="Y256:Y257"/>
    <mergeCell ref="U250:U251"/>
    <mergeCell ref="U258:U259"/>
    <mergeCell ref="V258:V259"/>
    <mergeCell ref="W258:W259"/>
    <mergeCell ref="X258:X259"/>
    <mergeCell ref="V250:V251"/>
    <mergeCell ref="W250:W251"/>
    <mergeCell ref="X250:X251"/>
    <mergeCell ref="S256:S257"/>
    <mergeCell ref="U256:U257"/>
    <mergeCell ref="V256:V257"/>
    <mergeCell ref="W256:W257"/>
    <mergeCell ref="X256:X257"/>
    <mergeCell ref="Y254:Y255"/>
    <mergeCell ref="Z254:Z255"/>
    <mergeCell ref="AA254:AA255"/>
    <mergeCell ref="AB254:AB255"/>
    <mergeCell ref="AC254:AC255"/>
    <mergeCell ref="AD254:AD255"/>
    <mergeCell ref="Z252:Z253"/>
    <mergeCell ref="AA252:AA253"/>
    <mergeCell ref="AB252:AB253"/>
    <mergeCell ref="AC252:AC253"/>
    <mergeCell ref="AD252:AD253"/>
    <mergeCell ref="Y252:Y253"/>
    <mergeCell ref="S254:S255"/>
    <mergeCell ref="U254:U255"/>
    <mergeCell ref="V254:V255"/>
    <mergeCell ref="W254:W255"/>
    <mergeCell ref="X254:X255"/>
    <mergeCell ref="S252:S253"/>
    <mergeCell ref="U252:U253"/>
    <mergeCell ref="V252:V253"/>
    <mergeCell ref="W252:W253"/>
    <mergeCell ref="X252:X253"/>
    <mergeCell ref="S247:AD247"/>
    <mergeCell ref="S248:S249"/>
    <mergeCell ref="U248:U249"/>
    <mergeCell ref="V248:V249"/>
    <mergeCell ref="W248:W249"/>
    <mergeCell ref="X248:X249"/>
    <mergeCell ref="Y248:Y249"/>
    <mergeCell ref="Y250:Y251"/>
    <mergeCell ref="Z250:Z251"/>
    <mergeCell ref="AA250:AA251"/>
    <mergeCell ref="AB250:AB251"/>
    <mergeCell ref="AC250:AC251"/>
    <mergeCell ref="AD250:AD251"/>
    <mergeCell ref="Z248:Z249"/>
    <mergeCell ref="AA248:AA249"/>
    <mergeCell ref="AB248:AB249"/>
    <mergeCell ref="AC248:AC249"/>
    <mergeCell ref="AD248:AD249"/>
    <mergeCell ref="H263:H264"/>
    <mergeCell ref="I263:I264"/>
    <mergeCell ref="J263:J264"/>
    <mergeCell ref="K263:K264"/>
    <mergeCell ref="L263:L264"/>
    <mergeCell ref="O267:O268"/>
    <mergeCell ref="P267:P268"/>
    <mergeCell ref="Q267:Q268"/>
    <mergeCell ref="T118:T123"/>
    <mergeCell ref="T124:T129"/>
    <mergeCell ref="T130:T135"/>
    <mergeCell ref="T136:T139"/>
    <mergeCell ref="T144:T147"/>
    <mergeCell ref="O265:O266"/>
    <mergeCell ref="P265:P266"/>
    <mergeCell ref="Q265:Q266"/>
    <mergeCell ref="O263:O264"/>
    <mergeCell ref="P263:P264"/>
    <mergeCell ref="Q263:Q264"/>
    <mergeCell ref="O261:O262"/>
    <mergeCell ref="P261:P262"/>
    <mergeCell ref="Q261:Q262"/>
    <mergeCell ref="O259:O260"/>
    <mergeCell ref="S250:S251"/>
    <mergeCell ref="S258:S259"/>
    <mergeCell ref="S262:S263"/>
    <mergeCell ref="S266:S267"/>
    <mergeCell ref="P259:P260"/>
    <mergeCell ref="Q259:Q260"/>
    <mergeCell ref="T148:T151"/>
    <mergeCell ref="S187:S188"/>
    <mergeCell ref="S189:S190"/>
    <mergeCell ref="M263:M264"/>
    <mergeCell ref="N263:N264"/>
    <mergeCell ref="F261:F262"/>
    <mergeCell ref="H261:H262"/>
    <mergeCell ref="I261:I262"/>
    <mergeCell ref="J261:J262"/>
    <mergeCell ref="K261:K262"/>
    <mergeCell ref="F259:F260"/>
    <mergeCell ref="H259:H260"/>
    <mergeCell ref="I259:I260"/>
    <mergeCell ref="J259:J260"/>
    <mergeCell ref="K259:K260"/>
    <mergeCell ref="L259:L260"/>
    <mergeCell ref="M259:M260"/>
    <mergeCell ref="N259:N260"/>
    <mergeCell ref="F267:F268"/>
    <mergeCell ref="H267:H268"/>
    <mergeCell ref="I267:I268"/>
    <mergeCell ref="J267:J268"/>
    <mergeCell ref="K267:K268"/>
    <mergeCell ref="L267:L268"/>
    <mergeCell ref="L265:L266"/>
    <mergeCell ref="M265:M266"/>
    <mergeCell ref="N265:N266"/>
    <mergeCell ref="F265:F266"/>
    <mergeCell ref="H265:H266"/>
    <mergeCell ref="I265:I266"/>
    <mergeCell ref="J265:J266"/>
    <mergeCell ref="K265:K266"/>
    <mergeCell ref="M267:M268"/>
    <mergeCell ref="N267:N268"/>
    <mergeCell ref="F263:F264"/>
    <mergeCell ref="O257:O258"/>
    <mergeCell ref="P257:P258"/>
    <mergeCell ref="Q257:Q258"/>
    <mergeCell ref="M255:M256"/>
    <mergeCell ref="N255:N256"/>
    <mergeCell ref="O255:O256"/>
    <mergeCell ref="P255:P256"/>
    <mergeCell ref="Q255:Q256"/>
    <mergeCell ref="L255:L256"/>
    <mergeCell ref="F255:F256"/>
    <mergeCell ref="H255:H256"/>
    <mergeCell ref="I255:I256"/>
    <mergeCell ref="J255:J256"/>
    <mergeCell ref="K255:K256"/>
    <mergeCell ref="L261:L262"/>
    <mergeCell ref="M261:M262"/>
    <mergeCell ref="N261:N262"/>
    <mergeCell ref="I251:I252"/>
    <mergeCell ref="J251:J252"/>
    <mergeCell ref="K251:K252"/>
    <mergeCell ref="L251:L252"/>
    <mergeCell ref="F249:F250"/>
    <mergeCell ref="H249:H250"/>
    <mergeCell ref="I249:I250"/>
    <mergeCell ref="J249:J250"/>
    <mergeCell ref="K249:K250"/>
    <mergeCell ref="L257:L258"/>
    <mergeCell ref="M257:M258"/>
    <mergeCell ref="N257:N258"/>
    <mergeCell ref="F257:F258"/>
    <mergeCell ref="H257:H258"/>
    <mergeCell ref="I257:I258"/>
    <mergeCell ref="J257:J258"/>
    <mergeCell ref="K257:K258"/>
    <mergeCell ref="L249:L250"/>
    <mergeCell ref="G118:G123"/>
    <mergeCell ref="G124:G129"/>
    <mergeCell ref="G130:G135"/>
    <mergeCell ref="G136:G139"/>
    <mergeCell ref="G144:G147"/>
    <mergeCell ref="G148:G151"/>
    <mergeCell ref="F188:F189"/>
    <mergeCell ref="F190:F191"/>
    <mergeCell ref="F248:Q248"/>
    <mergeCell ref="N253:N254"/>
    <mergeCell ref="O253:O254"/>
    <mergeCell ref="P253:P254"/>
    <mergeCell ref="Q253:Q254"/>
    <mergeCell ref="F253:F254"/>
    <mergeCell ref="H253:H254"/>
    <mergeCell ref="I253:I254"/>
    <mergeCell ref="J253:J254"/>
    <mergeCell ref="K253:K254"/>
    <mergeCell ref="L253:L254"/>
    <mergeCell ref="M253:M254"/>
    <mergeCell ref="M251:M252"/>
    <mergeCell ref="N251:N252"/>
    <mergeCell ref="O251:O252"/>
    <mergeCell ref="P251:P252"/>
    <mergeCell ref="Q251:Q252"/>
    <mergeCell ref="N249:N250"/>
    <mergeCell ref="O249:O250"/>
    <mergeCell ref="P249:P250"/>
    <mergeCell ref="Q249:Q250"/>
    <mergeCell ref="M249:M250"/>
    <mergeCell ref="F251:F252"/>
    <mergeCell ref="H251:H252"/>
    <mergeCell ref="BG250:BG251"/>
    <mergeCell ref="BI250:BI251"/>
    <mergeCell ref="BJ250:BJ251"/>
    <mergeCell ref="BK250:BK251"/>
    <mergeCell ref="BL250:BL251"/>
    <mergeCell ref="BM250:BM251"/>
    <mergeCell ref="BN250:BN251"/>
    <mergeCell ref="BO250:BO251"/>
    <mergeCell ref="BP250:BP251"/>
    <mergeCell ref="BQ250:BQ251"/>
    <mergeCell ref="BR250:BR251"/>
    <mergeCell ref="BG252:BG253"/>
    <mergeCell ref="BI252:BI253"/>
    <mergeCell ref="BJ252:BJ253"/>
    <mergeCell ref="BK252:BK253"/>
    <mergeCell ref="BL252:BL253"/>
    <mergeCell ref="BM252:BM253"/>
    <mergeCell ref="BN252:BN253"/>
    <mergeCell ref="BO252:BO253"/>
    <mergeCell ref="BP252:BP253"/>
    <mergeCell ref="BQ252:BQ253"/>
    <mergeCell ref="BR252:BR253"/>
    <mergeCell ref="GT172:GX173"/>
    <mergeCell ref="HD120:HD125"/>
    <mergeCell ref="HD126:HD131"/>
    <mergeCell ref="HD132:HD135"/>
    <mergeCell ref="HD136:HD141"/>
    <mergeCell ref="HD142:HD145"/>
    <mergeCell ref="HD146:HD149"/>
    <mergeCell ref="HD150:HD153"/>
    <mergeCell ref="HD158:HD161"/>
    <mergeCell ref="HD162:HD165"/>
    <mergeCell ref="HC212:HC213"/>
    <mergeCell ref="HC214:HC215"/>
    <mergeCell ref="HC266:HN266"/>
    <mergeCell ref="HC267:HC268"/>
    <mergeCell ref="HE267:HE268"/>
    <mergeCell ref="HF267:HF268"/>
    <mergeCell ref="HG267:HG268"/>
    <mergeCell ref="HH267:HH268"/>
    <mergeCell ref="HI267:HI268"/>
    <mergeCell ref="HJ267:HJ268"/>
    <mergeCell ref="HK267:HK268"/>
    <mergeCell ref="HL267:HL268"/>
    <mergeCell ref="HM267:HM268"/>
    <mergeCell ref="HN267:HN268"/>
    <mergeCell ref="HC269:HC270"/>
    <mergeCell ref="HE269:HE270"/>
    <mergeCell ref="HF269:HF270"/>
    <mergeCell ref="HG269:HG270"/>
    <mergeCell ref="HH269:HH270"/>
    <mergeCell ref="HI269:HI270"/>
    <mergeCell ref="HJ269:HJ270"/>
    <mergeCell ref="HK269:HK270"/>
    <mergeCell ref="HL269:HL270"/>
    <mergeCell ref="HM269:HM270"/>
    <mergeCell ref="HN269:HN270"/>
    <mergeCell ref="HC271:HC272"/>
    <mergeCell ref="HE271:HE272"/>
    <mergeCell ref="HF271:HF272"/>
    <mergeCell ref="HG271:HG272"/>
    <mergeCell ref="HH271:HH272"/>
    <mergeCell ref="HI271:HI272"/>
    <mergeCell ref="HJ271:HJ272"/>
    <mergeCell ref="HK271:HK272"/>
    <mergeCell ref="HL271:HL272"/>
    <mergeCell ref="HM271:HM272"/>
    <mergeCell ref="HN271:HN272"/>
    <mergeCell ref="HF273:HF274"/>
    <mergeCell ref="HG273:HG274"/>
    <mergeCell ref="HH273:HH274"/>
    <mergeCell ref="HI273:HI274"/>
    <mergeCell ref="HJ273:HJ274"/>
    <mergeCell ref="HK273:HK274"/>
    <mergeCell ref="HL273:HL274"/>
    <mergeCell ref="HM273:HM274"/>
    <mergeCell ref="HN273:HN274"/>
    <mergeCell ref="HC275:HC276"/>
    <mergeCell ref="HE275:HE276"/>
    <mergeCell ref="HF275:HF276"/>
    <mergeCell ref="HG275:HG276"/>
    <mergeCell ref="HH275:HH276"/>
    <mergeCell ref="HI275:HI276"/>
    <mergeCell ref="HJ275:HJ276"/>
    <mergeCell ref="HK275:HK276"/>
    <mergeCell ref="HL275:HL276"/>
    <mergeCell ref="HM275:HM276"/>
    <mergeCell ref="HN275:HN276"/>
    <mergeCell ref="HC273:HC274"/>
    <mergeCell ref="HE273:HE274"/>
    <mergeCell ref="HN283:HN284"/>
    <mergeCell ref="HF277:HF278"/>
    <mergeCell ref="HG277:HG278"/>
    <mergeCell ref="HH277:HH278"/>
    <mergeCell ref="HI277:HI278"/>
    <mergeCell ref="HJ277:HJ278"/>
    <mergeCell ref="HK277:HK278"/>
    <mergeCell ref="HL277:HL278"/>
    <mergeCell ref="HM277:HM278"/>
    <mergeCell ref="HN277:HN278"/>
    <mergeCell ref="HC279:HC280"/>
    <mergeCell ref="HE279:HE280"/>
    <mergeCell ref="HF279:HF280"/>
    <mergeCell ref="HG279:HG280"/>
    <mergeCell ref="HH279:HH280"/>
    <mergeCell ref="HI279:HI280"/>
    <mergeCell ref="HJ279:HJ280"/>
    <mergeCell ref="HK279:HK280"/>
    <mergeCell ref="HL279:HL280"/>
    <mergeCell ref="HM279:HM280"/>
    <mergeCell ref="HN279:HN280"/>
    <mergeCell ref="HC277:HC278"/>
    <mergeCell ref="HE277:HE278"/>
    <mergeCell ref="HC285:HC286"/>
    <mergeCell ref="HE285:HE286"/>
    <mergeCell ref="HF285:HF286"/>
    <mergeCell ref="HG285:HG286"/>
    <mergeCell ref="HH285:HH286"/>
    <mergeCell ref="HI285:HI286"/>
    <mergeCell ref="HJ285:HJ286"/>
    <mergeCell ref="HK285:HK286"/>
    <mergeCell ref="HL285:HL286"/>
    <mergeCell ref="HM285:HM286"/>
    <mergeCell ref="HN285:HN286"/>
    <mergeCell ref="HC281:HC282"/>
    <mergeCell ref="HE281:HE282"/>
    <mergeCell ref="HF281:HF282"/>
    <mergeCell ref="HG281:HG282"/>
    <mergeCell ref="HH281:HH282"/>
    <mergeCell ref="HI281:HI282"/>
    <mergeCell ref="HJ281:HJ282"/>
    <mergeCell ref="HK281:HK282"/>
    <mergeCell ref="HL281:HL282"/>
    <mergeCell ref="HM281:HM282"/>
    <mergeCell ref="HN281:HN282"/>
    <mergeCell ref="HC283:HC284"/>
    <mergeCell ref="HE283:HE284"/>
    <mergeCell ref="HF283:HF284"/>
    <mergeCell ref="HG283:HG284"/>
    <mergeCell ref="HH283:HH284"/>
    <mergeCell ref="HI283:HI284"/>
    <mergeCell ref="HJ283:HJ284"/>
    <mergeCell ref="HK283:HK284"/>
    <mergeCell ref="HL283:HL284"/>
    <mergeCell ref="HM283:HM284"/>
  </mergeCells>
  <hyperlinks>
    <hyperlink ref="F2" r:id="rId1" display="https://www.coingecko.com/pt" xr:uid="{8A7DDE70-3AAD-450D-B859-C477E1DCAB16}"/>
    <hyperlink ref="F3" r:id="rId2" display="https://www.coingecko.com/pt/c%C3%A2mbios" xr:uid="{9E315FEF-6EF8-4D12-B1BF-F3E28F4D8D2F}"/>
    <hyperlink ref="F4" r:id="rId3" display="https://www.coingecko.com/pt/global-charts" xr:uid="{A96F4A34-DA82-4301-9D3E-6166CB545485}"/>
    <hyperlink ref="F5" r:id="rId4" display="https://www.coingecko.com/pt/global-charts" xr:uid="{B36D4DBC-07C9-4DD2-821A-8F69B506EC09}"/>
    <hyperlink ref="F25" r:id="rId5" display="https://www.coingecko.com/pt/premium/pricing" xr:uid="{1E1B6511-B9DB-4E6C-B68F-B994115BEFC4}"/>
    <hyperlink ref="F28:F29" r:id="rId6" display="https://coingecko.app.link/lTInCXLGz4" xr:uid="{D6FDFDCD-2CD9-46E1-B22D-7C71E5739370}"/>
    <hyperlink ref="F48" r:id="rId7" display="https://www.geckoterminal.com/?utm_source=coingecko&amp;utm_medium=referral&amp;utm_campaign=desktop_navigation" xr:uid="{2DF0F6B0-8944-42B2-8216-452D35DE6757}"/>
    <hyperlink ref="F49" r:id="rId8" display="https://www.coingecko.com/pt/candy" xr:uid="{050FD33A-F564-4FB0-A03C-001455DE9C2F}"/>
    <hyperlink ref="F50" r:id="rId9" display="https://www.coingecko.com/pt/candy" xr:uid="{6063E783-004D-4CEC-ABDC-601F41D07DB5}"/>
    <hyperlink ref="F51" r:id="rId10" display="https://www.coingecko.com/pt/candy" xr:uid="{B6EE6F84-3FA3-4451-B56D-D0D81828ACE2}"/>
    <hyperlink ref="F52" r:id="rId11" display="https://www.coingecko.com/pt/portfolio" xr:uid="{76282282-5746-4063-93C2-5733E18E59A4}"/>
    <hyperlink ref="F70" r:id="rId12" display="https://gcko.io/search-survey" xr:uid="{8EE26494-743D-4DCE-9FAD-5C25EB67CF6E}"/>
    <hyperlink ref="F73" r:id="rId13" display="https://www.coingecko.com/pt" xr:uid="{5F575E6C-6BDF-4F65-87B5-4ABEB5E2FB79}"/>
    <hyperlink ref="F92" r:id="rId14" display="https://www.coingecko.com/pt/metodologia" xr:uid="{18DB5FCB-92D6-492B-BD7B-BE8ECE8FEED8}"/>
    <hyperlink ref="F106" r:id="rId15" display="https://www.coingecko.com/pt/api" xr:uid="{33A15DF5-2CEF-4BC1-AAB1-38F411983389}"/>
    <hyperlink ref="F107" r:id="rId16" display="https://www.tradingview.com/?aff_id=132489" xr:uid="{F498C2B3-124D-4DFD-8F9D-6575A7280C25}"/>
    <hyperlink ref="F123" r:id="rId17" display="https://www.coingecko.com/pt/metodologia" xr:uid="{50E1D0A2-318F-4D4F-AC3E-BEA84C0E8F6C}"/>
    <hyperlink ref="F129" r:id="rId18" display="https://www.coingecko.com/learn/what-is-fully-diluted-valuation-fdv-in-crypto" xr:uid="{A173753D-8F37-46EE-8464-8D37741BCA83}"/>
    <hyperlink ref="F135" r:id="rId19" display="https://www.coingecko.com/learn/what-is-fully-diluted-valuation-fdv-in-crypto" xr:uid="{06BEFBEA-7C64-4097-93B5-A6ACDFCD5CB5}"/>
    <hyperlink ref="F139" r:id="rId20" display="https://www.coingecko.com/pt/metodologia" xr:uid="{BA0E1E96-B961-4697-8D49-F70D1FF61BF1}"/>
    <hyperlink ref="F143" r:id="rId21" display="https://www.coingecko.com/pt/metodologia" xr:uid="{0F7B1B4E-3AE6-4015-9AEE-E978836E1BF1}"/>
    <hyperlink ref="G141" r:id="rId22" xr:uid="{FF6A43AD-9C76-4A59-A090-CCC92897FDB9}"/>
    <hyperlink ref="F159" r:id="rId23" display="https://forms.gle/ULNnnCGCEAimK9cJ7" xr:uid="{E02E505C-9CEE-40FA-87D4-E533A47694AA}"/>
    <hyperlink ref="F161" r:id="rId24" display="https://www.bitcoin.org/" xr:uid="{FF01340D-7385-4207-A1D5-3B0ED4938342}"/>
    <hyperlink ref="F162" r:id="rId25" display="https://bitcoin.org/bitcoin.pdf" xr:uid="{47A40F6D-0885-4903-A6A2-49C1281738AC}"/>
    <hyperlink ref="F164" r:id="rId26" display="https://mempool.space/" xr:uid="{A63DE3D1-B466-4BEA-BBBD-9C9D33941945}"/>
    <hyperlink ref="F167" r:id="rId27" display="https://gcko.io/ledger" xr:uid="{EE3EDBD3-3293-49D6-9B5A-C652B5B71BDA}"/>
    <hyperlink ref="F170" r:id="rId28" display="https://twitter.com/bitcoin" xr:uid="{2848D431-02FC-4E5C-A21D-F3DFB9944032}"/>
    <hyperlink ref="F171" r:id="rId29" display="https://www.facebook.com/134466763256650" xr:uid="{12173735-8E56-460D-B4AD-1F24FC193CE0}"/>
    <hyperlink ref="F172" r:id="rId30" display="https://bitcointalk.org/" xr:uid="{D79703A6-3ACC-4A6A-8C2A-0F8FA84FC704}"/>
    <hyperlink ref="F174" r:id="rId31" display="https://twitter.com/search?q=$BTC" xr:uid="{718BFB53-1BE7-4055-920F-EB8B18A1E2FC}"/>
    <hyperlink ref="F176" r:id="rId32" display="https://github.com/bitcoin" xr:uid="{B8466924-2410-46C3-A1CA-AD0020EE2F74}"/>
    <hyperlink ref="F180" r:id="rId33" display="https://www.coingecko.com/pt/categories/cryptocurrency" xr:uid="{A5283FB8-180C-44EF-9FA5-334B2CE090D2}"/>
    <hyperlink ref="F239" r:id="rId34" display="https://www.coingecko.com/pt/global-charts" xr:uid="{BF12BC4E-5F87-4848-BB71-4E801D0C59A0}"/>
    <hyperlink ref="G249" r:id="rId35" display="https://www.coingecko.com/pt/c%C3%A2mbios/binance" xr:uid="{9AC9FFC4-BC80-4956-B2B2-D4A73E2F52C3}"/>
    <hyperlink ref="G250" r:id="rId36" display="https://www.coingecko.com/pt/c%C3%A2mbios/binance" xr:uid="{4649F512-4C94-4AE6-B0E5-4C57A8820FEB}"/>
    <hyperlink ref="I249" r:id="rId37" display="https://www.binance.com/en/trade/BTC_USDT?ref=37754157" xr:uid="{B8578D43-D884-4678-9D8B-623D3BC55045}"/>
    <hyperlink ref="G251" r:id="rId38" display="https://www.coingecko.com/pt/c%C3%A2mbios/coinbase-exchange" xr:uid="{EAB64F76-0692-441B-83B2-4D1E8868C073}"/>
    <hyperlink ref="G252" r:id="rId39" display="https://www.coingecko.com/pt/c%C3%A2mbios/coinbase-exchange" xr:uid="{84F94B15-3D35-4DEA-94D3-189CC152E68D}"/>
    <hyperlink ref="I251" r:id="rId40" display="https://www.coinbase.com/advanced-trade/spot/BTC-USD" xr:uid="{20FD3867-87BD-4832-922E-A4BE841B3E5F}"/>
    <hyperlink ref="G253" r:id="rId41" display="https://www.coingecko.com/pt/c%C3%A2mbios/kraken" xr:uid="{9B63FACB-EA24-401A-9ECE-BAA618CD755A}"/>
    <hyperlink ref="G254" r:id="rId42" display="https://www.coingecko.com/pt/c%C3%A2mbios/kraken" xr:uid="{D2604930-B64C-4B5A-B5FD-16018568DC0E}"/>
    <hyperlink ref="I253" r:id="rId43" display="https://pro.kraken.com/app/trade/BTC-USD?c/2223866/1766749/10583" xr:uid="{C6F5936B-CE26-43E2-A265-A9C43F98402D}"/>
    <hyperlink ref="G255" r:id="rId44" display="https://www.coingecko.com/pt/c%C3%A2mbios/bitget" xr:uid="{9A8434A4-4219-4D9B-989B-4D23DC8A65B2}"/>
    <hyperlink ref="G256" r:id="rId45" display="https://www.coingecko.com/pt/c%C3%A2mbios/bitget" xr:uid="{DDD948B2-861E-48FF-8403-EA5680AB05D5}"/>
    <hyperlink ref="I255" r:id="rId46" display="https://www.bitget.com/spot/BTCUSDT?channelCode=42xn&amp;vipCode=sq59&amp;languageType=0" xr:uid="{B3B3E1C8-B536-4ACA-B244-793FFEA4A9B9}"/>
    <hyperlink ref="G257" r:id="rId47" display="https://www.coingecko.com/pt/c%C3%A2mbios/gate-io" xr:uid="{D7088AC1-2779-4DEA-A4C7-FF66399DE66C}"/>
    <hyperlink ref="G258" r:id="rId48" display="https://www.coingecko.com/pt/c%C3%A2mbios/gate-io" xr:uid="{78D03D82-A6B3-4A9F-94CD-E82CBADF1998}"/>
    <hyperlink ref="I257" r:id="rId49" display="https://gate.io/trade/BTC_USDT?ref=3018394" xr:uid="{5A2B4A3B-2C85-4476-A696-E1E6637BD3AC}"/>
    <hyperlink ref="G259" r:id="rId50" display="https://www.coingecko.com/pt/c%C3%A2mbios/okx" xr:uid="{D9DE3132-9136-4DBB-8019-50980BFE5FF7}"/>
    <hyperlink ref="G260" r:id="rId51" display="https://www.coingecko.com/pt/c%C3%A2mbios/okx" xr:uid="{7B19FB29-6A1F-4259-9497-420CBA9FEF53}"/>
    <hyperlink ref="I259" r:id="rId52" display="https://www.okx.com/trade-spot/btc-usdt?channelid=1902090" xr:uid="{C37197B7-814C-4FBA-9873-26B9670CBAA5}"/>
    <hyperlink ref="G261" r:id="rId53" display="https://www.coingecko.com/pt/c%C3%A2mbios/binance" xr:uid="{CA00D70B-1911-4F29-A9CE-5D9814FAEDE8}"/>
    <hyperlink ref="G262" r:id="rId54" display="https://www.coingecko.com/pt/c%C3%A2mbios/binance" xr:uid="{6D42E026-6675-4CAE-9515-A0DCABA5CBF8}"/>
    <hyperlink ref="I261" r:id="rId55" display="https://www.binance.com/en/trade/WBTC_BTC?ref=37754157" xr:uid="{5431DFDF-78AF-4FC2-90EA-17CFB31980D8}"/>
    <hyperlink ref="G263" r:id="rId56" display="https://www.coingecko.com/pt/c%C3%A2mbios/mexc" xr:uid="{32ACBC30-D285-410D-9F91-4BF10ECC3EB9}"/>
    <hyperlink ref="G264" r:id="rId57" display="https://www.coingecko.com/pt/c%C3%A2mbios/mexc" xr:uid="{3BAE3F57-4FCB-4CEF-95D5-06F02E9017E4}"/>
    <hyperlink ref="I263" r:id="rId58" display="https://www.mexc.com/exchange/BTC_USDT?inviteCode=1498J" xr:uid="{33B62C38-A3E5-451E-8F05-3A11768CF2EE}"/>
    <hyperlink ref="G265" r:id="rId59" display="https://www.coingecko.com/pt/c%C3%A2mbios/bybit_spot" xr:uid="{2FFBF6B6-6EF8-4871-9365-A16FE3BF7FD4}"/>
    <hyperlink ref="G266" r:id="rId60" display="https://www.coingecko.com/pt/c%C3%A2mbios/bybit_spot" xr:uid="{235BAAD7-0F35-4FF3-901E-2B9F2C29425D}"/>
    <hyperlink ref="I265" r:id="rId61" display="https://www.bybit.com/trade/spot/BTC/USDT/?affiliate_id=9763" xr:uid="{BDD46146-51D7-4434-BA9E-6C1DE00F2D73}"/>
    <hyperlink ref="G267" r:id="rId62" display="https://www.coingecko.com/pt/c%C3%A2mbios/bitfinex" xr:uid="{FEB3ED6E-38D4-4088-8323-55CAD7B733E2}"/>
    <hyperlink ref="G268" r:id="rId63" display="https://www.coingecko.com/pt/c%C3%A2mbios/bitfinex" xr:uid="{98F10C77-3113-4C6A-922D-0094A2590A54}"/>
    <hyperlink ref="I267" r:id="rId64" display="https://trading.bitfinex.com/t/BTC:USD?type=exchange?refcode=6dwJVwfb" xr:uid="{3F39510E-8290-4E3A-A361-54B0147F97FB}"/>
    <hyperlink ref="F279" r:id="rId65" display="https://portaldobitcoin.uol.com.br/microstrategy-cria-id-descentralizada-na-blockchain-do-bitcoin/" xr:uid="{42499E1A-86DE-42A0-96AE-505DD7423F51}"/>
    <hyperlink ref="F280" r:id="rId66" display="https://portaldobitcoin.uol.com.br/microstrategy-cria-id-descentralizada-na-blockchain-do-bitcoin/" xr:uid="{BE4D3C81-EA6D-49C2-B907-8C4501196B09}"/>
    <hyperlink ref="F281" r:id="rId67" display="https://portaldobitcoin.uol.com.br/microstrategy-cria-id-descentralizada-na-blockchain-do-bitcoin/" xr:uid="{BEF247D0-DA9F-4908-8DD7-B1DD1FB65BA3}"/>
    <hyperlink ref="F282" r:id="rId68" display="https://portaldobitcoin.uol.com.br/microstrategy-cria-id-descentralizada-na-blockchain-do-bitcoin/" xr:uid="{224348C0-7DF5-4B60-B7C3-2235D61E735E}"/>
    <hyperlink ref="F283:F284" r:id="rId69" display="https://www.cryptopolitan.com/pt/ultima-correcao-do-bitcoin-etf-freia-a-demanda/" xr:uid="{A1693C31-F010-4F13-8508-E89AC264815C}"/>
    <hyperlink ref="F285" r:id="rId70" display="https://www.cryptopolitan.com/pt/ultima-correcao-do-bitcoin-etf-freia-a-demanda/" xr:uid="{2008F9E4-8008-4539-AA6D-0DE0D9E33DDE}"/>
    <hyperlink ref="F286" r:id="rId71" display="https://www.cryptopolitan.com/pt/ultima-correcao-do-bitcoin-etf-freia-a-demanda/" xr:uid="{422CF541-E620-4729-969C-3803D24D6917}"/>
    <hyperlink ref="F287:F288" r:id="rId72" display="https://www.cryptopolitan.com/pt/blackrock-bitcoin-etf-marca-primeira-saida/" xr:uid="{70F166D8-6ECD-4D01-ADC3-72E3CB4588B1}"/>
    <hyperlink ref="F289" r:id="rId73" display="https://www.cryptopolitan.com/pt/blackrock-bitcoin-etf-marca-primeira-saida/" xr:uid="{70548468-360D-4EC6-8FD7-E2C5C1EC8B97}"/>
    <hyperlink ref="F290" r:id="rId74" display="https://www.cryptopolitan.com/pt/blackrock-bitcoin-etf-marca-primeira-saida/" xr:uid="{1944404E-2774-4D54-A3B1-59F98FC710EA}"/>
    <hyperlink ref="F291:F292" r:id="rId75" display="https://portaldobitcoin.uol.com.br/governo-dos-eua-esta-investigando-jack-dorsey-por-negocios-com-bitcoin/" xr:uid="{D77159AB-A3FF-4F98-A3C3-4310809A8DEF}"/>
    <hyperlink ref="F293" r:id="rId76" display="https://portaldobitcoin.uol.com.br/governo-dos-eua-esta-investigando-jack-dorsey-por-negocios-com-bitcoin/" xr:uid="{C0B75475-E4D3-4A72-B711-8A6734CEF10D}"/>
    <hyperlink ref="F294" r:id="rId77" display="https://portaldobitcoin.uol.com.br/governo-dos-eua-esta-investigando-jack-dorsey-por-negocios-com-bitcoin/" xr:uid="{78B8F8E3-FBF2-4895-9317-BB992AF97F7D}"/>
    <hyperlink ref="F299" r:id="rId78" display="https://www.coingecko.com/pt/moedas/bitcoin/usd" xr:uid="{E2ED9959-6748-437A-BC5E-702215D94486}"/>
    <hyperlink ref="F300" r:id="rId79" display="https://www.coingecko.com/pt/moedas/bitcoin/usd" xr:uid="{A9A92D48-A167-40A6-B491-5BEED53C36CA}"/>
    <hyperlink ref="F301" r:id="rId80" display="https://www.coingecko.com/pt/moedas/bitcoin/eur" xr:uid="{765B988C-6095-4D10-898A-17B77D6EBA78}"/>
    <hyperlink ref="F302" r:id="rId81" display="https://www.coingecko.com/pt/moedas/bitcoin/eur" xr:uid="{DCDE2B71-7664-4FD1-A93F-0D4DC8F527F5}"/>
    <hyperlink ref="F303" r:id="rId82" display="https://www.coingecko.com/pt/moedas/bitcoin/brl" xr:uid="{A491A23F-5FC8-4D26-BBD1-96BF3296DC0C}"/>
    <hyperlink ref="F304" r:id="rId83" display="https://www.coingecko.com/pt/moedas/bitcoin/brl" xr:uid="{78DAE392-23F7-429F-8407-26FB993FDE63}"/>
    <hyperlink ref="F308" r:id="rId84" display="https://www.coingecko.com/pt/moedas/ethereum" xr:uid="{720A7A55-7287-487C-8AD1-6F4E79B43888}"/>
    <hyperlink ref="F309" r:id="rId85" display="https://www.coingecko.com/pt/moedas/ethereum" xr:uid="{C155E088-ED42-4EEA-B279-32A1D2FEBE41}"/>
    <hyperlink ref="F310" r:id="rId86" display="https://www.coingecko.com/pt/moedas/ethereum" xr:uid="{14CD5323-CC48-4AFD-8FEF-CD462D52ECEB}"/>
    <hyperlink ref="F311" r:id="rId87" display="https://www.coingecko.com/pt/moedas/bnb" xr:uid="{EB95AA5A-152D-4727-99EA-BA0EC4223A48}"/>
    <hyperlink ref="F312" r:id="rId88" display="https://www.coingecko.com/pt/moedas/bnb" xr:uid="{4E953578-6C86-4D06-8E56-647D06D5F9EE}"/>
    <hyperlink ref="F313" r:id="rId89" display="https://www.coingecko.com/pt/moedas/bnb" xr:uid="{BBDD924E-5908-4D56-8553-91C67811595F}"/>
    <hyperlink ref="F314" r:id="rId90" display="https://www.coingecko.com/pt/moedas/solana" xr:uid="{5AD0CC87-D681-4B34-B3CF-CDF81E100E45}"/>
    <hyperlink ref="F315" r:id="rId91" display="https://www.coingecko.com/pt/moedas/solana" xr:uid="{EF9B0430-9A5F-41DD-9679-845B5E8E73AC}"/>
    <hyperlink ref="F316" r:id="rId92" display="https://www.coingecko.com/pt/moedas/solana" xr:uid="{F1289C45-D22A-436E-9B45-008AF0E21185}"/>
    <hyperlink ref="F317" r:id="rId93" display="https://www.coingecko.com/pt/moedas/toncoin" xr:uid="{12996468-5AFC-4CF1-9FF3-0445AEBCF1A4}"/>
    <hyperlink ref="F318" r:id="rId94" display="https://www.coingecko.com/pt/moedas/toncoin" xr:uid="{DD76EFB1-CB0C-4CE5-B5E4-EFAB18839854}"/>
    <hyperlink ref="F319" r:id="rId95" display="https://www.coingecko.com/pt/moedas/toncoin" xr:uid="{A3E59875-9BA9-482A-A669-C74BF94672EF}"/>
    <hyperlink ref="F320" r:id="rId96" display="https://www.coingecko.com/pt/moedas/cardano" xr:uid="{5C165CBA-055F-4650-B352-C37BCBAEAA0E}"/>
    <hyperlink ref="F321" r:id="rId97" display="https://www.coingecko.com/pt/moedas/cardano" xr:uid="{7BF7A11D-D901-48FB-8DEA-431576868C33}"/>
    <hyperlink ref="F322" r:id="rId98" display="https://www.coingecko.com/pt/moedas/cardano" xr:uid="{280A9F32-54B1-4DCD-8662-496EC0728F48}"/>
    <hyperlink ref="F326" r:id="rId99" display="https://www.coingecko.com/pt/moedas/solana" xr:uid="{155E2C35-7512-45B4-90F3-21FC0C73A72F}"/>
    <hyperlink ref="F327" r:id="rId100" display="https://www.coingecko.com/pt/moedas/solana" xr:uid="{7931F0B7-2475-4984-AA2E-02802F74BA64}"/>
    <hyperlink ref="F328" r:id="rId101" display="https://www.coingecko.com/pt/moedas/solana" xr:uid="{80155B6F-9351-49C3-B95A-4A3EB009810C}"/>
    <hyperlink ref="F329" r:id="rId102" display="https://www.coingecko.com/pt/moedas/dione" xr:uid="{395DCCE4-6E35-46E8-B0F1-5B2D50B11C3E}"/>
    <hyperlink ref="F330" r:id="rId103" display="https://www.coingecko.com/pt/moedas/dione" xr:uid="{F7F71F3F-6B40-4ADD-BC2A-7E92DEAFDAAD}"/>
    <hyperlink ref="F331" r:id="rId104" display="https://www.coingecko.com/pt/moedas/dione" xr:uid="{731ED15A-E4D9-44E2-B68E-CA2D77AFCD34}"/>
    <hyperlink ref="F332" r:id="rId105" display="https://www.coingecko.com/pt/moedas/pixels" xr:uid="{50790774-FADD-41AC-8A8F-541BC627A9E7}"/>
    <hyperlink ref="F333" r:id="rId106" display="https://www.coingecko.com/pt/moedas/pixels" xr:uid="{67333135-46FA-4E68-8751-E77A72742C1E}"/>
    <hyperlink ref="F334" r:id="rId107" display="https://www.coingecko.com/pt/moedas/pixels" xr:uid="{17204BF4-C4E3-4A68-A4D7-08D822E94A07}"/>
    <hyperlink ref="F335" r:id="rId108" display="https://www.coingecko.com/pt/moedas/bitcoin" xr:uid="{737F7ECB-64D1-4A10-B038-CF6F9607C739}"/>
    <hyperlink ref="F336" r:id="rId109" display="https://www.coingecko.com/pt/moedas/bitcoin" xr:uid="{52231AD8-1557-4168-806C-58DBFAECC470}"/>
    <hyperlink ref="F337" r:id="rId110" display="https://www.coingecko.com/pt/moedas/bitcoin" xr:uid="{A93CCB7B-68E3-4D92-B67F-0295EDE046BA}"/>
    <hyperlink ref="F338" r:id="rId111" display="https://www.coingecko.com/pt/moedas/ethereum" xr:uid="{75461E94-646B-497E-B541-53A0E2964E3E}"/>
    <hyperlink ref="F339" r:id="rId112" display="https://www.coingecko.com/pt/moedas/ethereum" xr:uid="{8CB891C4-E138-4B80-B4B4-4B513E19B143}"/>
    <hyperlink ref="F340" r:id="rId113" display="https://www.coingecko.com/pt/moedas/ethereum" xr:uid="{A123B1DD-E596-4DBC-A9F5-A835AAA56BA2}"/>
    <hyperlink ref="F341" r:id="rId114" display="https://www.coingecko.com/pt/moedas/wormhole" xr:uid="{076122AC-C015-407B-B771-2828EFAA8950}"/>
    <hyperlink ref="F342" r:id="rId115" display="https://www.coingecko.com/pt/moedas/wormhole" xr:uid="{82445C6E-F24D-464F-9AD9-A16DF0AAB6F6}"/>
    <hyperlink ref="F343" r:id="rId116" display="https://www.coingecko.com/pt/moedas/wormhole" xr:uid="{EF179367-72BD-4D08-AFB9-9C7F35AE2547}"/>
    <hyperlink ref="F344" r:id="rId117" display="https://www.coingecko.com/pt/moedas/degen-base" xr:uid="{3708CF6C-A356-4ABA-AB90-ECBA28C10384}"/>
    <hyperlink ref="F345" r:id="rId118" display="https://www.coingecko.com/pt/moedas/degen-base" xr:uid="{190C90D4-F02C-4953-8A48-FEB118686FD8}"/>
    <hyperlink ref="F346" r:id="rId119" display="https://www.coingecko.com/pt/moedas/degen-base" xr:uid="{8E9C6986-CC12-4E87-87E7-DDD7AB92EBB2}"/>
    <hyperlink ref="F347" r:id="rId120" display="https://www.coingecko.com/pt/moedas/pepe" xr:uid="{40A87C4E-C421-4B60-889F-D6D3AD4B580B}"/>
    <hyperlink ref="F348" r:id="rId121" display="https://www.coingecko.com/pt/moedas/pepe" xr:uid="{42513C40-0A55-4988-A80E-70E565B75379}"/>
    <hyperlink ref="F349" r:id="rId122" display="https://www.coingecko.com/pt/moedas/pepe" xr:uid="{B9F10A00-86CA-4FE7-918E-3313E1845823}"/>
    <hyperlink ref="F350" r:id="rId123" display="https://www.coingecko.com/pt/moedas/dymension" xr:uid="{91F2A9E8-BE35-44AA-912C-12C75A846F64}"/>
    <hyperlink ref="F351" r:id="rId124" display="https://www.coingecko.com/pt/moedas/dymension" xr:uid="{1D9B24FA-F384-435F-AE43-FF06ED413EF7}"/>
    <hyperlink ref="F352" r:id="rId125" display="https://www.coingecko.com/pt/moedas/dymension" xr:uid="{C13AD768-7EA3-44C1-A642-B9DBEA05E8C4}"/>
    <hyperlink ref="F353" r:id="rId126" display="https://www.coingecko.com/pt/moedas/bittensor" xr:uid="{29680A09-4F70-4B79-AB38-1E6468BA26F1}"/>
    <hyperlink ref="F354" r:id="rId127" display="https://www.coingecko.com/pt/moedas/bittensor" xr:uid="{C3D41FAB-1076-4E6B-B230-35C538D24640}"/>
    <hyperlink ref="F355" r:id="rId128" display="https://www.coingecko.com/pt/moedas/bittensor" xr:uid="{95908F2B-7913-4B0D-9797-C0555A960992}"/>
    <hyperlink ref="F364" r:id="rId129" display="https://www.coingecko.com/pt" xr:uid="{014EC680-D60A-46DC-8E9E-F3514ABA3890}"/>
    <hyperlink ref="F367" r:id="rId130" display="https://www.coingecko.com/pt/news" xr:uid="{7F229156-9C37-466B-8840-EC7DE8A6508A}"/>
    <hyperlink ref="F368" r:id="rId131" display="https://www.coingecko.com/pt/public-companies-bitcoin" xr:uid="{251648E0-3DB0-4B10-B936-B1ACB6B72F99}"/>
    <hyperlink ref="F369" r:id="rId132" display="https://www.coingecko.com/pt/cryptocurrency-heatmap" xr:uid="{60B847E1-18A2-47F8-BACE-3A767A4F5FCD}"/>
    <hyperlink ref="F370" r:id="rId133" display="https://www.coingecko.com/pt/api" xr:uid="{C534C414-7629-4CB3-A60C-F2F85A44BD2E}"/>
    <hyperlink ref="F377" r:id="rId134" display="https://www.coingecko.com/request" xr:uid="{B733F693-C135-4B09-B2E1-88FD5F98DF88}"/>
    <hyperlink ref="F378" r:id="rId135" display="https://gcko.io/coingeckoads" xr:uid="{B408942D-F6DF-4287-BCA1-9F32C32E631A}"/>
    <hyperlink ref="F379" r:id="rId136" display="https://www.coingecko.com/pt/candy/partners-getting-started" xr:uid="{B947759C-9F43-45A8-B44A-49F7E0D4143F}"/>
    <hyperlink ref="F380" r:id="rId137" display="https://support.coingecko.com/" xr:uid="{D5989AB2-815C-4357-8D7A-0CC0D6981FCB}"/>
    <hyperlink ref="F381" r:id="rId138" display="https://hackenproof.com/coingecko/coingecko" xr:uid="{281B872B-9FE0-487C-A513-3BE488CB8904}"/>
    <hyperlink ref="F382" r:id="rId139" display="https://www.coingecko.com/pt/faq" xr:uid="{F73C158A-6C11-44A7-83FA-18377B4769E5}"/>
    <hyperlink ref="F384" r:id="rId140" display="https://www.coingecko.com/pt/sobre" xr:uid="{323EF315-AB51-4965-A27A-CCF4E9A6755B}"/>
    <hyperlink ref="F385" r:id="rId141" display="https://careers.coingecko.com/" xr:uid="{61834508-F074-4BC0-B073-32FF4B102A72}"/>
    <hyperlink ref="F386" r:id="rId142" display="https://careers.coingecko.com/" xr:uid="{78B6ADBA-75CC-427E-B89D-38ECE5EBCEDC}"/>
    <hyperlink ref="F387" r:id="rId143" display="https://blog.coingecko.com/" xr:uid="{17A3CF35-CFBC-4DC2-8CEF-4074A8DE806E}"/>
    <hyperlink ref="F388" r:id="rId144" display="https://www.coingecko.com/pt/branding" xr:uid="{FFE1C0D1-FDFC-4F1A-A32D-FB8DABE820C0}"/>
    <hyperlink ref="F389" r:id="rId145" display="https://www.coingecko.com/pt/metodologia" xr:uid="{AFECD23C-2984-4D41-897D-BE81E0127573}"/>
    <hyperlink ref="F390" r:id="rId146" display="https://www.coingecko.com/pt/isen%C3%A7%C3%A3o_de_responsabilidade" xr:uid="{E743F754-EF8D-4AC6-8AE2-08A06411A932}"/>
    <hyperlink ref="F391" r:id="rId147" display="https://www.coingecko.com/pt/termos" xr:uid="{8F1D01A1-5955-4EB3-A0BA-E8A0F65943B1}"/>
    <hyperlink ref="F392" r:id="rId148" display="https://www.coingecko.com/pt/privacidade" xr:uid="{6777BA6C-2943-41EE-B8B1-D2DD75C28A34}"/>
    <hyperlink ref="F393" r:id="rId149" display="https://www.coingecko.com/pt/ad_policy" xr:uid="{5B30BA2E-EA9E-4D23-90AD-94EE2298C7C1}"/>
    <hyperlink ref="F396" r:id="rId150" display="https://twitter.com/coingecko" xr:uid="{D8ADA13B-7061-46A4-A3AF-8C40864A7461}"/>
    <hyperlink ref="F397" r:id="rId151" display="https://t.me/coingecko" xr:uid="{E8574995-F385-4D8F-B39C-DB46DF8AEA00}"/>
    <hyperlink ref="F398" r:id="rId152" display="https://t.me/coingeckonews" xr:uid="{26E057E1-E4CF-4B6E-A639-08A43771D8EB}"/>
    <hyperlink ref="F399" r:id="rId153" display="https://www.instagram.com/coingecko/" xr:uid="{B09BB258-335C-4833-B5F4-3784E09ED326}"/>
    <hyperlink ref="F400" r:id="rId154" display="https://www.reddit.com/r/coingecko/" xr:uid="{4259B4E2-1DD0-459E-A344-3CF65F3DA8A6}"/>
    <hyperlink ref="F401" r:id="rId155" display="https://discord.gg/EhrkaCH" xr:uid="{231685C7-6482-4AD8-8C10-9AF24AFFF18A}"/>
    <hyperlink ref="F402" r:id="rId156" display="https://www.facebook.com/coingecko" xr:uid="{09BB81D1-58A1-4CEA-A469-E805B567C8E2}"/>
    <hyperlink ref="F403" r:id="rId157" display="https://www.youtube.com/channel/UC-OTgwOAI7KmP0eDAtqN3Ow?sub_confirmation=1" xr:uid="{E1E7226C-9217-4AF2-BB15-3E065DABF009}"/>
    <hyperlink ref="F404" r:id="rId158" display="https://www.tiktok.com/@coingeckotv" xr:uid="{ED860345-E6C8-4375-8417-B17FDA3BE184}"/>
    <hyperlink ref="F410" r:id="rId159" display="https://www.coingecko.com/pt/isen%C3%A7%C3%A3o_de_responsabilidade" xr:uid="{0566A4C2-772E-4581-ABA7-C8841FA7D5FB}"/>
    <hyperlink ref="F660" r:id="rId160" display="https://coingecko.app.link/lTInCXLGz4" xr:uid="{475F81EC-9BE8-4CB4-A66A-B9707ADBA266}"/>
    <hyperlink ref="S2" r:id="rId161" display="https://www.coingecko.com/pt" xr:uid="{271B0831-AD2C-40BC-80A9-FD8023DF1F3D}"/>
    <hyperlink ref="S3" r:id="rId162" display="https://www.coingecko.com/pt/c%C3%A2mbios" xr:uid="{44B9271C-E919-4A73-9AC0-19E6249FC55B}"/>
    <hyperlink ref="S4" r:id="rId163" display="https://www.coingecko.com/pt/global-charts" xr:uid="{B089229B-1738-4D27-B917-1781962AA6CE}"/>
    <hyperlink ref="S5" r:id="rId164" display="https://www.coingecko.com/pt/global-charts" xr:uid="{4DB09190-1D83-4AE0-BE42-164C9DDA6250}"/>
    <hyperlink ref="S25" r:id="rId165" display="https://www.coingecko.com/pt/premium/pricing" xr:uid="{9B222327-8A08-4937-8DFC-3E2812B1DD35}"/>
    <hyperlink ref="S28:S29" r:id="rId166" display="https://coingecko.app.link/lTInCXLGz4" xr:uid="{25D58598-B17F-41EF-9581-1274BC5A3EA3}"/>
    <hyperlink ref="S48" r:id="rId167" display="https://www.geckoterminal.com/?utm_source=coingecko&amp;utm_medium=referral&amp;utm_campaign=desktop_navigation" xr:uid="{7BCEA9B6-63F4-4D72-9C7F-A295CBE8C7F1}"/>
    <hyperlink ref="S49" r:id="rId168" display="https://www.coingecko.com/pt/candy" xr:uid="{D671B017-685B-4B39-B21B-C5089103CD1D}"/>
    <hyperlink ref="S50" r:id="rId169" display="https://www.coingecko.com/pt/candy" xr:uid="{E2E8DC9A-3500-4444-948E-AF8FCC2ABE51}"/>
    <hyperlink ref="S51" r:id="rId170" display="https://www.coingecko.com/pt/candy" xr:uid="{C62CC2E4-9615-42B0-B6D3-82A0A37E102E}"/>
    <hyperlink ref="S52" r:id="rId171" display="https://www.coingecko.com/pt/portfolio" xr:uid="{0759DCA9-8322-46A2-A5DD-83C26F3F5EC9}"/>
    <hyperlink ref="S70" r:id="rId172" display="https://gcko.io/search-survey" xr:uid="{4AE8D440-5E23-4E8F-A2BC-DD0F0AF9C8EE}"/>
    <hyperlink ref="S73" r:id="rId173" display="https://www.coingecko.com/pt" xr:uid="{928E4052-A666-4660-93BA-9555964B1F0A}"/>
    <hyperlink ref="S92" r:id="rId174" display="https://www.coingecko.com/pt/metodologia" xr:uid="{5B830E0D-3BF6-4534-96D0-0C1FB979482A}"/>
    <hyperlink ref="S106" r:id="rId175" display="https://www.coingecko.com/pt/api" xr:uid="{B8F082BA-2868-42B8-AE43-FDF73E7620C7}"/>
    <hyperlink ref="S107" r:id="rId176" display="https://www.tradingview.com/?aff_id=132489" xr:uid="{E2BD62EA-3F63-42DA-896B-D4C27061EBEA}"/>
    <hyperlink ref="S123" r:id="rId177" display="https://www.coingecko.com/pt/metodologia" xr:uid="{66BA291E-B4D3-45A2-AE9F-A82E3BDF8FF9}"/>
    <hyperlink ref="S129" r:id="rId178" display="https://www.coingecko.com/learn/what-is-fully-diluted-valuation-fdv-in-crypto" xr:uid="{86B4430E-E9E9-4E86-B57D-4E54E8C5E802}"/>
    <hyperlink ref="S135" r:id="rId179" display="https://www.coingecko.com/learn/what-is-fully-diluted-valuation-fdv-in-crypto" xr:uid="{8001EF8C-1E6C-4C87-BAFC-0F587DB01DD9}"/>
    <hyperlink ref="S139" r:id="rId180" display="https://www.coingecko.com/pt/metodologia" xr:uid="{74B92B1E-3609-47B7-B30B-029170B4A5CE}"/>
    <hyperlink ref="S143" r:id="rId181" display="https://www.coingecko.com/pt/metodologia" xr:uid="{8946AAD9-8262-4C0B-86E3-6D8ED2875EDF}"/>
    <hyperlink ref="T141" r:id="rId182" xr:uid="{508D2771-7517-47D2-AA3A-D4AC10BFB575}"/>
    <hyperlink ref="S159" r:id="rId183" display="https://forms.gle/ULNnnCGCEAimK9cJ7" xr:uid="{E6D6B0AA-D248-49B6-A90A-2E76126CD98E}"/>
    <hyperlink ref="S161" r:id="rId184" display="https://www.ethereum.org/" xr:uid="{13056576-DC17-4D58-B11E-F97B941568DE}"/>
    <hyperlink ref="S163" r:id="rId185" display="https://etherscan.io/" xr:uid="{9F56401B-97F6-41A1-86A9-057EAF36859A}"/>
    <hyperlink ref="S166" r:id="rId186" display="https://gcko.io/ledger" xr:uid="{6518810A-E927-4591-B618-E9E6B4D7478A}"/>
    <hyperlink ref="S169" r:id="rId187" display="https://twitter.com/ethereum" xr:uid="{F49E7259-A02A-4FDE-AE70-011B718DBBFE}"/>
    <hyperlink ref="S171" r:id="rId188" display="https://twitter.com/search?q=$ETH" xr:uid="{2297DF35-A950-4D6D-B51B-6F8585A4FAFA}"/>
    <hyperlink ref="S173" r:id="rId189" display="https://github.com/ethereum" xr:uid="{C20FD55F-6962-4625-9CB2-A53076EFC8CC}"/>
    <hyperlink ref="S177" r:id="rId190" display="https://www.coingecko.com/pt/categories/ethereum-ecosystem" xr:uid="{F7D6EEAC-FB00-4DEA-85DF-D25BD8FC8AA0}"/>
    <hyperlink ref="S179" r:id="rId191" display="https://www.coingecko.com/pt/categories/smart-contract-platform" xr:uid="{5147CEB2-210B-43AD-9DD3-B17A09C3AFDD}"/>
    <hyperlink ref="S238" r:id="rId192" display="https://www.coingecko.com/pt/global-charts" xr:uid="{A19F43ED-07D8-49D8-A8F8-6BCBD76A7D0F}"/>
    <hyperlink ref="T248" r:id="rId193" display="https://www.coingecko.com/pt/c%C3%A2mbios/binance" xr:uid="{6F05F880-F0A6-4EF3-B5B2-383EB54D1452}"/>
    <hyperlink ref="T249" r:id="rId194" display="https://www.coingecko.com/pt/c%C3%A2mbios/binance" xr:uid="{9392C444-FFF1-48D3-961D-24391F8D0A14}"/>
    <hyperlink ref="V248" r:id="rId195" display="https://www.binance.com/en/trade/ETH_USDT?ref=37754157" xr:uid="{0374A038-5ED6-4B83-A297-43AB0231A00F}"/>
    <hyperlink ref="T250" r:id="rId196" display="https://www.coingecko.com/pt/c%C3%A2mbios/gate-io" xr:uid="{25F50B45-9CCB-4081-A3C5-BB461212AC50}"/>
    <hyperlink ref="T251" r:id="rId197" display="https://www.coingecko.com/pt/c%C3%A2mbios/gate-io" xr:uid="{C37E1D13-C80A-478F-8E20-505514D37FBA}"/>
    <hyperlink ref="V250" r:id="rId198" display="https://gate.io/trade/ETH_USDT?ref=3018394" xr:uid="{CD9CB0AA-C097-4FD7-B2AB-C4042D95757F}"/>
    <hyperlink ref="T252" r:id="rId199" display="https://www.coingecko.com/pt/c%C3%A2mbios/okx" xr:uid="{8D963080-C532-4B3E-8452-54DFF427E33B}"/>
    <hyperlink ref="T253" r:id="rId200" display="https://www.coingecko.com/pt/c%C3%A2mbios/okx" xr:uid="{E5292ACA-AD09-4650-BE99-09E950BEB147}"/>
    <hyperlink ref="V252" r:id="rId201" display="https://www.okx.com/trade-spot/eth-usdt?channelid=1902090" xr:uid="{64B57D1E-D099-4EC5-82FD-2BE7E82C0CAB}"/>
    <hyperlink ref="T254" r:id="rId202" display="https://www.coingecko.com/pt/c%C3%A2mbios/okx" xr:uid="{EB2A2789-7F35-4486-B05B-DC97838C2BE2}"/>
    <hyperlink ref="T255" r:id="rId203" display="https://www.coingecko.com/pt/c%C3%A2mbios/okx" xr:uid="{053A598D-D681-4697-8B53-F84CE1BAB6A6}"/>
    <hyperlink ref="V254" r:id="rId204" display="https://www.okx.com/trade-spot/beth-eth?channelid=1902090" xr:uid="{27ED3B8C-80C1-4DA2-83CE-AAD59389BB5B}"/>
    <hyperlink ref="T256" r:id="rId205" display="https://www.coingecko.com/pt/c%C3%A2mbios/toobit" xr:uid="{362B07AA-4898-42F0-8307-D4454569772B}"/>
    <hyperlink ref="T257" r:id="rId206" display="https://www.coingecko.com/pt/c%C3%A2mbios/toobit" xr:uid="{2F7A2CD7-A899-43A7-A118-88F08F60A0D5}"/>
    <hyperlink ref="V256" r:id="rId207" display="https://www.toobit.com/en-US/spot/ETH_USDTregister?invite_code=ukqPOK" xr:uid="{4AF08B05-8D46-4FAA-BD3E-B7FA0FB74F49}"/>
    <hyperlink ref="T258" r:id="rId208" display="https://www.coingecko.com/pt/c%C3%A2mbios/htx" xr:uid="{3EA8C9B1-81B9-4D0D-B18A-A13C358C3633}"/>
    <hyperlink ref="T259" r:id="rId209" display="https://www.coingecko.com/pt/c%C3%A2mbios/htx" xr:uid="{BB69472D-7214-4412-8BEA-DDFAE342008D}"/>
    <hyperlink ref="V258" r:id="rId210" display="https://www.huobi.com/en-us/exchange/eth_usdt?invite_code=d8c53" xr:uid="{AF2219BC-E770-4DFA-8709-4CD655515AC4}"/>
    <hyperlink ref="T260" r:id="rId211" display="https://www.coingecko.com/pt/c%C3%A2mbios/kraken" xr:uid="{5B9E963C-FAA8-404E-87A1-220CE7B7B601}"/>
    <hyperlink ref="T261" r:id="rId212" display="https://www.coingecko.com/pt/c%C3%A2mbios/kraken" xr:uid="{D98D9649-58B3-4AB0-B412-964E0456366B}"/>
    <hyperlink ref="V260" r:id="rId213" display="https://pro.kraken.com/app/trade/ETH-USD?c/2223866/1766749/10583" xr:uid="{666448D8-5B54-4AC3-B1D2-7D67376E3CFB}"/>
    <hyperlink ref="T262" r:id="rId214" display="https://www.coingecko.com/pt/c%C3%A2mbios/mexc" xr:uid="{88C8332A-76BB-4451-B6ED-1C9A33EF0903}"/>
    <hyperlink ref="T263" r:id="rId215" display="https://www.coingecko.com/pt/c%C3%A2mbios/mexc" xr:uid="{EACECD31-C8A2-491C-A963-827CC34A32F0}"/>
    <hyperlink ref="V262" r:id="rId216" display="https://www.mexc.com/exchange/ETH_USDT?inviteCode=1498J" xr:uid="{8603BEFE-7549-4C34-BC34-B26D3EEBA666}"/>
    <hyperlink ref="T264" r:id="rId217" display="https://www.coingecko.com/pt/c%C3%A2mbios/coinbase-exchange" xr:uid="{B7DFFC99-DC6B-4C34-81A4-FF4369222345}"/>
    <hyperlink ref="T265" r:id="rId218" display="https://www.coingecko.com/pt/c%C3%A2mbios/coinbase-exchange" xr:uid="{D5B14A4C-0ED1-4C0F-A2FE-667851E5DAC9}"/>
    <hyperlink ref="V264" r:id="rId219" display="https://www.coinbase.com/advanced-trade/spot/ETH-USD" xr:uid="{CAFAEC6F-A8DD-4C15-8EB4-6C23DCFBAE24}"/>
    <hyperlink ref="T266" r:id="rId220" display="https://www.coingecko.com/pt/c%C3%A2mbios/crypto_com" xr:uid="{3883E1F1-2F63-445A-BB36-8FE6C2E145C9}"/>
    <hyperlink ref="T267" r:id="rId221" display="https://www.coingecko.com/pt/c%C3%A2mbios/crypto_com" xr:uid="{FD6572DF-E5B4-4000-96F5-DB590320D35B}"/>
    <hyperlink ref="V266" r:id="rId222" display="https://crypto.com/exchange/trade/spot/ETH_USD" xr:uid="{A508AC78-092A-4DC4-B888-D8DEDBFC0289}"/>
    <hyperlink ref="S278" r:id="rId223" display="https://br.beincrypto.com/dydx-chain-token/" xr:uid="{07791DEF-CAF4-4888-83D9-08C209B11469}"/>
    <hyperlink ref="S279" r:id="rId224" display="https://br.beincrypto.com/dydx-chain-token/" xr:uid="{204D1DDD-6B12-4927-8DE7-63253BFDEFF5}"/>
    <hyperlink ref="S280" r:id="rId225" display="https://br.beincrypto.com/dydx-chain-token/" xr:uid="{A4C331CD-D61D-4B33-A98D-BE89B5CA6D04}"/>
    <hyperlink ref="S281" r:id="rId226" display="https://br.beincrypto.com/dydx-chain-token/" xr:uid="{C4F44CD0-32CE-4E49-B4E2-18852B81053C}"/>
    <hyperlink ref="S282:S283" r:id="rId227" display="https://www.criptofacil.com/uniswap-domina-entre-as-layer-2-com-37-do-volume-de-negociacoes/" xr:uid="{0B3EFE22-FCE6-4335-A166-04036FFBE1C8}"/>
    <hyperlink ref="S284" r:id="rId228" display="https://www.criptofacil.com/uniswap-domina-entre-as-layer-2-com-37-do-volume-de-negociacoes/" xr:uid="{B7B79CD9-B0B8-420D-B418-986020ACA7A0}"/>
    <hyperlink ref="S285" r:id="rId229" display="https://www.criptofacil.com/uniswap-domina-entre-as-layer-2-com-37-do-volume-de-negociacoes/" xr:uid="{15483F7D-4A1C-4D68-9985-7E42192695F4}"/>
    <hyperlink ref="S286:S287" r:id="rId230" display="https://www.criptofacil.com/previsao-de-preco-das-3-principais-memecoins-dogecoin-shiba-inu-e-bonk/" xr:uid="{DE365F18-D2F9-4B59-8F96-8771BA06A8A9}"/>
    <hyperlink ref="S288" r:id="rId231" display="https://www.criptofacil.com/previsao-de-preco-das-3-principais-memecoins-dogecoin-shiba-inu-e-bonk/" xr:uid="{5AA9CC63-6D9E-43A9-843B-8A752809E32B}"/>
    <hyperlink ref="S289" r:id="rId232" display="https://www.criptofacil.com/previsao-de-preco-das-3-principais-memecoins-dogecoin-shiba-inu-e-bonk/" xr:uid="{42ED6F3D-2A2A-4B03-BAA0-7D47EB0EA4FF}"/>
    <hyperlink ref="S290:S291" r:id="rId233" display="https://br.beincrypto.com/gary-gensler-misled-congress-ethereum/" xr:uid="{933CE10F-0F32-4D9B-8497-494393032CD7}"/>
    <hyperlink ref="S292" r:id="rId234" display="https://br.beincrypto.com/gary-gensler-misled-congress-ethereum/" xr:uid="{E76E48BD-1FCA-482B-9963-042715243ABF}"/>
    <hyperlink ref="S293" r:id="rId235" display="https://br.beincrypto.com/gary-gensler-misled-congress-ethereum/" xr:uid="{967A61F4-8A86-4015-8963-B1A41BBB350E}"/>
    <hyperlink ref="S298" r:id="rId236" display="https://www.coingecko.com/pt/moedas/ethereum/usd" xr:uid="{908E11A2-25F5-4149-B25F-C146D036C486}"/>
    <hyperlink ref="S299" r:id="rId237" display="https://www.coingecko.com/pt/moedas/ethereum/usd" xr:uid="{A5570E1D-944B-411A-A208-54325B7B9E43}"/>
    <hyperlink ref="S300" r:id="rId238" display="https://www.coingecko.com/pt/moedas/ethereum/eur" xr:uid="{A40616B3-C128-4AF5-987C-8DD4375E86BF}"/>
    <hyperlink ref="S301" r:id="rId239" display="https://www.coingecko.com/pt/moedas/ethereum/eur" xr:uid="{FBAF3540-35E5-4E48-AC44-DED0C9D5ED51}"/>
    <hyperlink ref="S302" r:id="rId240" display="https://www.coingecko.com/pt/moedas/ethereum/brl" xr:uid="{423EE3EF-381D-4872-9631-3982B6A4A2B9}"/>
    <hyperlink ref="S303" r:id="rId241" display="https://www.coingecko.com/pt/moedas/ethereum/brl" xr:uid="{DC6445DF-BE19-431A-B393-16B54C23B2B5}"/>
    <hyperlink ref="S307" r:id="rId242" display="https://www.coingecko.com/pt/moedas/solana" xr:uid="{2F39D93F-E199-4818-92A9-9A9E117E3CF9}"/>
    <hyperlink ref="S308" r:id="rId243" display="https://www.coingecko.com/pt/moedas/solana" xr:uid="{BBF7D777-E441-455A-85F9-E9A387956E14}"/>
    <hyperlink ref="S309" r:id="rId244" display="https://www.coingecko.com/pt/moedas/solana" xr:uid="{316F6DF0-36FA-422A-B807-9B3D6064CF5E}"/>
    <hyperlink ref="S310" r:id="rId245" display="https://www.coingecko.com/pt/moedas/near" xr:uid="{347C1625-07F6-4822-BA1A-A48970443903}"/>
    <hyperlink ref="S311" r:id="rId246" display="https://www.coingecko.com/pt/moedas/near" xr:uid="{4C06BD65-92DD-4412-8FC6-25EAE3492C90}"/>
    <hyperlink ref="S312" r:id="rId247" display="https://www.coingecko.com/pt/moedas/near" xr:uid="{E965BA69-40ED-41A4-96B6-486AF88A8346}"/>
    <hyperlink ref="S313" r:id="rId248" display="https://www.coingecko.com/pt/moedas/polygon" xr:uid="{5992C4E5-52C2-422C-A73A-92B7F54A3160}"/>
    <hyperlink ref="S314" r:id="rId249" display="https://www.coingecko.com/pt/moedas/polygon" xr:uid="{8F165EDE-348B-4442-BEFB-742150C8CEBD}"/>
    <hyperlink ref="S315" r:id="rId250" display="https://www.coingecko.com/pt/moedas/polygon" xr:uid="{D784E657-67B5-449D-ABE0-149CF1967165}"/>
    <hyperlink ref="S316" r:id="rId251" display="https://www.coingecko.com/pt/moedas/render" xr:uid="{21DA2CCC-A4C6-43E2-96E8-24AEDD635ECB}"/>
    <hyperlink ref="S317" r:id="rId252" display="https://www.coingecko.com/pt/moedas/render" xr:uid="{5FE57509-E8DC-40ED-9F75-69BBF49F2724}"/>
    <hyperlink ref="S318" r:id="rId253" display="https://www.coingecko.com/pt/moedas/render" xr:uid="{3BDBF4E7-6312-45DE-B4E3-8468DCA4E3A0}"/>
    <hyperlink ref="S319" r:id="rId254" display="https://www.coingecko.com/pt/moedas/arbitrum" xr:uid="{F51B0CA9-0D82-49CF-AC79-07D94B89D09C}"/>
    <hyperlink ref="S320" r:id="rId255" display="https://www.coingecko.com/pt/moedas/arbitrum" xr:uid="{1D945F8B-6B91-4522-ABC4-4A4C43E35F12}"/>
    <hyperlink ref="S321" r:id="rId256" display="https://www.coingecko.com/pt/moedas/arbitrum" xr:uid="{3E43CF64-AFFE-43F5-8C8E-7F6EF06F3AF3}"/>
    <hyperlink ref="S325" r:id="rId257" display="https://www.coingecko.com/pt/moedas/solana" xr:uid="{C62C2AE3-88A3-4A7C-B09D-735AEC1112AF}"/>
    <hyperlink ref="S326" r:id="rId258" display="https://www.coingecko.com/pt/moedas/solana" xr:uid="{D246339C-289C-488C-AF86-C66B73898837}"/>
    <hyperlink ref="S327" r:id="rId259" display="https://www.coingecko.com/pt/moedas/solana" xr:uid="{9719A255-FA2F-4EB5-A815-C72E2A4F235C}"/>
    <hyperlink ref="S328" r:id="rId260" display="https://www.coingecko.com/pt/moedas/dione" xr:uid="{CFCC175B-8151-4C7E-8A7C-FD702C46365B}"/>
    <hyperlink ref="S329" r:id="rId261" display="https://www.coingecko.com/pt/moedas/dione" xr:uid="{6A997CF1-F5E3-473E-BD34-7BB18AD8CC38}"/>
    <hyperlink ref="S330" r:id="rId262" display="https://www.coingecko.com/pt/moedas/dione" xr:uid="{DAF271AB-9B15-4C9C-8882-54F8CB2D2D8C}"/>
    <hyperlink ref="S331" r:id="rId263" display="https://www.coingecko.com/pt/moedas/pixels" xr:uid="{DD39F32C-42C3-466A-88F4-71D744AC047A}"/>
    <hyperlink ref="S332" r:id="rId264" display="https://www.coingecko.com/pt/moedas/pixels" xr:uid="{782D4C7B-FA0A-467A-8ACC-4F33698F0AB6}"/>
    <hyperlink ref="S333" r:id="rId265" display="https://www.coingecko.com/pt/moedas/pixels" xr:uid="{2FA2ECA4-0A4A-42E2-82CA-B1CAD9E6BD50}"/>
    <hyperlink ref="S334" r:id="rId266" display="https://www.coingecko.com/pt/moedas/bitcoin" xr:uid="{A1DFD4DD-F620-4801-9295-87BC0E86871A}"/>
    <hyperlink ref="S335" r:id="rId267" display="https://www.coingecko.com/pt/moedas/bitcoin" xr:uid="{A358104A-D929-44B1-95FA-B094B9E4D264}"/>
    <hyperlink ref="S336" r:id="rId268" display="https://www.coingecko.com/pt/moedas/bitcoin" xr:uid="{E176FAC3-CB8B-4338-8130-8CD48B835E2D}"/>
    <hyperlink ref="S337" r:id="rId269" display="https://www.coingecko.com/pt/moedas/ethereum" xr:uid="{1CE418E8-E3BC-47B1-859B-B73F0B6F1CA3}"/>
    <hyperlink ref="S338" r:id="rId270" display="https://www.coingecko.com/pt/moedas/ethereum" xr:uid="{B64A7F75-84AA-46C6-A8DB-4A8951602567}"/>
    <hyperlink ref="S339" r:id="rId271" display="https://www.coingecko.com/pt/moedas/ethereum" xr:uid="{9D24077B-5ACA-4495-B1FC-F0A3B9FF01DC}"/>
    <hyperlink ref="S340" r:id="rId272" display="https://www.coingecko.com/pt/moedas/wormhole" xr:uid="{B1CC2A8A-C543-4A8E-BADD-D127B4F5E8FD}"/>
    <hyperlink ref="S341" r:id="rId273" display="https://www.coingecko.com/pt/moedas/wormhole" xr:uid="{F4C6FAFE-66A3-48D8-B5B6-8FEFF05C3C13}"/>
    <hyperlink ref="S342" r:id="rId274" display="https://www.coingecko.com/pt/moedas/wormhole" xr:uid="{7D0DDA47-57BC-4EF8-B9C9-DFA6A57EE079}"/>
    <hyperlink ref="S343" r:id="rId275" display="https://www.coingecko.com/pt/moedas/degen-base" xr:uid="{68F9C475-B4B5-47F1-9065-60B33719CF1A}"/>
    <hyperlink ref="S344" r:id="rId276" display="https://www.coingecko.com/pt/moedas/degen-base" xr:uid="{2A4C93D8-DB34-40DD-91E7-6148813727B8}"/>
    <hyperlink ref="S345" r:id="rId277" display="https://www.coingecko.com/pt/moedas/degen-base" xr:uid="{3A6B79C3-990C-4081-927D-83A7FC4DB64F}"/>
    <hyperlink ref="S346" r:id="rId278" display="https://www.coingecko.com/pt/moedas/pepe" xr:uid="{5FD776D2-B4B7-43AC-B7B6-387AC1D2494A}"/>
    <hyperlink ref="S347" r:id="rId279" display="https://www.coingecko.com/pt/moedas/pepe" xr:uid="{3599FC3B-1F5C-49B0-B712-A91276C98128}"/>
    <hyperlink ref="S348" r:id="rId280" display="https://www.coingecko.com/pt/moedas/pepe" xr:uid="{A5079349-F204-4D8F-B085-05B626AD2258}"/>
    <hyperlink ref="S349" r:id="rId281" display="https://www.coingecko.com/pt/moedas/dymension" xr:uid="{BEE4BCA5-0005-4276-B4CD-F2C9EB3774E9}"/>
    <hyperlink ref="S350" r:id="rId282" display="https://www.coingecko.com/pt/moedas/dymension" xr:uid="{BD8ACCC3-60D6-4C4E-9F1F-D2C914679FF4}"/>
    <hyperlink ref="S351" r:id="rId283" display="https://www.coingecko.com/pt/moedas/dymension" xr:uid="{67560C17-79C2-420E-969F-9856D8C1065F}"/>
    <hyperlink ref="S352" r:id="rId284" display="https://www.coingecko.com/pt/moedas/bittensor" xr:uid="{C490D608-22B8-412E-BBF6-FE8F33C7F939}"/>
    <hyperlink ref="S353" r:id="rId285" display="https://www.coingecko.com/pt/moedas/bittensor" xr:uid="{173199AE-D7CB-40CA-954D-F38C9A73B67C}"/>
    <hyperlink ref="S354" r:id="rId286" display="https://www.coingecko.com/pt/moedas/bittensor" xr:uid="{297B3888-0B25-4646-90AE-DAC26C3D0A3B}"/>
    <hyperlink ref="S363" r:id="rId287" display="https://www.coingecko.com/pt" xr:uid="{9A4D4C5C-DA5A-495F-BBE3-24442D57ED6A}"/>
    <hyperlink ref="S366" r:id="rId288" display="https://www.coingecko.com/pt/news" xr:uid="{4A76750B-64AE-49CC-B221-46390AAFF2A2}"/>
    <hyperlink ref="S367" r:id="rId289" display="https://www.coingecko.com/pt/public-companies-bitcoin" xr:uid="{060A718C-E8E1-4A23-B1A4-ABF16D332DDA}"/>
    <hyperlink ref="S368" r:id="rId290" display="https://www.coingecko.com/pt/cryptocurrency-heatmap" xr:uid="{00270889-D67E-4218-9BD4-179E6AE806D9}"/>
    <hyperlink ref="S369" r:id="rId291" display="https://www.coingecko.com/pt/api" xr:uid="{B11C6C47-50A4-486D-8612-BB25565FE17A}"/>
    <hyperlink ref="S376" r:id="rId292" display="https://www.coingecko.com/request" xr:uid="{E316E97D-7152-483A-B07C-420A6D90F915}"/>
    <hyperlink ref="S377" r:id="rId293" display="https://gcko.io/coingeckoads" xr:uid="{B126A500-33A7-44C0-A136-F045E10FC030}"/>
    <hyperlink ref="S378" r:id="rId294" display="https://www.coingecko.com/pt/candy/partners-getting-started" xr:uid="{C73DB44F-F60D-4CB3-8AB5-4BB31AD9050D}"/>
    <hyperlink ref="S379" r:id="rId295" display="https://support.coingecko.com/" xr:uid="{2038068F-1349-4379-887E-5573A165C871}"/>
    <hyperlink ref="S380" r:id="rId296" display="https://hackenproof.com/coingecko/coingecko" xr:uid="{7AC4197A-1D4B-463E-992A-516AE59E3385}"/>
    <hyperlink ref="S381" r:id="rId297" display="https://www.coingecko.com/pt/faq" xr:uid="{0179F790-8EB2-4EA4-969D-EDF79EE79133}"/>
    <hyperlink ref="S383" r:id="rId298" display="https://www.coingecko.com/pt/sobre" xr:uid="{2E1606D5-C475-4848-971C-92118497435A}"/>
    <hyperlink ref="S384" r:id="rId299" display="https://careers.coingecko.com/" xr:uid="{82F09D01-71FC-4553-9256-A6C8D0B63FFE}"/>
    <hyperlink ref="S385" r:id="rId300" display="https://careers.coingecko.com/" xr:uid="{9000F1DB-1AEB-4113-A461-4B706685BECD}"/>
    <hyperlink ref="S386" r:id="rId301" display="https://blog.coingecko.com/" xr:uid="{24AA4059-0519-43AC-8E46-1A78EC08BF64}"/>
    <hyperlink ref="S387" r:id="rId302" display="https://www.coingecko.com/pt/branding" xr:uid="{B5B21B4A-142D-4E8A-BFEC-18A344DD16B1}"/>
    <hyperlink ref="S388" r:id="rId303" display="https://www.coingecko.com/pt/metodologia" xr:uid="{DDC6D85C-CE55-4D8C-83CE-6A59EB7820BA}"/>
    <hyperlink ref="S389" r:id="rId304" display="https://www.coingecko.com/pt/isen%C3%A7%C3%A3o_de_responsabilidade" xr:uid="{5D3BA2C9-9F8F-4874-B1FA-DBED1F359B74}"/>
    <hyperlink ref="S390" r:id="rId305" display="https://www.coingecko.com/pt/termos" xr:uid="{B45AB291-2BD0-49F2-80B9-6D8556E69228}"/>
    <hyperlink ref="S391" r:id="rId306" display="https://www.coingecko.com/pt/privacidade" xr:uid="{4364ECC2-BBDE-4764-A03E-01D42E60FE47}"/>
    <hyperlink ref="S392" r:id="rId307" display="https://www.coingecko.com/pt/ad_policy" xr:uid="{3698FCC4-833F-452E-9D6B-2C7F0A67F337}"/>
    <hyperlink ref="S395" r:id="rId308" display="https://twitter.com/coingecko" xr:uid="{1A78CA8A-8211-43C4-BB70-F881FB0B7B11}"/>
    <hyperlink ref="S396" r:id="rId309" display="https://t.me/coingecko" xr:uid="{0F71FF75-584D-4D62-81CE-9717F67BBBC0}"/>
    <hyperlink ref="S397" r:id="rId310" display="https://t.me/coingeckonews" xr:uid="{84BAC80B-7E00-4D7D-9AB5-672FE8165AA6}"/>
    <hyperlink ref="S398" r:id="rId311" display="https://www.instagram.com/coingecko/" xr:uid="{83017D68-DF35-444E-ADFB-419E74A426CE}"/>
    <hyperlink ref="S399" r:id="rId312" display="https://www.reddit.com/r/coingecko/" xr:uid="{1ABBF466-0994-41AC-9668-983B10B0C0A8}"/>
    <hyperlink ref="S400" r:id="rId313" display="https://discord.gg/EhrkaCH" xr:uid="{017BE821-DC80-4396-8AC2-76661A8CCBDB}"/>
    <hyperlink ref="S401" r:id="rId314" display="https://www.facebook.com/coingecko" xr:uid="{8FDA6542-0466-4BB6-9AA7-3FA280A6F8DB}"/>
    <hyperlink ref="S402" r:id="rId315" display="https://www.youtube.com/channel/UC-OTgwOAI7KmP0eDAtqN3Ow?sub_confirmation=1" xr:uid="{2037400E-FF25-486A-A721-B2D63E7C23D3}"/>
    <hyperlink ref="S403" r:id="rId316" display="https://www.tiktok.com/@coingeckotv" xr:uid="{647CC456-FD38-430A-96DA-216B9F2C07E9}"/>
    <hyperlink ref="S409" r:id="rId317" display="https://www.coingecko.com/pt/isen%C3%A7%C3%A3o_de_responsabilidade" xr:uid="{3187A8B5-D3C2-4482-B97A-F4C5A67A943F}"/>
    <hyperlink ref="S659" r:id="rId318" display="https://coingecko.app.link/lTInCXLGz4" xr:uid="{73981309-F44A-43A0-97E2-BA9D4AFF1510}"/>
    <hyperlink ref="AF34" r:id="rId319" display="https://www.coingecko.com/pt" xr:uid="{EF1E039C-26C4-449D-8FF6-2EBF923446A6}"/>
    <hyperlink ref="AF35" r:id="rId320" display="https://www.coingecko.com/pt/c%C3%A2mbios" xr:uid="{FB2077D4-4640-4116-94C7-932D912E4F18}"/>
    <hyperlink ref="AF36" r:id="rId321" display="https://www.coingecko.com/pt/global-charts" xr:uid="{215F1136-4BF7-4855-991E-4115C01E2A35}"/>
    <hyperlink ref="AF37" r:id="rId322" display="https://www.coingecko.com/pt/global-charts" xr:uid="{988C68E6-E22B-441A-B5C6-23DA946D8B53}"/>
    <hyperlink ref="AF57" r:id="rId323" display="https://www.coingecko.com/pt/premium/pricing" xr:uid="{82B9C220-5C1C-4EE1-89F3-8C2653308DE1}"/>
    <hyperlink ref="AF60:AF61" r:id="rId324" display="https://coingecko.app.link/lTInCXLGz4" xr:uid="{6E483E22-0BD5-4037-8B7D-139D6AD95C6F}"/>
    <hyperlink ref="AF80" r:id="rId325" display="https://www.geckoterminal.com/?utm_source=coingecko&amp;utm_medium=referral&amp;utm_campaign=desktop_navigation" xr:uid="{FFB87558-49A0-42FC-8617-394D69692B0E}"/>
    <hyperlink ref="AF81" r:id="rId326" display="https://www.coingecko.com/pt/candy" xr:uid="{25C7B22F-E7C8-4EA1-A215-DD0D644813D1}"/>
    <hyperlink ref="AF82" r:id="rId327" display="https://www.coingecko.com/pt/candy" xr:uid="{E654CC59-D194-404F-A80F-B3702DE74EE4}"/>
    <hyperlink ref="AF83" r:id="rId328" display="https://www.coingecko.com/pt/candy" xr:uid="{1DD57427-10CE-45EC-A026-2834142D44E9}"/>
    <hyperlink ref="AF84" r:id="rId329" display="https://www.coingecko.com/pt/portfolio" xr:uid="{B4B3D149-110E-48FF-9CAB-BD546DC6E8A3}"/>
    <hyperlink ref="AF102" r:id="rId330" display="https://gcko.io/search-survey" xr:uid="{548885D9-F4D0-4242-B9E2-F55F3F3CA298}"/>
    <hyperlink ref="AF105" r:id="rId331" display="https://www.coingecko.com/pt" xr:uid="{9427E9DE-FBB7-4D77-97DC-3D0D2B16AE13}"/>
    <hyperlink ref="AF124" r:id="rId332" display="https://www.coingecko.com/pt/metodologia" xr:uid="{78C875BE-F47C-4F5F-A1D1-B1D67932F342}"/>
    <hyperlink ref="AF138" r:id="rId333" display="https://www.coingecko.com/pt/api" xr:uid="{949C6CFB-137C-4FE1-B74E-F0461FC3169C}"/>
    <hyperlink ref="AF139" r:id="rId334" display="https://www.tradingview.com/?aff_id=132489" xr:uid="{BE69BDA6-5466-4B3C-B066-C0E5B7631A3D}"/>
    <hyperlink ref="AF155" r:id="rId335" display="https://www.coingecko.com/pt/metodologia" xr:uid="{FFACF51A-F015-437B-89A1-86CC939A87CA}"/>
    <hyperlink ref="AF161" r:id="rId336" display="https://www.coingecko.com/learn/what-is-fully-diluted-valuation-fdv-in-crypto" xr:uid="{F2C336ED-7BBA-43CA-8CDB-3D0E500F2C00}"/>
    <hyperlink ref="AF167" r:id="rId337" display="https://www.coingecko.com/learn/what-is-fully-diluted-valuation-fdv-in-crypto" xr:uid="{59E016B4-E9F6-4140-9E2E-7668029CF916}"/>
    <hyperlink ref="AF171" r:id="rId338" display="https://www.coingecko.com/pt/metodologia" xr:uid="{9EAA269C-F7A1-431D-92AF-9C573B45FA37}"/>
    <hyperlink ref="AF175" r:id="rId339" display="https://www.coingecko.com/pt/metodologia" xr:uid="{233A255B-9523-47AB-BCE0-D79B45998CEB}"/>
    <hyperlink ref="AG173" r:id="rId340" xr:uid="{4DC749E6-D98F-4E47-A3A2-4993447CA3D6}"/>
    <hyperlink ref="AF191" r:id="rId341" display="https://forms.gle/ULNnnCGCEAimK9cJ7" xr:uid="{627566D1-1548-4664-A5E8-1D3119790EF0}"/>
    <hyperlink ref="AF193" r:id="rId342" display="https://solana.com/" xr:uid="{723CAEA0-EED6-4403-B9B1-860BD970C9CD}"/>
    <hyperlink ref="AF195" r:id="rId343" display="https://solscan.io/" xr:uid="{14CDE89F-4CE1-47FC-9B63-8FD265E3DCFC}"/>
    <hyperlink ref="AF198" r:id="rId344" display="https://gcko.io/ledger" xr:uid="{4756833A-6900-4C62-8E1C-8E0359233301}"/>
    <hyperlink ref="AF201" r:id="rId345" display="https://twitter.com/nusa_finance" xr:uid="{3B05CAB0-7810-46E1-9AAB-79F9FBC84020}"/>
    <hyperlink ref="AF202" r:id="rId346" display="https://t.me/solana" xr:uid="{0E43C4B5-9806-4134-9B3C-13967B0C1FB0}"/>
    <hyperlink ref="AF204" r:id="rId347" display="https://twitter.com/search?q=$SOL" xr:uid="{55E2F690-24BC-41AD-AD00-ABEBB9DC6AFA}"/>
    <hyperlink ref="AF206" r:id="rId348" display="https://github.com/solana-labs" xr:uid="{68463ADC-FF65-4731-9036-0ACF0E6E52F9}"/>
    <hyperlink ref="AF210" r:id="rId349" display="https://www.coingecko.com/pt/categories/solana-ecosystem" xr:uid="{5893CDDD-CCF7-439F-9C64-261B691C5924}"/>
    <hyperlink ref="AF212" r:id="rId350" display="https://www.coingecko.com/pt/categories/smart-contract-platform" xr:uid="{DA193093-1D8F-4A30-8719-C649BBD68393}"/>
    <hyperlink ref="AG281" r:id="rId351" display="https://www.coingecko.com/pt/c%C3%A2mbios/binance" xr:uid="{413CF6CA-0D55-4065-B5D3-58C9B656FEC1}"/>
    <hyperlink ref="AG282" r:id="rId352" display="https://www.coingecko.com/pt/c%C3%A2mbios/binance" xr:uid="{94E9D165-68A2-4816-A485-2238714EB724}"/>
    <hyperlink ref="AI281" r:id="rId353" display="https://www.binance.com/en/trade/SOL_USDT?ref=37754157" xr:uid="{CA519D3E-1F55-4127-AFD1-9824B0A28B8A}"/>
    <hyperlink ref="AG283" r:id="rId354" display="https://www.coingecko.com/pt/c%C3%A2mbios/bitvenus-spot" xr:uid="{402EAEBB-B614-4870-AB41-34E7736A9E79}"/>
    <hyperlink ref="AG284" r:id="rId355" display="https://www.coingecko.com/pt/c%C3%A2mbios/bitvenus-spot" xr:uid="{4D6E2AB7-3530-4B2A-AC3B-41E11EC34196}"/>
    <hyperlink ref="AI283" r:id="rId356" display="https://www.bitvenus.me/exchange/SOL/USDT?register/vh2osI" xr:uid="{AFA2926D-ABEC-492C-BA65-B59716E0F215}"/>
    <hyperlink ref="AG285" r:id="rId357" display="https://www.coingecko.com/pt/c%C3%A2mbios/gate-io" xr:uid="{5A666393-73C6-40A8-87A7-983C1E2E8DE9}"/>
    <hyperlink ref="AG286" r:id="rId358" display="https://www.coingecko.com/pt/c%C3%A2mbios/gate-io" xr:uid="{754C28CA-3782-4490-A437-6E337D4495BE}"/>
    <hyperlink ref="AI285" r:id="rId359" display="https://gate.io/trade/SOL_USDT?ref=3018394" xr:uid="{4840B0C0-8BE2-4F9C-8324-1DAA2446ECEB}"/>
    <hyperlink ref="AG287" r:id="rId360" display="https://www.coingecko.com/pt/c%C3%A2mbios/bingx" xr:uid="{9147D718-7333-4DA8-AAAC-086D26D45986}"/>
    <hyperlink ref="AG288" r:id="rId361" display="https://www.coingecko.com/pt/c%C3%A2mbios/bingx" xr:uid="{C4DD79B0-2B0B-4875-9BB7-1E56D925EA4F}"/>
    <hyperlink ref="AI287" r:id="rId362" display="https://bingx.com/en-us/spot/SOLUSDT?ch=cgk_organic" xr:uid="{16B8F7E1-99F8-41FF-83E7-5F5AD8036176}"/>
    <hyperlink ref="AG289" r:id="rId363" display="https://www.coingecko.com/pt/c%C3%A2mbios/weex" xr:uid="{F3C5A332-764D-4DA8-8EA5-8789571992A4}"/>
    <hyperlink ref="AG290" r:id="rId364" display="https://www.coingecko.com/pt/c%C3%A2mbios/weex" xr:uid="{6CD7EC4C-8996-4CAE-A418-EF217E2E7EB0}"/>
    <hyperlink ref="AI289" r:id="rId365" display="https://www.weex.com/trade/sol_usdt" xr:uid="{78B83C43-4CED-412B-A6EC-FD6744A2D42B}"/>
    <hyperlink ref="AG291" r:id="rId366" display="https://www.coingecko.com/pt/c%C3%A2mbios/digifinex" xr:uid="{93B65033-27F7-4594-9C33-1B0F27427DE6}"/>
    <hyperlink ref="AG292" r:id="rId367" display="https://www.coingecko.com/pt/c%C3%A2mbios/digifinex" xr:uid="{79D7B2BA-DE8C-4C0A-AC21-89E20D32E0B9}"/>
    <hyperlink ref="AI291" r:id="rId368" display="https://www.digifinex.com/en-ww/trade/USDT/SOL" xr:uid="{8419E3A0-D7EF-4C6A-8687-3774A42BF793}"/>
    <hyperlink ref="AG293" r:id="rId369" display="https://www.coingecko.com/pt/c%C3%A2mbios/kraken" xr:uid="{B45327FA-4BFE-4A2F-935A-512C0B1F2974}"/>
    <hyperlink ref="AG294" r:id="rId370" display="https://www.coingecko.com/pt/c%C3%A2mbios/kraken" xr:uid="{D2959340-286C-4E4E-9F97-53FE72C7A24C}"/>
    <hyperlink ref="AI293" r:id="rId371" display="https://pro.kraken.com/app/trade/SOL-USD?c/2223866/1766749/10583" xr:uid="{830794EA-B01E-4796-AC18-6D9926719C75}"/>
    <hyperlink ref="AG295" r:id="rId372" display="https://www.coingecko.com/pt/c%C3%A2mbios/coinbase-exchange" xr:uid="{B5CE6CC1-8CB0-4ED7-824C-0578070F9F4C}"/>
    <hyperlink ref="AG296" r:id="rId373" display="https://www.coingecko.com/pt/c%C3%A2mbios/coinbase-exchange" xr:uid="{878C5B9E-491B-465D-BDEB-54E54B5A84E4}"/>
    <hyperlink ref="AI295" r:id="rId374" display="https://www.coinbase.com/advanced-trade/spot/SOL-USD" xr:uid="{3E037987-2F8F-4362-885A-F25410636DD3}"/>
    <hyperlink ref="AG297" r:id="rId375" display="https://www.coingecko.com/pt/c%C3%A2mbios/bybit_spot" xr:uid="{05C92C68-5B7B-4818-8588-6964DE688CA4}"/>
    <hyperlink ref="AG298" r:id="rId376" display="https://www.coingecko.com/pt/c%C3%A2mbios/bybit_spot" xr:uid="{44D28293-0C28-4227-8CEC-B234C2E28F0F}"/>
    <hyperlink ref="AI297" r:id="rId377" display="https://www.bybit.com/trade/spot/SOL/USDT/?affiliate_id=9763" xr:uid="{3AFD1555-8D9A-4E8F-B3B5-0526BF24E458}"/>
    <hyperlink ref="AG299" r:id="rId378" display="https://www.coingecko.com/pt/c%C3%A2mbios/okx" xr:uid="{98F13780-FA2E-4619-98E4-F44A31516BFA}"/>
    <hyperlink ref="AG300" r:id="rId379" display="https://www.coingecko.com/pt/c%C3%A2mbios/okx" xr:uid="{4AD1C6EB-4CF5-4F83-A19C-7D2150F5CB4B}"/>
    <hyperlink ref="AI299" r:id="rId380" display="https://www.okx.com/trade-spot/sol-usdt?channelid=1902090" xr:uid="{69A509B4-3C30-42E6-977A-7140C2EE4A83}"/>
    <hyperlink ref="AF311" r:id="rId381" display="https://br.beincrypto.com/fundacao-fantom-memecoin-promove-seguranca-etica/" xr:uid="{22F7B089-B0F4-492F-ADDA-C4DD21E68529}"/>
    <hyperlink ref="AF312" r:id="rId382" display="https://br.beincrypto.com/fundacao-fantom-memecoin-promove-seguranca-etica/" xr:uid="{F59896EF-D19A-429D-B865-27C35EAD3834}"/>
    <hyperlink ref="AF313" r:id="rId383" display="https://br.beincrypto.com/fundacao-fantom-memecoin-promove-seguranca-etica/" xr:uid="{8FA995EE-455F-42C6-B754-DC35CAFC6AE7}"/>
    <hyperlink ref="AF314" r:id="rId384" display="https://br.beincrypto.com/fundacao-fantom-memecoin-promove-seguranca-etica/" xr:uid="{5D679A18-A50A-48FA-A3E4-5E076E9497C1}"/>
    <hyperlink ref="AF315:AF316" r:id="rId385" display="https://br.beincrypto.com/receita-federal-imposto-emprestimo-cripto/" xr:uid="{C7509480-C916-44A5-931D-29A7E9637400}"/>
    <hyperlink ref="AF317" r:id="rId386" display="https://br.beincrypto.com/receita-federal-imposto-emprestimo-cripto/" xr:uid="{36D6D04A-72A3-49B9-8D89-1D1E1DC5D5B3}"/>
    <hyperlink ref="AF318" r:id="rId387" display="https://br.beincrypto.com/receita-federal-imposto-emprestimo-cripto/" xr:uid="{7273BEB1-6358-4702-B515-2EC703E2D267}"/>
    <hyperlink ref="AF319:AF320" r:id="rId388" display="https://br.beincrypto.com/dogecoin-solana-xrp-interesse-cai/" xr:uid="{E9C22D0B-8D10-4A9A-BD92-F2CB74DF4A05}"/>
    <hyperlink ref="AF321" r:id="rId389" display="https://br.beincrypto.com/dogecoin-solana-xrp-interesse-cai/" xr:uid="{F635B64D-2BCB-4409-AC03-2AB9B0FC4C8E}"/>
    <hyperlink ref="AF322" r:id="rId390" display="https://br.beincrypto.com/dogecoin-solana-xrp-interesse-cai/" xr:uid="{639B9781-4D3F-4DCE-A378-BA8EF22FCCC9}"/>
    <hyperlink ref="AF323:AF324" r:id="rId391" display="https://br.beincrypto.com/cripto-investidores-vendem-em-maio-e-vao-embora/" xr:uid="{0391F082-4CBE-45E1-8D0E-540248EAC5F2}"/>
    <hyperlink ref="AF325" r:id="rId392" display="https://br.beincrypto.com/cripto-investidores-vendem-em-maio-e-vao-embora/" xr:uid="{7E399080-FC30-4B47-A259-D437F0B8E3B5}"/>
    <hyperlink ref="AF326" r:id="rId393" display="https://br.beincrypto.com/cripto-investidores-vendem-em-maio-e-vao-embora/" xr:uid="{E7689350-ED09-4BC8-A201-EE9EAD57421F}"/>
    <hyperlink ref="AF331" r:id="rId394" display="https://www.coingecko.com/pt/moedas/solana/usd" xr:uid="{D9C593E2-73AC-46E3-BD89-8C58A13DB70A}"/>
    <hyperlink ref="AF332" r:id="rId395" display="https://www.coingecko.com/pt/moedas/solana/usd" xr:uid="{0ECF12C4-D92C-4CAA-97A0-172D07F5CC43}"/>
    <hyperlink ref="AF333" r:id="rId396" display="https://www.coingecko.com/pt/moedas/solana/eur" xr:uid="{0EA3724C-C54C-42F6-8E85-EC0E4181725F}"/>
    <hyperlink ref="AF334" r:id="rId397" display="https://www.coingecko.com/pt/moedas/solana/eur" xr:uid="{CDF9F6A4-3BF4-480E-A901-D7690EDEECC2}"/>
    <hyperlink ref="AF335" r:id="rId398" display="https://www.coingecko.com/pt/moedas/solana/brl" xr:uid="{42FF6AA0-36CD-4303-A4EE-9D73137A2BB0}"/>
    <hyperlink ref="AF336" r:id="rId399" display="https://www.coingecko.com/pt/moedas/solana/brl" xr:uid="{AFA21348-7E02-4DFE-8EB8-FEA1341AC835}"/>
    <hyperlink ref="AF340" r:id="rId400" display="https://www.coingecko.com/pt/moedas/tether" xr:uid="{FBDD509B-24B5-4892-A38F-8CD6381E5F5D}"/>
    <hyperlink ref="AF341" r:id="rId401" display="https://www.coingecko.com/pt/moedas/tether" xr:uid="{B5505215-CD06-4481-9264-4A87C541BE2A}"/>
    <hyperlink ref="AF342" r:id="rId402" display="https://www.coingecko.com/pt/moedas/tether" xr:uid="{5C918B81-4916-4C42-BB9B-C5F0B1BD5C71}"/>
    <hyperlink ref="AF343" r:id="rId403" display="https://www.coingecko.com/pt/moedas/usdc" xr:uid="{C6386517-6169-437E-8758-749262DED4D9}"/>
    <hyperlink ref="AF344" r:id="rId404" display="https://www.coingecko.com/pt/moedas/usdc" xr:uid="{CF76C967-98D1-4FA1-B736-73F4454EAEA3}"/>
    <hyperlink ref="AF345" r:id="rId405" display="https://www.coingecko.com/pt/moedas/usdc" xr:uid="{8CF75CB6-6F01-4FFE-924D-C843BAE0EDBB}"/>
    <hyperlink ref="AF346" r:id="rId406" display="https://www.coingecko.com/pt/moedas/chainlink" xr:uid="{E192E0E9-261F-4AC4-8405-747D84DCFB0F}"/>
    <hyperlink ref="AF347" r:id="rId407" display="https://www.coingecko.com/pt/moedas/chainlink" xr:uid="{65AF591D-E7C5-4936-AA5A-B2F278AE731E}"/>
    <hyperlink ref="AF348" r:id="rId408" display="https://www.coingecko.com/pt/moedas/chainlink" xr:uid="{7569AE5E-D37D-46D9-8F71-88691F023B99}"/>
    <hyperlink ref="AF349" r:id="rId409" display="https://www.coingecko.com/pt/moedas/render" xr:uid="{D1F57E5F-729B-4CCB-A37B-61551E2C064C}"/>
    <hyperlink ref="AF350" r:id="rId410" display="https://www.coingecko.com/pt/moedas/render" xr:uid="{B152D825-70E0-4786-A461-8521344292B1}"/>
    <hyperlink ref="AF351" r:id="rId411" display="https://www.coingecko.com/pt/moedas/render" xr:uid="{37D6287F-8965-4787-926F-B137C998ECF5}"/>
    <hyperlink ref="AF352" r:id="rId412" display="https://www.coingecko.com/pt/moedas/dogwifhat" xr:uid="{CF9CF5FC-9D3F-4425-A3AB-6D301D040907}"/>
    <hyperlink ref="AF353" r:id="rId413" display="https://www.coingecko.com/pt/moedas/dogwifhat" xr:uid="{CA6D8D4B-001C-4CD2-9BB1-80109CE0129B}"/>
    <hyperlink ref="AF354" r:id="rId414" display="https://www.coingecko.com/pt/moedas/dogwifhat" xr:uid="{0EDC75CE-95A1-4D20-9E5D-682460152626}"/>
    <hyperlink ref="AF358" r:id="rId415" display="https://www.coingecko.com/pt/moedas/solana" xr:uid="{E86928A4-7B9C-4D37-9DDA-063CE3D4ACFD}"/>
    <hyperlink ref="AF359" r:id="rId416" display="https://www.coingecko.com/pt/moedas/solana" xr:uid="{4491EB89-7CE6-4E7A-8D2E-4311FFCE1702}"/>
    <hyperlink ref="AF360" r:id="rId417" display="https://www.coingecko.com/pt/moedas/solana" xr:uid="{0DC3FFD7-ED67-43BC-BA5A-7EA7A22B12AB}"/>
    <hyperlink ref="AF361" r:id="rId418" display="https://www.coingecko.com/pt/moedas/dione" xr:uid="{09D28BDF-6F60-43BE-8EBF-ACFCBD08E90B}"/>
    <hyperlink ref="AF362" r:id="rId419" display="https://www.coingecko.com/pt/moedas/dione" xr:uid="{9D88F82B-7533-44FD-AD97-38F687C1C501}"/>
    <hyperlink ref="AF363" r:id="rId420" display="https://www.coingecko.com/pt/moedas/dione" xr:uid="{20D28FAD-4A72-4BB4-9663-17616ABC2A08}"/>
    <hyperlink ref="AF364" r:id="rId421" display="https://www.coingecko.com/pt/moedas/pixels" xr:uid="{0519BA6E-B27B-4882-BD4B-B0BF91723F61}"/>
    <hyperlink ref="AF365" r:id="rId422" display="https://www.coingecko.com/pt/moedas/pixels" xr:uid="{22EF87E7-AC98-4DE4-B992-80126CD149EC}"/>
    <hyperlink ref="AF366" r:id="rId423" display="https://www.coingecko.com/pt/moedas/pixels" xr:uid="{95309F51-3D47-4509-ABD9-178FBFCB1D99}"/>
    <hyperlink ref="AF367" r:id="rId424" display="https://www.coingecko.com/pt/moedas/ethereum" xr:uid="{CB489260-F92A-43E5-915B-0408A9665D5A}"/>
    <hyperlink ref="AF368" r:id="rId425" display="https://www.coingecko.com/pt/moedas/ethereum" xr:uid="{0D305020-9767-4C20-B34B-D1A594E937E8}"/>
    <hyperlink ref="AF369" r:id="rId426" display="https://www.coingecko.com/pt/moedas/ethereum" xr:uid="{429250A0-1B3F-448F-A280-CA55EC9C2E39}"/>
    <hyperlink ref="AF370" r:id="rId427" display="https://www.coingecko.com/pt/moedas/degen-base" xr:uid="{4F53E6B4-5766-48A0-A424-89BD699E584C}"/>
    <hyperlink ref="AF371" r:id="rId428" display="https://www.coingecko.com/pt/moedas/degen-base" xr:uid="{57C85516-728C-443D-91C1-156C4D4CC4B4}"/>
    <hyperlink ref="AF372" r:id="rId429" display="https://www.coingecko.com/pt/moedas/degen-base" xr:uid="{00071F82-8164-488F-9E1C-6E3928084792}"/>
    <hyperlink ref="AF373" r:id="rId430" display="https://www.coingecko.com/pt/moedas/bitcoin" xr:uid="{05CBE6D2-FE34-4AF6-98E4-8069CC970446}"/>
    <hyperlink ref="AF374" r:id="rId431" display="https://www.coingecko.com/pt/moedas/bitcoin" xr:uid="{0315FA92-9912-4765-8ACC-BC7B3E42545D}"/>
    <hyperlink ref="AF375" r:id="rId432" display="https://www.coingecko.com/pt/moedas/bitcoin" xr:uid="{855C2068-B004-44DB-842D-CE9F1E8BC22E}"/>
    <hyperlink ref="AF376" r:id="rId433" display="https://www.coingecko.com/pt/moedas/pepe" xr:uid="{1A91609F-903A-4812-8AAB-53659C77FBBC}"/>
    <hyperlink ref="AF377" r:id="rId434" display="https://www.coingecko.com/pt/moedas/pepe" xr:uid="{44884314-1191-49D3-8090-7DE111F4E963}"/>
    <hyperlink ref="AF378" r:id="rId435" display="https://www.coingecko.com/pt/moedas/pepe" xr:uid="{7B86CD9E-F66D-48C3-AB39-11DE0A7BAF3A}"/>
    <hyperlink ref="AF379" r:id="rId436" display="https://www.coingecko.com/pt/moedas/wormhole" xr:uid="{0ED5578F-6130-4BD3-A815-814D3D1ABA76}"/>
    <hyperlink ref="AF380" r:id="rId437" display="https://www.coingecko.com/pt/moedas/wormhole" xr:uid="{68F06607-5B65-4A5C-BAEF-45B50DF8DA7B}"/>
    <hyperlink ref="AF381" r:id="rId438" display="https://www.coingecko.com/pt/moedas/wormhole" xr:uid="{ACCF6335-1EA8-473A-BBF7-E92470B1B8E1}"/>
    <hyperlink ref="AF382" r:id="rId439" display="https://www.coingecko.com/pt/moedas/bittensor" xr:uid="{84BC98D1-0632-4D95-A760-B66C823EBD1D}"/>
    <hyperlink ref="AF383" r:id="rId440" display="https://www.coingecko.com/pt/moedas/bittensor" xr:uid="{8E5CE246-1876-4085-8E3F-8DB8B786BA26}"/>
    <hyperlink ref="AF384" r:id="rId441" display="https://www.coingecko.com/pt/moedas/bittensor" xr:uid="{6DA3E6F2-A998-447F-900E-2795115431DC}"/>
    <hyperlink ref="AF385" r:id="rId442" display="https://www.coingecko.com/pt/moedas/polygon" xr:uid="{327835D8-0938-490D-939C-B9A97640639D}"/>
    <hyperlink ref="AF386" r:id="rId443" display="https://www.coingecko.com/pt/moedas/polygon" xr:uid="{8D93BA40-837A-4045-A87D-CF8AF8F4693D}"/>
    <hyperlink ref="AF387" r:id="rId444" display="https://www.coingecko.com/pt/moedas/polygon" xr:uid="{15DAE89B-17C7-4B2A-A761-7E42CBF714BF}"/>
    <hyperlink ref="AF396" r:id="rId445" display="https://www.coingecko.com/pt" xr:uid="{66046685-EEF2-488B-A3CD-2CC7236726A2}"/>
    <hyperlink ref="AF399" r:id="rId446" display="https://www.coingecko.com/pt/news" xr:uid="{AEFF289C-177D-427D-AC9E-F39C9FF618B3}"/>
    <hyperlink ref="AF400" r:id="rId447" display="https://www.coingecko.com/pt/public-companies-bitcoin" xr:uid="{9DB9C2F7-7ECD-4B8E-8141-D56B235E6062}"/>
    <hyperlink ref="AF401" r:id="rId448" display="https://www.coingecko.com/pt/cryptocurrency-heatmap" xr:uid="{34EAC521-D848-4AD2-B8E4-D216617365F4}"/>
    <hyperlink ref="AF402" r:id="rId449" display="https://www.coingecko.com/pt/api" xr:uid="{729DB4B2-4ECE-48BB-ABFC-7919BB6E1F0E}"/>
    <hyperlink ref="AF409" r:id="rId450" display="https://www.coingecko.com/request" xr:uid="{02700C71-D8AD-413C-93E8-FB8E1C14467A}"/>
    <hyperlink ref="AF410" r:id="rId451" display="https://gcko.io/coingeckoads" xr:uid="{E6AD52BB-D8DD-4FC5-B0D1-8C96C59FDE44}"/>
    <hyperlink ref="AF411" r:id="rId452" display="https://www.coingecko.com/pt/candy/partners-getting-started" xr:uid="{E688850D-924C-44F6-9233-A727B62C9157}"/>
    <hyperlink ref="AF412" r:id="rId453" display="https://support.coingecko.com/" xr:uid="{48A58365-2F75-4264-A308-B5E387544AF6}"/>
    <hyperlink ref="AF413" r:id="rId454" display="https://hackenproof.com/coingecko/coingecko" xr:uid="{1D24AD42-3F19-495A-AE42-1475BE36DE53}"/>
    <hyperlink ref="AF414" r:id="rId455" display="https://www.coingecko.com/pt/faq" xr:uid="{B0E3879C-BEBC-49D1-B134-6EADC70B240A}"/>
    <hyperlink ref="AF416" r:id="rId456" display="https://www.coingecko.com/pt/sobre" xr:uid="{34A943DA-A5BF-42BD-87F6-7B1E36F2641C}"/>
    <hyperlink ref="AF417" r:id="rId457" display="https://careers.coingecko.com/" xr:uid="{88A577CD-9228-4668-A981-AAA968008C86}"/>
    <hyperlink ref="AF418" r:id="rId458" display="https://careers.coingecko.com/" xr:uid="{EBB19071-C23F-4FC1-BD30-1491778D182D}"/>
    <hyperlink ref="AF419" r:id="rId459" display="https://blog.coingecko.com/" xr:uid="{404DDEE2-A4F3-4A8B-B992-F5AF61E12889}"/>
    <hyperlink ref="AF420" r:id="rId460" display="https://www.coingecko.com/pt/branding" xr:uid="{DFAC85C9-6FA5-4CE7-9856-F550657272E2}"/>
    <hyperlink ref="AF421" r:id="rId461" display="https://www.coingecko.com/pt/metodologia" xr:uid="{633EAE6D-1415-49D7-B0C8-217044D6E3A4}"/>
    <hyperlink ref="AF422" r:id="rId462" display="https://www.coingecko.com/pt/isen%C3%A7%C3%A3o_de_responsabilidade" xr:uid="{F653A7EA-647A-498D-B1FE-465B7833475E}"/>
    <hyperlink ref="AF423" r:id="rId463" display="https://www.coingecko.com/pt/termos" xr:uid="{FE092FD1-1022-430F-8391-FA93CA2BB123}"/>
    <hyperlink ref="AF424" r:id="rId464" display="https://www.coingecko.com/pt/privacidade" xr:uid="{415BEA82-398F-4039-8AFD-C52F7B6C56AD}"/>
    <hyperlink ref="AF425" r:id="rId465" display="https://www.coingecko.com/pt/ad_policy" xr:uid="{549A2CBD-C79F-4463-9EE8-CB7D2A6B1095}"/>
    <hyperlink ref="AF428" r:id="rId466" display="https://twitter.com/coingecko" xr:uid="{BF40B042-5214-4291-B0DB-EBD80526334C}"/>
    <hyperlink ref="AF429" r:id="rId467" display="https://t.me/coingecko" xr:uid="{488294D1-7FE5-4AA8-B353-5151A9414222}"/>
    <hyperlink ref="AF430" r:id="rId468" display="https://t.me/coingeckonews" xr:uid="{B583B263-51A8-406C-8BE1-E323026C0032}"/>
    <hyperlink ref="AF431" r:id="rId469" display="https://www.instagram.com/coingecko/" xr:uid="{E62A155E-9445-4C7D-8723-589797ABBD76}"/>
    <hyperlink ref="AF432" r:id="rId470" display="https://www.reddit.com/r/coingecko/" xr:uid="{E9645271-0117-4583-92EB-28C91FE9B615}"/>
    <hyperlink ref="AF433" r:id="rId471" display="https://discord.gg/EhrkaCH" xr:uid="{C315A592-0BC9-4C60-BEA8-9416C035D1CB}"/>
    <hyperlink ref="AF434" r:id="rId472" display="https://www.facebook.com/coingecko" xr:uid="{9DBBCE46-2B2A-44A6-868B-BC89F873D754}"/>
    <hyperlink ref="AF435" r:id="rId473" display="https://www.youtube.com/channel/UC-OTgwOAI7KmP0eDAtqN3Ow?sub_confirmation=1" xr:uid="{D091865E-6B8E-4D87-B7C0-96BA239AD585}"/>
    <hyperlink ref="AF436" r:id="rId474" display="https://www.tiktok.com/@coingeckotv" xr:uid="{2711E969-11AC-4D71-905F-DC601C66B82C}"/>
    <hyperlink ref="AF442" r:id="rId475" display="https://www.coingecko.com/pt/isen%C3%A7%C3%A3o_de_responsabilidade" xr:uid="{6F42B691-64B5-4F27-B9BF-284CA4AA9311}"/>
    <hyperlink ref="AF692" r:id="rId476" display="https://coingecko.app.link/lTInCXLGz4" xr:uid="{DF9C9A30-6F32-4806-B4E3-BDADAD2D585C}"/>
    <hyperlink ref="AT2" r:id="rId477" display="https://www.coingecko.com/pt" xr:uid="{18D3A21B-219F-4E4F-876F-FC28B5881755}"/>
    <hyperlink ref="AT3" r:id="rId478" display="https://www.coingecko.com/pt/c%C3%A2mbios" xr:uid="{579983E4-0F47-43C6-A9F8-1F2F243D37E3}"/>
    <hyperlink ref="AT4" r:id="rId479" display="https://www.coingecko.com/pt/global-charts" xr:uid="{2EAA6831-14FA-4544-83DB-888A2CEEF643}"/>
    <hyperlink ref="AT5" r:id="rId480" display="https://www.coingecko.com/pt/global-charts" xr:uid="{A3D41D70-4578-4EA9-83EC-2FFD83E0A8B6}"/>
    <hyperlink ref="AT25" r:id="rId481" display="https://www.coingecko.com/pt/premium/pricing" xr:uid="{1100AAD0-D4E0-4ADC-A24D-FA95688B827E}"/>
    <hyperlink ref="AT28:AT29" r:id="rId482" display="https://coingecko.app.link/lTInCXLGz4" xr:uid="{7FE6CD77-5289-4D9E-95ED-0BA93D708375}"/>
    <hyperlink ref="AT48" r:id="rId483" display="https://www.geckoterminal.com/?utm_source=coingecko&amp;utm_medium=referral&amp;utm_campaign=desktop_navigation" xr:uid="{1DF77F43-13E2-4561-A879-1FC72B2ED651}"/>
    <hyperlink ref="AT49" r:id="rId484" display="https://www.coingecko.com/pt/candy" xr:uid="{9008A8E3-E328-47F4-A431-3E4ADD79A5BB}"/>
    <hyperlink ref="AT50" r:id="rId485" display="https://www.coingecko.com/pt/candy" xr:uid="{F51155D5-CDCB-4A5A-9DA9-8102B8435628}"/>
    <hyperlink ref="AT51" r:id="rId486" display="https://www.coingecko.com/pt/candy" xr:uid="{5E68D09B-A613-40AF-9E81-0F4B11992815}"/>
    <hyperlink ref="AT52" r:id="rId487" display="https://www.coingecko.com/pt/portfolio" xr:uid="{7FC9C0AC-14E0-4D28-A3EE-DE61D3B7DBBC}"/>
    <hyperlink ref="AT70" r:id="rId488" display="https://gcko.io/search-survey" xr:uid="{BFF339D4-790E-4D1F-BF75-0681DD5694CE}"/>
    <hyperlink ref="AT73" r:id="rId489" display="https://www.coingecko.com/pt" xr:uid="{46013EED-983A-4CEF-B62F-5206D170FF21}"/>
    <hyperlink ref="AT92" r:id="rId490" display="https://www.coingecko.com/pt/metodologia" xr:uid="{8A80B007-291E-4A7D-9E71-279F59718AD7}"/>
    <hyperlink ref="AT102" r:id="rId491" display="https://www.geckoterminal.com/eth/tokens/0x514910771af9ca656af840dff83e8264ecf986ca?utm_source=coingecko&amp;utm_medium=referral&amp;utm_campaign=livechart-btn" xr:uid="{774AD9E1-11EB-4FDA-901A-2C0C1823C912}"/>
    <hyperlink ref="AT107" r:id="rId492" display="https://www.coingecko.com/pt/api" xr:uid="{62E522A6-C1D1-41E8-AA5E-25147BC975F2}"/>
    <hyperlink ref="AT123" r:id="rId493" display="https://www.coingecko.com/pt/metodologia" xr:uid="{3791BF6D-83F1-4336-B544-C70FD30C4414}"/>
    <hyperlink ref="AT129" r:id="rId494" display="https://www.coingecko.com/learn/what-is-fully-diluted-valuation-fdv-in-crypto" xr:uid="{FD0E4153-6686-490A-A20B-47534B85FC3B}"/>
    <hyperlink ref="AT135" r:id="rId495" display="https://www.coingecko.com/learn/what-is-fully-diluted-valuation-fdv-in-crypto" xr:uid="{8D74467F-D7A8-4017-BC56-2FD6073E6346}"/>
    <hyperlink ref="AT139" r:id="rId496" display="https://www.coingecko.com/pt/metodologia" xr:uid="{A4F05254-5180-48CA-AED2-BC1F299AB35F}"/>
    <hyperlink ref="AT143" r:id="rId497" display="https://www.coingecko.com/pt/metodologia" xr:uid="{4060859A-8C60-4BF6-9260-1EA9F277D67B}"/>
    <hyperlink ref="AU143" r:id="rId498" display="https://etherscan.io/token/0x514910771af9ca656af840dff83e8264ecf986ca?a=0x98c63b7b319dfbdf3d811530f2ab9dfe4983af9d" xr:uid="{F495291F-8283-485E-9E4A-07E4F2DAC229}"/>
    <hyperlink ref="AU145" r:id="rId499" display="https://etherscan.io/token/0x514910771af9ca656af840dff83e8264ecf986ca?a=0xe0362f7445e3203a496f6f8b3d51cbb413b69be2" xr:uid="{D9C379AD-7B30-4FD1-BDF3-155F5F7A5834}"/>
    <hyperlink ref="AU147" r:id="rId500" display="https://etherscan.io/token/0x514910771af9ca656af840dff83e8264ecf986ca?a=0x5A8e77bC30948cc9A51aE4E042d96e145648BB4C" xr:uid="{852CC6A6-46D1-40DF-A11D-3EEE8C023C1E}"/>
    <hyperlink ref="AU149" r:id="rId501" display="https://etherscan.io/token/0x514910771af9ca656af840dff83e8264ecf986ca?a=0xe0b66bFc7344a80152BfeC954942E2926A6FcA80" xr:uid="{F2E8815E-343D-4813-91FC-00B429E694EE}"/>
    <hyperlink ref="AU151" r:id="rId502" display="https://etherscan.io/token/0x514910771af9ca656af840dff83e8264ecf986ca?a=0xa42D0A18B834F52e41bEDdEaA2940165db3DA9a3" xr:uid="{EA033618-40B5-486F-9BF0-702C40A6BE7A}"/>
    <hyperlink ref="AU153" r:id="rId503" display="https://etherscan.io/token/0x514910771af9ca656af840dff83e8264ecf986ca?a=0x5Eab1966D5F61E52C22D0279F06f175e36A7181E" xr:uid="{BDF9329E-F103-40BC-9CA2-87F7007A5C6A}"/>
    <hyperlink ref="AU155" r:id="rId504" display="https://etherscan.io/token/0x514910771af9ca656af840dff83e8264ecf986ca?a=0x8d34d66bDb2d1d6ACd788A2d73d68e62282332e7" xr:uid="{6FA27891-B7C1-4BDE-8361-B295C092D514}"/>
    <hyperlink ref="AU157" r:id="rId505" display="https://etherscan.io/token/0x514910771af9ca656af840dff83e8264ecf986ca?a=0x37398A324d35c942574650B9eD2987BC640BAD76" xr:uid="{4D774555-A6B2-4366-9697-DB646FF1A309}"/>
    <hyperlink ref="AU159" r:id="rId506" display="https://etherscan.io/token/0x514910771af9ca656af840dff83e8264ecf986ca?a=0xfB682b0dE4e0093835EA21cfABb5449cA9ac9e5e" xr:uid="{4070404F-B55E-4E75-8ECF-BFBA9A4A79C3}"/>
    <hyperlink ref="AU161" r:id="rId507" display="https://etherscan.io/token/0x514910771af9ca656af840dff83e8264ecf986ca?a=0x9c17f630DBde24eECe8fd248fAA2E51f690FF79B" xr:uid="{EEECE46C-C88D-4CCE-9D5B-7C8405D9D9B9}"/>
    <hyperlink ref="AU163" r:id="rId508" display="https://etherscan.io/token/0x514910771af9ca656af840dff83e8264ecf986ca?a=0xD48133C96C5FE8d41D0cbD598F65bf4548941e27" xr:uid="{22FBA556-7BC0-4ED3-A22B-1D79EED9C1BA}"/>
    <hyperlink ref="AU165" r:id="rId509" display="https://etherscan.io/token/0x514910771af9ca656af840dff83e8264ecf986ca?a=0x35a5dc3FD1210Fe7173aDD3C01144Cf1693B5E45" xr:uid="{11955487-5C18-441E-AC45-AA0DF4C82E10}"/>
    <hyperlink ref="AU167" r:id="rId510" display="https://etherscan.io/token/0x514910771af9ca656af840dff83e8264ecf986ca?a=0x0DFfD343C2D3460a7EAD2797a687304Beb394ce0" xr:uid="{D97328B0-8E15-4FDC-83C9-7DA66FC485DF}"/>
    <hyperlink ref="AU169" r:id="rId511" display="https://etherscan.io/token/0x514910771af9ca656af840dff83e8264ecf986ca?a=0x76287e0F7b107d1C9f8f01D5aFac314Ea8461a04" xr:uid="{8A88CD13-5F85-43AC-B730-2E5159B4CB1B}"/>
    <hyperlink ref="AU171" r:id="rId512" display="https://etherscan.io/token/0x514910771af9ca656af840dff83e8264ecf986ca?a=0x9BBb46637A1Df7CADec2AFcA19C2920CdDCc8Db8" xr:uid="{03372E27-F755-4418-B47D-806BEEC20F37}"/>
    <hyperlink ref="AU173" r:id="rId513" display="https://etherscan.io/token/0x514910771af9ca656af840dff83e8264ecf986ca?a=0x7594Eb0ca0a7f313bEFD59AfE9e95c2201a443e4" xr:uid="{2376E365-C233-4EFC-B8A6-E644FB904FAD}"/>
    <hyperlink ref="AU175" r:id="rId514" display="https://etherscan.io/token/0x514910771af9ca656af840dff83e8264ecf986ca?a=0x8652Fb672253607c0061677bDCaFb77a324DE081" xr:uid="{5AEE3CCE-08AB-40FC-BFA0-92B162856454}"/>
    <hyperlink ref="AU177" r:id="rId515" display="https://etherscan.io/token/0x514910771af9ca656af840dff83e8264ecf986ca?a=0x157235A3cc6011d9C26A010875c2550246aAbcCA" xr:uid="{CD2AD39B-B2A1-4A25-94DF-842825D37014}"/>
    <hyperlink ref="AU179" r:id="rId516" display="https://etherscan.io/token/0x514910771af9ca656af840dff83e8264ecf986ca?a=0x55b0ba1994d68C2AB0C01C3332eC9473de296137" xr:uid="{1F464845-588D-4984-B8EB-6BFE14EBED78}"/>
    <hyperlink ref="AU181" r:id="rId517" display="https://etherscan.io/token/0x514910771af9ca656af840dff83e8264ecf986ca?a=0x4a87ecE3eFffCb012fbE491AA028032e07B6F6cF" xr:uid="{0278E2A4-C30C-4586-9A5D-17915BE00D05}"/>
    <hyperlink ref="AT200" r:id="rId518" display="https://forms.gle/ULNnnCGCEAimK9cJ7" xr:uid="{B4BEFAD1-F289-41C7-8711-3C2F3CEA0138}"/>
    <hyperlink ref="AT225" r:id="rId519" display="https://chain.link/" xr:uid="{D50F3939-8978-4B79-BDB9-B41C395BA141}"/>
    <hyperlink ref="AT226" r:id="rId520" display="https://blog.chain.link/" xr:uid="{6662E9D6-E547-4F01-BD45-BDCCE4446D61}"/>
    <hyperlink ref="AT228" r:id="rId521" display="https://etherscan.io/token/0x514910771af9ca656af840dff83e8264ecf986ca" xr:uid="{0238D1C3-04FB-4942-A923-7733B4750E68}"/>
    <hyperlink ref="AT231" r:id="rId522" display="https://gcko.io/ledger" xr:uid="{D4E9B933-033C-405E-B302-E72E9810FA2B}"/>
    <hyperlink ref="AT232" r:id="rId523" display="https://gemwallet.com/" xr:uid="{71965EE8-945A-4C3A-96D5-539A6CB947DD}"/>
    <hyperlink ref="AT234" r:id="rId524" display="https://twitter.com/chainlink" xr:uid="{078E7143-CC87-4000-A36D-CB713A580445}"/>
    <hyperlink ref="AT235" r:id="rId525" display="https://t.me/chainlinkofficial" xr:uid="{00F23F5B-CFCB-42A6-8C5B-D421D3854525}"/>
    <hyperlink ref="AT237" r:id="rId526" display="https://twitter.com/search?q=$LINK" xr:uid="{63A31C5C-E510-4BC7-8260-4514AB3E72BF}"/>
    <hyperlink ref="AT239" r:id="rId527" display="https://github.com/smartcontractkit" xr:uid="{EE2D0586-96B0-4AF4-B77B-83D9B313A61A}"/>
    <hyperlink ref="AT243" r:id="rId528" display="https://www.coingecko.com/pt/categories/ethereum-ecosystem" xr:uid="{8211722A-7805-4E5C-9275-5993C0C4E04B}"/>
    <hyperlink ref="AT247" r:id="rId529" display="https://www.coingecko.com/pt/categories/business-services" xr:uid="{90D5075B-8A47-49B5-8B28-6405B78C3731}"/>
    <hyperlink ref="AT304" r:id="rId530" display="https://www.coingecko.com/learn/complete-beginners-guide-to-metamask" xr:uid="{0DAF4E62-8184-46AF-8355-48EFAE444E10}"/>
    <hyperlink ref="AU316" r:id="rId531" display="https://www.coingecko.com/pt/c%C3%A2mbios/gate-io" xr:uid="{3D50F70B-CA83-4003-B094-CBEC33A3C83F}"/>
    <hyperlink ref="AU317" r:id="rId532" display="https://www.coingecko.com/pt/c%C3%A2mbios/gate-io" xr:uid="{6382CC72-213F-423B-A415-F3113F04A501}"/>
    <hyperlink ref="AW316" r:id="rId533" display="https://gate.io/trade/LINK_USDT?ref=3018394" xr:uid="{9B11B975-6884-4EF7-A0F8-6BD18C688F31}"/>
    <hyperlink ref="AU318" r:id="rId534" display="https://www.coingecko.com/pt/c%C3%A2mbios/c-patex" xr:uid="{3AC1AB1E-423D-4589-A756-DE0C0529F782}"/>
    <hyperlink ref="AU319" r:id="rId535" display="https://www.coingecko.com/pt/c%C3%A2mbios/c-patex" xr:uid="{154AE4B8-6537-476B-B061-C7E2AD3ABD96}"/>
    <hyperlink ref="AW318" r:id="rId536" display="https://c-patex.com/exchange/LINK/USDT?referral/5ebe4bf1-ca5f-4b0b-8760-e696e9bca870" xr:uid="{F9C44547-AAC6-4D5F-8770-E51ED3655756}"/>
    <hyperlink ref="AU320" r:id="rId537" display="https://www.coingecko.com/pt/c%C3%A2mbios/hotcoin-global" xr:uid="{C8F11902-B397-464B-A00E-5F20CC2BAE61}"/>
    <hyperlink ref="AU321" r:id="rId538" display="https://www.coingecko.com/pt/c%C3%A2mbios/hotcoin-global" xr:uid="{EF652D8D-CD1B-415F-B157-131B361E5A89}"/>
    <hyperlink ref="AW320" r:id="rId539" display="https://www.hotcoin.com/currencyExchange/link_usdt" xr:uid="{D3D02F61-2E67-458B-803C-A3473E51C602}"/>
    <hyperlink ref="AU322" r:id="rId540" display="https://www.coingecko.com/pt/c%C3%A2mbios/lbank" xr:uid="{F70AE3B9-5D7D-4791-BC3C-50E2B59B218D}"/>
    <hyperlink ref="AU323" r:id="rId541" display="https://www.coingecko.com/pt/c%C3%A2mbios/lbank" xr:uid="{A8FEF08E-9425-4872-BB45-ADC047DBE10D}"/>
    <hyperlink ref="AW322" r:id="rId542" display="https://www.lbank.com/trade/link_usdt" xr:uid="{F4E71FD0-4CEF-408F-B9AD-D2281053D019}"/>
    <hyperlink ref="AU324" r:id="rId543" display="https://www.coingecko.com/pt/c%C3%A2mbios/bitvenus-spot" xr:uid="{20DB2A6F-69E1-4892-AA6C-E916C2AF53EE}"/>
    <hyperlink ref="AU325" r:id="rId544" display="https://www.coingecko.com/pt/c%C3%A2mbios/bitvenus-spot" xr:uid="{EDFADECE-27FF-4A94-8248-D762C758B06A}"/>
    <hyperlink ref="AW324" r:id="rId545" display="https://www.bitvenus.me/exchange/LINK/USDT?register/vh2osI" xr:uid="{1A5DD063-FB67-4CA7-A255-4ED813D5FA9D}"/>
    <hyperlink ref="AU326" r:id="rId546" display="https://www.coingecko.com/pt/c%C3%A2mbios/whitebit" xr:uid="{9247C746-EFDC-4ECE-83AC-2D1A14BBC936}"/>
    <hyperlink ref="AU327" r:id="rId547" display="https://www.coingecko.com/pt/c%C3%A2mbios/whitebit" xr:uid="{2FCC667D-70D8-4803-A9F3-CA8E969526B4}"/>
    <hyperlink ref="AW326" r:id="rId548" display="https://whitebit.com/trade/LINK_USDT?referral=21d28793-2c37-4ad5-ad65-ec354740a197" xr:uid="{8E1A2F7F-ABDE-4718-943D-4A7651CD9B7B}"/>
    <hyperlink ref="AU328" r:id="rId549" display="https://www.coingecko.com/pt/c%C3%A2mbios/mexc" xr:uid="{F60E13E2-773B-4D38-B364-F995D1EE7987}"/>
    <hyperlink ref="AU329" r:id="rId550" display="https://www.coingecko.com/pt/c%C3%A2mbios/mexc" xr:uid="{2F7A1E4A-BBF4-4B51-9895-7D6F45894974}"/>
    <hyperlink ref="AW328" r:id="rId551" display="https://www.mexc.com/exchange/LINK_USDT?inviteCode=1498J" xr:uid="{2057699E-39D3-4E45-A73B-1ACAC10487BD}"/>
    <hyperlink ref="AU330" r:id="rId552" display="https://www.coingecko.com/pt/c%C3%A2mbios/binance" xr:uid="{9FB01D14-E88F-4A7B-8144-CE379336F6C6}"/>
    <hyperlink ref="AU331" r:id="rId553" display="https://www.coingecko.com/pt/c%C3%A2mbios/binance" xr:uid="{64628197-016A-4278-AA37-4BDDBBE9C97E}"/>
    <hyperlink ref="AW330" r:id="rId554" display="https://www.binance.com/en/trade/LINK_USDT?ref=37754157" xr:uid="{BD94A34E-D4BF-48CE-BDA5-8852F4620A54}"/>
    <hyperlink ref="AU332" r:id="rId555" display="https://www.coingecko.com/pt/c%C3%A2mbios/coinbase-exchange" xr:uid="{7199E5A6-9E0B-42AF-8075-66DD1E6F2E87}"/>
    <hyperlink ref="AU333" r:id="rId556" display="https://www.coingecko.com/pt/c%C3%A2mbios/coinbase-exchange" xr:uid="{50C82ACC-60F4-4284-A450-41F0AB9583F3}"/>
    <hyperlink ref="AW332" r:id="rId557" display="https://www.coinbase.com/advanced-trade/spot/LINK-USD" xr:uid="{6BA406B4-3136-4D4D-A9A3-61C1D2ACC2DF}"/>
    <hyperlink ref="AU334" r:id="rId558" display="https://www.coingecko.com/pt/c%C3%A2mbios/crypto_com" xr:uid="{29776B90-25DF-42D3-BF41-B439A409F89B}"/>
    <hyperlink ref="AU335" r:id="rId559" display="https://www.coingecko.com/pt/c%C3%A2mbios/crypto_com" xr:uid="{ED10F5C1-CC9A-45E9-BCED-4D3AE293C3E2}"/>
    <hyperlink ref="AW334" r:id="rId560" display="https://crypto.com/exchange/trade/spot/LINK_USD" xr:uid="{E1BBB5D1-7BDE-487B-8DE3-540D7B2CA8AB}"/>
    <hyperlink ref="AT346" r:id="rId561" display="https://br.beincrypto.com/adaptador-de-blockchain-para-ativos-tokenizados/" xr:uid="{B0E11E7E-C9B4-418E-9DC7-14C5FA193B8F}"/>
    <hyperlink ref="AT347" r:id="rId562" display="https://br.beincrypto.com/adaptador-de-blockchain-para-ativos-tokenizados/" xr:uid="{BDCFD16C-3A22-41AD-80F7-13B830AC542C}"/>
    <hyperlink ref="AT348" r:id="rId563" display="https://br.beincrypto.com/adaptador-de-blockchain-para-ativos-tokenizados/" xr:uid="{3BE99F2D-D948-49D8-B0A9-ED6A54BDB9F4}"/>
    <hyperlink ref="AT349" r:id="rId564" display="https://br.beincrypto.com/adaptador-de-blockchain-para-ativos-tokenizados/" xr:uid="{5C0D106E-E0A7-4B66-AB3B-475DC982944E}"/>
    <hyperlink ref="AT350:AT351" r:id="rId565" display="https://br.beincrypto.com/altcoins-formaram-fundo-e-estao-prontas-para-bull-run/" xr:uid="{46B6BEFF-C237-4A9E-AF56-C0B373B2D76E}"/>
    <hyperlink ref="AT352" r:id="rId566" display="https://br.beincrypto.com/altcoins-formaram-fundo-e-estao-prontas-para-bull-run/" xr:uid="{F58E8391-383A-4CE6-B8F0-22EAAE4FC3B7}"/>
    <hyperlink ref="AT353" r:id="rId567" display="https://br.beincrypto.com/altcoins-formaram-fundo-e-estao-prontas-para-bull-run/" xr:uid="{D01B3E6A-40BB-4E56-8135-2537EEFFDE7C}"/>
    <hyperlink ref="AT354:AT355" r:id="rId568" display="https://www.cryptopolitan.com/pt/chainlink-vrf-v25-lancado-com-melhorias/" xr:uid="{287D139D-3726-4B0C-A1D6-01643E88D3CB}"/>
    <hyperlink ref="AT356" r:id="rId569" display="https://www.cryptopolitan.com/pt/chainlink-vrf-v25-lancado-com-melhorias/" xr:uid="{852E6352-AD05-4017-9689-C0311226185C}"/>
    <hyperlink ref="AT357" r:id="rId570" display="https://www.cryptopolitan.com/pt/chainlink-vrf-v25-lancado-com-melhorias/" xr:uid="{4627252D-07E9-4B0A-861B-02F1897A5F99}"/>
    <hyperlink ref="AT358:AT359" r:id="rId571" display="https://www.criptofacil.com/fundos-de-criptomoedas-registram-maiores-saidas-desde-marco/" xr:uid="{4EE70C3A-EED7-48F7-9041-310149240A6A}"/>
    <hyperlink ref="AT360" r:id="rId572" display="https://www.criptofacil.com/fundos-de-criptomoedas-registram-maiores-saidas-desde-marco/" xr:uid="{5D4EB71A-01D8-4C21-AF0B-ACF2B0C0E944}"/>
    <hyperlink ref="AT361" r:id="rId573" display="https://www.criptofacil.com/fundos-de-criptomoedas-registram-maiores-saidas-desde-marco/" xr:uid="{2D8E9509-05B6-4056-A4E7-BC62E2303B6B}"/>
    <hyperlink ref="AT366" r:id="rId574" display="https://www.coingecko.com/pt/moedas/chainlink/usd" xr:uid="{518C628A-346C-4309-8EFB-6AC9C0DA5B7E}"/>
    <hyperlink ref="AT367" r:id="rId575" display="https://www.coingecko.com/pt/moedas/chainlink/usd" xr:uid="{C2FC96A9-0833-4C84-A71F-02D425EEFE51}"/>
    <hyperlink ref="AT368" r:id="rId576" display="https://www.coingecko.com/pt/moedas/chainlink/eur" xr:uid="{EF6C2616-9A2B-4C6E-A080-C676A805AF88}"/>
    <hyperlink ref="AT369" r:id="rId577" display="https://www.coingecko.com/pt/moedas/chainlink/eur" xr:uid="{7581D9DD-C599-417A-AE0D-64A2B438DFB6}"/>
    <hyperlink ref="AT370" r:id="rId578" display="https://www.coingecko.com/pt/moedas/chainlink/brl" xr:uid="{BF84D747-7E7A-439C-96FD-8391F6C91D3F}"/>
    <hyperlink ref="AT371" r:id="rId579" display="https://www.coingecko.com/pt/moedas/chainlink/brl" xr:uid="{8B115AC1-1987-4751-966F-A7DA1AC222A6}"/>
    <hyperlink ref="AT375" r:id="rId580" display="https://www.coingecko.com/pt/moedas/usdc" xr:uid="{FB8CAC66-09EE-4B0E-8E98-E2ED2A45036B}"/>
    <hyperlink ref="AT376" r:id="rId581" display="https://www.coingecko.com/pt/moedas/usdc" xr:uid="{6DA38F38-DD6C-4A69-84F4-D96CD1EDA1EE}"/>
    <hyperlink ref="AT377" r:id="rId582" display="https://www.coingecko.com/pt/moedas/usdc" xr:uid="{3ACADFFB-0454-4A08-81D8-F753A0203809}"/>
    <hyperlink ref="AT378" r:id="rId583" display="https://www.coingecko.com/pt/moedas/cosmos-hub" xr:uid="{813336C0-5181-4832-8124-DF200C5E3B8A}"/>
    <hyperlink ref="AT379" r:id="rId584" display="https://www.coingecko.com/pt/moedas/cosmos-hub" xr:uid="{25BB8764-42CB-4992-B27B-1C25A47AB278}"/>
    <hyperlink ref="AT380" r:id="rId585" display="https://www.coingecko.com/pt/moedas/cosmos-hub" xr:uid="{CBEA85E0-0248-43D6-9B0B-94E94C7D7207}"/>
    <hyperlink ref="AT381" r:id="rId586" display="https://www.coingecko.com/pt/moedas/fetch-ai" xr:uid="{B48C242A-032E-42BF-9622-C200E80CAF89}"/>
    <hyperlink ref="AT382" r:id="rId587" display="https://www.coingecko.com/pt/moedas/fetch-ai" xr:uid="{01BB03B5-5C4B-465D-8A6E-2AB4E1E3CE34}"/>
    <hyperlink ref="AT383" r:id="rId588" display="https://www.coingecko.com/pt/moedas/fetch-ai" xr:uid="{BE06C7FA-B887-44B4-AE60-7865008CB85B}"/>
    <hyperlink ref="AT384" r:id="rId589" display="https://www.coingecko.com/pt/moedas/akash-network" xr:uid="{FB8C7919-A4CD-4FF6-8796-A97F596C2BA3}"/>
    <hyperlink ref="AT385" r:id="rId590" display="https://www.coingecko.com/pt/moedas/akash-network" xr:uid="{C6EAA57F-DE76-46B4-B942-23129EAC88E6}"/>
    <hyperlink ref="AT386" r:id="rId591" display="https://www.coingecko.com/pt/moedas/akash-network" xr:uid="{756719CB-F401-45C6-89A9-0A4384D27B45}"/>
    <hyperlink ref="AT387" r:id="rId592" display="https://www.coingecko.com/pt/moedas/axelar" xr:uid="{34D5FBF4-9C12-48EA-BCC6-DFA390BC5DE6}"/>
    <hyperlink ref="AT388" r:id="rId593" display="https://www.coingecko.com/pt/moedas/axelar" xr:uid="{F1239FE0-A13B-4B6E-BF34-54015C874C37}"/>
    <hyperlink ref="AT389" r:id="rId594" display="https://www.coingecko.com/pt/moedas/axelar" xr:uid="{3AE6E16D-20AD-483A-A538-6B34C90E8B06}"/>
    <hyperlink ref="AT393" r:id="rId595" display="https://www.coingecko.com/pt/moedas/solana" xr:uid="{BDA31F41-7B6E-4FA8-9413-B86FB2EAA18C}"/>
    <hyperlink ref="AT394" r:id="rId596" display="https://www.coingecko.com/pt/moedas/solana" xr:uid="{8E8D387E-9ECA-4D66-94B5-D9825850F2A0}"/>
    <hyperlink ref="AT395" r:id="rId597" display="https://www.coingecko.com/pt/moedas/solana" xr:uid="{491102A5-E777-4A1B-8E5F-A7561A9D610A}"/>
    <hyperlink ref="AT396" r:id="rId598" display="https://www.coingecko.com/pt/moedas/dione" xr:uid="{067925D2-2255-4983-8861-26E4DF715615}"/>
    <hyperlink ref="AT397" r:id="rId599" display="https://www.coingecko.com/pt/moedas/dione" xr:uid="{69571B99-1E6E-4300-A249-7D8C14882D34}"/>
    <hyperlink ref="AT398" r:id="rId600" display="https://www.coingecko.com/pt/moedas/dione" xr:uid="{62F016B1-C6FB-48EE-9446-C26692398860}"/>
    <hyperlink ref="AT399" r:id="rId601" display="https://www.coingecko.com/pt/moedas/pixels" xr:uid="{ED6DC0EC-6308-43D6-9088-305F6AF9DA05}"/>
    <hyperlink ref="AT400" r:id="rId602" display="https://www.coingecko.com/pt/moedas/pixels" xr:uid="{4681B656-D445-4BB2-B971-91FE31120CC4}"/>
    <hyperlink ref="AT401" r:id="rId603" display="https://www.coingecko.com/pt/moedas/pixels" xr:uid="{D9827E29-BEAF-4D54-B800-8480A4A317E9}"/>
    <hyperlink ref="AT402" r:id="rId604" display="https://www.coingecko.com/pt/moedas/pepe" xr:uid="{96C4360A-3D27-489F-AD15-6A3AAFEEEE74}"/>
    <hyperlink ref="AT403" r:id="rId605" display="https://www.coingecko.com/pt/moedas/pepe" xr:uid="{4A7CB440-044A-4486-B840-8B648209F136}"/>
    <hyperlink ref="AT404" r:id="rId606" display="https://www.coingecko.com/pt/moedas/pepe" xr:uid="{D33B505F-2F12-4434-B633-315AE7424F9D}"/>
    <hyperlink ref="AT405" r:id="rId607" display="https://www.coingecko.com/pt/moedas/degen-base" xr:uid="{B872C1AE-45F0-4DD2-9538-FCA43448A7C8}"/>
    <hyperlink ref="AT406" r:id="rId608" display="https://www.coingecko.com/pt/moedas/degen-base" xr:uid="{5CC2EAB3-879B-4781-8C82-C384AD373BA1}"/>
    <hyperlink ref="AT407" r:id="rId609" display="https://www.coingecko.com/pt/moedas/degen-base" xr:uid="{BF4C0892-47F2-46F3-92C3-B5ED4BECDF51}"/>
    <hyperlink ref="AT408" r:id="rId610" display="https://www.coingecko.com/pt/moedas/bitcoin" xr:uid="{11C9E84F-A0B6-4F03-A21F-F2F1CDE331B7}"/>
    <hyperlink ref="AT409" r:id="rId611" display="https://www.coingecko.com/pt/moedas/bitcoin" xr:uid="{CA8981C6-0BFD-4D78-A60C-E921E4D7FD01}"/>
    <hyperlink ref="AT410" r:id="rId612" display="https://www.coingecko.com/pt/moedas/bitcoin" xr:uid="{30265967-EFA6-4385-A89D-B6C56D0094C1}"/>
    <hyperlink ref="AT411" r:id="rId613" display="https://www.coingecko.com/pt/moedas/ethereum" xr:uid="{BC43B7FB-B464-4C7A-B7D5-A5F522A62097}"/>
    <hyperlink ref="AT412" r:id="rId614" display="https://www.coingecko.com/pt/moedas/ethereum" xr:uid="{A1B1DF60-EDAE-4AE7-B4AB-93757B378F18}"/>
    <hyperlink ref="AT413" r:id="rId615" display="https://www.coingecko.com/pt/moedas/ethereum" xr:uid="{80E37C36-8D21-4CC8-8D65-8CFD95A76BFA}"/>
    <hyperlink ref="AT414" r:id="rId616" display="https://www.coingecko.com/pt/moedas/wormhole" xr:uid="{D3549A47-EA35-4880-A4C6-A87BB319DF18}"/>
    <hyperlink ref="AT415" r:id="rId617" display="https://www.coingecko.com/pt/moedas/wormhole" xr:uid="{8C1FFE5A-497D-450E-9678-E5DCD0FC9D10}"/>
    <hyperlink ref="AT416" r:id="rId618" display="https://www.coingecko.com/pt/moedas/wormhole" xr:uid="{D3482FB0-B949-4BCE-A868-9602C773E690}"/>
    <hyperlink ref="AT417" r:id="rId619" display="https://www.coingecko.com/pt/moedas/pendle" xr:uid="{5067A8FF-B714-462C-9697-28E1EA53914A}"/>
    <hyperlink ref="AT418" r:id="rId620" display="https://www.coingecko.com/pt/moedas/pendle" xr:uid="{1C1A7BB4-6738-4596-AB28-728CC9E13EC3}"/>
    <hyperlink ref="AT419" r:id="rId621" display="https://www.coingecko.com/pt/moedas/pendle" xr:uid="{1EC1B8E9-4F66-47A9-828B-DCA6A0DF9D26}"/>
    <hyperlink ref="AT420" r:id="rId622" display="https://www.coingecko.com/pt/moedas/kaspa" xr:uid="{50620B94-A7A8-468E-AE38-91F3833E1E91}"/>
    <hyperlink ref="AT421" r:id="rId623" display="https://www.coingecko.com/pt/moedas/kaspa" xr:uid="{4220E629-E97B-4E59-A506-3ED2E4A8004C}"/>
    <hyperlink ref="AT422" r:id="rId624" display="https://www.coingecko.com/pt/moedas/kaspa" xr:uid="{9EA9C594-3CE5-4F33-BD0E-72811DCB1448}"/>
    <hyperlink ref="AT431" r:id="rId625" display="https://www.coingecko.com/pt" xr:uid="{94FB1487-2DAC-40AC-814C-35942DF6F605}"/>
    <hyperlink ref="AT434" r:id="rId626" display="https://www.coingecko.com/pt/news" xr:uid="{51D7F003-EE22-4E2E-832B-CCED3C00655D}"/>
    <hyperlink ref="AT435" r:id="rId627" display="https://www.coingecko.com/pt/public-companies-bitcoin" xr:uid="{9359E085-67EC-4A3C-8C45-E9C05F49664B}"/>
    <hyperlink ref="AT436" r:id="rId628" display="https://www.coingecko.com/pt/cryptocurrency-heatmap" xr:uid="{6E20508B-08B9-482E-AE39-1008C28B0BFD}"/>
    <hyperlink ref="AT437" r:id="rId629" display="https://www.coingecko.com/pt/api" xr:uid="{FC6F43EB-4B0F-4E83-B102-571F4DD74BA7}"/>
    <hyperlink ref="AT444" r:id="rId630" display="https://www.coingecko.com/request" xr:uid="{4F3D0601-F5EB-40E2-A710-D523C2A9CFA2}"/>
    <hyperlink ref="AT445" r:id="rId631" display="https://gcko.io/coingeckoads" xr:uid="{F9AE1C92-A301-4939-B954-17FFF9B7B5D0}"/>
    <hyperlink ref="AT446" r:id="rId632" display="https://www.coingecko.com/pt/candy/partners-getting-started" xr:uid="{34B4F2B2-182D-47F1-8DFA-21C0D8DC41F8}"/>
    <hyperlink ref="AT447" r:id="rId633" display="https://support.coingecko.com/" xr:uid="{1366E4F0-59CF-4100-9414-55FB3E00ED21}"/>
    <hyperlink ref="AT448" r:id="rId634" display="https://hackenproof.com/coingecko/coingecko" xr:uid="{75EA8F19-5495-45A8-BAAF-35FE0318D1F1}"/>
    <hyperlink ref="AT449" r:id="rId635" display="https://www.coingecko.com/pt/faq" xr:uid="{00B6E9B8-36AF-4DF6-8633-608B2A12326F}"/>
    <hyperlink ref="AT451" r:id="rId636" display="https://www.coingecko.com/pt/sobre" xr:uid="{B3F60042-AA10-41FC-9E41-A5BBC6C1D24C}"/>
    <hyperlink ref="AT452" r:id="rId637" display="https://careers.coingecko.com/" xr:uid="{E7B51A9C-949E-4D14-869C-52D1BE69CD69}"/>
    <hyperlink ref="AT453" r:id="rId638" display="https://careers.coingecko.com/" xr:uid="{B934D9EB-6001-47ED-A7A7-447C4E91DE87}"/>
    <hyperlink ref="AT454" r:id="rId639" display="https://blog.coingecko.com/" xr:uid="{C90F7C58-C7B0-414F-83EC-D8E8F5018714}"/>
    <hyperlink ref="AT455" r:id="rId640" display="https://www.coingecko.com/pt/branding" xr:uid="{16D7485A-8A5F-445D-8154-58B661621D2D}"/>
    <hyperlink ref="AT456" r:id="rId641" display="https://www.coingecko.com/pt/metodologia" xr:uid="{6FB9F60F-815A-454F-94A7-09B91A8EACA1}"/>
    <hyperlink ref="AT457" r:id="rId642" display="https://www.coingecko.com/pt/isen%C3%A7%C3%A3o_de_responsabilidade" xr:uid="{BBE37D82-3CCE-4A15-9D9E-706075ECBE01}"/>
    <hyperlink ref="AT458" r:id="rId643" display="https://www.coingecko.com/pt/termos" xr:uid="{F5484F7F-376B-473D-BF8B-AC1066CA93E6}"/>
    <hyperlink ref="AT459" r:id="rId644" display="https://www.coingecko.com/pt/privacidade" xr:uid="{B94912F0-CA8F-4FA0-B680-C8FE7CA81CF7}"/>
    <hyperlink ref="AT460" r:id="rId645" display="https://www.coingecko.com/pt/ad_policy" xr:uid="{1B358EE1-0E32-4CF9-999B-6DB0513EDC8B}"/>
    <hyperlink ref="AT463" r:id="rId646" display="https://twitter.com/coingecko" xr:uid="{BC25AB2A-D951-42D3-A92E-2366F8471634}"/>
    <hyperlink ref="AT464" r:id="rId647" display="https://t.me/coingecko" xr:uid="{3ED15774-44FB-4859-8EBB-7005ED7AA54F}"/>
    <hyperlink ref="AT465" r:id="rId648" display="https://t.me/coingeckonews" xr:uid="{D6656EC4-4C40-4F89-88CE-9FEA41BB922E}"/>
    <hyperlink ref="AT466" r:id="rId649" display="https://www.instagram.com/coingecko/" xr:uid="{B71212E3-B344-4BE8-BB77-73A481B906EE}"/>
    <hyperlink ref="AT467" r:id="rId650" display="https://www.reddit.com/r/coingecko/" xr:uid="{25653B71-1163-40C6-9CF0-401B29226974}"/>
    <hyperlink ref="AT468" r:id="rId651" display="https://discord.gg/EhrkaCH" xr:uid="{52DD284E-4980-4ED6-B84F-4A187F12D824}"/>
    <hyperlink ref="AT469" r:id="rId652" display="https://www.facebook.com/coingecko" xr:uid="{969F2684-AFB9-4BC8-A11F-CD0D30543FC9}"/>
    <hyperlink ref="AT470" r:id="rId653" display="https://www.youtube.com/channel/UC-OTgwOAI7KmP0eDAtqN3Ow?sub_confirmation=1" xr:uid="{55CE0529-0C5D-4A1E-9783-237E35D9869F}"/>
    <hyperlink ref="AT471" r:id="rId654" display="https://www.tiktok.com/@coingeckotv" xr:uid="{17C5267A-2B8F-430C-ACAA-C6FB95033B9C}"/>
    <hyperlink ref="AT477" r:id="rId655" display="https://www.coingecko.com/pt/isen%C3%A7%C3%A3o_de_responsabilidade" xr:uid="{8990691D-11AA-4652-ADEF-F9F1379D75BB}"/>
    <hyperlink ref="AT727" r:id="rId656" display="https://coingecko.app.link/lTInCXLGz4" xr:uid="{F4E84026-B2CF-4CEB-96C3-FADAED2062F5}"/>
    <hyperlink ref="BG2" r:id="rId657" display="https://www.coingecko.com/pt" xr:uid="{192C4008-0197-4F40-9B08-97D864A7C14C}"/>
    <hyperlink ref="BG3" r:id="rId658" display="https://www.coingecko.com/pt/c%C3%A2mbios" xr:uid="{214F8F3F-139E-4240-9633-55406D199135}"/>
    <hyperlink ref="BG4" r:id="rId659" display="https://www.coingecko.com/pt/global-charts" xr:uid="{7DEF497B-9BD4-4DE2-AAF5-05E1469C94A3}"/>
    <hyperlink ref="BG5" r:id="rId660" display="https://www.coingecko.com/pt/global-charts" xr:uid="{9763C025-482B-4597-A38A-15F129F05996}"/>
    <hyperlink ref="BG25" r:id="rId661" display="https://www.coingecko.com/pt/premium/pricing" xr:uid="{1332F624-8897-402F-9F82-30B0D5178281}"/>
    <hyperlink ref="BG28:BG29" r:id="rId662" display="https://coingecko.app.link/lTInCXLGz4" xr:uid="{337FE12F-D5FD-4DB0-A2AF-C1570EDC28AB}"/>
    <hyperlink ref="BG48" r:id="rId663" display="https://www.geckoterminal.com/?utm_source=coingecko&amp;utm_medium=referral&amp;utm_campaign=desktop_navigation" xr:uid="{68FE9A3D-9254-4309-B280-A2F49FFE5B52}"/>
    <hyperlink ref="BG49" r:id="rId664" display="https://www.coingecko.com/pt/candy" xr:uid="{AFE7C308-3289-458E-99D9-771EFBC42662}"/>
    <hyperlink ref="BG50" r:id="rId665" display="https://www.coingecko.com/pt/candy" xr:uid="{7477488A-3175-45CA-A96F-1620BC59C539}"/>
    <hyperlink ref="BG51" r:id="rId666" display="https://www.coingecko.com/pt/candy" xr:uid="{3D22606D-80E0-4499-A358-3C3D3BFF6419}"/>
    <hyperlink ref="BG52" r:id="rId667" display="https://www.coingecko.com/pt/portfolio" xr:uid="{B83B186F-4ECC-4375-A52A-D257C4EB6FC4}"/>
    <hyperlink ref="BG70" r:id="rId668" display="https://gcko.io/search-survey" xr:uid="{329D8629-0FC3-48F3-8941-320D50B81110}"/>
    <hyperlink ref="BG73" r:id="rId669" display="https://www.coingecko.com/pt" xr:uid="{48D83BAE-1489-47A3-A67C-CA90A0F93859}"/>
    <hyperlink ref="BG92" r:id="rId670" display="https://www.coingecko.com/pt/metodologia" xr:uid="{DE64DA5A-1498-4944-8058-DB41FB3FCBE7}"/>
    <hyperlink ref="BG101" r:id="rId671" display="https://www.geckoterminal.com/ronin/tokens/0xe514d9deb7966c8be0ca922de8a064264ea6bcd4?utm_source=coingecko&amp;utm_medium=referral&amp;utm_campaign=livechart-btn" xr:uid="{800C0F68-47D7-4497-BE15-5DBF5A6E6D6A}"/>
    <hyperlink ref="BG106" r:id="rId672" display="https://www.coingecko.com/pt/api" xr:uid="{BC87D9E6-CEF6-4611-8944-71A5F0CEE41E}"/>
    <hyperlink ref="BG122" r:id="rId673" display="https://www.coingecko.com/pt/metodologia" xr:uid="{F644F959-44D4-4618-A7C4-6D9D4D748B1D}"/>
    <hyperlink ref="BG128" r:id="rId674" display="https://www.coingecko.com/learn/what-is-fully-diluted-valuation-fdv-in-crypto" xr:uid="{852701BE-7D66-4E6F-9330-9685535E5975}"/>
    <hyperlink ref="BG134" r:id="rId675" display="https://www.coingecko.com/learn/what-is-fully-diluted-valuation-fdv-in-crypto" xr:uid="{7B3BB768-E47E-4DDE-8C3B-7977A40EE272}"/>
    <hyperlink ref="BG138" r:id="rId676" display="https://www.coingecko.com/pt/metodologia" xr:uid="{7FF7DDDD-2E1C-44B7-B115-B2B21849DEB2}"/>
    <hyperlink ref="BG142" r:id="rId677" display="https://www.coingecko.com/pt/metodologia" xr:uid="{8937CC1D-FB66-4560-B8F2-3C69A13149C0}"/>
    <hyperlink ref="BH140" r:id="rId678" xr:uid="{3E5F7E7A-688C-43C9-B7AE-3AF93BA7340C}"/>
    <hyperlink ref="BG158" r:id="rId679" display="https://forms.gle/ULNnnCGCEAimK9cJ7" xr:uid="{5A341AC7-4F5C-43DD-A18D-8685A05F4293}"/>
    <hyperlink ref="BG162" r:id="rId680" display="https://roninchain.com/" xr:uid="{6A26CE54-8EC3-4A5E-9C67-DA160B2BE4AD}"/>
    <hyperlink ref="BG164" r:id="rId681" display="https://explorer.roninchain.com/" xr:uid="{5B925243-FB15-42EA-95A3-BC573D16963D}"/>
    <hyperlink ref="BG166" r:id="rId682" display="https://wallet.roninchain.com/" xr:uid="{814290B8-761F-4560-B492-C13A520ABD2B}"/>
    <hyperlink ref="BG168" r:id="rId683" display="https://twitter.com/Ronin_Network" xr:uid="{7D3E3410-7932-4F4D-9DD7-457FE72FED6E}"/>
    <hyperlink ref="BG169" r:id="rId684" display="https://discord.gg/roninnetwork" xr:uid="{1A0EC993-09ED-4735-8957-43D1FAECC07D}"/>
    <hyperlink ref="BG171" r:id="rId685" display="https://twitter.com/search?q=$RON" xr:uid="{41DF847D-BAAB-42FE-B040-876E3C4BA83F}"/>
    <hyperlink ref="BG175" r:id="rId686" display="https://www.coingecko.com/pt/categories/ronin-ecosystem" xr:uid="{22CE0203-6995-44DC-A563-142EE0A22BB0}"/>
    <hyperlink ref="BG177" r:id="rId687" display="https://www.coingecko.com/pt/categories/smart-contract-platform" xr:uid="{A28C1306-802E-4274-B261-CEC04FC954FF}"/>
    <hyperlink ref="BH234" r:id="rId688" display="https://www.coingecko.com/pt/c%C3%A2mbios/bitget" xr:uid="{805E2AFD-6F3C-47F1-A54A-E390044217F5}"/>
    <hyperlink ref="BH235" r:id="rId689" display="https://www.coingecko.com/pt/c%C3%A2mbios/bitget" xr:uid="{8A1E815D-7B7C-4031-9EC2-7D1A2B041BA1}"/>
    <hyperlink ref="BJ234" r:id="rId690" display="https://www.bitget.com/spot/RONUSDT?channelCode=42xn&amp;vipCode=sq59&amp;languageType=0" xr:uid="{48C32B32-B22E-4868-B7F3-E988BD0C2B56}"/>
    <hyperlink ref="BH236" r:id="rId691" display="https://www.coingecko.com/pt/c%C3%A2mbios/binance" xr:uid="{D260DCB8-D829-4F3B-B34A-06BBB4D13AD8}"/>
    <hyperlink ref="BH237" r:id="rId692" display="https://www.coingecko.com/pt/c%C3%A2mbios/binance" xr:uid="{CC129089-4E88-4DEB-9E09-E1DEFA77EC54}"/>
    <hyperlink ref="BJ236" r:id="rId693" display="https://www.binance.com/en/trade/RONIN_USDT?ref=37754157" xr:uid="{86293612-5936-48A2-80E9-44DD87F3215D}"/>
    <hyperlink ref="BH238" r:id="rId694" display="https://www.coingecko.com/pt/c%C3%A2mbios/htx" xr:uid="{C43F2D12-8030-4DAB-B54A-5433D9CFED55}"/>
    <hyperlink ref="BH239" r:id="rId695" display="https://www.coingecko.com/pt/c%C3%A2mbios/htx" xr:uid="{F8043E52-EA32-46AC-A925-A6A04364A91B}"/>
    <hyperlink ref="BJ238" r:id="rId696" display="https://www.huobi.com/en-us/exchange/ronin_usdt?invite_code=d8c53" xr:uid="{7DB83893-BC8D-4075-A623-03B30848BA93}"/>
    <hyperlink ref="BH240" r:id="rId697" display="https://www.coingecko.com/pt/c%C3%A2mbios/katana" xr:uid="{C795ED98-2C7D-4EC2-8049-D51F0B8C595C}"/>
    <hyperlink ref="BH241" r:id="rId698" display="https://www.coingecko.com/pt/c%C3%A2mbios/katana" xr:uid="{271FE6E6-C0CD-4F7A-BA35-CAB18E6CB111}"/>
    <hyperlink ref="BJ240" r:id="rId699" display="https://www.geckoterminal.com/ronin/pools/0x2ecb08f87f075b5769fe543d0e52e40140575ea7?utm_source=coingecko&amp;utm_medium=referral&amp;utm_campaign=livechart" xr:uid="{513D8D2A-3846-4B4C-BD57-B38F891ACF42}"/>
    <hyperlink ref="BH242" r:id="rId700" display="https://www.coingecko.com/pt/c%C3%A2mbios/digifinex" xr:uid="{929FF2C6-9BFC-4826-A113-6AF271B88EC3}"/>
    <hyperlink ref="BH243" r:id="rId701" display="https://www.coingecko.com/pt/c%C3%A2mbios/digifinex" xr:uid="{DB15F7E3-404E-48E2-838C-E38170D8CAFF}"/>
    <hyperlink ref="BJ242" r:id="rId702" display="https://www.digifinex.com/en-ww/trade/USDT/RON" xr:uid="{6FCF6824-EF3D-4FAA-BBF4-67A4D723C7CA}"/>
    <hyperlink ref="BH244" r:id="rId703" display="https://www.coingecko.com/pt/c%C3%A2mbios/okx" xr:uid="{279A1A81-56A7-4331-8F7E-6CFAF9D3F43F}"/>
    <hyperlink ref="BH245" r:id="rId704" display="https://www.coingecko.com/pt/c%C3%A2mbios/okx" xr:uid="{6DF94DD2-B197-4747-B637-7BB0EEAE2C32}"/>
    <hyperlink ref="BJ244" r:id="rId705" display="https://www.okx.com/trade-spot/ron-usdt?channelid=1902090" xr:uid="{BC5961DB-40CD-41E4-B06B-7A0727251239}"/>
    <hyperlink ref="BH246" r:id="rId706" display="https://www.coingecko.com/pt/c%C3%A2mbios/bingx" xr:uid="{B0F35B72-866B-4323-A2B4-367A9CAEC443}"/>
    <hyperlink ref="BH247" r:id="rId707" display="https://www.coingecko.com/pt/c%C3%A2mbios/bingx" xr:uid="{E6410BFA-3108-41EF-9CE9-F62C173F0A2D}"/>
    <hyperlink ref="BJ246" r:id="rId708" display="https://bingx.com/en-us/spot/RONUSDT?ch=cgk_organic" xr:uid="{9EE46089-BD49-4B4B-8135-6042E16A938C}"/>
    <hyperlink ref="BH248" r:id="rId709" display="https://www.coingecko.com/pt/c%C3%A2mbios/katana" xr:uid="{2FA0F00F-F2D6-4A4A-9F62-A125B9CAF628}"/>
    <hyperlink ref="BH249" r:id="rId710" display="https://www.coingecko.com/pt/c%C3%A2mbios/katana" xr:uid="{EFAD4AA9-9E22-468B-B560-6D6B77A7D3EF}"/>
    <hyperlink ref="BJ248" r:id="rId711" display="https://www.geckoterminal.com/ronin/pools/0x32d1dbb6a4275133cc49f1c61653be3998ada4ff?utm_source=coingecko&amp;utm_medium=referral&amp;utm_campaign=livechart" xr:uid="{ACC18B3A-3A65-4B77-8BA9-CC977FF29621}"/>
    <hyperlink ref="BH250" r:id="rId712" display="https://www.coingecko.com/pt/c%C3%A2mbios/katana" xr:uid="{54431B76-0EE5-4306-8AE1-AA97E012C5F7}"/>
    <hyperlink ref="BH251" r:id="rId713" display="https://www.coingecko.com/pt/c%C3%A2mbios/katana" xr:uid="{92C54746-CC38-43C8-9744-5BA6550F62B0}"/>
    <hyperlink ref="BJ250" r:id="rId714" display="https://www.geckoterminal.com/ronin/pools/0x4f7687affc10857fccd0938ecda0947de7ad3812?utm_source=coingecko&amp;utm_medium=referral&amp;utm_campaign=livechart" xr:uid="{6A2C0D1F-7748-4590-AD9C-5BA70815F4B9}"/>
    <hyperlink ref="BH252" r:id="rId715" display="https://www.coingecko.com/pt/c%C3%A2mbios/woo-network" xr:uid="{0C57F437-CC68-4D18-9E57-3828EB5DBAC8}"/>
    <hyperlink ref="BH253" r:id="rId716" display="https://www.coingecko.com/pt/c%C3%A2mbios/woo-network" xr:uid="{2CCF43FF-8138-4B6B-8E51-750DBA9B7DE9}"/>
    <hyperlink ref="BJ252" r:id="rId717" display="https://x.woo.network/spot" xr:uid="{102A5B35-840C-412E-8136-B4DB5802CDED}"/>
    <hyperlink ref="BG264" r:id="rId718" display="https://www.criptofacil.com/ronin-e-sky-mavis-recebem-mais-um-jogo-na-rede-propria/" xr:uid="{1AABEF66-DE1F-492F-AE90-B18C1578D5B4}"/>
    <hyperlink ref="BG265" r:id="rId719" display="https://www.criptofacil.com/ronin-e-sky-mavis-recebem-mais-um-jogo-na-rede-propria/" xr:uid="{E4325ACF-5449-4CE2-BC85-50B56B3BCFC5}"/>
    <hyperlink ref="BG266" r:id="rId720" display="https://www.criptofacil.com/ronin-e-sky-mavis-recebem-mais-um-jogo-na-rede-propria/" xr:uid="{86D73C50-C78C-4D4D-B323-F4DB510E9A06}"/>
    <hyperlink ref="BG267" r:id="rId721" display="https://www.criptofacil.com/ronin-e-sky-mavis-recebem-mais-um-jogo-na-rede-propria/" xr:uid="{2A7E6417-125C-490D-9224-25E7424085A4}"/>
    <hyperlink ref="BG272" r:id="rId722" display="https://www.coingecko.com/pt/moedas/ronin/usd" xr:uid="{785E0133-1B42-46C0-9A51-6958707A6520}"/>
    <hyperlink ref="BG273" r:id="rId723" display="https://www.coingecko.com/pt/moedas/ronin/usd" xr:uid="{C6E2F5C8-F204-4066-8904-3B999D9230A7}"/>
    <hyperlink ref="BG274" r:id="rId724" display="https://www.coingecko.com/pt/moedas/ronin/eur" xr:uid="{3A82F651-F34A-485B-8F59-227FACC7FC0C}"/>
    <hyperlink ref="BG275" r:id="rId725" display="https://www.coingecko.com/pt/moedas/ronin/eur" xr:uid="{392A8312-3AE1-40EF-91F0-75ED626E7B09}"/>
    <hyperlink ref="BG276" r:id="rId726" display="https://www.coingecko.com/pt/moedas/ronin/brl" xr:uid="{9106779C-552A-4899-BC0F-22A95217CA66}"/>
    <hyperlink ref="BG277" r:id="rId727" display="https://www.coingecko.com/pt/moedas/ronin/brl" xr:uid="{DD1C4D30-3AC0-40F3-832F-41392AA4F25A}"/>
    <hyperlink ref="BG281" r:id="rId728" display="https://www.coingecko.com/pt/moedas/gnosis" xr:uid="{7257DF12-0F57-4DBB-BD5C-6827515E07AB}"/>
    <hyperlink ref="BG282" r:id="rId729" display="https://www.coingecko.com/pt/moedas/gnosis" xr:uid="{E95A49D6-A3F6-47A1-A393-4A712948BE19}"/>
    <hyperlink ref="BG283" r:id="rId730" display="https://www.coingecko.com/pt/moedas/gnosis" xr:uid="{02092A0F-77EE-4AFC-864C-13F61E60FD68}"/>
    <hyperlink ref="BG284" r:id="rId731" display="https://www.coingecko.com/pt/moedas/meter-governance" xr:uid="{4E0E4F40-C7F6-416F-8FB4-8EA793F7B4F1}"/>
    <hyperlink ref="BG285" r:id="rId732" display="https://www.coingecko.com/pt/moedas/meter-governance" xr:uid="{C120D386-C648-4D1E-B855-97A0A57DE592}"/>
    <hyperlink ref="BG286" r:id="rId733" display="https://www.coingecko.com/pt/moedas/meter-governance" xr:uid="{213774DD-57DD-4B14-ABB6-0A51AA9AA2D7}"/>
    <hyperlink ref="BG287" r:id="rId734" display="https://www.coingecko.com/pt/moedas/xana" xr:uid="{3C0D630A-2A40-4D41-BFC7-0CA271E8CD13}"/>
    <hyperlink ref="BG288" r:id="rId735" display="https://www.coingecko.com/pt/moedas/xana" xr:uid="{394C5CC8-05B9-4D7E-84A7-AA2A80592C6C}"/>
    <hyperlink ref="BG289" r:id="rId736" display="https://www.coingecko.com/pt/moedas/xana" xr:uid="{69CC06E2-A34D-410D-B27F-205521A256FA}"/>
    <hyperlink ref="BG290" r:id="rId737" display="https://www.coingecko.com/pt/moedas/bitcoin" xr:uid="{FDBBF1BA-E594-464A-9B08-BF3608A9FF41}"/>
    <hyperlink ref="BG291" r:id="rId738" display="https://www.coingecko.com/pt/moedas/bitcoin" xr:uid="{CDAA4028-F1AA-4EA3-AFC6-50A56F2E3828}"/>
    <hyperlink ref="BG292" r:id="rId739" display="https://www.coingecko.com/pt/moedas/bitcoin" xr:uid="{74BAA05D-BC6B-4AF8-B12D-F04B2C094275}"/>
    <hyperlink ref="BG293" r:id="rId740" display="https://www.coingecko.com/pt/moedas/ethereum" xr:uid="{65892A8C-C00C-4F47-B28A-035902189DD2}"/>
    <hyperlink ref="BG294" r:id="rId741" display="https://www.coingecko.com/pt/moedas/ethereum" xr:uid="{06B0DEF5-1FC1-4D5B-A403-84DFDB3A727A}"/>
    <hyperlink ref="BG295" r:id="rId742" display="https://www.coingecko.com/pt/moedas/ethereum" xr:uid="{46B89A56-9A6B-49BC-9684-477B8FD20217}"/>
    <hyperlink ref="BG299" r:id="rId743" display="https://www.coingecko.com/pt/moedas/solana" xr:uid="{9F187091-56F0-4026-8D02-59B6B130AE93}"/>
    <hyperlink ref="BG300" r:id="rId744" display="https://www.coingecko.com/pt/moedas/solana" xr:uid="{10A7949D-8309-4725-AA1D-E9D25EC2CAFF}"/>
    <hyperlink ref="BG301" r:id="rId745" display="https://www.coingecko.com/pt/moedas/solana" xr:uid="{D9FF7755-E50E-4358-81AF-02FCD939B615}"/>
    <hyperlink ref="BG302" r:id="rId746" display="https://www.coingecko.com/pt/moedas/dione" xr:uid="{2EBC5F95-815D-464C-A602-66F536CD1BE9}"/>
    <hyperlink ref="BG303" r:id="rId747" display="https://www.coingecko.com/pt/moedas/dione" xr:uid="{4B7AEDCA-900F-47B9-B405-1E086CBD5D55}"/>
    <hyperlink ref="BG304" r:id="rId748" display="https://www.coingecko.com/pt/moedas/dione" xr:uid="{8996311D-2281-4070-ADF4-B243891E0D1B}"/>
    <hyperlink ref="BG305" r:id="rId749" display="https://www.coingecko.com/pt/moedas/pixels" xr:uid="{47A66F65-F473-4081-9DB9-C4132A09C975}"/>
    <hyperlink ref="BG306" r:id="rId750" display="https://www.coingecko.com/pt/moedas/pixels" xr:uid="{9007CBAC-AC0B-4C47-8F91-0F6BF4AD2126}"/>
    <hyperlink ref="BG307" r:id="rId751" display="https://www.coingecko.com/pt/moedas/pixels" xr:uid="{0876A1C4-A00A-4FA9-AF4A-2BC7FCCA2085}"/>
    <hyperlink ref="BG308" r:id="rId752" display="https://www.coingecko.com/pt/moedas/bitcoin" xr:uid="{594BC46F-F822-4EB6-B90C-A7D2A8E1BF51}"/>
    <hyperlink ref="BG309" r:id="rId753" display="https://www.coingecko.com/pt/moedas/bitcoin" xr:uid="{188465DF-3CAA-4321-A5F7-2D98A130CE29}"/>
    <hyperlink ref="BG310" r:id="rId754" display="https://www.coingecko.com/pt/moedas/bitcoin" xr:uid="{8A9291C8-38EA-480A-838A-271EF191D8E4}"/>
    <hyperlink ref="BG311" r:id="rId755" display="https://www.coingecko.com/pt/moedas/ethereum" xr:uid="{688FA00F-2DCB-48F8-A857-3494E0AFCCAC}"/>
    <hyperlink ref="BG312" r:id="rId756" display="https://www.coingecko.com/pt/moedas/ethereum" xr:uid="{75F9607E-CCA7-4C63-955C-4FE7547A24BB}"/>
    <hyperlink ref="BG313" r:id="rId757" display="https://www.coingecko.com/pt/moedas/ethereum" xr:uid="{4CBDE368-293A-4C8F-B729-FD67B506E454}"/>
    <hyperlink ref="BG314" r:id="rId758" display="https://www.coingecko.com/pt/moedas/wormhole" xr:uid="{5D4B6AD5-3394-476B-9710-E1889E007E0C}"/>
    <hyperlink ref="BG315" r:id="rId759" display="https://www.coingecko.com/pt/moedas/wormhole" xr:uid="{6F7DB81F-1B1F-4D83-9392-186A4A550C2E}"/>
    <hyperlink ref="BG316" r:id="rId760" display="https://www.coingecko.com/pt/moedas/wormhole" xr:uid="{68200DC1-994B-4209-8E66-D0448D3ED93A}"/>
    <hyperlink ref="BG317" r:id="rId761" display="https://www.coingecko.com/pt/moedas/degen-base" xr:uid="{8005606D-508E-40D2-ABA3-860E3F393B4E}"/>
    <hyperlink ref="BG318" r:id="rId762" display="https://www.coingecko.com/pt/moedas/degen-base" xr:uid="{EB66DEE5-0D42-4530-9E1B-025FBCF61CD1}"/>
    <hyperlink ref="BG319" r:id="rId763" display="https://www.coingecko.com/pt/moedas/degen-base" xr:uid="{6113F01D-2F87-46CD-A52F-CF3A7D2CFA8B}"/>
    <hyperlink ref="BG320" r:id="rId764" display="https://www.coingecko.com/pt/moedas/pepe" xr:uid="{A538D5B6-8DB2-40DE-8BD9-1D95A8DB1A98}"/>
    <hyperlink ref="BG321" r:id="rId765" display="https://www.coingecko.com/pt/moedas/pepe" xr:uid="{88BCAC7D-A754-4DDE-A0B0-8C34A94420A2}"/>
    <hyperlink ref="BG322" r:id="rId766" display="https://www.coingecko.com/pt/moedas/pepe" xr:uid="{204D725B-5DA1-4105-B94F-ABB3CF7F1552}"/>
    <hyperlink ref="BG323" r:id="rId767" display="https://www.coingecko.com/pt/moedas/dymension" xr:uid="{B93D7C0C-FBCC-413B-9033-C0BED63E5456}"/>
    <hyperlink ref="BG324" r:id="rId768" display="https://www.coingecko.com/pt/moedas/dymension" xr:uid="{F3582231-FED0-4B68-9EEA-D861322F7074}"/>
    <hyperlink ref="BG325" r:id="rId769" display="https://www.coingecko.com/pt/moedas/dymension" xr:uid="{D8892B10-AAB8-4F83-A8D6-B7FD8A20448A}"/>
    <hyperlink ref="BG326" r:id="rId770" display="https://www.coingecko.com/pt/moedas/bittensor" xr:uid="{82A7F777-683F-46F4-BE31-CC9F9B265E3A}"/>
    <hyperlink ref="BG327" r:id="rId771" display="https://www.coingecko.com/pt/moedas/bittensor" xr:uid="{B78F098D-3ADF-45B7-95CF-B7D2C41FA2E9}"/>
    <hyperlink ref="BG328" r:id="rId772" display="https://www.coingecko.com/pt/moedas/bittensor" xr:uid="{DD45A36B-87EF-4E6F-A649-808CDDBCFA3B}"/>
    <hyperlink ref="BG337" r:id="rId773" display="https://www.coingecko.com/pt" xr:uid="{21F5A28C-9D46-4482-8B17-69F5424ECF3E}"/>
    <hyperlink ref="BG340" r:id="rId774" display="https://www.coingecko.com/pt/news" xr:uid="{5D217A22-8CB1-4ABF-9E4E-B17A5DA61A78}"/>
    <hyperlink ref="BG341" r:id="rId775" display="https://www.coingecko.com/pt/public-companies-bitcoin" xr:uid="{337C8D9A-40C7-4DFB-A86F-16A68994EEA8}"/>
    <hyperlink ref="BG342" r:id="rId776" display="https://www.coingecko.com/pt/cryptocurrency-heatmap" xr:uid="{C6DD4F1D-40E1-4BE2-AA86-2493D18038F5}"/>
    <hyperlink ref="BG343" r:id="rId777" display="https://www.coingecko.com/pt/api" xr:uid="{952DEA28-1E77-4423-90CA-76AF4F0407D0}"/>
    <hyperlink ref="BG350" r:id="rId778" display="https://www.coingecko.com/request" xr:uid="{3DB646C2-6B57-49BB-A898-4333FD71A6E4}"/>
    <hyperlink ref="BG351" r:id="rId779" display="https://gcko.io/coingeckoads" xr:uid="{5BFBD3EE-2162-42AC-A29B-6D62B482D79B}"/>
    <hyperlink ref="BG352" r:id="rId780" display="https://www.coingecko.com/pt/candy/partners-getting-started" xr:uid="{FC065A9E-5EDA-41B9-A641-C12ECCD375A9}"/>
    <hyperlink ref="BG353" r:id="rId781" display="https://support.coingecko.com/" xr:uid="{38312391-2A96-4478-87E5-9A552263B8E3}"/>
    <hyperlink ref="BG354" r:id="rId782" display="https://hackenproof.com/coingecko/coingecko" xr:uid="{DD395C63-46E0-432D-A1D0-C3DFC3FCCECA}"/>
    <hyperlink ref="BG355" r:id="rId783" display="https://www.coingecko.com/pt/faq" xr:uid="{E8F7D541-E024-46B0-A631-5093FFD2CC63}"/>
    <hyperlink ref="BG357" r:id="rId784" display="https://www.coingecko.com/pt/sobre" xr:uid="{D1C670A9-F085-41CF-B9FE-941074652CBD}"/>
    <hyperlink ref="BG358" r:id="rId785" display="https://careers.coingecko.com/" xr:uid="{94AE3076-B507-4314-89EC-F54A952E425D}"/>
    <hyperlink ref="BG359" r:id="rId786" display="https://careers.coingecko.com/" xr:uid="{DA686BC8-2D83-402F-97B1-D81A0754EAB7}"/>
    <hyperlink ref="BG360" r:id="rId787" display="https://blog.coingecko.com/" xr:uid="{D42AF0D5-7155-477D-82BE-0949E1B51872}"/>
    <hyperlink ref="BG361" r:id="rId788" display="https://www.coingecko.com/pt/branding" xr:uid="{919DE1B9-7006-4FDB-97DA-635CDE2763D3}"/>
    <hyperlink ref="BG362" r:id="rId789" display="https://www.coingecko.com/pt/metodologia" xr:uid="{48E96A7E-DD64-4413-821D-FFC4BB79A872}"/>
    <hyperlink ref="BG363" r:id="rId790" display="https://www.coingecko.com/pt/isen%C3%A7%C3%A3o_de_responsabilidade" xr:uid="{EF3B9878-7508-4589-A94A-AEF6F9A7A8B4}"/>
    <hyperlink ref="BG364" r:id="rId791" display="https://www.coingecko.com/pt/termos" xr:uid="{1738E39C-6DFB-4CD3-9CBA-52DD180F581B}"/>
    <hyperlink ref="BG365" r:id="rId792" display="https://www.coingecko.com/pt/privacidade" xr:uid="{D9E1E1BE-4B43-43F3-94C8-4B017DA5C919}"/>
    <hyperlink ref="BG366" r:id="rId793" display="https://www.coingecko.com/pt/ad_policy" xr:uid="{B9FB65EE-E576-44B8-9D74-5A255E830D74}"/>
    <hyperlink ref="BG369" r:id="rId794" display="https://twitter.com/coingecko" xr:uid="{8AE5388B-80E6-4BCA-AA83-EED68ED11F54}"/>
    <hyperlink ref="BG370" r:id="rId795" display="https://t.me/coingecko" xr:uid="{7661E509-4841-4B93-8F07-FFEE98DAABA3}"/>
    <hyperlink ref="BG371" r:id="rId796" display="https://t.me/coingeckonews" xr:uid="{1F9C22F9-247D-481A-949F-1299C571272B}"/>
    <hyperlink ref="BG372" r:id="rId797" display="https://www.instagram.com/coingecko/" xr:uid="{27DA11D6-49B6-410D-813E-3E73B733500E}"/>
    <hyperlink ref="BG373" r:id="rId798" display="https://www.reddit.com/r/coingecko/" xr:uid="{D9673268-41F3-4BC1-AB42-18C0BF06D60F}"/>
    <hyperlink ref="BG374" r:id="rId799" display="https://discord.gg/EhrkaCH" xr:uid="{FE433AA3-FCAD-4EB3-837D-6BAD258B3B13}"/>
    <hyperlink ref="BG375" r:id="rId800" display="https://www.facebook.com/coingecko" xr:uid="{52B92968-5DF7-4933-AFD4-A85DB5B6A266}"/>
    <hyperlink ref="BG376" r:id="rId801" display="https://www.youtube.com/channel/UC-OTgwOAI7KmP0eDAtqN3Ow?sub_confirmation=1" xr:uid="{BA2DCBCA-8B75-4856-B662-7553B9EBE0F5}"/>
    <hyperlink ref="BG377" r:id="rId802" display="https://www.tiktok.com/@coingeckotv" xr:uid="{0B2DBA7F-8554-4DEF-AB2F-8D7257705C78}"/>
    <hyperlink ref="BG383" r:id="rId803" display="https://www.coingecko.com/pt/isen%C3%A7%C3%A3o_de_responsabilidade" xr:uid="{08CF9BBC-99E4-49C5-BD14-DDB876EC8173}"/>
    <hyperlink ref="BG633" r:id="rId804" display="https://coingecko.app.link/lTInCXLGz4" xr:uid="{D89A7297-159C-4BF6-AFA5-02B816842567}"/>
    <hyperlink ref="BT2" r:id="rId805" display="https://www.coingecko.com/pt" xr:uid="{22FD68E2-4EE1-4905-BD4A-1933DFE639E8}"/>
    <hyperlink ref="BT3" r:id="rId806" display="https://www.coingecko.com/pt/c%C3%A2mbios" xr:uid="{EE8F1AD2-66FC-4791-B298-E79F96CD99A5}"/>
    <hyperlink ref="BT4" r:id="rId807" display="https://www.coingecko.com/pt/global-charts" xr:uid="{F5B81FE5-0A38-40C8-9A61-DCA1D3FBDDDA}"/>
    <hyperlink ref="BT5" r:id="rId808" display="https://www.coingecko.com/pt/global-charts" xr:uid="{2B302740-94B9-4F98-BAA6-D966F020B097}"/>
    <hyperlink ref="BT25" r:id="rId809" display="https://www.coingecko.com/pt/premium/pricing" xr:uid="{DCBC44DB-C080-4A32-92F5-1877CF33F41F}"/>
    <hyperlink ref="BT28:BT29" r:id="rId810" display="https://coingecko.app.link/lTInCXLGz4" xr:uid="{8004449A-5C55-4B5F-A037-F6657EEB435A}"/>
    <hyperlink ref="BT48" r:id="rId811" display="https://www.geckoterminal.com/?utm_source=coingecko&amp;utm_medium=referral&amp;utm_campaign=desktop_navigation" xr:uid="{9050AEC8-944C-444B-81A6-8644D376F42D}"/>
    <hyperlink ref="BT49" r:id="rId812" display="https://www.coingecko.com/pt/candy" xr:uid="{C7972546-B2FE-467E-9AD2-421783B5A9BA}"/>
    <hyperlink ref="BT50" r:id="rId813" display="https://www.coingecko.com/pt/candy" xr:uid="{2F502BB4-34AD-4D8D-84F1-EE83535BF6CC}"/>
    <hyperlink ref="BT51" r:id="rId814" display="https://www.coingecko.com/pt/candy" xr:uid="{58F0C234-CAF1-4C5B-B3D2-72C9A0AD8B2C}"/>
    <hyperlink ref="BT52" r:id="rId815" display="https://www.coingecko.com/pt/portfolio" xr:uid="{48164E03-DBC0-4B80-908F-087779EA3A5C}"/>
    <hyperlink ref="BT70" r:id="rId816" display="https://gcko.io/search-survey" xr:uid="{D446336E-6723-4CCC-83FF-AF62A79FC17B}"/>
    <hyperlink ref="BT73" r:id="rId817" display="https://www.coingecko.com/pt" xr:uid="{3A7A99E7-B78D-4B3E-A54B-C3962E2175A2}"/>
    <hyperlink ref="BT92" r:id="rId818" display="https://www.coingecko.com/pt/metodologia" xr:uid="{A3F4A9FD-1141-4BE5-87B0-DDF5B71ACF18}"/>
    <hyperlink ref="BT102" r:id="rId819" display="https://www.geckoterminal.com/eth/tokens/0xf57e7e7c23978c3caec3c3548e3d615c346e79ff?utm_source=coingecko&amp;utm_medium=referral&amp;utm_campaign=livechart-btn" xr:uid="{06A46E5E-8C10-40D6-A2E9-4E5C73D0EBD2}"/>
    <hyperlink ref="BT107" r:id="rId820" display="https://www.coingecko.com/pt/api" xr:uid="{368E7E37-7BCA-4733-960E-CDCCCA45C980}"/>
    <hyperlink ref="BT123" r:id="rId821" display="https://www.coingecko.com/pt/metodologia" xr:uid="{9DCF4A1D-C38F-41EC-8EEB-9D906E2D74A5}"/>
    <hyperlink ref="BT129" r:id="rId822" display="https://www.coingecko.com/learn/what-is-fully-diluted-valuation-fdv-in-crypto" xr:uid="{55750F79-0384-4AA0-8010-8535000BFF4A}"/>
    <hyperlink ref="BT135" r:id="rId823" display="https://www.coingecko.com/learn/what-is-fully-diluted-valuation-fdv-in-crypto" xr:uid="{13CC162C-FBDC-4125-830A-90F86A820938}"/>
    <hyperlink ref="BT139" r:id="rId824" display="https://www.coingecko.com/pt/metodologia" xr:uid="{413BA1F9-C6B6-45DB-AD6C-7198A74D9647}"/>
    <hyperlink ref="BT143" r:id="rId825" display="https://www.coingecko.com/pt/metodologia" xr:uid="{E96A02DB-79B5-441F-B69B-47748A70B362}"/>
    <hyperlink ref="BU143" r:id="rId826" display="https://etherscan.io/token/0xf57e7e7c23978c3caec3c3548e3d615c346e79ff?a=0x237343C10705ae7605850977503E25a8C12851e6" xr:uid="{2D83DAF8-E622-4CDC-8854-CF8E2EF356B7}"/>
    <hyperlink ref="BU145" r:id="rId827" display="https://etherscan.io/token/0xf57e7e7c23978c3caec3c3548e3d615c346e79ff?a=0x9cCC2CfC1dA5c2623b9ad74DCF01765eae273539" xr:uid="{C2C8A802-8E13-4F7A-9E6F-20CA225BBBEF}"/>
    <hyperlink ref="BT164" r:id="rId828" display="https://forms.gle/ULNnnCGCEAimK9cJ7" xr:uid="{C8954745-8C1D-4E2A-B556-92AC91B428EC}"/>
    <hyperlink ref="BT169" r:id="rId829" display="https://imx.community/" xr:uid="{16A364FF-EBED-4764-94A2-BDD1AE67340B}"/>
    <hyperlink ref="BT171" r:id="rId830" display="https://etherscan.io/token/0xf57e7e7c23978c3caec3c3548e3d615c346e79ff" xr:uid="{D01E2093-FA2F-4537-988C-01F3249B00DA}"/>
    <hyperlink ref="BT172" r:id="rId831" display="https://ethplorer.io/address/0xf57e7e7c23978c3caec3c3548e3d615c346e79ff" xr:uid="{9A186353-8C3C-4EB9-BB9A-6D0730D59ADB}"/>
    <hyperlink ref="BT174" r:id="rId832" display="https://twitter.com/Immutable" xr:uid="{3E4D03DF-F155-4192-90CA-385CE354E213}"/>
    <hyperlink ref="BT175" r:id="rId833" display="https://t.me/immutablex" xr:uid="{4EBAA730-25F6-4D98-9A3A-1C0BE8C4D9FB}"/>
    <hyperlink ref="BT176" r:id="rId834" display="https://discord.com/channels/765480457256042496/765871633990287390" xr:uid="{9185187A-4403-4EA7-A56B-D66DD229C882}"/>
    <hyperlink ref="BT178" r:id="rId835" display="https://twitter.com/search?q=$IMX" xr:uid="{62253EF5-344D-4F39-8CC1-92B1C74E128D}"/>
    <hyperlink ref="BT182" r:id="rId836" display="https://www.coingecko.com/pt/categories/ethereum-ecosystem" xr:uid="{22768AD7-22DC-4A07-A550-2447FC286CD7}"/>
    <hyperlink ref="BT184" r:id="rId837" display="https://www.coingecko.com/pt/categories/immutable-ecosystem" xr:uid="{F4A3F950-795C-4A13-ABEF-996BA458F918}"/>
    <hyperlink ref="BT186" r:id="rId838" display="https://www.coingecko.com/pt/categories/smart-contract-platform" xr:uid="{8751CD2E-4318-43FF-8B77-220A67908818}"/>
    <hyperlink ref="BT237" r:id="rId839" display="https://www.coingecko.com/learn/complete-beginners-guide-to-metamask" xr:uid="{B1286159-859D-4AAE-BB7C-C96BF15EEDF1}"/>
    <hyperlink ref="BU249" r:id="rId840" display="https://www.coingecko.com/pt/c%C3%A2mbios/orangex" xr:uid="{9A6118D1-B4C6-4AE6-8FAE-3A476C359CE3}"/>
    <hyperlink ref="BU250" r:id="rId841" display="https://www.coingecko.com/pt/c%C3%A2mbios/orangex" xr:uid="{1959C6EC-BA07-4DBF-8453-B72149BD09F7}"/>
    <hyperlink ref="BW249" r:id="rId842" display="https://www.orangex.com/spot/IMX-USDT-SPOT" xr:uid="{05220D05-7B40-4CEC-99ED-7C9A5935B5E2}"/>
    <hyperlink ref="BU251" r:id="rId843" display="https://www.coingecko.com/pt/c%C3%A2mbios/binance" xr:uid="{756452B9-B64A-4F3F-9B18-93E9F6C08567}"/>
    <hyperlink ref="BU252" r:id="rId844" display="https://www.coingecko.com/pt/c%C3%A2mbios/binance" xr:uid="{B9B3426E-7B4D-4408-8C08-0105F7467D89}"/>
    <hyperlink ref="BW251" r:id="rId845" display="https://www.binance.com/en/trade/IMX_USDT?ref=37754157" xr:uid="{FE38ADCC-8DBC-43C6-AE0A-9C59079405D8}"/>
    <hyperlink ref="BU253" r:id="rId846" display="https://www.coingecko.com/pt/c%C3%A2mbios/digifinex" xr:uid="{57E9E3A6-F303-40E1-9928-D977B53E4F79}"/>
    <hyperlink ref="BU254" r:id="rId847" display="https://www.coingecko.com/pt/c%C3%A2mbios/digifinex" xr:uid="{2D675281-DC85-48E8-838C-4C93BCA38B83}"/>
    <hyperlink ref="BW253" r:id="rId848" display="https://www.digifinex.com/en-ww/trade/USDT/IMX" xr:uid="{3322B8C6-9AD9-4513-8A18-C48FB6304550}"/>
    <hyperlink ref="BU255" r:id="rId849" display="https://www.coingecko.com/pt/c%C3%A2mbios/mexc" xr:uid="{2BA068C2-F66E-49F3-8C19-5096281EEC11}"/>
    <hyperlink ref="BU256" r:id="rId850" display="https://www.coingecko.com/pt/c%C3%A2mbios/mexc" xr:uid="{73EB3B34-1215-4675-84A2-2C1BEC179C52}"/>
    <hyperlink ref="BW255" r:id="rId851" display="https://www.mexc.com/exchange/IMX_USDT?inviteCode=1498J" xr:uid="{5EA9604D-8736-4D74-B800-90EF32048399}"/>
    <hyperlink ref="BU257" r:id="rId852" display="https://www.coingecko.com/pt/c%C3%A2mbios/bingx" xr:uid="{016785AF-9F96-4A9E-9C6D-BAFED2D16721}"/>
    <hyperlink ref="BU258" r:id="rId853" display="https://www.coingecko.com/pt/c%C3%A2mbios/bingx" xr:uid="{21E0EBAB-63A4-4C8C-9AEE-F22DC9D56F58}"/>
    <hyperlink ref="BW257" r:id="rId854" display="https://bingx.com/en-us/spot/IMXUSDT?ch=cgk_organic" xr:uid="{8367BF32-EAD9-4FF2-86AE-8EC3890149BB}"/>
    <hyperlink ref="BU259" r:id="rId855" display="https://www.coingecko.com/pt/c%C3%A2mbios/biconomy" xr:uid="{4939364D-C504-4F83-B587-0BE9B4FB32F0}"/>
    <hyperlink ref="BU260" r:id="rId856" display="https://www.coingecko.com/pt/c%C3%A2mbios/biconomy" xr:uid="{8384137F-0F88-47FF-A1F6-3118D5C02089}"/>
    <hyperlink ref="BW259" r:id="rId857" display="https://www.biconomy.com/exchange/IMX_USDT" xr:uid="{DA4B258F-3E49-4153-934A-B12BF50E61BB}"/>
    <hyperlink ref="BU261" r:id="rId858" display="https://www.coingecko.com/pt/c%C3%A2mbios/slex" xr:uid="{C54AE8BB-7595-45DB-8528-78FD46CA5C62}"/>
    <hyperlink ref="BU262" r:id="rId859" display="https://www.coingecko.com/pt/c%C3%A2mbios/slex" xr:uid="{3267D243-E01A-424B-B8D6-A3E26CC0CBC6}"/>
    <hyperlink ref="BW261" r:id="rId860" display="https://slex.io/trade/imxusdt" xr:uid="{03EC1031-88AF-4EEA-9123-B043F6D8DD8B}"/>
    <hyperlink ref="BU263" r:id="rId861" display="https://www.coingecko.com/pt/c%C3%A2mbios/xt" xr:uid="{DDBC49E7-A240-4847-A11C-7147ED4E086A}"/>
    <hyperlink ref="BU264" r:id="rId862" display="https://www.coingecko.com/pt/c%C3%A2mbios/xt" xr:uid="{9828D588-6862-40A3-A7D7-580EE4FAC027}"/>
    <hyperlink ref="BW263" r:id="rId863" display="https://www.xt.com/en/trade/imx_usdt?ref=ZHOJUG5" xr:uid="{7D261B58-CFFC-4326-B323-07599E4E22F0}"/>
    <hyperlink ref="BU265" r:id="rId864" display="https://www.coingecko.com/pt/c%C3%A2mbios/weex" xr:uid="{2E28C144-47AC-4258-81F6-75A355739559}"/>
    <hyperlink ref="BU266" r:id="rId865" display="https://www.coingecko.com/pt/c%C3%A2mbios/weex" xr:uid="{34A5A738-D3D1-429A-B924-0696D2C66E53}"/>
    <hyperlink ref="BW265" r:id="rId866" display="https://www.weex.com/trade/imx_usdt" xr:uid="{2953E348-337A-4154-ABF4-2C1173ADBDD8}"/>
    <hyperlink ref="BU267" r:id="rId867" display="https://www.coingecko.com/pt/c%C3%A2mbios/whitebit" xr:uid="{C6EC9C87-AF0B-4CB4-B78F-4C99FA1EFB62}"/>
    <hyperlink ref="BU268" r:id="rId868" display="https://www.coingecko.com/pt/c%C3%A2mbios/whitebit" xr:uid="{F3FB9F6F-17D4-4CEE-89E8-D8135A88C802}"/>
    <hyperlink ref="BW267" r:id="rId869" display="https://whitebit.com/trade/IMX_USDT?referral=21d28793-2c37-4ad5-ad65-ec354740a197" xr:uid="{AB713E36-2A3B-4398-83FC-908264832030}"/>
    <hyperlink ref="BT279" r:id="rId870" display="https://www.criptofacil.com/immutable-programa-de-recompensas-oferece-us-50-mil-para-jogadores/" xr:uid="{3F5C8D3D-A730-43C5-A2A6-360AF08AA333}"/>
    <hyperlink ref="BT280" r:id="rId871" display="https://www.criptofacil.com/immutable-programa-de-recompensas-oferece-us-50-mil-para-jogadores/" xr:uid="{F3B8A45B-735B-4C7D-8402-96E56B19D829}"/>
    <hyperlink ref="BT281" r:id="rId872" display="https://www.criptofacil.com/immutable-programa-de-recompensas-oferece-us-50-mil-para-jogadores/" xr:uid="{246A4E09-8B04-4800-99C5-5CADB285A593}"/>
    <hyperlink ref="BT282" r:id="rId873" display="https://www.criptofacil.com/immutable-programa-de-recompensas-oferece-us-50-mil-para-jogadores/" xr:uid="{F4C84198-5B60-48EA-A45B-E5E5822EBCAF}"/>
    <hyperlink ref="BT287" r:id="rId874" display="https://www.coingecko.com/pt/moedas/immutable-x/usd" xr:uid="{C18AF073-96D0-4A24-91A4-1CC179D46AAB}"/>
    <hyperlink ref="BT288" r:id="rId875" display="https://www.coingecko.com/pt/moedas/immutable-x/usd" xr:uid="{C1696FF1-54F7-49EE-9216-35B8F991E0A3}"/>
    <hyperlink ref="BT289" r:id="rId876" display="https://www.coingecko.com/pt/moedas/immutable-x/eur" xr:uid="{657EEFD9-436A-48E9-A4F0-B3F5EAC2A0BD}"/>
    <hyperlink ref="BT290" r:id="rId877" display="https://www.coingecko.com/pt/moedas/immutable-x/eur" xr:uid="{95FEB6F4-FC9E-41D3-9646-EB4799B7A86A}"/>
    <hyperlink ref="BT291" r:id="rId878" display="https://www.coingecko.com/pt/moedas/immutable-x/brl" xr:uid="{097810FF-6A88-40BB-96B4-F7A1C625ED8A}"/>
    <hyperlink ref="BT292" r:id="rId879" display="https://www.coingecko.com/pt/moedas/immutable-x/brl" xr:uid="{B3F80B21-825D-44FA-A31F-60515BAEDD00}"/>
    <hyperlink ref="BT296" r:id="rId880" display="https://www.coingecko.com/pt/moedas/beam-2" xr:uid="{39CE7557-C9D1-4640-AEE5-E975C9872317}"/>
    <hyperlink ref="BT297" r:id="rId881" display="https://www.coingecko.com/pt/moedas/beam-2" xr:uid="{89477CDE-68A4-4111-9A45-6C9988A2E236}"/>
    <hyperlink ref="BT298" r:id="rId882" display="https://www.coingecko.com/pt/moedas/beam-2" xr:uid="{14051A4B-9CA2-489D-A9E4-3D8ABF7E7BBC}"/>
    <hyperlink ref="BT299" r:id="rId883" display="https://www.coingecko.com/pt/moedas/ronin" xr:uid="{143D4D16-DBD1-4BA3-9189-1684476EADDB}"/>
    <hyperlink ref="BT300" r:id="rId884" display="https://www.coingecko.com/pt/moedas/ronin" xr:uid="{95F95A51-12BE-4720-BD6D-53F59B840CCE}"/>
    <hyperlink ref="BT301" r:id="rId885" display="https://www.coingecko.com/pt/moedas/ronin" xr:uid="{5670884F-9DAA-41FC-976C-D34B62E85FA2}"/>
    <hyperlink ref="BT302" r:id="rId886" display="https://www.coingecko.com/pt/moedas/enjin-coin" xr:uid="{C9931A05-305B-466C-A8B1-56ED754B5160}"/>
    <hyperlink ref="BT303" r:id="rId887" display="https://www.coingecko.com/pt/moedas/enjin-coin" xr:uid="{828693AD-C310-4389-9931-358B0D8E22E2}"/>
    <hyperlink ref="BT304" r:id="rId888" display="https://www.coingecko.com/pt/moedas/enjin-coin" xr:uid="{C5251813-6B9D-4A3C-99C1-6D067487B6D0}"/>
    <hyperlink ref="BT305" r:id="rId889" display="https://www.coingecko.com/pt/moedas/skale" xr:uid="{C7C9EA30-8A7F-43F8-B52E-26FB056B47E6}"/>
    <hyperlink ref="BT306" r:id="rId890" display="https://www.coingecko.com/pt/moedas/skale" xr:uid="{506CE514-9F29-4C31-9CB7-3167A5987EB0}"/>
    <hyperlink ref="BT307" r:id="rId891" display="https://www.coingecko.com/pt/moedas/skale" xr:uid="{EE99CADF-8E41-422F-BD94-6D0DF15E11FD}"/>
    <hyperlink ref="BT308" r:id="rId892" display="https://www.coingecko.com/pt/moedas/wax" xr:uid="{AAB35D7B-8F7F-49A3-866C-94B9F712C9CD}"/>
    <hyperlink ref="BT309" r:id="rId893" display="https://www.coingecko.com/pt/moedas/wax" xr:uid="{41A3A1C1-2609-43FB-A1F9-DD5C7954D1E6}"/>
    <hyperlink ref="BT310" r:id="rId894" display="https://www.coingecko.com/pt/moedas/wax" xr:uid="{04BA6119-A325-423F-A33D-9F846BAD23C3}"/>
    <hyperlink ref="BT314" r:id="rId895" display="https://www.coingecko.com/pt/moedas/solana" xr:uid="{1F79946C-A4E4-42E1-9E49-5191B9DB1B4C}"/>
    <hyperlink ref="BT315" r:id="rId896" display="https://www.coingecko.com/pt/moedas/solana" xr:uid="{3F9F6B2D-5C45-44CC-B95B-B84CDFE7A776}"/>
    <hyperlink ref="BT316" r:id="rId897" display="https://www.coingecko.com/pt/moedas/solana" xr:uid="{6310C358-8E3F-49A0-9AA2-9F47B2E07E67}"/>
    <hyperlink ref="BT317" r:id="rId898" display="https://www.coingecko.com/pt/moedas/dione" xr:uid="{A254D72E-FF1B-4962-BCA1-1629FBD06BDB}"/>
    <hyperlink ref="BT318" r:id="rId899" display="https://www.coingecko.com/pt/moedas/dione" xr:uid="{44D9D53A-731F-4B55-8FBD-2AFCA2E7249B}"/>
    <hyperlink ref="BT319" r:id="rId900" display="https://www.coingecko.com/pt/moedas/dione" xr:uid="{4D77EECB-BB9C-4779-AF85-B07101BE1400}"/>
    <hyperlink ref="BT320" r:id="rId901" display="https://www.coingecko.com/pt/moedas/pepe" xr:uid="{7D915D3B-0718-4F94-B200-7A51FE0559FC}"/>
    <hyperlink ref="BT321" r:id="rId902" display="https://www.coingecko.com/pt/moedas/pepe" xr:uid="{CB553A71-5957-4CA0-BD58-9C887CD11BA8}"/>
    <hyperlink ref="BT322" r:id="rId903" display="https://www.coingecko.com/pt/moedas/pepe" xr:uid="{4B2CE147-D051-43F7-AAB5-C5AB14111C46}"/>
    <hyperlink ref="BT323" r:id="rId904" display="https://www.coingecko.com/pt/moedas/ethereum" xr:uid="{2FAEE05A-7580-408C-B37E-5094E44175C7}"/>
    <hyperlink ref="BT324" r:id="rId905" display="https://www.coingecko.com/pt/moedas/ethereum" xr:uid="{C472C13F-5C65-41C1-9636-1EE6AFECCD9A}"/>
    <hyperlink ref="BT325" r:id="rId906" display="https://www.coingecko.com/pt/moedas/ethereum" xr:uid="{4AF7A4B2-5849-4AA2-9CCD-525773FF9095}"/>
    <hyperlink ref="BT326" r:id="rId907" display="https://www.coingecko.com/pt/moedas/bitcoin" xr:uid="{CB0DCB54-A199-4198-A53E-B9CE2EF1B80E}"/>
    <hyperlink ref="BT327" r:id="rId908" display="https://www.coingecko.com/pt/moedas/bitcoin" xr:uid="{10A0C201-8C63-4A2A-BC5E-C337EE2C781B}"/>
    <hyperlink ref="BT328" r:id="rId909" display="https://www.coingecko.com/pt/moedas/bitcoin" xr:uid="{5034E856-9E54-47E5-B18F-0164DD82D33D}"/>
    <hyperlink ref="BT329" r:id="rId910" display="https://www.coingecko.com/pt/moedas/pixels" xr:uid="{3CBF1146-C473-4107-85E0-4A15055B7DB2}"/>
    <hyperlink ref="BT330" r:id="rId911" display="https://www.coingecko.com/pt/moedas/pixels" xr:uid="{F7F0879E-8884-46C8-AB4E-7ECD9FEC0EB7}"/>
    <hyperlink ref="BT331" r:id="rId912" display="https://www.coingecko.com/pt/moedas/pixels" xr:uid="{D5235A0B-E8A6-4A64-BCEC-9B1E00B13C46}"/>
    <hyperlink ref="BT332" r:id="rId913" display="https://www.coingecko.com/pt/moedas/degen-base" xr:uid="{5759E430-5247-4532-9C33-9EC9493487D3}"/>
    <hyperlink ref="BT333" r:id="rId914" display="https://www.coingecko.com/pt/moedas/degen-base" xr:uid="{6B77DC35-F3C8-423D-93B4-FA66EEC0E5F7}"/>
    <hyperlink ref="BT334" r:id="rId915" display="https://www.coingecko.com/pt/moedas/degen-base" xr:uid="{2290F7A1-8287-447F-BD73-A9202D7EAD80}"/>
    <hyperlink ref="BT335" r:id="rId916" display="https://www.coingecko.com/pt/moedas/wormhole" xr:uid="{68188BFB-F0CD-46A9-B017-DBCFEE741142}"/>
    <hyperlink ref="BT336" r:id="rId917" display="https://www.coingecko.com/pt/moedas/wormhole" xr:uid="{A837CD61-167D-4C52-9832-E2FC197C2060}"/>
    <hyperlink ref="BT337" r:id="rId918" display="https://www.coingecko.com/pt/moedas/wormhole" xr:uid="{1105598C-44B8-4038-8197-F37BC3BA5C70}"/>
    <hyperlink ref="BT338" r:id="rId919" display="https://www.coingecko.com/pt/moedas/ronin" xr:uid="{FBD49444-FF69-425F-B2E3-64C7BE248C20}"/>
    <hyperlink ref="BT339" r:id="rId920" display="https://www.coingecko.com/pt/moedas/ronin" xr:uid="{67DBD895-4B2E-45A8-B061-08B7A1C590AF}"/>
    <hyperlink ref="BT340" r:id="rId921" display="https://www.coingecko.com/pt/moedas/ronin" xr:uid="{A268FE59-B07F-42FC-8850-58BECBA03976}"/>
    <hyperlink ref="BT341" r:id="rId922" display="https://www.coingecko.com/pt/moedas/jupiter" xr:uid="{0F903D47-D779-47A3-A551-AED842F4B538}"/>
    <hyperlink ref="BT342" r:id="rId923" display="https://www.coingecko.com/pt/moedas/jupiter" xr:uid="{89B75AA6-5FE3-4D82-B395-F30A1C76875E}"/>
    <hyperlink ref="BT343" r:id="rId924" display="https://www.coingecko.com/pt/moedas/jupiter" xr:uid="{B703DB76-E36F-4636-9BEF-A6F9E884F442}"/>
    <hyperlink ref="BT352" r:id="rId925" display="https://www.coingecko.com/pt" xr:uid="{EFAAA3C2-8684-49E9-B8F2-61A875A7D696}"/>
    <hyperlink ref="BT355" r:id="rId926" display="https://www.coingecko.com/pt/news" xr:uid="{46BD4DCF-C30B-4277-B720-89C7CA7520DC}"/>
    <hyperlink ref="BT356" r:id="rId927" display="https://www.coingecko.com/pt/public-companies-bitcoin" xr:uid="{F6C7606B-9CD4-48B4-903F-4774E5B7E879}"/>
    <hyperlink ref="BT357" r:id="rId928" display="https://www.coingecko.com/pt/cryptocurrency-heatmap" xr:uid="{154CCA13-8D60-44D6-B105-0704F3C57203}"/>
    <hyperlink ref="BT358" r:id="rId929" display="https://www.coingecko.com/pt/api" xr:uid="{BDFC1E9B-77DF-4EC3-985D-2C57F3644A4F}"/>
    <hyperlink ref="BT365" r:id="rId930" display="https://www.coingecko.com/request" xr:uid="{48ECF775-96F8-466C-AFE9-FB42B251678E}"/>
    <hyperlink ref="BT366" r:id="rId931" display="https://gcko.io/coingeckoads" xr:uid="{B0F839BF-2CEA-4201-A1B5-41B4F659C284}"/>
    <hyperlink ref="BT367" r:id="rId932" display="https://www.coingecko.com/pt/candy/partners-getting-started" xr:uid="{D853C218-31D1-4E4A-B511-81CF473789CD}"/>
    <hyperlink ref="BT368" r:id="rId933" display="https://support.coingecko.com/" xr:uid="{0BE012A1-2C49-4D35-87C7-A64196187093}"/>
    <hyperlink ref="BT369" r:id="rId934" display="https://hackenproof.com/coingecko/coingecko" xr:uid="{4BA0314F-D620-46B0-9CF9-C8AFE3015521}"/>
    <hyperlink ref="BT370" r:id="rId935" display="https://www.coingecko.com/pt/faq" xr:uid="{6BE3D66E-0736-43F2-99B3-50B4FD558FF6}"/>
    <hyperlink ref="BT372" r:id="rId936" display="https://www.coingecko.com/pt/sobre" xr:uid="{976A730B-71CE-4CD9-9B7A-9FADEE43CBB1}"/>
    <hyperlink ref="BT373" r:id="rId937" display="https://careers.coingecko.com/" xr:uid="{16E64A0B-B834-46F0-B2D4-89A319E10846}"/>
    <hyperlink ref="BT374" r:id="rId938" display="https://careers.coingecko.com/" xr:uid="{D99230D4-DCB3-47E5-8ACB-80D3CA3A23F6}"/>
    <hyperlink ref="BT375" r:id="rId939" display="https://blog.coingecko.com/" xr:uid="{4D1C63C8-D06E-4695-A5FF-F2ACE6F3D76D}"/>
    <hyperlink ref="BT376" r:id="rId940" display="https://www.coingecko.com/pt/branding" xr:uid="{B3045795-FCAB-4C30-9DD2-E90F15EBAED4}"/>
    <hyperlink ref="BT377" r:id="rId941" display="https://www.coingecko.com/pt/metodologia" xr:uid="{A6DDA886-E3E3-451A-8D57-1BAFC0798CDA}"/>
    <hyperlink ref="BT378" r:id="rId942" display="https://www.coingecko.com/pt/isen%C3%A7%C3%A3o_de_responsabilidade" xr:uid="{8F0A6870-0142-469D-BBF5-764F2611E099}"/>
    <hyperlink ref="BT379" r:id="rId943" display="https://www.coingecko.com/pt/termos" xr:uid="{C25A7D32-BE2A-4E3F-9DE5-988A04E25414}"/>
    <hyperlink ref="BT380" r:id="rId944" display="https://www.coingecko.com/pt/privacidade" xr:uid="{0048BB29-969F-4557-BEF3-9C85F7F1DA5B}"/>
    <hyperlink ref="BT381" r:id="rId945" display="https://www.coingecko.com/pt/ad_policy" xr:uid="{8052035A-D90D-41BD-8136-D9F60FEAA2C4}"/>
    <hyperlink ref="BT384" r:id="rId946" display="https://twitter.com/coingecko" xr:uid="{0475E21B-73DE-4B68-B637-C2A80DD247F7}"/>
    <hyperlink ref="BT385" r:id="rId947" display="https://t.me/coingecko" xr:uid="{09E1E8C0-3B75-45AF-8134-648EC002BA40}"/>
    <hyperlink ref="BT386" r:id="rId948" display="https://t.me/coingeckonews" xr:uid="{F51C43DB-A1F8-47E7-B67B-B6F865A0CAC3}"/>
    <hyperlink ref="BT387" r:id="rId949" display="https://www.instagram.com/coingecko/" xr:uid="{9E77E1A3-A461-4A27-A9C8-73D525EE0986}"/>
    <hyperlink ref="BT388" r:id="rId950" display="https://www.reddit.com/r/coingecko/" xr:uid="{8835EB3D-F110-4EDD-9970-7E36F2A5CA0A}"/>
    <hyperlink ref="BT389" r:id="rId951" display="https://discord.gg/EhrkaCH" xr:uid="{2373E73E-F38A-402E-9543-5D9694BB203A}"/>
    <hyperlink ref="BT390" r:id="rId952" display="https://www.facebook.com/coingecko" xr:uid="{EDDEE4AC-B5DA-48CE-A7B2-B43BA99CD743}"/>
    <hyperlink ref="BT391" r:id="rId953" display="https://www.youtube.com/channel/UC-OTgwOAI7KmP0eDAtqN3Ow?sub_confirmation=1" xr:uid="{DF681826-7BDD-48CE-BC87-4F47CF189501}"/>
    <hyperlink ref="BT392" r:id="rId954" display="https://www.tiktok.com/@coingeckotv" xr:uid="{4D40D819-2109-4784-BE62-2EE8428F89F6}"/>
    <hyperlink ref="BT398" r:id="rId955" display="https://www.coingecko.com/pt/isen%C3%A7%C3%A3o_de_responsabilidade" xr:uid="{0A777567-5F64-465C-84D9-F1C6F81CBCE9}"/>
    <hyperlink ref="BT648" r:id="rId956" display="https://coingecko.app.link/lTInCXLGz4" xr:uid="{1A2DDDFF-D96F-4C77-A2B2-725EB8AFD4EE}"/>
    <hyperlink ref="CG2" r:id="rId957" display="https://www.coingecko.com/pt" xr:uid="{94BB3B73-80E3-4EFE-BC5D-8DE103622855}"/>
    <hyperlink ref="CG3" r:id="rId958" display="https://www.coingecko.com/pt/c%C3%A2mbios" xr:uid="{FBC2045A-D63E-4748-A148-1AA4DF924F72}"/>
    <hyperlink ref="CG4" r:id="rId959" display="https://www.coingecko.com/pt/global-charts" xr:uid="{D0CAA8F4-9EF3-4708-B977-A3506C94E61D}"/>
    <hyperlink ref="CG5" r:id="rId960" display="https://www.coingecko.com/pt/global-charts" xr:uid="{C3FE91DA-2780-4CBB-8B72-50A372405C84}"/>
    <hyperlink ref="CG25" r:id="rId961" display="https://www.coingecko.com/pt/premium/pricing" xr:uid="{E56030BE-4623-4B9D-BE8C-01E0CEE54256}"/>
    <hyperlink ref="CG28:CG29" r:id="rId962" display="https://coingecko.app.link/lTInCXLGz4" xr:uid="{CB9EB90B-8CB8-49DF-A07F-567D9ED60B35}"/>
    <hyperlink ref="CG48" r:id="rId963" display="https://www.geckoterminal.com/?utm_source=coingecko&amp;utm_medium=referral&amp;utm_campaign=desktop_navigation" xr:uid="{94BCA03C-6560-4113-AE75-B8E7886A4C40}"/>
    <hyperlink ref="CG49" r:id="rId964" display="https://www.coingecko.com/pt/candy" xr:uid="{65BE6F32-C491-49FC-A1DE-C85B1291FC61}"/>
    <hyperlink ref="CG50" r:id="rId965" display="https://www.coingecko.com/pt/candy" xr:uid="{863E157C-F9A7-4DCD-90C1-D08FFC05027E}"/>
    <hyperlink ref="CG51" r:id="rId966" display="https://www.coingecko.com/pt/candy" xr:uid="{6377776C-75AE-46AB-8EA1-0DB585EF93A4}"/>
    <hyperlink ref="CG52" r:id="rId967" display="https://www.coingecko.com/pt/portfolio" xr:uid="{165BC57A-B311-45DC-9748-F6C3EAC40E9A}"/>
    <hyperlink ref="CG70" r:id="rId968" display="https://gcko.io/search-survey" xr:uid="{E4C25F27-1532-4BA8-B4CE-9119EE28D787}"/>
    <hyperlink ref="CG73" r:id="rId969" display="https://www.coingecko.com/pt" xr:uid="{28F89253-9BF3-41A2-9ECA-B807BB0A3E5E}"/>
    <hyperlink ref="CG92" r:id="rId970" display="https://www.coingecko.com/pt/metodologia" xr:uid="{8A7DE847-297C-41CC-A025-A148E569EDBA}"/>
    <hyperlink ref="CG102" r:id="rId971" display="https://www.geckoterminal.com/eth/tokens/0xd1d2eb1b1e90b638588728b4130137d262c87cae?utm_source=coingecko&amp;utm_medium=referral&amp;utm_campaign=livechart-btn" xr:uid="{83E4AEB7-0A10-4506-BEC8-9D2FF2337F58}"/>
    <hyperlink ref="CG107" r:id="rId972" display="https://www.coingecko.com/pt/api" xr:uid="{C881433F-C981-46B8-86D2-7496C6FB445D}"/>
    <hyperlink ref="CG123" r:id="rId973" display="https://www.coingecko.com/pt/metodologia" xr:uid="{1294410B-5412-4D91-A985-1B2F762E1436}"/>
    <hyperlink ref="CG129" r:id="rId974" display="https://www.coingecko.com/learn/what-is-fully-diluted-valuation-fdv-in-crypto" xr:uid="{35838E38-BD33-46C7-A20F-4D28D89E984B}"/>
    <hyperlink ref="CG135" r:id="rId975" display="https://www.coingecko.com/learn/what-is-fully-diluted-valuation-fdv-in-crypto" xr:uid="{F494B247-0479-44E3-8590-ACFC66A5798B}"/>
    <hyperlink ref="CG139" r:id="rId976" display="https://www.coingecko.com/pt/metodologia" xr:uid="{3702F796-EF71-4A54-8FDA-EBAA3E65A302}"/>
    <hyperlink ref="CG143" r:id="rId977" display="https://www.coingecko.com/pt/metodologia" xr:uid="{6C712865-B4F1-46C1-8436-96FAC5D5EFC1}"/>
    <hyperlink ref="CH141" r:id="rId978" xr:uid="{1B34C76D-7467-48D8-8F2D-B24C0F29DBD3}"/>
    <hyperlink ref="CG159" r:id="rId979" display="https://forms.gle/ULNnnCGCEAimK9cJ7" xr:uid="{D9603774-2878-432C-998F-C346A8D9F77A}"/>
    <hyperlink ref="CG164" r:id="rId980" display="https://gala.com/" xr:uid="{043AEA96-868D-42FB-8175-18F2EB590014}"/>
    <hyperlink ref="CG165" r:id="rId981" display="https://news.gala.com/" xr:uid="{3D5F5E56-A3D8-4A90-AC45-14EA9818AAA0}"/>
    <hyperlink ref="CG167" r:id="rId982" display="https://etherscan.io/token/0xd1d2Eb1B1e90B638588728b4130137D262C87cae" xr:uid="{4C648904-D1FD-479B-BB7B-24FD32068AC1}"/>
    <hyperlink ref="CG168" r:id="rId983" display="https://ethplorer.io/address/0xd1d2eb1b1e90b638588728b4130137d262c87cae" xr:uid="{AE95C920-A7F3-43F6-95E2-B3E9C55968BE}"/>
    <hyperlink ref="CG170" r:id="rId984" display="https://twitter.com/GoGalaGames" xr:uid="{34B6DD3A-1BD1-42C2-B8FA-A7CA196D4FAC}"/>
    <hyperlink ref="CG172" r:id="rId985" display="https://t.me/PoweredByGala" xr:uid="{074ED3DE-9DCB-453A-8D8C-FCB6D7A23839}"/>
    <hyperlink ref="CG173" r:id="rId986" display="http://galagames.chat/" xr:uid="{58767707-1BB5-464A-B17C-C91151D7EBA0}"/>
    <hyperlink ref="CG174" r:id="rId987" display="http://galagames.tel/" xr:uid="{BA7A7891-5550-4681-927E-1A4BEADB4E01}"/>
    <hyperlink ref="CG176" r:id="rId988" display="https://twitter.com/search?q=$GALA" xr:uid="{9CF36978-56E8-43E2-85A1-69D4F8E9F09F}"/>
    <hyperlink ref="CG178" r:id="rId989" display="https://github.com/GalaChain" xr:uid="{86696571-7453-4010-A4B9-426523CB1AB0}"/>
    <hyperlink ref="CG182" r:id="rId990" display="https://www.coingecko.com/pt/categories/ethereum-ecosystem" xr:uid="{93548DAF-B475-4875-91EE-F715FFF044E2}"/>
    <hyperlink ref="CG184" r:id="rId991" display="https://www.coingecko.com/pt/categories/gaming" xr:uid="{C05E2B25-4FAE-4D2C-BF4A-621B15231A1D}"/>
    <hyperlink ref="CG235" r:id="rId992" display="https://www.coingecko.com/learn/complete-beginners-guide-to-metamask" xr:uid="{90DC97F6-FE6F-4AFF-AE19-5F2D317D5EAB}"/>
    <hyperlink ref="CH247" r:id="rId993" display="https://www.coingecko.com/pt/c%C3%A2mbios/gate-io" xr:uid="{554B213C-50EC-410E-9988-D36E7D59CA77}"/>
    <hyperlink ref="CH248" r:id="rId994" display="https://www.coingecko.com/pt/c%C3%A2mbios/gate-io" xr:uid="{E7D07076-FFC2-4225-B6B7-A05E9BA321E6}"/>
    <hyperlink ref="CJ247" r:id="rId995" display="https://gate.io/trade/GALA_USDT?ref=3018394" xr:uid="{09C19380-B40E-4420-A691-FDE8B83500ED}"/>
    <hyperlink ref="CH249" r:id="rId996" display="https://www.coingecko.com/pt/c%C3%A2mbios/mexc" xr:uid="{7F9791A7-BDD3-439B-B469-1C6DD3FD710C}"/>
    <hyperlink ref="CH250" r:id="rId997" display="https://www.coingecko.com/pt/c%C3%A2mbios/mexc" xr:uid="{D063EC4E-5F11-4A31-B29A-E2A7B3CA6291}"/>
    <hyperlink ref="CJ249" r:id="rId998" display="https://www.mexc.com/exchange/GALA_USDT?inviteCode=1498J" xr:uid="{5B752442-70F5-408C-AA37-A7075A03441F}"/>
    <hyperlink ref="CH251" r:id="rId999" display="https://www.coingecko.com/pt/c%C3%A2mbios/pointpay" xr:uid="{606BF007-9648-43B6-AAB3-363BAA519D5D}"/>
    <hyperlink ref="CH252" r:id="rId1000" display="https://www.coingecko.com/pt/c%C3%A2mbios/pointpay" xr:uid="{BBB3AF5B-0C9E-411E-95A6-CDC2C545FD4A}"/>
    <hyperlink ref="CJ251" r:id="rId1001" display="https://exchange.pointpay.io/trade-classic/GALA_USDTreferral/40d2c818-a4e9-4834-bcda-c4f11a1b243d" xr:uid="{1831E170-F741-44A6-967A-E99B72354FA1}"/>
    <hyperlink ref="CH253" r:id="rId1002" display="https://www.coingecko.com/pt/c%C3%A2mbios/binance" xr:uid="{73C2B182-1519-4A18-8D66-74353636446C}"/>
    <hyperlink ref="CH254" r:id="rId1003" display="https://www.coingecko.com/pt/c%C3%A2mbios/binance" xr:uid="{0B733A55-F409-457C-BED3-17197CA7E420}"/>
    <hyperlink ref="CJ253" r:id="rId1004" display="https://www.binance.com/en/trade/GALA_USDT?ref=37754157" xr:uid="{F7BE5B8B-4218-46FA-8C84-6EF18212E477}"/>
    <hyperlink ref="CH255" r:id="rId1005" display="https://www.coingecko.com/pt/c%C3%A2mbios/tokocrypto" xr:uid="{D812DF4E-534F-484A-B056-3F884092F59C}"/>
    <hyperlink ref="CH256" r:id="rId1006" display="https://www.coingecko.com/pt/c%C3%A2mbios/tokocrypto" xr:uid="{C115CB26-9BCF-4D64-B245-51F7AD12D53E}"/>
    <hyperlink ref="CJ255" r:id="rId1007" display="https://www.tokocrypto.com/trade/GALAUSDT" xr:uid="{C2FAAD60-ACFB-4145-A1AF-2EB42EF89C4A}"/>
    <hyperlink ref="CH257" r:id="rId1008" display="https://www.coingecko.com/pt/c%C3%A2mbios/bitget" xr:uid="{58743799-8275-47F3-92D5-13AA5EF0FD3C}"/>
    <hyperlink ref="CH258" r:id="rId1009" display="https://www.coingecko.com/pt/c%C3%A2mbios/bitget" xr:uid="{1D9C882E-D100-41F2-A6FB-33884CA908F5}"/>
    <hyperlink ref="CJ257" r:id="rId1010" display="https://www.bitget.com/spot/GALAUSDT?channelCode=42xn&amp;vipCode=sq59&amp;languageType=0" xr:uid="{210B69E0-5A0B-43BA-9D76-A3C5F6E6F386}"/>
    <hyperlink ref="CH259" r:id="rId1011" display="https://www.coingecko.com/pt/c%C3%A2mbios/crypto_com" xr:uid="{C8538DF0-BF02-4BAB-850D-B6C7AE97DF12}"/>
    <hyperlink ref="CH260" r:id="rId1012" display="https://www.coingecko.com/pt/c%C3%A2mbios/crypto_com" xr:uid="{389A2AE0-FF13-4532-AE28-FFFCE829419D}"/>
    <hyperlink ref="CJ259" r:id="rId1013" display="https://crypto.com/exchange/trade/spot/GALA_USDT" xr:uid="{559F0AD8-D491-445C-9E4A-5C768CF750BF}"/>
    <hyperlink ref="CH261" r:id="rId1014" display="https://www.coingecko.com/pt/c%C3%A2mbios/crypto_com" xr:uid="{DC814CB1-85A9-4A59-8480-F69BF7E7DCEC}"/>
    <hyperlink ref="CH262" r:id="rId1015" display="https://www.coingecko.com/pt/c%C3%A2mbios/crypto_com" xr:uid="{551B6578-849C-4F57-B4B9-5D047579D7CF}"/>
    <hyperlink ref="CJ261" r:id="rId1016" display="https://crypto.com/exchange/trade/spot/GALA_USD" xr:uid="{4E9E1A3E-C3C9-4868-9CAA-5C9EFA1246BC}"/>
    <hyperlink ref="CH263" r:id="rId1017" display="https://www.coingecko.com/pt/c%C3%A2mbios/bybit_spot" xr:uid="{8C14E67F-E954-4005-B41A-8DD1C5F9999C}"/>
    <hyperlink ref="CH264" r:id="rId1018" display="https://www.coingecko.com/pt/c%C3%A2mbios/bybit_spot" xr:uid="{211AB21A-8176-4462-9797-4409554CC0F1}"/>
    <hyperlink ref="CJ263" r:id="rId1019" display="https://www.bybit.com/trade/spot/GALA/USDT/?affiliate_id=9763" xr:uid="{203E352F-C797-486E-9B93-63A43E14A9AE}"/>
    <hyperlink ref="CH265" r:id="rId1020" display="https://www.coingecko.com/pt/c%C3%A2mbios/htx" xr:uid="{B40F7DE8-2933-480D-BACA-2486F7B1AF79}"/>
    <hyperlink ref="CH266" r:id="rId1021" display="https://www.coingecko.com/pt/c%C3%A2mbios/htx" xr:uid="{EEA739FA-8356-46F5-838F-DD6C5D8F47A2}"/>
    <hyperlink ref="CJ265" r:id="rId1022" display="https://www.huobi.com/en-us/exchange/gala_usdt?invite_code=d8c53" xr:uid="{1634FEA8-FA9C-412C-909E-66CAEB8B926A}"/>
    <hyperlink ref="CG277" r:id="rId1023" display="https://hpg.com.br/brise-bitgert-criptomoeda-projeto-onde-comprar-vai-subir-em-2024.html" xr:uid="{51F5E037-A68C-4B4C-BFCA-9EA3B4325ABA}"/>
    <hyperlink ref="CG278" r:id="rId1024" display="https://hpg.com.br/brise-bitgert-criptomoeda-projeto-onde-comprar-vai-subir-em-2024.html" xr:uid="{E19919CC-F7E7-459C-885D-843F32B66391}"/>
    <hyperlink ref="CG279" r:id="rId1025" display="https://hpg.com.br/brise-bitgert-criptomoeda-projeto-onde-comprar-vai-subir-em-2024.html" xr:uid="{94C11893-1786-4720-9132-FD4796C99E2C}"/>
    <hyperlink ref="CG280" r:id="rId1026" display="https://hpg.com.br/brise-bitgert-criptomoeda-projeto-onde-comprar-vai-subir-em-2024.html" xr:uid="{412229CD-A16E-478A-B894-A983ABA40B6B}"/>
    <hyperlink ref="CG281:CG282" r:id="rId1027" display="https://hpg.com.br/threshold-criptomoeda-projeto-onde-comprar-vai-subir-em-2024.html" xr:uid="{976270A8-B56C-4EE1-87C4-96118F3D13BF}"/>
    <hyperlink ref="CG283" r:id="rId1028" display="https://hpg.com.br/threshold-criptomoeda-projeto-onde-comprar-vai-subir-em-2024.html" xr:uid="{A2EC6273-57E1-4674-AC84-779E32BA6983}"/>
    <hyperlink ref="CG284" r:id="rId1029" display="https://hpg.com.br/threshold-criptomoeda-projeto-onde-comprar-vai-subir-em-2024.html" xr:uid="{4E34D082-6158-4102-93C6-83EFDE6FD16E}"/>
    <hyperlink ref="CG285:CG286" r:id="rId1030" display="https://hpg.com.br/bit-bitdao-criptomoeda-projeto-onde-comprar-vai-subir-em-2024.html" xr:uid="{204F42AE-57EA-43C7-9B85-9C5A38783560}"/>
    <hyperlink ref="CG287" r:id="rId1031" display="https://hpg.com.br/bit-bitdao-criptomoeda-projeto-onde-comprar-vai-subir-em-2024.html" xr:uid="{9AF34F49-5C15-4515-82A7-411A2A3AA9E0}"/>
    <hyperlink ref="CG288" r:id="rId1032" display="https://hpg.com.br/bit-bitdao-criptomoeda-projeto-onde-comprar-vai-subir-em-2024.html" xr:uid="{B522A5D0-1649-40BC-B454-36B6E148617F}"/>
    <hyperlink ref="CG289:CG290" r:id="rId1033" display="https://hpg.com.br/hbtc-huobi-btc-criptomoeda-projeto-onde-comprar-vai-subir-em-2024.html" xr:uid="{BAA44B30-1021-4216-AA77-43A3F375250F}"/>
    <hyperlink ref="CG291" r:id="rId1034" display="https://hpg.com.br/hbtc-huobi-btc-criptomoeda-projeto-onde-comprar-vai-subir-em-2024.html" xr:uid="{9B4CCAAF-2C60-4A47-B953-E137C9EF588C}"/>
    <hyperlink ref="CG292" r:id="rId1035" display="https://hpg.com.br/hbtc-huobi-btc-criptomoeda-projeto-onde-comprar-vai-subir-em-2024.html" xr:uid="{89A3E387-76F7-4E6B-B0B2-DCBBD4B11C07}"/>
    <hyperlink ref="CG297" r:id="rId1036" display="https://www.coingecko.com/pt/moedas/gala/usd" xr:uid="{38B160C3-C228-43F9-8AE6-09EC756AE3F5}"/>
    <hyperlink ref="CG298" r:id="rId1037" display="https://www.coingecko.com/pt/moedas/gala/usd" xr:uid="{B9801F16-606B-4861-B6FF-164D61595239}"/>
    <hyperlink ref="CG299" r:id="rId1038" display="https://www.coingecko.com/pt/moedas/gala/eur" xr:uid="{A48FE3C2-8CCC-492A-BA59-F6B8FABAA6A2}"/>
    <hyperlink ref="CG300" r:id="rId1039" display="https://www.coingecko.com/pt/moedas/gala/eur" xr:uid="{D8EB8617-3D62-492B-9B15-F2BBD3C41EB2}"/>
    <hyperlink ref="CG301" r:id="rId1040" display="https://www.coingecko.com/pt/moedas/gala/brl" xr:uid="{8D697861-2DC1-4A49-A340-B0E3D029F03D}"/>
    <hyperlink ref="CG302" r:id="rId1041" display="https://www.coingecko.com/pt/moedas/gala/brl" xr:uid="{8D83D33E-3632-4C5A-8A1E-3E9653876223}"/>
    <hyperlink ref="CG306" r:id="rId1042" display="https://www.coingecko.com/pt/moedas/portal" xr:uid="{86769072-C88D-4C0E-8037-50F326ED0403}"/>
    <hyperlink ref="CG307" r:id="rId1043" display="https://www.coingecko.com/pt/moedas/portal" xr:uid="{8B83E57A-6370-44F0-A9DC-471527FE359A}"/>
    <hyperlink ref="CG308" r:id="rId1044" display="https://www.coingecko.com/pt/moedas/portal" xr:uid="{5EF8D564-F2C7-4509-BD83-4F20B05B5071}"/>
    <hyperlink ref="CG309" r:id="rId1045" display="https://www.coingecko.com/pt/moedas/hooked-protocol" xr:uid="{299D999F-1DB8-4348-AF88-4A42F40689CE}"/>
    <hyperlink ref="CG310" r:id="rId1046" display="https://www.coingecko.com/pt/moedas/hooked-protocol" xr:uid="{A4A3CEDF-5F04-4063-95C3-AADD155BE844}"/>
    <hyperlink ref="CG311" r:id="rId1047" display="https://www.coingecko.com/pt/moedas/hooked-protocol" xr:uid="{05DF6A79-FE0C-491D-903C-8028C9E9C4D2}"/>
    <hyperlink ref="CG312" r:id="rId1048" display="https://www.coingecko.com/pt/moedas/myria" xr:uid="{D0F5B525-7AB6-48A2-9C53-3E35DDEF909D}"/>
    <hyperlink ref="CG313" r:id="rId1049" display="https://www.coingecko.com/pt/moedas/myria" xr:uid="{017D9188-4420-497A-880A-01CC31007BD5}"/>
    <hyperlink ref="CG314" r:id="rId1050" display="https://www.coingecko.com/pt/moedas/myria" xr:uid="{5E08BA01-F792-46CE-8885-ED2884243DD6}"/>
    <hyperlink ref="CG315" r:id="rId1051" display="https://www.coingecko.com/pt/moedas/nakamoto-games" xr:uid="{C9074D6D-1CAB-4116-853B-EB4B801A1F5B}"/>
    <hyperlink ref="CG316" r:id="rId1052" display="https://www.coingecko.com/pt/moedas/nakamoto-games" xr:uid="{5A47EFAB-B406-45D2-861C-CEF8E3E173B5}"/>
    <hyperlink ref="CG317" r:id="rId1053" display="https://www.coingecko.com/pt/moedas/nakamoto-games" xr:uid="{61721924-A095-4B21-88D1-90492E3E7A86}"/>
    <hyperlink ref="CG318" r:id="rId1054" display="https://www.coingecko.com/pt/moedas/vulcan-forged" xr:uid="{EDE7E031-C1AD-4133-B040-C1863A973469}"/>
    <hyperlink ref="CG319" r:id="rId1055" display="https://www.coingecko.com/pt/moedas/vulcan-forged" xr:uid="{ECAB85CB-B0B2-489A-9F31-C89243CC9B0E}"/>
    <hyperlink ref="CG320" r:id="rId1056" display="https://www.coingecko.com/pt/moedas/vulcan-forged" xr:uid="{2D931181-931C-44E8-96B6-2B13F182DE6A}"/>
    <hyperlink ref="CG324" r:id="rId1057" display="https://www.coingecko.com/pt/moedas/solana" xr:uid="{1220D84A-294D-4BC7-A54A-2206EA3892A9}"/>
    <hyperlink ref="CG325" r:id="rId1058" display="https://www.coingecko.com/pt/moedas/solana" xr:uid="{08BAC976-D293-4356-A686-1900CA7EC84C}"/>
    <hyperlink ref="CG326" r:id="rId1059" display="https://www.coingecko.com/pt/moedas/solana" xr:uid="{8C1F7542-025D-4590-B7D6-3C450CBE3F8D}"/>
    <hyperlink ref="CG327" r:id="rId1060" display="https://www.coingecko.com/pt/moedas/dione" xr:uid="{195CAB4F-BDA6-4600-96EE-C27B97B14C67}"/>
    <hyperlink ref="CG328" r:id="rId1061" display="https://www.coingecko.com/pt/moedas/dione" xr:uid="{F905F326-39A9-40D2-A217-7CB2B1A5509E}"/>
    <hyperlink ref="CG329" r:id="rId1062" display="https://www.coingecko.com/pt/moedas/dione" xr:uid="{91A7AEC7-1FDF-4AA6-9D48-282265B25A89}"/>
    <hyperlink ref="CG330" r:id="rId1063" display="https://www.coingecko.com/pt/moedas/pixels" xr:uid="{7EFAE1D5-1C0D-4B96-95F7-E940A96B276E}"/>
    <hyperlink ref="CG331" r:id="rId1064" display="https://www.coingecko.com/pt/moedas/pixels" xr:uid="{AB30C718-5F6A-4F7C-85CD-83B4F141C241}"/>
    <hyperlink ref="CG332" r:id="rId1065" display="https://www.coingecko.com/pt/moedas/pixels" xr:uid="{284A486A-A9A3-421C-93BC-1BBA9E092EED}"/>
    <hyperlink ref="CG333" r:id="rId1066" display="https://www.coingecko.com/pt/moedas/bitcoin" xr:uid="{B18C6E8F-2265-4A72-9B83-F127C35A9835}"/>
    <hyperlink ref="CG334" r:id="rId1067" display="https://www.coingecko.com/pt/moedas/bitcoin" xr:uid="{C2DF4921-40CD-4B66-BF4F-3B8B2EEF63F9}"/>
    <hyperlink ref="CG335" r:id="rId1068" display="https://www.coingecko.com/pt/moedas/bitcoin" xr:uid="{EA4773FD-1460-4967-8AD8-2792EDC57A00}"/>
    <hyperlink ref="CG336" r:id="rId1069" display="https://www.coingecko.com/pt/moedas/pepe" xr:uid="{64B4AA4A-0C20-4864-B544-F8A8CC07DD18}"/>
    <hyperlink ref="CG337" r:id="rId1070" display="https://www.coingecko.com/pt/moedas/pepe" xr:uid="{9D392C6D-B9E2-4C9E-85A4-57124618A14C}"/>
    <hyperlink ref="CG338" r:id="rId1071" display="https://www.coingecko.com/pt/moedas/pepe" xr:uid="{16DD7561-2EB5-42D8-9951-E7881F93EE71}"/>
    <hyperlink ref="CG339" r:id="rId1072" display="https://www.coingecko.com/pt/moedas/ethereum" xr:uid="{9FB3B63E-3464-4FA0-A7AF-7E4A98C6E96D}"/>
    <hyperlink ref="CG340" r:id="rId1073" display="https://www.coingecko.com/pt/moedas/ethereum" xr:uid="{DE9EA5BA-1CFE-47B1-A03F-93A887821FF8}"/>
    <hyperlink ref="CG341" r:id="rId1074" display="https://www.coingecko.com/pt/moedas/ethereum" xr:uid="{E18D177A-4E02-4094-876B-89C63A66356D}"/>
    <hyperlink ref="CG342" r:id="rId1075" display="https://www.coingecko.com/pt/moedas/degen-base" xr:uid="{7D7BCEFD-248F-4E45-B081-43E0531D778B}"/>
    <hyperlink ref="CG343" r:id="rId1076" display="https://www.coingecko.com/pt/moedas/degen-base" xr:uid="{E9C4C814-1EEC-445D-BB6D-B72E14B5D4FA}"/>
    <hyperlink ref="CG344" r:id="rId1077" display="https://www.coingecko.com/pt/moedas/degen-base" xr:uid="{151416B5-2627-4E5B-8B19-5BBDA9F87DF6}"/>
    <hyperlink ref="CG345" r:id="rId1078" display="https://www.coingecko.com/pt/moedas/jupiter" xr:uid="{BE6CCD26-3577-44F1-8329-530352011053}"/>
    <hyperlink ref="CG346" r:id="rId1079" display="https://www.coingecko.com/pt/moedas/jupiter" xr:uid="{6CD78820-8029-481F-892E-DD29E6B1227F}"/>
    <hyperlink ref="CG347" r:id="rId1080" display="https://www.coingecko.com/pt/moedas/jupiter" xr:uid="{2DEEC996-F7B3-4C4C-88B9-B36CEC45F72C}"/>
    <hyperlink ref="CG348" r:id="rId1081" display="https://www.coingecko.com/pt/moedas/wormhole" xr:uid="{407BA457-E6E4-46BC-8761-37AC62E46880}"/>
    <hyperlink ref="CG349" r:id="rId1082" display="https://www.coingecko.com/pt/moedas/wormhole" xr:uid="{0C528385-00B6-46EB-BC02-4635CA62E2C8}"/>
    <hyperlink ref="CG350" r:id="rId1083" display="https://www.coingecko.com/pt/moedas/wormhole" xr:uid="{3BAE8151-364C-4F83-84EA-9744C59FC8EE}"/>
    <hyperlink ref="CG351" r:id="rId1084" display="https://www.coingecko.com/pt/moedas/bittensor" xr:uid="{84708AD6-E124-42A6-B94D-5E68FDCD7D01}"/>
    <hyperlink ref="CG352" r:id="rId1085" display="https://www.coingecko.com/pt/moedas/bittensor" xr:uid="{C2B2C824-705B-4A9A-81AC-6563BBAF8A1A}"/>
    <hyperlink ref="CG353" r:id="rId1086" display="https://www.coingecko.com/pt/moedas/bittensor" xr:uid="{DFF0067D-C234-4D34-AF59-023E52645A38}"/>
    <hyperlink ref="CG362" r:id="rId1087" display="https://www.coingecko.com/pt" xr:uid="{43FD9DE0-4DA5-490F-B32D-F1BD5AE956AE}"/>
    <hyperlink ref="CG365" r:id="rId1088" display="https://www.coingecko.com/pt/news" xr:uid="{E76DC607-F8B5-47AC-95B3-9893F1A3DCB0}"/>
    <hyperlink ref="CG366" r:id="rId1089" display="https://www.coingecko.com/pt/public-companies-bitcoin" xr:uid="{3856336A-FD2D-43E7-9D64-09BB2BA8D7C5}"/>
    <hyperlink ref="CG367" r:id="rId1090" display="https://www.coingecko.com/pt/cryptocurrency-heatmap" xr:uid="{84A6DD87-C070-4DBE-A520-676CB658A040}"/>
    <hyperlink ref="CG368" r:id="rId1091" display="https://www.coingecko.com/pt/api" xr:uid="{A4D9CAE8-4465-4E0E-B861-0427249E4954}"/>
    <hyperlink ref="CG375" r:id="rId1092" display="https://www.coingecko.com/request" xr:uid="{75EAF851-C828-4D9F-806B-DE2F514B6CF6}"/>
    <hyperlink ref="CG376" r:id="rId1093" display="https://gcko.io/coingeckoads" xr:uid="{1CA17E0A-5A1B-439C-A5EA-F6FDCF253B11}"/>
    <hyperlink ref="CG377" r:id="rId1094" display="https://www.coingecko.com/pt/candy/partners-getting-started" xr:uid="{3884772A-0FFB-406C-BE48-DFB7DA04193F}"/>
    <hyperlink ref="CG378" r:id="rId1095" display="https://support.coingecko.com/" xr:uid="{24F475DD-0A52-464D-884E-EE8BE708E030}"/>
    <hyperlink ref="CG379" r:id="rId1096" display="https://hackenproof.com/coingecko/coingecko" xr:uid="{FF4097D5-83B6-4FE0-9526-233C1C10A897}"/>
    <hyperlink ref="CG380" r:id="rId1097" display="https://www.coingecko.com/pt/faq" xr:uid="{CFE80E49-737A-44E7-8C4A-4F2AFC411043}"/>
    <hyperlink ref="CG382" r:id="rId1098" display="https://www.coingecko.com/pt/sobre" xr:uid="{382154F9-5F43-4AE5-A250-0D88C98E08F7}"/>
    <hyperlink ref="CG383" r:id="rId1099" display="https://careers.coingecko.com/" xr:uid="{27B5C1F8-0939-4A88-9546-A1588C4EF744}"/>
    <hyperlink ref="CG384" r:id="rId1100" display="https://careers.coingecko.com/" xr:uid="{B85B8FDC-D7B5-4F5A-9B73-30CC9D84BDFF}"/>
    <hyperlink ref="CG385" r:id="rId1101" display="https://blog.coingecko.com/" xr:uid="{5E3B64AE-99EC-4515-9D75-366E15044EC9}"/>
    <hyperlink ref="CG386" r:id="rId1102" display="https://www.coingecko.com/pt/branding" xr:uid="{13CFB3D0-9FB1-4FAC-9E34-71C4BD5D6A13}"/>
    <hyperlink ref="CG387" r:id="rId1103" display="https://www.coingecko.com/pt/metodologia" xr:uid="{A35392EF-969B-46A6-A165-68CCAB9F99DF}"/>
    <hyperlink ref="CG388" r:id="rId1104" display="https://www.coingecko.com/pt/isen%C3%A7%C3%A3o_de_responsabilidade" xr:uid="{730CCC29-CF44-4D1C-BF81-5EC264B8DC1B}"/>
    <hyperlink ref="CG389" r:id="rId1105" display="https://www.coingecko.com/pt/termos" xr:uid="{B76323A3-F8D0-49D3-8DE5-0561D7E46077}"/>
    <hyperlink ref="CG390" r:id="rId1106" display="https://www.coingecko.com/pt/privacidade" xr:uid="{C432455F-3BDD-4D46-936E-8AC5D88FC680}"/>
    <hyperlink ref="CG391" r:id="rId1107" display="https://www.coingecko.com/pt/ad_policy" xr:uid="{8E7F197E-E0F5-47C7-9048-1DFBE17C6C9A}"/>
    <hyperlink ref="CG394" r:id="rId1108" display="https://twitter.com/coingecko" xr:uid="{1702A488-E876-4CE1-ADAB-0B50AB285465}"/>
    <hyperlink ref="CG395" r:id="rId1109" display="https://t.me/coingecko" xr:uid="{DD81FDDC-5BA2-4270-A58E-D43370752FB5}"/>
    <hyperlink ref="CG396" r:id="rId1110" display="https://t.me/coingeckonews" xr:uid="{81A1DD41-69BF-4733-BF5A-3858FA9623C1}"/>
    <hyperlink ref="CG397" r:id="rId1111" display="https://www.instagram.com/coingecko/" xr:uid="{DD4AE982-7305-4562-9899-F8AEC98C4459}"/>
    <hyperlink ref="CG398" r:id="rId1112" display="https://www.reddit.com/r/coingecko/" xr:uid="{9884AE9A-89D6-4606-BA72-FA56530AAA11}"/>
    <hyperlink ref="CG399" r:id="rId1113" display="https://discord.gg/EhrkaCH" xr:uid="{5373F3B4-E503-4E16-84E7-3F33DF043675}"/>
    <hyperlink ref="CG400" r:id="rId1114" display="https://www.facebook.com/coingecko" xr:uid="{32B9539D-F00A-4098-9287-6A7F535DF844}"/>
    <hyperlink ref="CG401" r:id="rId1115" display="https://www.youtube.com/channel/UC-OTgwOAI7KmP0eDAtqN3Ow?sub_confirmation=1" xr:uid="{A3067657-9EED-42C6-8B67-FAA2B45A2E76}"/>
    <hyperlink ref="CG402" r:id="rId1116" display="https://www.tiktok.com/@coingeckotv" xr:uid="{D04A2853-DFB0-4CD9-8824-49DEE9AC6181}"/>
    <hyperlink ref="CG408" r:id="rId1117" display="https://www.coingecko.com/pt/isen%C3%A7%C3%A3o_de_responsabilidade" xr:uid="{A33EE89B-B05D-4C89-93DA-31A6573A98B1}"/>
    <hyperlink ref="CG658" r:id="rId1118" display="https://coingecko.app.link/lTInCXLGz4" xr:uid="{DF14BBB9-431F-4F63-8306-74B2C137410C}"/>
    <hyperlink ref="CT2" r:id="rId1119" display="https://www.coingecko.com/pt" xr:uid="{924B5C66-086E-47F6-BB73-25B738F17316}"/>
    <hyperlink ref="CT3" r:id="rId1120" display="https://www.coingecko.com/pt/c%C3%A2mbios" xr:uid="{E21E88C7-0D9A-41FA-91A9-3151AD8395BB}"/>
    <hyperlink ref="CT4" r:id="rId1121" display="https://www.coingecko.com/pt/global-charts" xr:uid="{0DDBB945-1FF1-4536-99AC-D86AE3CEB4D6}"/>
    <hyperlink ref="CT5" r:id="rId1122" display="https://www.coingecko.com/pt/global-charts" xr:uid="{76BC834F-817C-4266-A833-741E8BE59402}"/>
    <hyperlink ref="CT25" r:id="rId1123" display="https://www.coingecko.com/pt/premium/pricing" xr:uid="{32DA52BE-BF65-43B0-8F03-5688C5CF160D}"/>
    <hyperlink ref="CT28:CT29" r:id="rId1124" display="https://coingecko.app.link/lTInCXLGz4" xr:uid="{77615579-0B92-4415-AB7D-7CD5080E56AB}"/>
    <hyperlink ref="CT48" r:id="rId1125" display="https://www.geckoterminal.com/?utm_source=coingecko&amp;utm_medium=referral&amp;utm_campaign=desktop_navigation" xr:uid="{4CF7D15E-A2B3-4B2A-941F-32CB1580D351}"/>
    <hyperlink ref="CT49" r:id="rId1126" display="https://www.coingecko.com/pt/candy" xr:uid="{8122B536-8E6F-4499-9F41-4AFDD64178A0}"/>
    <hyperlink ref="CT50" r:id="rId1127" display="https://www.coingecko.com/pt/candy" xr:uid="{BC6AA060-E5F9-44EB-B7D1-B55799E8360F}"/>
    <hyperlink ref="CT51" r:id="rId1128" display="https://www.coingecko.com/pt/candy" xr:uid="{7CBE96E4-2072-4942-8E41-4941A4DFBEFB}"/>
    <hyperlink ref="CT52" r:id="rId1129" display="https://www.coingecko.com/pt/portfolio" xr:uid="{613E9FB6-A3AE-4578-915C-770059463A17}"/>
    <hyperlink ref="CT70" r:id="rId1130" display="https://gcko.io/search-survey" xr:uid="{BF446288-7308-4F46-B7EF-107BB729583C}"/>
    <hyperlink ref="CT73" r:id="rId1131" display="https://www.coingecko.com/pt" xr:uid="{6A581EC4-9CFE-4D7F-ACCA-CC14E23C75B3}"/>
    <hyperlink ref="CT92" r:id="rId1132" display="https://www.coingecko.com/pt/metodologia" xr:uid="{8BED15F6-EE17-4FB5-A724-20E4A9E9B564}"/>
    <hyperlink ref="CT103" r:id="rId1133" display="https://www.geckoterminal.com/eth/tokens/0x7d1afa7b718fb893db30a3abc0cfc608aacfebb0?utm_source=coingecko&amp;utm_medium=referral&amp;utm_campaign=livechart-btn" xr:uid="{FD83E827-C5F7-4FA7-A5A8-62EA1B990C1A}"/>
    <hyperlink ref="CT108" r:id="rId1134" display="https://www.coingecko.com/pt/api" xr:uid="{EC7D7645-1101-4D4C-AD4F-B3D2DA1072DF}"/>
    <hyperlink ref="CT124" r:id="rId1135" display="https://www.coingecko.com/pt/metodologia" xr:uid="{1FAF3B76-A059-4E2A-86DC-93AE71723318}"/>
    <hyperlink ref="CT130" r:id="rId1136" display="https://www.coingecko.com/learn/what-is-fully-diluted-valuation-fdv-in-crypto" xr:uid="{58B472F9-A743-4D2A-B905-EA977B903F1F}"/>
    <hyperlink ref="CT140" r:id="rId1137" display="https://www.coingecko.com/learn/what-is-fully-diluted-valuation-fdv-in-crypto" xr:uid="{9058D8CA-ACE2-4385-91AF-E3A0F3E240F8}"/>
    <hyperlink ref="CT148" r:id="rId1138" display="https://www.coingecko.com/pt/metodologia" xr:uid="{5256B4DD-AD64-46EC-8089-AAF24EC9FCA4}"/>
    <hyperlink ref="CT152" r:id="rId1139" display="https://defillama.com/" xr:uid="{ED2F9C5D-973B-480B-B2E2-B63AB88356A1}"/>
    <hyperlink ref="CT156" r:id="rId1140" display="https://www.coingecko.com/pt/metodologia" xr:uid="{237DF259-67B6-4485-AF26-EA0808CE0741}"/>
    <hyperlink ref="CU156" r:id="rId1141" display="https://etherscan.io/token/0x7d1afa7b718fb893db30a3abc0cfc608aacfebb0?a=0xcbfe11b78c2e6cb25c6eda2c6ff46cd4755c8fca" xr:uid="{7B0987C5-FB7F-4EE5-82A7-72CBD397B993}"/>
    <hyperlink ref="CU158" r:id="rId1142" display="https://etherscan.io/token/0x7d1afa7b718fb893db30a3abc0cfc608aacfebb0?a=0xb316fa9fa91700d7084d377bfdc81eb9f232f5ff" xr:uid="{06605B50-2D2E-4C24-81EE-F6AA2A2A0AD7}"/>
    <hyperlink ref="CU160" r:id="rId1143" display="https://etherscan.io/token/0x7d1afa7b718fb893db30a3abc0cfc608aacfebb0?a=0x50d669f43b484166680ecc3670e4766cdb0945ce" xr:uid="{A352D6F4-E8DF-449E-9482-B2242468BD78}"/>
    <hyperlink ref="CU162" r:id="rId1144" display="https://etherscan.io/token/0x7d1afa7b718fb893db30a3abc0cfc608aacfebb0?a=0x29e7DF7b6A1B2b07b731457f499E1696c60E2C4e" xr:uid="{206368C3-65E8-42E0-B91A-E38A7B0A46AB}"/>
    <hyperlink ref="CT181" r:id="rId1145" display="https://forms.gle/ULNnnCGCEAimK9cJ7" xr:uid="{1479CFEB-0CCC-4470-A6EB-6B9C626D380B}"/>
    <hyperlink ref="CT196" r:id="rId1146" display="https://polygon.technology/" xr:uid="{A5E24234-51A6-452A-9A53-9E426A0A8C9E}"/>
    <hyperlink ref="CT197" r:id="rId1147" display="https://blog.polygon.technology/" xr:uid="{7BB15684-1AC4-40E4-8476-E781FE22D196}"/>
    <hyperlink ref="CT199" r:id="rId1148" display="https://etherscan.io/token/0x7d1afa7b718fb893db30a3abc0cfc608aacfebb0" xr:uid="{18077923-EEB3-4D92-99B0-C0569B51E35F}"/>
    <hyperlink ref="CT202" r:id="rId1149" display="https://gcko.io/ledger" xr:uid="{1FA40E95-D620-46A8-844E-995603471496}"/>
    <hyperlink ref="CT205" r:id="rId1150" display="https://twitter.com/0xPolygon" xr:uid="{0C2D99C8-EEE2-4C3A-88A8-97167C8E88E5}"/>
    <hyperlink ref="CT206" r:id="rId1151" display="https://t.me/polygonofficial" xr:uid="{3B8301EC-37D1-42C7-9A9B-BBD8E965E84D}"/>
    <hyperlink ref="CT207" r:id="rId1152" display="https://discord.com/invite/XvpHAxZ" xr:uid="{7855CBE5-BDF0-4B51-8E12-D0D2A900BCB1}"/>
    <hyperlink ref="CT208" r:id="rId1153" display="https://t.me/PolygonAnnouncements" xr:uid="{BF8C3CE6-1A52-4FCB-AAD3-67B8C3B3A62F}"/>
    <hyperlink ref="CT210" r:id="rId1154" display="https://twitter.com/search?q=$MATIC" xr:uid="{89696C59-1715-4AE3-B5FC-5F044B733535}"/>
    <hyperlink ref="CT212" r:id="rId1155" display="https://github.com/maticnetwork" xr:uid="{287F3D0B-5D9F-459D-90AD-363FDA93F2F8}"/>
    <hyperlink ref="CT216" r:id="rId1156" display="https://www.coingecko.com/pt/categories/ethereum-ecosystem" xr:uid="{E140A6CF-8AC8-47AE-8419-D93B811F1764}"/>
    <hyperlink ref="CT220" r:id="rId1157" display="https://www.coingecko.com/pt/categories/smart-contract-platform" xr:uid="{386237CB-925A-44D8-8A75-8B335AE67CC9}"/>
    <hyperlink ref="CT283" r:id="rId1158" display="https://www.coingecko.com/learn/complete-beginners-guide-to-metamask" xr:uid="{B1B28B00-FD11-4043-986F-D89078C449B3}"/>
    <hyperlink ref="CU295" r:id="rId1159" display="https://www.coingecko.com/pt/c%C3%A2mbios/crypto_com" xr:uid="{E8A3734C-2812-4B37-A2C0-2701DA7C81B1}"/>
    <hyperlink ref="CU296" r:id="rId1160" display="https://www.coingecko.com/pt/c%C3%A2mbios/crypto_com" xr:uid="{C3237D59-1925-43D7-972B-4A772DCE6E1A}"/>
    <hyperlink ref="CW295" r:id="rId1161" display="https://crypto.com/exchange/trade/spot/MATIC_USD" xr:uid="{F7E356B4-F21B-48DE-902B-FA407B1A37D7}"/>
    <hyperlink ref="CU297" r:id="rId1162" display="https://www.coingecko.com/pt/c%C3%A2mbios/gate-io" xr:uid="{EC879F55-8577-46E7-9522-C132425A19A5}"/>
    <hyperlink ref="CU298" r:id="rId1163" display="https://www.coingecko.com/pt/c%C3%A2mbios/gate-io" xr:uid="{4AD20D04-36A3-4F8E-BA5B-32ECDF3FF6BD}"/>
    <hyperlink ref="CW297" r:id="rId1164" display="https://gate.io/trade/MATIC_USDT?ref=3018394" xr:uid="{503ED123-8E93-48A5-A2BD-D2ADBBBA9F7B}"/>
    <hyperlink ref="CU299" r:id="rId1165" display="https://www.coingecko.com/pt/c%C3%A2mbios/orangex" xr:uid="{0510B395-3848-4FBB-8011-42B739D808E4}"/>
    <hyperlink ref="CU300" r:id="rId1166" display="https://www.coingecko.com/pt/c%C3%A2mbios/orangex" xr:uid="{49DF7139-1406-4C0A-89B0-427225E267BB}"/>
    <hyperlink ref="CW299" r:id="rId1167" display="https://www.orangex.com/spot/MATIC-USDT-SPOT" xr:uid="{AC8D3662-8E2C-4F39-9250-BB7A3C1756B5}"/>
    <hyperlink ref="CU301" r:id="rId1168" display="https://www.coingecko.com/pt/c%C3%A2mbios/binance" xr:uid="{1DEB42DE-6081-44FE-9C83-0D8265A7F466}"/>
    <hyperlink ref="CU302" r:id="rId1169" display="https://www.coingecko.com/pt/c%C3%A2mbios/binance" xr:uid="{894E018E-C960-4B84-ADC8-0FA0FB7D6E59}"/>
    <hyperlink ref="CW301" r:id="rId1170" display="https://www.binance.com/en/trade/MATIC_USDT?ref=37754157" xr:uid="{58A8DD38-7E6B-480F-B256-F8C7124F91B7}"/>
    <hyperlink ref="CU303" r:id="rId1171" display="https://www.coingecko.com/pt/c%C3%A2mbios/bitvenus-spot" xr:uid="{8EB54C29-D535-400A-9F63-06928D75B353}"/>
    <hyperlink ref="CU304" r:id="rId1172" display="https://www.coingecko.com/pt/c%C3%A2mbios/bitvenus-spot" xr:uid="{7E70A8E0-3262-4A2F-9EC1-D78C08F867BF}"/>
    <hyperlink ref="CW303" r:id="rId1173" display="https://www.bitvenus.me/exchange/MATIC/USDT?register/vh2osI" xr:uid="{49453DAA-D61E-485A-9659-B93206A9F1E6}"/>
    <hyperlink ref="CU305" r:id="rId1174" display="https://www.coingecko.com/pt/c%C3%A2mbios/azbit" xr:uid="{144FF916-9973-4147-9A85-F689EFEE974E}"/>
    <hyperlink ref="CU306" r:id="rId1175" display="https://www.coingecko.com/pt/c%C3%A2mbios/azbit" xr:uid="{C5C10144-36BE-406E-B2A3-032F517A16FE}"/>
    <hyperlink ref="CW305" r:id="rId1176" display="https://azbit.com/exchange/MATIC_USDT?referralCode=OH5QDS1?referralCode=OH5QDS1" xr:uid="{85ED80DD-8A0D-4CFB-AC41-94650D1D3F58}"/>
    <hyperlink ref="CU307" r:id="rId1177" display="https://www.coingecko.com/pt/c%C3%A2mbios/lbank" xr:uid="{2A22EC48-C2C2-4F5D-B56B-01426FBB82B9}"/>
    <hyperlink ref="CU308" r:id="rId1178" display="https://www.coingecko.com/pt/c%C3%A2mbios/lbank" xr:uid="{EC728885-08A4-41CC-9C02-0461E88972FD}"/>
    <hyperlink ref="CW307" r:id="rId1179" display="https://www.lbank.com/trade/matic_usdt" xr:uid="{BC661085-F868-42B9-BE71-9F7215FA1FA4}"/>
    <hyperlink ref="CU309" r:id="rId1180" display="https://www.coingecko.com/pt/c%C3%A2mbios/bybit_spot" xr:uid="{09F69744-05FA-4D18-AFEB-0BA770EC975B}"/>
    <hyperlink ref="CU310" r:id="rId1181" display="https://www.coingecko.com/pt/c%C3%A2mbios/bybit_spot" xr:uid="{0E57DE6E-0633-49F1-9F8C-7000D1EBC2A2}"/>
    <hyperlink ref="CW309" r:id="rId1182" display="https://www.bybit.com/trade/spot/MATIC/USDT/?affiliate_id=9763" xr:uid="{45F1E34E-4A60-4B58-81A5-5055BA8A7745}"/>
    <hyperlink ref="CU311" r:id="rId1183" display="https://www.coingecko.com/pt/c%C3%A2mbios/crypto_com" xr:uid="{DA2FC625-5F2E-433E-B5D6-33A5839644C9}"/>
    <hyperlink ref="CU312" r:id="rId1184" display="https://www.coingecko.com/pt/c%C3%A2mbios/crypto_com" xr:uid="{0DE577C4-12DA-4901-A706-4377D2F1B64B}"/>
    <hyperlink ref="CW311" r:id="rId1185" display="https://crypto.com/exchange/trade/spot/MATIC_USDT" xr:uid="{8E954837-5999-448A-B5C6-4BD57360FB9E}"/>
    <hyperlink ref="CU313" r:id="rId1186" display="https://www.coingecko.com/pt/c%C3%A2mbios/bitget" xr:uid="{E1FB1FBC-BAFA-4A3D-9B33-B9547F2F45B7}"/>
    <hyperlink ref="CU314" r:id="rId1187" display="https://www.coingecko.com/pt/c%C3%A2mbios/bitget" xr:uid="{2C88A6C1-093B-4EA5-B98A-B6C182D039CF}"/>
    <hyperlink ref="CW313" r:id="rId1188" display="https://www.bitget.com/spot/MATICUSDT?channelCode=42xn&amp;vipCode=sq59&amp;languageType=0" xr:uid="{2AE0FB80-68D5-4655-98BF-5B0250CD1B28}"/>
    <hyperlink ref="CT325" r:id="rId1189" display="https://br.beincrypto.com/solana-dogwifhat-helium-e-mais-5-criptomoedas-para-ficar-de-olho-hoje/" xr:uid="{683324C7-E96D-48B6-BD48-029C98081A23}"/>
    <hyperlink ref="CT326" r:id="rId1190" display="https://br.beincrypto.com/solana-dogwifhat-helium-e-mais-5-criptomoedas-para-ficar-de-olho-hoje/" xr:uid="{F579E620-C55D-4DDE-AF66-C0A29337257A}"/>
    <hyperlink ref="CT327" r:id="rId1191" display="https://br.beincrypto.com/solana-dogwifhat-helium-e-mais-5-criptomoedas-para-ficar-de-olho-hoje/" xr:uid="{13FF8FC2-8361-44C6-AF69-8B064A91D625}"/>
    <hyperlink ref="CT328" r:id="rId1192" display="https://br.beincrypto.com/solana-dogwifhat-helium-e-mais-5-criptomoedas-para-ficar-de-olho-hoje/" xr:uid="{A3B737DD-16EB-4D6F-8DE9-CD852C20D3A1}"/>
    <hyperlink ref="CT329:CT330" r:id="rId1193" display="https://br.beincrypto.com/altcoins-formaram-fundo-e-estao-prontas-para-bull-run/" xr:uid="{088B1123-9569-4733-A0BE-A76CCEE1BD4F}"/>
    <hyperlink ref="CT331" r:id="rId1194" display="https://br.beincrypto.com/altcoins-formaram-fundo-e-estao-prontas-para-bull-run/" xr:uid="{EB7D4ABB-964C-46DB-920E-E3A3E112CA8C}"/>
    <hyperlink ref="CT332" r:id="rId1195" display="https://br.beincrypto.com/altcoins-formaram-fundo-e-estao-prontas-para-bull-run/" xr:uid="{84E59B59-652A-4763-9BCA-2C9C768DF278}"/>
    <hyperlink ref="CT333:CT334" r:id="rId1196" display="https://www.cryptopolitan.com/pt/investidores-polygon-matic-e-ripple-xrp-recorrem-ao-etfswap-etfs-para-obter-um-enorme-retorno-sobre-o-investimento-de-100x/" xr:uid="{75FBE533-88A8-4252-BFE5-64AEBF2DD79D}"/>
    <hyperlink ref="CT335" r:id="rId1197" display="https://www.cryptopolitan.com/pt/investidores-polygon-matic-e-ripple-xrp-recorrem-ao-etfswap-etfs-para-obter-um-enorme-retorno-sobre-o-investimento-de-100x/" xr:uid="{8EEEF4C9-841F-42A3-B73B-29A3D0DB0191}"/>
    <hyperlink ref="CT336" r:id="rId1198" display="https://www.cryptopolitan.com/pt/investidores-polygon-matic-e-ripple-xrp-recorrem-ao-etfswap-etfs-para-obter-um-enorme-retorno-sobre-o-investimento-de-100x/" xr:uid="{B5D56714-6BAF-4BC9-8A75-C547FC488E51}"/>
    <hyperlink ref="CT337:CT338" r:id="rId1199" display="https://br.beincrypto.com/matic-amidst-mixed-signals/" xr:uid="{A516A7E4-E871-4DB9-99CC-AD61B9EF857F}"/>
    <hyperlink ref="CT339" r:id="rId1200" display="https://br.beincrypto.com/matic-amidst-mixed-signals/" xr:uid="{357DFCD6-B156-4AB6-9F2E-5EAC172C9DB4}"/>
    <hyperlink ref="CT340" r:id="rId1201" display="https://br.beincrypto.com/matic-amidst-mixed-signals/" xr:uid="{9CFD1D11-2B6C-40AB-9812-FF1BD0D42676}"/>
    <hyperlink ref="CT345" r:id="rId1202" display="https://www.coingecko.com/pt/moedas/polygon/usd" xr:uid="{9CF64524-5120-4812-9FC4-DCE3858223EE}"/>
    <hyperlink ref="CT346" r:id="rId1203" display="https://www.coingecko.com/pt/moedas/polygon/usd" xr:uid="{2634CC07-50FC-4070-9D92-204F335CC307}"/>
    <hyperlink ref="CT347" r:id="rId1204" display="https://www.coingecko.com/pt/moedas/polygon/eur" xr:uid="{73B849F4-F38E-40A4-876B-82E008509B46}"/>
    <hyperlink ref="CT348" r:id="rId1205" display="https://www.coingecko.com/pt/moedas/polygon/eur" xr:uid="{2D484B8B-E177-42D8-8CC7-FDBF6A807A70}"/>
    <hyperlink ref="CT349" r:id="rId1206" display="https://www.coingecko.com/pt/moedas/polygon/brl" xr:uid="{90647EB6-05B5-47DF-BE2F-EE51A112636F}"/>
    <hyperlink ref="CT350" r:id="rId1207" display="https://www.coingecko.com/pt/moedas/polygon/brl" xr:uid="{F365107A-78AE-431A-BA97-594BF1020CBB}"/>
    <hyperlink ref="CT354" r:id="rId1208" display="https://www.coingecko.com/pt/moedas/injective" xr:uid="{BCB0DA73-9016-42B1-A055-AA56D5313DC6}"/>
    <hyperlink ref="CT355" r:id="rId1209" display="https://www.coingecko.com/pt/moedas/injective" xr:uid="{8273EC05-00F5-4103-B7E0-ADC651A36793}"/>
    <hyperlink ref="CT356" r:id="rId1210" display="https://www.coingecko.com/pt/moedas/injective" xr:uid="{CB6EB454-2FF5-427E-863F-8216E957DC96}"/>
    <hyperlink ref="CT357" r:id="rId1211" display="https://www.coingecko.com/pt/moedas/fetch-ai" xr:uid="{7D01BD99-0EEC-41F4-97BF-ADDE2F623F37}"/>
    <hyperlink ref="CT358" r:id="rId1212" display="https://www.coingecko.com/pt/moedas/fetch-ai" xr:uid="{432EFCE6-C989-4A58-9DAB-2C3B2F92A87D}"/>
    <hyperlink ref="CT359" r:id="rId1213" display="https://www.coingecko.com/pt/moedas/fetch-ai" xr:uid="{F26F3F18-DE14-4D3F-8662-0B47B5214500}"/>
    <hyperlink ref="CT360" r:id="rId1214" display="https://www.coingecko.com/pt/moedas/bittorrent" xr:uid="{679AC6D7-3D24-48C6-B8BC-32AB5A69BAA0}"/>
    <hyperlink ref="CT361" r:id="rId1215" display="https://www.coingecko.com/pt/moedas/bittorrent" xr:uid="{6A4B35A0-1282-4886-A599-79E211075013}"/>
    <hyperlink ref="CT362" r:id="rId1216" display="https://www.coingecko.com/pt/moedas/bittorrent" xr:uid="{ACFF21DB-7324-41AE-A3DD-98F826AE98BC}"/>
    <hyperlink ref="CT363" r:id="rId1217" display="https://www.coingecko.com/pt/moedas/multiversx" xr:uid="{7A4E57C1-FA67-4E32-BF27-FB4BB71A39F4}"/>
    <hyperlink ref="CT364" r:id="rId1218" display="https://www.coingecko.com/pt/moedas/multiversx" xr:uid="{436F29EB-9240-4A16-A8B9-B833A6476C4B}"/>
    <hyperlink ref="CT365" r:id="rId1219" display="https://www.coingecko.com/pt/moedas/multiversx" xr:uid="{2DCAE014-A221-45AF-816D-64C9EE0341FC}"/>
    <hyperlink ref="CT366" r:id="rId1220" display="https://www.coingecko.com/pt/moedas/axie-infinity" xr:uid="{51669B45-C83F-4622-A6D0-B94203AFC9EE}"/>
    <hyperlink ref="CT367" r:id="rId1221" display="https://www.coingecko.com/pt/moedas/axie-infinity" xr:uid="{500DB4C1-471E-486C-873A-CCA641B4632D}"/>
    <hyperlink ref="CT368" r:id="rId1222" display="https://www.coingecko.com/pt/moedas/axie-infinity" xr:uid="{47BE46DD-CF7C-4C4E-8CC3-380959D882F7}"/>
    <hyperlink ref="CT372" r:id="rId1223" display="https://www.coingecko.com/pt/moedas/solana" xr:uid="{5375376B-1D9F-42A6-8346-6573DA1ECAA4}"/>
    <hyperlink ref="CT373" r:id="rId1224" display="https://www.coingecko.com/pt/moedas/solana" xr:uid="{DBA34649-64D9-434B-AD3C-D571616B0B94}"/>
    <hyperlink ref="CT374" r:id="rId1225" display="https://www.coingecko.com/pt/moedas/solana" xr:uid="{30C1C830-06C6-4728-890C-981FC89FF9B6}"/>
    <hyperlink ref="CT375" r:id="rId1226" display="https://www.coingecko.com/pt/moedas/dione" xr:uid="{E2C1C33B-B749-4A49-A3EF-F7FFAF39AACA}"/>
    <hyperlink ref="CT376" r:id="rId1227" display="https://www.coingecko.com/pt/moedas/dione" xr:uid="{09C7F9B7-3E59-48E3-875F-F00111347881}"/>
    <hyperlink ref="CT377" r:id="rId1228" display="https://www.coingecko.com/pt/moedas/dione" xr:uid="{80F1D122-BF46-407E-9993-4AAB54BD1115}"/>
    <hyperlink ref="CT378" r:id="rId1229" display="https://www.coingecko.com/pt/moedas/pixels" xr:uid="{12E5B0A3-3E2B-43E8-9EB0-5846F8CF678F}"/>
    <hyperlink ref="CT379" r:id="rId1230" display="https://www.coingecko.com/pt/moedas/pixels" xr:uid="{2BF966E6-D34F-4990-90ED-634F116D1E77}"/>
    <hyperlink ref="CT380" r:id="rId1231" display="https://www.coingecko.com/pt/moedas/pixels" xr:uid="{551ADC17-93FE-4FD5-9365-ED158F16ED35}"/>
    <hyperlink ref="CT381" r:id="rId1232" display="https://www.coingecko.com/pt/moedas/bitcoin" xr:uid="{3B81615E-52C0-4A1E-9186-F9C79533E4B2}"/>
    <hyperlink ref="CT382" r:id="rId1233" display="https://www.coingecko.com/pt/moedas/bitcoin" xr:uid="{2835F8BB-AA86-488C-AE32-24AA79071199}"/>
    <hyperlink ref="CT383" r:id="rId1234" display="https://www.coingecko.com/pt/moedas/bitcoin" xr:uid="{C4E88FCC-2357-4FCF-A16F-E4375C008DA3}"/>
    <hyperlink ref="CT384" r:id="rId1235" display="https://www.coingecko.com/pt/moedas/ethereum" xr:uid="{EDE0CD71-DA45-46D2-931D-1A605F165E2D}"/>
    <hyperlink ref="CT385" r:id="rId1236" display="https://www.coingecko.com/pt/moedas/ethereum" xr:uid="{7FCC5D71-D37B-4DE4-A1A9-B3A8D7B1F23E}"/>
    <hyperlink ref="CT386" r:id="rId1237" display="https://www.coingecko.com/pt/moedas/ethereum" xr:uid="{3FD5D015-3F73-49BB-8D6D-655D08C13657}"/>
    <hyperlink ref="CT387" r:id="rId1238" display="https://www.coingecko.com/pt/moedas/wormhole" xr:uid="{C14BD06D-E01C-43B4-869B-39635D9541E4}"/>
    <hyperlink ref="CT388" r:id="rId1239" display="https://www.coingecko.com/pt/moedas/wormhole" xr:uid="{066B5DCB-A67F-4DD5-BA48-80C65F796370}"/>
    <hyperlink ref="CT389" r:id="rId1240" display="https://www.coingecko.com/pt/moedas/wormhole" xr:uid="{6BEB38E4-2945-4779-8C90-72817B781001}"/>
    <hyperlink ref="CT390" r:id="rId1241" display="https://www.coingecko.com/pt/moedas/degen-base" xr:uid="{B6928406-3872-41CA-AAE3-106A19E79B41}"/>
    <hyperlink ref="CT391" r:id="rId1242" display="https://www.coingecko.com/pt/moedas/degen-base" xr:uid="{DB7F0BDF-C192-4FDE-B499-55C019EBE673}"/>
    <hyperlink ref="CT392" r:id="rId1243" display="https://www.coingecko.com/pt/moedas/degen-base" xr:uid="{E66DC05C-7D9C-40B1-BD98-0A47F42A56CE}"/>
    <hyperlink ref="CT393" r:id="rId1244" display="https://www.coingecko.com/pt/moedas/kaspa" xr:uid="{0F303A45-DA6D-4FC4-961A-476C3C41C8FF}"/>
    <hyperlink ref="CT394" r:id="rId1245" display="https://www.coingecko.com/pt/moedas/kaspa" xr:uid="{C8F0C865-7C67-4988-B3C4-582098E91C2F}"/>
    <hyperlink ref="CT395" r:id="rId1246" display="https://www.coingecko.com/pt/moedas/kaspa" xr:uid="{D544D505-15DF-4E5F-A9FA-C30D8480FDA7}"/>
    <hyperlink ref="CT396" r:id="rId1247" display="https://www.coingecko.com/pt/moedas/pepe" xr:uid="{4D0DA273-069F-420A-9E76-0654A69023C8}"/>
    <hyperlink ref="CT397" r:id="rId1248" display="https://www.coingecko.com/pt/moedas/pepe" xr:uid="{4C8EB1B2-0A9C-4D63-98D3-AFEAE0B1F46B}"/>
    <hyperlink ref="CT398" r:id="rId1249" display="https://www.coingecko.com/pt/moedas/pepe" xr:uid="{C7462A01-1476-4ED8-BECD-B03B72DDAEB9}"/>
    <hyperlink ref="CT399" r:id="rId1250" display="https://www.coingecko.com/pt/moedas/pendle" xr:uid="{F654080E-74CC-451B-99E9-D6FFC1E7C2AA}"/>
    <hyperlink ref="CT400" r:id="rId1251" display="https://www.coingecko.com/pt/moedas/pendle" xr:uid="{69400B00-C0F2-4656-B111-4A149124CC4D}"/>
    <hyperlink ref="CT401" r:id="rId1252" display="https://www.coingecko.com/pt/moedas/pendle" xr:uid="{8A0643A3-80A8-415A-BFD3-7C16D4BF0A18}"/>
    <hyperlink ref="CT410" r:id="rId1253" display="https://www.coingecko.com/pt" xr:uid="{2EF853CD-9E18-41A8-8A82-C815811DCB8C}"/>
    <hyperlink ref="CT413" r:id="rId1254" display="https://www.coingecko.com/pt/news" xr:uid="{6E16BB97-92E2-4EA9-8AF6-0E86C431CE97}"/>
    <hyperlink ref="CT414" r:id="rId1255" display="https://www.coingecko.com/pt/public-companies-bitcoin" xr:uid="{E8D85EC7-8552-4CA4-A52D-A9A8B9DBFA6E}"/>
    <hyperlink ref="CT415" r:id="rId1256" display="https://www.coingecko.com/pt/cryptocurrency-heatmap" xr:uid="{628B535C-B982-4CAA-9E09-5B87BBAF3CFE}"/>
    <hyperlink ref="CT416" r:id="rId1257" display="https://www.coingecko.com/pt/api" xr:uid="{B1DE1FD3-6919-4749-87B7-4EB572396B23}"/>
    <hyperlink ref="CT423" r:id="rId1258" display="https://www.coingecko.com/request" xr:uid="{4F8FDD6B-4AD3-4F94-BB52-C9B130E78690}"/>
    <hyperlink ref="CT424" r:id="rId1259" display="https://gcko.io/coingeckoads" xr:uid="{D9AE6303-40F0-4B6A-8594-60956DDC6412}"/>
    <hyperlink ref="CT425" r:id="rId1260" display="https://www.coingecko.com/pt/candy/partners-getting-started" xr:uid="{81869406-07D7-4145-98A8-B56F13312B6F}"/>
    <hyperlink ref="CT426" r:id="rId1261" display="https://support.coingecko.com/" xr:uid="{0B2B96DF-3E7D-4C19-86B1-046657681DE9}"/>
    <hyperlink ref="CT427" r:id="rId1262" display="https://hackenproof.com/coingecko/coingecko" xr:uid="{750FE2E6-B9F8-46D5-8B19-052B3BB1B656}"/>
    <hyperlink ref="CT428" r:id="rId1263" display="https://www.coingecko.com/pt/faq" xr:uid="{E47DBF0B-AB15-4713-B79D-F397C8FE0D06}"/>
    <hyperlink ref="CT430" r:id="rId1264" display="https://www.coingecko.com/pt/sobre" xr:uid="{0F17F440-1228-435F-88AB-B600B3134AA3}"/>
    <hyperlink ref="CT431" r:id="rId1265" display="https://careers.coingecko.com/" xr:uid="{5860F9AA-D6BF-4258-8A6E-330E5547F60C}"/>
    <hyperlink ref="CT432" r:id="rId1266" display="https://careers.coingecko.com/" xr:uid="{0953BB92-C081-4B5B-8137-E1C6353454CA}"/>
    <hyperlink ref="CT433" r:id="rId1267" display="https://blog.coingecko.com/" xr:uid="{90DEF5A9-83D4-4496-8432-8125A9C9D1CC}"/>
    <hyperlink ref="CT434" r:id="rId1268" display="https://www.coingecko.com/pt/branding" xr:uid="{9279662F-2688-48F5-A5ED-A554594CE0F1}"/>
    <hyperlink ref="CT435" r:id="rId1269" display="https://www.coingecko.com/pt/metodologia" xr:uid="{BDA68862-32DF-4403-858E-7A57128FCC8B}"/>
    <hyperlink ref="CT436" r:id="rId1270" display="https://www.coingecko.com/pt/isen%C3%A7%C3%A3o_de_responsabilidade" xr:uid="{1A09BA47-34F3-40DB-B686-A6510E7810A9}"/>
    <hyperlink ref="CT437" r:id="rId1271" display="https://www.coingecko.com/pt/termos" xr:uid="{D606F493-9D0D-4C8E-A112-046268C07A5C}"/>
    <hyperlink ref="CT438" r:id="rId1272" display="https://www.coingecko.com/pt/privacidade" xr:uid="{43659DAF-1E88-4BF8-A930-B3FEA0349771}"/>
    <hyperlink ref="CT439" r:id="rId1273" display="https://www.coingecko.com/pt/ad_policy" xr:uid="{E24D1D60-352F-44E7-8EBE-37BD2F023654}"/>
    <hyperlink ref="CT442" r:id="rId1274" display="https://twitter.com/coingecko" xr:uid="{862C1197-E9FD-4BBA-99C3-242B0F82DF4E}"/>
    <hyperlink ref="CT443" r:id="rId1275" display="https://t.me/coingecko" xr:uid="{C0284D50-6C13-41BF-A66B-09998188C180}"/>
    <hyperlink ref="CT444" r:id="rId1276" display="https://t.me/coingeckonews" xr:uid="{0C6A7EF8-EEB9-4FD4-915C-0175E02ABC56}"/>
    <hyperlink ref="CT445" r:id="rId1277" display="https://www.instagram.com/coingecko/" xr:uid="{0277F8ED-DBF4-4EA8-8465-FA274AC3FBB8}"/>
    <hyperlink ref="CT446" r:id="rId1278" display="https://www.reddit.com/r/coingecko/" xr:uid="{C8B6AB47-3144-4F0C-B85B-DED563ABCB2F}"/>
    <hyperlink ref="CT447" r:id="rId1279" display="https://discord.gg/EhrkaCH" xr:uid="{5C280A1B-0988-4517-BD51-59B5DAFACCB8}"/>
    <hyperlink ref="CT448" r:id="rId1280" display="https://www.facebook.com/coingecko" xr:uid="{9B316781-D3B2-4000-B63E-38EC1DB73FEA}"/>
    <hyperlink ref="CT449" r:id="rId1281" display="https://www.youtube.com/channel/UC-OTgwOAI7KmP0eDAtqN3Ow?sub_confirmation=1" xr:uid="{ED3F1684-50E7-4B3E-A444-9F86CF3BCA7B}"/>
    <hyperlink ref="CT450" r:id="rId1282" display="https://www.tiktok.com/@coingeckotv" xr:uid="{0D8CE831-D03F-4691-8365-5E9AE3E7D702}"/>
    <hyperlink ref="CT456" r:id="rId1283" display="https://www.coingecko.com/pt/isen%C3%A7%C3%A3o_de_responsabilidade" xr:uid="{BBEA152C-0E02-47AE-9BB7-B6268A2E0575}"/>
    <hyperlink ref="CT706" r:id="rId1284" display="https://coingecko.app.link/lTInCXLGz4" xr:uid="{D613E48A-F157-4B4E-B4A5-FFABFBE4CA06}"/>
    <hyperlink ref="DG2" r:id="rId1285" display="https://www.coingecko.com/pt" xr:uid="{1445A48D-829D-420E-A3BB-DECF965ACAD1}"/>
    <hyperlink ref="DG3" r:id="rId1286" display="https://www.coingecko.com/pt/c%C3%A2mbios" xr:uid="{65358B6E-ED34-41AE-A512-6F0A7C31320E}"/>
    <hyperlink ref="DG4" r:id="rId1287" display="https://www.coingecko.com/pt/global-charts" xr:uid="{63DB8F53-79EF-45CF-BBC2-5E4338E4349C}"/>
    <hyperlink ref="DG5" r:id="rId1288" display="https://www.coingecko.com/pt/global-charts" xr:uid="{5C1048CB-4038-49D9-B2D7-A59E9FD86C72}"/>
    <hyperlink ref="DG25" r:id="rId1289" display="https://www.coingecko.com/pt/premium/pricing" xr:uid="{4F7B2142-5197-457D-A2A2-99C205873D2F}"/>
    <hyperlink ref="DG28:DG29" r:id="rId1290" display="https://coingecko.app.link/lTInCXLGz4" xr:uid="{B62875C0-C1D2-44EB-960F-708B8CB8A8AF}"/>
    <hyperlink ref="DG48" r:id="rId1291" display="https://www.geckoterminal.com/?utm_source=coingecko&amp;utm_medium=referral&amp;utm_campaign=desktop_navigation" xr:uid="{5C2A1457-3C09-453F-85EF-416F0809BE65}"/>
    <hyperlink ref="DG49" r:id="rId1292" display="https://www.coingecko.com/pt/candy" xr:uid="{AE07C999-CB30-4D7D-B762-67A4570D0FC9}"/>
    <hyperlink ref="DG50" r:id="rId1293" display="https://www.coingecko.com/pt/candy" xr:uid="{B717F4DC-FC31-4925-9BFB-C33EA2E9F437}"/>
    <hyperlink ref="DG51" r:id="rId1294" display="https://www.coingecko.com/pt/candy" xr:uid="{A656B4CE-B8EB-4EC8-A686-0D97A1A42B5D}"/>
    <hyperlink ref="DG52" r:id="rId1295" display="https://www.coingecko.com/pt/portfolio" xr:uid="{E0505F32-7983-45D6-B946-88EAF313B677}"/>
    <hyperlink ref="DG70" r:id="rId1296" display="https://gcko.io/search-survey" xr:uid="{79FF66CA-1FAF-4368-A0AD-2FE33831A582}"/>
    <hyperlink ref="DG73" r:id="rId1297" display="https://www.coingecko.com/pt" xr:uid="{90E972D3-0191-416A-A929-DCB821289F98}"/>
    <hyperlink ref="DG92" r:id="rId1298" display="https://www.coingecko.com/pt/metodologia" xr:uid="{C9EC7228-E304-4276-9D4F-72A19FE89996}"/>
    <hyperlink ref="DG101" r:id="rId1299" display="https://www.geckoterminal.com/optimism/tokens/0x4200000000000000000000000000000000000042?utm_source=coingecko&amp;utm_medium=referral&amp;utm_campaign=livechart-btn" xr:uid="{31F825CE-5204-4B63-999E-416C5978057E}"/>
    <hyperlink ref="DG106" r:id="rId1300" display="https://www.coingecko.com/pt/api" xr:uid="{7A70F931-41DC-458F-A24D-573DDB9FDB82}"/>
    <hyperlink ref="DG122" r:id="rId1301" display="https://www.coingecko.com/pt/metodologia" xr:uid="{58B5A347-1F86-4EB3-BA46-32C74013F35B}"/>
    <hyperlink ref="DG128" r:id="rId1302" display="https://www.coingecko.com/learn/what-is-fully-diluted-valuation-fdv-in-crypto" xr:uid="{EC9DE8DC-A952-4418-9939-B5C96DBCBB3F}"/>
    <hyperlink ref="DG134" r:id="rId1303" display="https://www.coingecko.com/learn/what-is-fully-diluted-valuation-fdv-in-crypto" xr:uid="{A6B014F7-C3A9-479C-81E5-D3FA76D1A2B0}"/>
    <hyperlink ref="DG138" r:id="rId1304" display="https://www.coingecko.com/pt/metodologia" xr:uid="{F84A0EEB-C45F-4FDF-ADBA-3011FC425110}"/>
    <hyperlink ref="DG142" r:id="rId1305" display="https://www.coingecko.com/pt/metodologia" xr:uid="{063D9A06-964A-4E91-9925-A9566681F3D2}"/>
    <hyperlink ref="DH140" r:id="rId1306" xr:uid="{BB389C01-A8F4-47B5-8F8B-E26F7404123D}"/>
    <hyperlink ref="DG158" r:id="rId1307" display="https://forms.gle/ULNnnCGCEAimK9cJ7" xr:uid="{1924756F-9CAA-4AC0-A4EE-A342ED78E37B}"/>
    <hyperlink ref="DG162" r:id="rId1308" display="https://app.optimism.io/governance" xr:uid="{3B4A1714-6104-4607-B86C-8629E1F8F51C}"/>
    <hyperlink ref="DG163" r:id="rId1309" display="https://optimism.mirror.xyz/" xr:uid="{8114B652-564F-427F-8E7C-4A1DCBCA819F}"/>
    <hyperlink ref="DG165" r:id="rId1310" display="https://optimistic.etherscan.io/token/0x4200000000000000000000000000000000000042" xr:uid="{E0BA1A5F-FB16-45AA-BEE0-E509F93E1A9A}"/>
    <hyperlink ref="DG168" r:id="rId1311" display="https://gcko.io/safepal" xr:uid="{372FC240-DDE9-450F-B119-D62A0A922311}"/>
    <hyperlink ref="DG169" r:id="rId1312" display="https://gemwallet.com/" xr:uid="{A78C271C-C002-4303-9C07-BA504808D91C}"/>
    <hyperlink ref="DG171" r:id="rId1313" display="https://twitter.com/Optimism" xr:uid="{2CB2A9D1-7864-42AA-810B-F5B74340BCBB}"/>
    <hyperlink ref="DG172" r:id="rId1314" location="/opcollective.eth" display="https://snapshot.org/ - /opcollective.eth" xr:uid="{06AC6308-239C-4F2C-AC87-EE6C51185C26}"/>
    <hyperlink ref="DG173" r:id="rId1315" display="https://discord-gateway.optimism.io/" xr:uid="{7F6CBA54-EEBD-413E-881F-247D1CBE5E91}"/>
    <hyperlink ref="DG175" r:id="rId1316" display="https://twitter.com/search?q=$OP" xr:uid="{C81A3B97-ED7C-4666-9199-A98AB5B4F5B8}"/>
    <hyperlink ref="DG179" r:id="rId1317" display="https://www.coingecko.com/pt/categories/optimism-ecosystem" xr:uid="{C04CBEF0-50EA-47A9-B6E5-658C6A7991A0}"/>
    <hyperlink ref="DG181" r:id="rId1318" display="https://www.coingecko.com/pt/categories/layer-2" xr:uid="{57830C14-8002-4DEB-8E69-DA80B61B7FB8}"/>
    <hyperlink ref="DG183" r:id="rId1319" display="https://www.coingecko.com/pt/categories/paradigm-portfolio" xr:uid="{0F82C8F5-3762-4525-A5A7-53F0C9EEABB4}"/>
    <hyperlink ref="DH238" r:id="rId1320" display="https://www.coingecko.com/pt/c%C3%A2mbios/gate-io" xr:uid="{6764FFA4-B37A-47B3-A1BD-494C8EE41F7C}"/>
    <hyperlink ref="DH239" r:id="rId1321" display="https://www.coingecko.com/pt/c%C3%A2mbios/gate-io" xr:uid="{63EDAAD0-D35A-4544-8BB4-95D9D443FC04}"/>
    <hyperlink ref="DJ238" r:id="rId1322" display="https://gate.io/trade/OP_USDT?ref=3018394" xr:uid="{DBD333C3-9BDE-45A8-BCE1-E5823EF72997}"/>
    <hyperlink ref="DH240" r:id="rId1323" display="https://www.coingecko.com/pt/c%C3%A2mbios/digifinex" xr:uid="{2B03DBAB-8654-4DB5-AAB5-96C11F1EA16B}"/>
    <hyperlink ref="DH241" r:id="rId1324" display="https://www.coingecko.com/pt/c%C3%A2mbios/digifinex" xr:uid="{1CB21FA2-511B-4240-8397-D1165DB2C115}"/>
    <hyperlink ref="DJ240" r:id="rId1325" display="https://www.digifinex.com/en-ww/trade/USDT/OP" xr:uid="{1176D9A5-DEB1-4F93-BAA6-641888B67195}"/>
    <hyperlink ref="DH242" r:id="rId1326" display="https://www.coingecko.com/pt/c%C3%A2mbios/mexc" xr:uid="{747EE5EF-34CD-4E58-9C6B-C6FFE887486D}"/>
    <hyperlink ref="DH243" r:id="rId1327" display="https://www.coingecko.com/pt/c%C3%A2mbios/mexc" xr:uid="{5A5E42FB-8038-4B15-BE81-E544F49A851A}"/>
    <hyperlink ref="DJ242" r:id="rId1328" display="https://www.mexc.com/exchange/OP_USDT?inviteCode=1498J" xr:uid="{DFE9055A-EE35-4DA9-B17A-F854955A1E2D}"/>
    <hyperlink ref="DH244" r:id="rId1329" display="https://www.coingecko.com/pt/c%C3%A2mbios/binance" xr:uid="{A0E07386-4CF8-4511-82D6-7728D977F1B8}"/>
    <hyperlink ref="DH245" r:id="rId1330" display="https://www.coingecko.com/pt/c%C3%A2mbios/binance" xr:uid="{88898281-EFD7-4985-9969-1BB7586B75F1}"/>
    <hyperlink ref="DJ244" r:id="rId1331" display="https://www.binance.com/en/trade/OP_USDT?ref=37754157" xr:uid="{7FA35BEB-7C13-4910-A9C2-1222601DED14}"/>
    <hyperlink ref="DH246" r:id="rId1332" display="https://www.coingecko.com/pt/c%C3%A2mbios/orangex" xr:uid="{330EC720-CFF4-4D87-86D4-10F06B60EB23}"/>
    <hyperlink ref="DH247" r:id="rId1333" display="https://www.coingecko.com/pt/c%C3%A2mbios/orangex" xr:uid="{E31FBDA2-AF07-4B9E-9685-874901863F2B}"/>
    <hyperlink ref="DJ246" r:id="rId1334" display="https://www.orangex.com/spot/OP-USDT-SPOT" xr:uid="{984E457E-4E64-464A-8C15-BC13E36736B7}"/>
    <hyperlink ref="DH248" r:id="rId1335" display="https://www.coingecko.com/pt/c%C3%A2mbios/bitvenus-spot" xr:uid="{3F2584A3-411D-4720-8CA5-698B044FE855}"/>
    <hyperlink ref="DH249" r:id="rId1336" display="https://www.coingecko.com/pt/c%C3%A2mbios/bitvenus-spot" xr:uid="{520D447A-8EF7-4D9C-B728-925D92338419}"/>
    <hyperlink ref="DJ248" r:id="rId1337" display="https://www.bitvenus.me/exchange/OP/USDT?register/vh2osI" xr:uid="{C19FE1F8-6EA7-4B15-8A85-D92768875384}"/>
    <hyperlink ref="DH250" r:id="rId1338" display="https://www.coingecko.com/pt/c%C3%A2mbios/okx" xr:uid="{3C58201A-964F-4971-BF5A-C691FCCEF93C}"/>
    <hyperlink ref="DH251" r:id="rId1339" display="https://www.coingecko.com/pt/c%C3%A2mbios/okx" xr:uid="{9B431F61-7755-4E7E-B7B9-DC55A711B25D}"/>
    <hyperlink ref="DJ250" r:id="rId1340" display="https://www.okx.com/trade-spot/op-usdt?channelid=1902090" xr:uid="{A2A61AE6-D940-4ECB-BE3A-9F769537A9AC}"/>
    <hyperlink ref="DH252" r:id="rId1341" display="https://www.coingecko.com/pt/c%C3%A2mbios/bitget" xr:uid="{6AB67601-4F42-48AF-A58E-45DB35A1CEF3}"/>
    <hyperlink ref="DH253" r:id="rId1342" display="https://www.coingecko.com/pt/c%C3%A2mbios/bitget" xr:uid="{BBB2D1D2-BC6E-4A8D-B021-B38E5F6D29C9}"/>
    <hyperlink ref="DJ252" r:id="rId1343" display="https://www.bitget.com/spot/OPUSDT?channelCode=42xn&amp;vipCode=sq59&amp;languageType=0" xr:uid="{02BEB6BC-D4CD-4766-BC4A-9E0714C56702}"/>
    <hyperlink ref="DH254" r:id="rId1344" display="https://www.coingecko.com/pt/c%C3%A2mbios/bingx" xr:uid="{0669802F-ADA7-434B-B6D3-C08BC58FB7E8}"/>
    <hyperlink ref="DH255" r:id="rId1345" display="https://www.coingecko.com/pt/c%C3%A2mbios/bingx" xr:uid="{23FDA690-DF86-42C2-9D5B-E8E6C632FDAE}"/>
    <hyperlink ref="DJ254" r:id="rId1346" display="https://bingx.com/en-us/spot/OPUSDT?ch=cgk_organic" xr:uid="{7BD961DC-FB9B-41F7-A429-687A15B0606B}"/>
    <hyperlink ref="DH256" r:id="rId1347" display="https://www.coingecko.com/pt/c%C3%A2mbios/bitrue" xr:uid="{A4AD5068-15D1-441F-894F-1D6AB20AEE86}"/>
    <hyperlink ref="DH257" r:id="rId1348" display="https://www.coingecko.com/pt/c%C3%A2mbios/bitrue" xr:uid="{DA412A47-1CCE-42CC-92E5-FCEF34AAC725}"/>
    <hyperlink ref="DJ256" r:id="rId1349" display="https://www.bitrue.com/trade/op_usdt?inviteCode=LLLHGE" xr:uid="{A15161B4-4816-4432-809B-15E6BE4754B0}"/>
    <hyperlink ref="DG268" r:id="rId1350" display="https://www.criptofacil.com/token-da-optimism-dispara-apos-revelacao-entenda/" xr:uid="{4ABB0121-5321-41D8-85D6-557ED660AEBB}"/>
    <hyperlink ref="DG269" r:id="rId1351" display="https://www.criptofacil.com/token-da-optimism-dispara-apos-revelacao-entenda/" xr:uid="{B91D08B8-CF6D-4172-A6D7-D4BF0DDE6F38}"/>
    <hyperlink ref="DG270" r:id="rId1352" display="https://www.criptofacil.com/token-da-optimism-dispara-apos-revelacao-entenda/" xr:uid="{1AB860BF-0769-49BF-B1B2-991F1234697F}"/>
    <hyperlink ref="DG271" r:id="rId1353" display="https://www.criptofacil.com/token-da-optimism-dispara-apos-revelacao-entenda/" xr:uid="{AB055357-E9BC-420D-85E1-CC3D1B4CCF5B}"/>
    <hyperlink ref="DG272:DG273" r:id="rId1354" display="https://br.beincrypto.com/dogecoin-pepe-optimism-e-mais-5-criptomoedas-para-ficar-de-olho-hoje/" xr:uid="{1AE5C1CF-1EF8-475B-BE41-256C3733C456}"/>
    <hyperlink ref="DG274" r:id="rId1355" display="https://br.beincrypto.com/dogecoin-pepe-optimism-e-mais-5-criptomoedas-para-ficar-de-olho-hoje/" xr:uid="{00CE91B8-EA04-4100-94DF-FD6B6452A648}"/>
    <hyperlink ref="DG275" r:id="rId1356" display="https://br.beincrypto.com/dogecoin-pepe-optimism-e-mais-5-criptomoedas-para-ficar-de-olho-hoje/" xr:uid="{9E52601F-5DF4-4CDF-AC06-40B169E98AA5}"/>
    <hyperlink ref="DG276:DG277" r:id="rId1357" display="https://br.beincrypto.com/principais-noticias-criptograficas-desta-semana/" xr:uid="{458512CE-EB6B-4DF1-BABC-999A0C72692B}"/>
    <hyperlink ref="DG278" r:id="rId1358" display="https://br.beincrypto.com/principais-noticias-criptograficas-desta-semana/" xr:uid="{91495D52-3226-4DCE-9FAF-87E844A15F26}"/>
    <hyperlink ref="DG279" r:id="rId1359" display="https://br.beincrypto.com/principais-noticias-criptograficas-desta-semana/" xr:uid="{D64A78D9-A401-4AAA-B8CA-E4134A1A48C2}"/>
    <hyperlink ref="DG280:DG281" r:id="rId1360" display="https://br.beincrypto.com/altcoins-formaram-fundo-e-estao-prontas-para-bull-run/" xr:uid="{1E3420DF-0981-4CB2-BFED-23FCB34B6722}"/>
    <hyperlink ref="DG282" r:id="rId1361" display="https://br.beincrypto.com/altcoins-formaram-fundo-e-estao-prontas-para-bull-run/" xr:uid="{3AF72367-62E8-419E-8E22-862FCA124CEF}"/>
    <hyperlink ref="DG283" r:id="rId1362" display="https://br.beincrypto.com/altcoins-formaram-fundo-e-estao-prontas-para-bull-run/" xr:uid="{F2F24A84-03D2-404A-849E-F90A315C6849}"/>
    <hyperlink ref="DG288" r:id="rId1363" display="https://www.coingecko.com/pt/moedas/optimism/usd" xr:uid="{9AC6DCD0-F800-4997-B353-BEE70830B2BD}"/>
    <hyperlink ref="DG289" r:id="rId1364" display="https://www.coingecko.com/pt/moedas/optimism/usd" xr:uid="{095E94C9-D180-4CD6-A16A-DE91BDEBF275}"/>
    <hyperlink ref="DG290" r:id="rId1365" display="https://www.coingecko.com/pt/moedas/optimism/eur" xr:uid="{718F7B59-F44C-4434-BCE0-647571F1520F}"/>
    <hyperlink ref="DG291" r:id="rId1366" display="https://www.coingecko.com/pt/moedas/optimism/eur" xr:uid="{EBD12C8D-1740-457C-8B7B-56F699E08B1F}"/>
    <hyperlink ref="DG292" r:id="rId1367" display="https://www.coingecko.com/pt/moedas/optimism/brl" xr:uid="{00E995F8-0B39-41E2-B41F-47095004827F}"/>
    <hyperlink ref="DG293" r:id="rId1368" display="https://www.coingecko.com/pt/moedas/optimism/brl" xr:uid="{502C64EF-8CD3-4EA0-AA23-9282943007D9}"/>
    <hyperlink ref="DG297" r:id="rId1369" display="https://www.coingecko.com/pt/moedas/uniswap" xr:uid="{C33103ED-D747-4437-AD3C-CE6D2945CB6C}"/>
    <hyperlink ref="DG298" r:id="rId1370" display="https://www.coingecko.com/pt/moedas/uniswap" xr:uid="{08BF54C3-19EA-437C-9C7E-2A2D87C00776}"/>
    <hyperlink ref="DG299" r:id="rId1371" display="https://www.coingecko.com/pt/moedas/uniswap" xr:uid="{1545190A-F789-4460-B70E-27331E6C4C40}"/>
    <hyperlink ref="DG300" r:id="rId1372" display="https://www.coingecko.com/pt/moedas/cosmos-hub" xr:uid="{3145D146-3AF3-4A9C-9416-BC09109D6B41}"/>
    <hyperlink ref="DG301" r:id="rId1373" display="https://www.coingecko.com/pt/moedas/cosmos-hub" xr:uid="{6EEA0AAE-95B3-4259-A1F9-A6316D1F4EDA}"/>
    <hyperlink ref="DG302" r:id="rId1374" display="https://www.coingecko.com/pt/moedas/cosmos-hub" xr:uid="{35101317-377A-4E29-AC83-974ABC1DAADE}"/>
    <hyperlink ref="DG303" r:id="rId1375" display="https://www.coingecko.com/pt/moedas/maker" xr:uid="{B438322D-B30B-4134-B53C-E476FE76F603}"/>
    <hyperlink ref="DG304" r:id="rId1376" display="https://www.coingecko.com/pt/moedas/maker" xr:uid="{B7933EE0-8972-47EC-80B7-11F82154A1D7}"/>
    <hyperlink ref="DG305" r:id="rId1377" display="https://www.coingecko.com/pt/moedas/maker" xr:uid="{C17E1564-06F4-4D44-B093-7A5453EFC16E}"/>
    <hyperlink ref="DG306" r:id="rId1378" display="https://www.coingecko.com/pt/moedas/lido-dao" xr:uid="{C7DCAD50-8C72-4694-B562-7C09A57F9053}"/>
    <hyperlink ref="DG307" r:id="rId1379" display="https://www.coingecko.com/pt/moedas/lido-dao" xr:uid="{C1DDE2A5-5246-4DD9-B189-F79562C63E70}"/>
    <hyperlink ref="DG308" r:id="rId1380" display="https://www.coingecko.com/pt/moedas/lido-dao" xr:uid="{D89E0457-43B0-41F9-83BE-4509E4145110}"/>
    <hyperlink ref="DG309" r:id="rId1381" display="https://www.coingecko.com/pt/moedas/ribbon-finance" xr:uid="{44E2E7C6-2CD7-46E8-BC1F-DD1E94B3C6A1}"/>
    <hyperlink ref="DG310" r:id="rId1382" display="https://www.coingecko.com/pt/moedas/ribbon-finance" xr:uid="{0F5D97BC-588B-4127-B7A3-E5B3A1B6C0BE}"/>
    <hyperlink ref="DG311" r:id="rId1383" display="https://www.coingecko.com/pt/moedas/ribbon-finance" xr:uid="{0B0F2E5E-2A44-42AB-A2FF-E3C2A25B5890}"/>
    <hyperlink ref="DG315" r:id="rId1384" display="https://www.coingecko.com/pt/moedas/solana" xr:uid="{67D7A4E4-182A-47E4-984E-D932E19BB74F}"/>
    <hyperlink ref="DG316" r:id="rId1385" display="https://www.coingecko.com/pt/moedas/solana" xr:uid="{D899C619-0149-4AEA-8586-036CDFD483B6}"/>
    <hyperlink ref="DG317" r:id="rId1386" display="https://www.coingecko.com/pt/moedas/solana" xr:uid="{01A6C32B-FE16-407C-B080-76322B2D55A1}"/>
    <hyperlink ref="DG318" r:id="rId1387" display="https://www.coingecko.com/pt/moedas/dione" xr:uid="{7C84C87D-531F-42BB-9B56-17A44DAE78A0}"/>
    <hyperlink ref="DG319" r:id="rId1388" display="https://www.coingecko.com/pt/moedas/dione" xr:uid="{48F599A0-093F-4F5C-9A52-9C21EB2AB478}"/>
    <hyperlink ref="DG320" r:id="rId1389" display="https://www.coingecko.com/pt/moedas/dione" xr:uid="{947A4A29-4203-46CB-8949-1CF75A37BB29}"/>
    <hyperlink ref="DG321" r:id="rId1390" display="https://www.coingecko.com/pt/moedas/bitcoin" xr:uid="{52D921C5-504F-44C0-8CA2-64A7D1D283C3}"/>
    <hyperlink ref="DG322" r:id="rId1391" display="https://www.coingecko.com/pt/moedas/bitcoin" xr:uid="{67D0D687-3385-4822-89DE-DA8F34BC073C}"/>
    <hyperlink ref="DG323" r:id="rId1392" display="https://www.coingecko.com/pt/moedas/bitcoin" xr:uid="{9011C6F7-74AC-484E-9312-299C5408BD8F}"/>
    <hyperlink ref="DG324" r:id="rId1393" display="https://www.coingecko.com/pt/moedas/pixels" xr:uid="{2BFDDCDA-FDB9-4685-AC0E-D511E4FBFA11}"/>
    <hyperlink ref="DG325" r:id="rId1394" display="https://www.coingecko.com/pt/moedas/pixels" xr:uid="{C3A8CE3E-FFA3-490B-BD82-A92C0F747BC0}"/>
    <hyperlink ref="DG326" r:id="rId1395" display="https://www.coingecko.com/pt/moedas/pixels" xr:uid="{2C418290-2B7C-4CAA-83B5-C65643B4CC16}"/>
    <hyperlink ref="DG327" r:id="rId1396" display="https://www.coingecko.com/pt/moedas/pepe" xr:uid="{B4ABD320-439B-409A-828A-2567B74C37D3}"/>
    <hyperlink ref="DG328" r:id="rId1397" display="https://www.coingecko.com/pt/moedas/pepe" xr:uid="{F61AE5DA-9DA8-4592-9CCC-D01B2E4B7421}"/>
    <hyperlink ref="DG329" r:id="rId1398" display="https://www.coingecko.com/pt/moedas/pepe" xr:uid="{1CA43901-C393-4773-98BE-CB91B8F3839F}"/>
    <hyperlink ref="DG330" r:id="rId1399" display="https://www.coingecko.com/pt/moedas/ethereum" xr:uid="{EC47CB68-6819-4C7E-91C7-668637FB1DDD}"/>
    <hyperlink ref="DG331" r:id="rId1400" display="https://www.coingecko.com/pt/moedas/ethereum" xr:uid="{373E3A37-8F0E-4D4A-8763-FE583D5D1C0D}"/>
    <hyperlink ref="DG332" r:id="rId1401" display="https://www.coingecko.com/pt/moedas/ethereum" xr:uid="{F20AF3FC-096C-4DE3-A912-D86C4E7980DF}"/>
    <hyperlink ref="DG333" r:id="rId1402" display="https://www.coingecko.com/pt/moedas/degen-base" xr:uid="{B9430466-E689-4115-BC99-12A73A358397}"/>
    <hyperlink ref="DG334" r:id="rId1403" display="https://www.coingecko.com/pt/moedas/degen-base" xr:uid="{AB969AE5-966A-474D-84F1-146BABCCDF25}"/>
    <hyperlink ref="DG335" r:id="rId1404" display="https://www.coingecko.com/pt/moedas/degen-base" xr:uid="{B3E7651C-0CCB-4FE7-ADFB-CF5F8932A244}"/>
    <hyperlink ref="DG336" r:id="rId1405" display="https://www.coingecko.com/pt/moedas/aerodrome-finance" xr:uid="{8EBC57DB-EFAC-4843-A05F-4FF4A0DE03EC}"/>
    <hyperlink ref="DG337" r:id="rId1406" display="https://www.coingecko.com/pt/moedas/aerodrome-finance" xr:uid="{F021DDD8-5BFE-4408-9C9B-81CBA79EE85B}"/>
    <hyperlink ref="DG338" r:id="rId1407" display="https://www.coingecko.com/pt/moedas/aerodrome-finance" xr:uid="{FC7B0EED-6DF7-4461-87B9-EE4C3865D7EB}"/>
    <hyperlink ref="DG339" r:id="rId1408" display="https://www.coingecko.com/pt/moedas/ronin" xr:uid="{B6F10759-D846-4ADB-8EFA-DFF2CE1BF607}"/>
    <hyperlink ref="DG340" r:id="rId1409" display="https://www.coingecko.com/pt/moedas/ronin" xr:uid="{B87A6800-C6F1-4894-9E03-F326AA0D2AAB}"/>
    <hyperlink ref="DG341" r:id="rId1410" display="https://www.coingecko.com/pt/moedas/ronin" xr:uid="{944A2224-0A2F-435A-BF0D-C3C01DB0A593}"/>
    <hyperlink ref="DG342" r:id="rId1411" display="https://www.coingecko.com/pt/moedas/wormhole" xr:uid="{A74F9364-AF3E-4E5E-B83A-0D539B6EE580}"/>
    <hyperlink ref="DG343" r:id="rId1412" display="https://www.coingecko.com/pt/moedas/wormhole" xr:uid="{FB3EBA5E-4CC6-4F40-8F94-A83576A8DDF4}"/>
    <hyperlink ref="DG344" r:id="rId1413" display="https://www.coingecko.com/pt/moedas/wormhole" xr:uid="{2DF0C096-045E-4315-959B-40BC43BD839F}"/>
    <hyperlink ref="DG353" r:id="rId1414" display="https://www.coingecko.com/pt" xr:uid="{ED39D8EF-5F2C-474F-88FD-D4AF6C744A6B}"/>
    <hyperlink ref="DG356" r:id="rId1415" display="https://www.coingecko.com/pt/news" xr:uid="{36950A9F-606E-4F24-8904-6C6BE45E5E7B}"/>
    <hyperlink ref="DG357" r:id="rId1416" display="https://www.coingecko.com/pt/public-companies-bitcoin" xr:uid="{A05CEA5B-AC18-493E-99E6-7262B9B28271}"/>
    <hyperlink ref="DG358" r:id="rId1417" display="https://www.coingecko.com/pt/cryptocurrency-heatmap" xr:uid="{6BC0B319-C3DA-4362-80BE-6287B0EA4A60}"/>
    <hyperlink ref="DG359" r:id="rId1418" display="https://www.coingecko.com/pt/api" xr:uid="{AC38A95E-0E0C-4727-ADA7-02C0BBA5F239}"/>
    <hyperlink ref="DG366" r:id="rId1419" display="https://www.coingecko.com/request" xr:uid="{1A523134-E4D6-4E97-AF98-4E9BFE9080AA}"/>
    <hyperlink ref="DG367" r:id="rId1420" display="https://gcko.io/coingeckoads" xr:uid="{05586D28-1802-47C1-8B41-DD8043B49099}"/>
    <hyperlink ref="DG368" r:id="rId1421" display="https://www.coingecko.com/pt/candy/partners-getting-started" xr:uid="{49AD06E7-ED92-4845-A0F2-700245C0E109}"/>
    <hyperlink ref="DG369" r:id="rId1422" display="https://support.coingecko.com/" xr:uid="{14EC8F32-5A8F-4D07-8BCF-743617EDB574}"/>
    <hyperlink ref="DG370" r:id="rId1423" display="https://hackenproof.com/coingecko/coingecko" xr:uid="{0B9E765D-406C-4FF3-9354-9940E987FC18}"/>
    <hyperlink ref="DG371" r:id="rId1424" display="https://www.coingecko.com/pt/faq" xr:uid="{66B9EA00-B50C-4430-AB9B-DF533EE13F8B}"/>
    <hyperlink ref="DG373" r:id="rId1425" display="https://www.coingecko.com/pt/sobre" xr:uid="{F5E75CC9-6D5F-42CA-BC72-D426BA3CCCB8}"/>
    <hyperlink ref="DG374" r:id="rId1426" display="https://careers.coingecko.com/" xr:uid="{8654AC7A-80ED-4270-871F-7E75E1BD3712}"/>
    <hyperlink ref="DG375" r:id="rId1427" display="https://careers.coingecko.com/" xr:uid="{A1DCE4A9-C994-4320-A606-640902A7B85F}"/>
    <hyperlink ref="DG376" r:id="rId1428" display="https://blog.coingecko.com/" xr:uid="{BCD2C2D6-F774-4CF0-BF49-895314A36429}"/>
    <hyperlink ref="DG377" r:id="rId1429" display="https://www.coingecko.com/pt/branding" xr:uid="{119CD6FE-A7AD-4C29-97C7-C033314EE075}"/>
    <hyperlink ref="DG378" r:id="rId1430" display="https://www.coingecko.com/pt/metodologia" xr:uid="{DAC31AB5-B335-4556-A78E-9ABECD043BDD}"/>
    <hyperlink ref="DG379" r:id="rId1431" display="https://www.coingecko.com/pt/isen%C3%A7%C3%A3o_de_responsabilidade" xr:uid="{5FA9C073-7DD4-454F-A1EC-9065FA93EC57}"/>
    <hyperlink ref="DG380" r:id="rId1432" display="https://www.coingecko.com/pt/termos" xr:uid="{91A9CFDE-7B1F-4FD1-AC0C-76D9EC61F874}"/>
    <hyperlink ref="DG381" r:id="rId1433" display="https://www.coingecko.com/pt/privacidade" xr:uid="{4CC2EAFE-FA36-4C4D-BCEF-24B7EEA1E60F}"/>
    <hyperlink ref="DG382" r:id="rId1434" display="https://www.coingecko.com/pt/ad_policy" xr:uid="{CD89C77B-04DA-4CBD-8657-9D23E7F42659}"/>
    <hyperlink ref="DG385" r:id="rId1435" display="https://twitter.com/coingecko" xr:uid="{F23240F1-B1FF-4899-A3E6-BAA16FA71CDF}"/>
    <hyperlink ref="DG386" r:id="rId1436" display="https://t.me/coingecko" xr:uid="{3B4992CD-E251-435D-BE88-FBEC41CCDB2E}"/>
    <hyperlink ref="DG387" r:id="rId1437" display="https://t.me/coingeckonews" xr:uid="{8D15FEB4-946C-44B3-8B38-153B518251D5}"/>
    <hyperlink ref="DG388" r:id="rId1438" display="https://www.instagram.com/coingecko/" xr:uid="{7A952DBC-8EED-4B4C-BA1F-832AF022FFE9}"/>
    <hyperlink ref="DG389" r:id="rId1439" display="https://www.reddit.com/r/coingecko/" xr:uid="{9F4FA601-6480-47ED-87C9-4205C02F4E3E}"/>
    <hyperlink ref="DG390" r:id="rId1440" display="https://discord.gg/EhrkaCH" xr:uid="{EBA49711-E744-4D1A-972E-2FB8F81DA193}"/>
    <hyperlink ref="DG391" r:id="rId1441" display="https://www.facebook.com/coingecko" xr:uid="{42144B4B-D9DA-439F-AB3B-F0B3EBE73740}"/>
    <hyperlink ref="DG392" r:id="rId1442" display="https://www.youtube.com/channel/UC-OTgwOAI7KmP0eDAtqN3Ow?sub_confirmation=1" xr:uid="{8249E06D-FD48-4612-856D-388E601D1DD5}"/>
    <hyperlink ref="DG393" r:id="rId1443" display="https://www.tiktok.com/@coingeckotv" xr:uid="{B2938315-5565-41BC-9C1C-3EE6D8666419}"/>
    <hyperlink ref="DG399" r:id="rId1444" display="https://www.coingecko.com/pt/isen%C3%A7%C3%A3o_de_responsabilidade" xr:uid="{AA2F0B90-B34B-4329-BF4B-54CBF1750C27}"/>
    <hyperlink ref="DG649" r:id="rId1445" display="https://coingecko.app.link/lTInCXLGz4" xr:uid="{EEE1747B-3F8A-432D-956F-C7794FD29B35}"/>
    <hyperlink ref="DT2" r:id="rId1446" display="https://www.coingecko.com/pt" xr:uid="{7D4B586D-813E-405F-9050-910BBD5A8099}"/>
    <hyperlink ref="DT3" r:id="rId1447" display="https://www.coingecko.com/pt/c%C3%A2mbios" xr:uid="{2A462AD0-5C8D-4E06-A45B-D01CE942E29D}"/>
    <hyperlink ref="DT4" r:id="rId1448" display="https://www.coingecko.com/pt/global-charts" xr:uid="{1F9D0134-3C87-4C78-8B19-3023F9548AF9}"/>
    <hyperlink ref="DT5" r:id="rId1449" display="https://www.coingecko.com/pt/global-charts" xr:uid="{9052C216-5D95-4688-9A10-A250E7266D55}"/>
    <hyperlink ref="DT25" r:id="rId1450" display="https://www.coingecko.com/pt/premium/pricing" xr:uid="{BCABDE40-BC51-4925-A781-E021C86ACF58}"/>
    <hyperlink ref="DT28:DT29" r:id="rId1451" display="https://coingecko.app.link/lTInCXLGz4" xr:uid="{89825CDC-CAE3-48EA-9C52-8FEE2A92698F}"/>
    <hyperlink ref="DT48" r:id="rId1452" display="https://www.geckoterminal.com/?utm_source=coingecko&amp;utm_medium=referral&amp;utm_campaign=desktop_navigation" xr:uid="{69FB8062-D252-4346-83CF-A31BB3A865D3}"/>
    <hyperlink ref="DT49" r:id="rId1453" display="https://www.coingecko.com/pt/candy" xr:uid="{40DE02CE-A711-4B89-AAD3-820D8CF32BD6}"/>
    <hyperlink ref="DT50" r:id="rId1454" display="https://www.coingecko.com/pt/candy" xr:uid="{E4C1C23F-006E-4336-8475-C9A6693E4673}"/>
    <hyperlink ref="DT51" r:id="rId1455" display="https://www.coingecko.com/pt/candy" xr:uid="{0860FB38-C64C-45FD-BC92-5B45C970BDA2}"/>
    <hyperlink ref="DT52" r:id="rId1456" display="https://www.coingecko.com/pt/portfolio" xr:uid="{C1750652-AA08-4A22-9918-63A6B0884C85}"/>
    <hyperlink ref="DT70" r:id="rId1457" display="https://gcko.io/search-survey" xr:uid="{A91116C7-8720-42C1-8733-BCD988F2A17D}"/>
    <hyperlink ref="DT73" r:id="rId1458" display="https://www.coingecko.com/pt" xr:uid="{743E0E12-C74D-4525-AE7A-27D3C7ED3B38}"/>
    <hyperlink ref="DT92" r:id="rId1459" display="https://www.coingecko.com/pt/metodologia" xr:uid="{4F2186A8-1B40-4536-A4DD-2B5871242024}"/>
    <hyperlink ref="DT101" r:id="rId1460" display="https://www.geckoterminal.com/arbitrum/tokens/0x912ce59144191c1204e64559fe8253a0e49e6548?utm_source=coingecko&amp;utm_medium=referral&amp;utm_campaign=livechart-btn" xr:uid="{A43A9B00-AEB4-4EB8-AAC2-F21F7E5650A4}"/>
    <hyperlink ref="DT106" r:id="rId1461" display="https://www.coingecko.com/pt/api" xr:uid="{1F01C2B1-4AB2-4C35-AB65-F678E10085FF}"/>
    <hyperlink ref="DT122" r:id="rId1462" display="https://www.coingecko.com/pt/metodologia" xr:uid="{AD037015-144B-45F9-8DB8-6AB8166E3878}"/>
    <hyperlink ref="DT128" r:id="rId1463" display="https://www.coingecko.com/learn/what-is-fully-diluted-valuation-fdv-in-crypto" xr:uid="{A44B1B01-D8B9-4F0D-B6D4-54AC117DE85A}"/>
    <hyperlink ref="DT134" r:id="rId1464" display="https://www.coingecko.com/learn/what-is-fully-diluted-valuation-fdv-in-crypto" xr:uid="{FD06E842-2728-4D67-A002-3A1CFA6AFBAA}"/>
    <hyperlink ref="DT138" r:id="rId1465" display="https://www.coingecko.com/pt/metodologia" xr:uid="{BC050A2D-28DE-40CF-BCF4-07DDDF112CF4}"/>
    <hyperlink ref="DT142" r:id="rId1466" display="https://www.coingecko.com/pt/metodologia" xr:uid="{EA398443-AEE3-4556-A2DC-E916D4E6A2E9}"/>
    <hyperlink ref="DT158" r:id="rId1467" display="https://forms.gle/ULNnnCGCEAimK9cJ7" xr:uid="{9FEC9F9B-141D-4986-A3CB-F0B91AAA77E0}"/>
    <hyperlink ref="DT165" r:id="rId1468" display="https://arbitrum.io/" xr:uid="{00E7BB33-1163-4461-9D6B-E0B7DBF322C3}"/>
    <hyperlink ref="DT166" r:id="rId1469" display="http://arbitrum.foundation/" xr:uid="{84680E1D-0879-4D64-99C4-8F0C0C5571A1}"/>
    <hyperlink ref="DT168" r:id="rId1470" display="https://arbiscan.io/token/0x912ce59144191c1204e64559fe8253a0e49e6548" xr:uid="{8842A2FB-CEE0-48FF-A0B8-23AD151A18E8}"/>
    <hyperlink ref="DT171" r:id="rId1471" display="https://gemwallet.com/" xr:uid="{21F69A32-3582-459F-8F19-2AA5704D6189}"/>
    <hyperlink ref="DT173" r:id="rId1472" display="https://twitter.com/arbitrum" xr:uid="{00A8E27A-9BD0-47DA-8065-198619299A23}"/>
    <hyperlink ref="DT174" r:id="rId1473" display="https://t.me/arbitrum" xr:uid="{4003CA3A-50CF-4456-9DEE-939F9D73F206}"/>
    <hyperlink ref="DT175" r:id="rId1474" display="https://discord.com/invite/Arbitrum" xr:uid="{2FD613C5-229A-4981-BB44-57254AB49F82}"/>
    <hyperlink ref="DT177" r:id="rId1475" display="https://twitter.com/search?q=$ARB" xr:uid="{F12D732A-2B51-498C-8058-DC07A26010CA}"/>
    <hyperlink ref="DT181" r:id="rId1476" display="https://www.coingecko.com/pt/categories/ethereum-ecosystem" xr:uid="{4B02DF32-D675-4DDF-8A18-2DC48FEC6084}"/>
    <hyperlink ref="DT185" r:id="rId1477" display="https://www.coingecko.com/pt/categories/layer-2" xr:uid="{CDCFE04C-863C-4A3C-BB6B-06EBB345DC09}"/>
    <hyperlink ref="DU242" r:id="rId1478" display="https://www.coingecko.com/pt/c%C3%A2mbios/gate-io" xr:uid="{B2C29603-512B-4683-8F82-349659E87E9D}"/>
    <hyperlink ref="DU243" r:id="rId1479" display="https://www.coingecko.com/pt/c%C3%A2mbios/gate-io" xr:uid="{A4AAF15F-6F6A-4A9D-9D48-DCD233236F89}"/>
    <hyperlink ref="DW242" r:id="rId1480" display="https://gate.io/trade/ARB_USDT?ref=3018394" xr:uid="{DE95FC26-DCB2-4920-B5DD-EE173AE208D7}"/>
    <hyperlink ref="DU244" r:id="rId1481" display="https://www.coingecko.com/pt/c%C3%A2mbios/toobit" xr:uid="{D79D8AB5-5C32-4883-AFAB-38E29B3046A5}"/>
    <hyperlink ref="DU245" r:id="rId1482" display="https://www.coingecko.com/pt/c%C3%A2mbios/toobit" xr:uid="{925F64B4-1CE2-486B-89AC-6D734CF9AEBC}"/>
    <hyperlink ref="DW244" r:id="rId1483" display="https://www.toobit.com/en-US/spot/ARB_USDTregister?invite_code=ukqPOK" xr:uid="{7BB1CD70-9D19-4BE3-9EE6-348A47F1784C}"/>
    <hyperlink ref="DU246" r:id="rId1484" display="https://www.coingecko.com/pt/c%C3%A2mbios/binance" xr:uid="{A35AE21D-4CFA-4C1F-B1BD-199F3118AE28}"/>
    <hyperlink ref="DU247" r:id="rId1485" display="https://www.coingecko.com/pt/c%C3%A2mbios/binance" xr:uid="{E3FF891B-741D-4C4B-B8E7-74D9337CC31E}"/>
    <hyperlink ref="DW246" r:id="rId1486" display="https://www.binance.com/en/trade/ARB_USDT?ref=37754157" xr:uid="{22DC28DB-8331-4A1A-A33A-4D1C65050EEF}"/>
    <hyperlink ref="DU248" r:id="rId1487" display="https://www.coingecko.com/pt/c%C3%A2mbios/digifinex" xr:uid="{8B8474C7-F641-4E0D-9156-8E45E8B88E8A}"/>
    <hyperlink ref="DU249" r:id="rId1488" display="https://www.coingecko.com/pt/c%C3%A2mbios/digifinex" xr:uid="{4F883846-DAA9-492D-ADAB-40EBB5B20145}"/>
    <hyperlink ref="DW248" r:id="rId1489" display="https://www.digifinex.com/en-ww/trade/USDT/ARB" xr:uid="{86ACD1CD-0C96-43B4-BFD8-50C7D71F63AB}"/>
    <hyperlink ref="DU250" r:id="rId1490" display="https://www.coingecko.com/pt/c%C3%A2mbios/bitvenus-spot" xr:uid="{CF860FA9-13E5-455E-962F-CF9D10B1FDE4}"/>
    <hyperlink ref="DU251" r:id="rId1491" display="https://www.coingecko.com/pt/c%C3%A2mbios/bitvenus-spot" xr:uid="{782B50F8-9034-440C-A895-8A2D2C068433}"/>
    <hyperlink ref="DW250" r:id="rId1492" display="https://www.bitvenus.me/exchange/ARB/USDT?register/vh2osI" xr:uid="{8E6965CF-C0DE-4DE9-81E4-42318D51EB37}"/>
    <hyperlink ref="DU252" r:id="rId1493" display="https://www.coingecko.com/pt/c%C3%A2mbios/bitunix" xr:uid="{26B9D228-2487-4C24-B5ED-CEEFDCAD409E}"/>
    <hyperlink ref="DU253" r:id="rId1494" display="https://www.coingecko.com/pt/c%C3%A2mbios/bitunix" xr:uid="{AACCF03C-DCA7-46B5-8B21-7B459B4CA146}"/>
    <hyperlink ref="DW252" r:id="rId1495" display="https://www.bitunix.com/spot-trade?symbol=ARBUSDTregister?inviteCode=yq5pr7" xr:uid="{825DBB0A-71A5-467F-9D80-EED9E9592617}"/>
    <hyperlink ref="DU254" r:id="rId1496" display="https://www.coingecko.com/pt/c%C3%A2mbios/bitget" xr:uid="{73ABA13D-1565-458E-89D3-BEFB471CFCBB}"/>
    <hyperlink ref="DU255" r:id="rId1497" display="https://www.coingecko.com/pt/c%C3%A2mbios/bitget" xr:uid="{053B3012-B081-419E-898D-877ED4024DEA}"/>
    <hyperlink ref="DW254" r:id="rId1498" display="https://www.bitget.com/spot/ARBUSDT?channelCode=42xn&amp;vipCode=sq59&amp;languageType=0" xr:uid="{AAFB3B88-82B5-4048-BBD0-E5CF886EBF16}"/>
    <hyperlink ref="DU256" r:id="rId1499" display="https://www.coingecko.com/pt/c%C3%A2mbios/mexc" xr:uid="{9EE4D5C3-3D13-4EF9-AAC9-21F6D2BCE4F4}"/>
    <hyperlink ref="DU257" r:id="rId1500" display="https://www.coingecko.com/pt/c%C3%A2mbios/mexc" xr:uid="{801D86C7-D375-4BD3-B6D6-8218349DF7EF}"/>
    <hyperlink ref="DW256" r:id="rId1501" display="https://www.mexc.com/exchange/ARB_USDT?inviteCode=1498J" xr:uid="{397C00B6-52F7-40DE-8E9B-C5AA03AAC29B}"/>
    <hyperlink ref="DU258" r:id="rId1502" display="https://www.coingecko.com/pt/c%C3%A2mbios/orangex" xr:uid="{8B21CBB8-93BA-46C8-A0F4-52D10EEEABEC}"/>
    <hyperlink ref="DU259" r:id="rId1503" display="https://www.coingecko.com/pt/c%C3%A2mbios/orangex" xr:uid="{E73C07B7-396B-40DF-8D59-D35EDBE0BD27}"/>
    <hyperlink ref="DW258" r:id="rId1504" display="https://www.orangex.com/spot/ARB-USDT-SPOT" xr:uid="{32A6EB47-A0A4-4FCF-A6AE-60EAC347D704}"/>
    <hyperlink ref="DU260" r:id="rId1505" display="https://www.coingecko.com/pt/c%C3%A2mbios/weex" xr:uid="{9CACDD47-9058-4506-93C1-A9C62611CFA7}"/>
    <hyperlink ref="DU261" r:id="rId1506" display="https://www.coingecko.com/pt/c%C3%A2mbios/weex" xr:uid="{7E56CD75-6EEE-4DB3-A461-1024B2A7A02C}"/>
    <hyperlink ref="DW260" r:id="rId1507" display="https://www.weex.com/trade/arb_usdt" xr:uid="{DEEF291D-12A6-49D2-98D7-B89BABFDF9E9}"/>
    <hyperlink ref="DT272" r:id="rId1508" display="https://www.cryptopolitan.com/pt/pike-finance-atingiu-1-6-milhao-no-segundo-dia-de-hack/" xr:uid="{E64DD749-E2AD-4B96-836C-C281752281BA}"/>
    <hyperlink ref="DT273" r:id="rId1509" display="https://www.cryptopolitan.com/pt/pike-finance-atingiu-1-6-milhao-no-segundo-dia-de-hack/" xr:uid="{52C66142-0CC2-45F7-ACCA-7D666508D479}"/>
    <hyperlink ref="DT274" r:id="rId1510" display="https://www.cryptopolitan.com/pt/pike-finance-atingiu-1-6-milhao-no-segundo-dia-de-hack/" xr:uid="{DFFA1FA9-CDE2-4869-9A66-06F737873DCC}"/>
    <hyperlink ref="DT275" r:id="rId1511" display="https://www.cryptopolitan.com/pt/pike-finance-atingiu-1-6-milhao-no-segundo-dia-de-hack/" xr:uid="{2D73E822-525E-4806-A9B7-21C74ED8D9B9}"/>
    <hyperlink ref="DT276:DT277" r:id="rId1512" display="https://br.beincrypto.com/3-criptomoedas-que-as-baleias-estao-comprando-para-ter-lucro-em-maio/" xr:uid="{9A40B041-5529-4167-A8B6-3F6F0415F3EA}"/>
    <hyperlink ref="DT278" r:id="rId1513" display="https://br.beincrypto.com/3-criptomoedas-que-as-baleias-estao-comprando-para-ter-lucro-em-maio/" xr:uid="{53245F6C-32DD-4CBE-BCB0-AD61FD5C613C}"/>
    <hyperlink ref="DT279" r:id="rId1514" display="https://br.beincrypto.com/3-criptomoedas-que-as-baleias-estao-comprando-para-ter-lucro-em-maio/" xr:uid="{1FC741B7-DA38-4D92-A4BE-CDFA365297EF}"/>
    <hyperlink ref="DT280:DT281" r:id="rId1515" display="https://www.cryptopolitan.com/pt/essas-4-altcoins-sao-as-favoritas-para-as-baleias-criptograficas-obterem-ganhos-garantidos/" xr:uid="{F76A8083-C30D-473F-9B0C-BC5AFB19277A}"/>
    <hyperlink ref="DT282" r:id="rId1516" display="https://www.cryptopolitan.com/pt/essas-4-altcoins-sao-as-favoritas-para-as-baleias-criptograficas-obterem-ganhos-garantidos/" xr:uid="{F469EAC0-7652-41E2-AD06-8AAE75BC8599}"/>
    <hyperlink ref="DT283" r:id="rId1517" display="https://www.cryptopolitan.com/pt/essas-4-altcoins-sao-as-favoritas-para-as-baleias-criptograficas-obterem-ganhos-garantidos/" xr:uid="{BEC9F063-B925-41C1-A928-0BF8FF8D4499}"/>
    <hyperlink ref="DT284:DT285" r:id="rId1518" display="https://www.cryptopolitan.com/pt/hackerleak-milhoes-do-protocolo-de-rendimento/" xr:uid="{FA354875-1CD9-4021-84E7-78D81CA98535}"/>
    <hyperlink ref="DT286" r:id="rId1519" display="https://www.cryptopolitan.com/pt/hackerleak-milhoes-do-protocolo-de-rendimento/" xr:uid="{455157CA-173D-484A-89A1-C44C60554041}"/>
    <hyperlink ref="DT287" r:id="rId1520" display="https://www.cryptopolitan.com/pt/hackerleak-milhoes-do-protocolo-de-rendimento/" xr:uid="{13D7B20F-2458-49F6-9F94-D7C7A8A10294}"/>
    <hyperlink ref="DT292" r:id="rId1521" display="https://www.coingecko.com/pt/moedas/arbitrum/usd" xr:uid="{2F33EE6E-BC13-4D53-A10A-6A7FEA250CEF}"/>
    <hyperlink ref="DT293" r:id="rId1522" display="https://www.coingecko.com/pt/moedas/arbitrum/usd" xr:uid="{FD50232B-12E4-4744-B822-97013E4657E9}"/>
    <hyperlink ref="DT294" r:id="rId1523" display="https://www.coingecko.com/pt/moedas/arbitrum/eur" xr:uid="{25EA8F7F-BB3F-4F85-99E8-A09A92588E32}"/>
    <hyperlink ref="DT295" r:id="rId1524" display="https://www.coingecko.com/pt/moedas/arbitrum/eur" xr:uid="{B16F40C0-B5F8-4A92-B2E9-FDD5503F275C}"/>
    <hyperlink ref="DT296" r:id="rId1525" display="https://www.coingecko.com/pt/moedas/arbitrum/brl" xr:uid="{AB3218FF-CD7F-4EBE-A5E7-BBB83F5A74F0}"/>
    <hyperlink ref="DT297" r:id="rId1526" display="https://www.coingecko.com/pt/moedas/arbitrum/brl" xr:uid="{68D69914-7029-4963-81C9-1824CC0EBB81}"/>
    <hyperlink ref="DT301" r:id="rId1527" display="https://www.coingecko.com/pt/moedas/immutable-x" xr:uid="{D8B692D7-C0CF-41BC-82A7-7994F03D50DE}"/>
    <hyperlink ref="DT302" r:id="rId1528" display="https://www.coingecko.com/pt/moedas/immutable-x" xr:uid="{B50ADD82-27F8-4DAF-842C-656830E97E1F}"/>
    <hyperlink ref="DT303" r:id="rId1529" display="https://www.coingecko.com/pt/moedas/immutable-x" xr:uid="{F280F4A8-D708-48D5-A9F8-B731D037837E}"/>
    <hyperlink ref="DT304" r:id="rId1530" display="https://www.coingecko.com/pt/moedas/optimism" xr:uid="{39DEF153-F267-44CD-86A7-3594F6D694E4}"/>
    <hyperlink ref="DT305" r:id="rId1531" display="https://www.coingecko.com/pt/moedas/optimism" xr:uid="{B2E6CFE1-F1FA-468E-91BA-9AD81595A037}"/>
    <hyperlink ref="DT306" r:id="rId1532" display="https://www.coingecko.com/pt/moedas/optimism" xr:uid="{822E5496-CE31-4064-A87F-44AB484DCD4A}"/>
    <hyperlink ref="DT307" r:id="rId1533" display="https://www.coingecko.com/pt/moedas/starknet" xr:uid="{E5218169-CC6B-417D-AE22-7438CE9A8F36}"/>
    <hyperlink ref="DT308" r:id="rId1534" display="https://www.coingecko.com/pt/moedas/starknet" xr:uid="{B40B84B6-621B-4BD8-8631-5748368628FB}"/>
    <hyperlink ref="DT309" r:id="rId1535" display="https://www.coingecko.com/pt/moedas/starknet" xr:uid="{4D43FE19-E007-4B04-A159-EA9EC2A7688A}"/>
    <hyperlink ref="DT310" r:id="rId1536" display="https://www.coingecko.com/pt/moedas/manta-network" xr:uid="{62E10B53-EB46-474B-802F-B76494DB0DF5}"/>
    <hyperlink ref="DT311" r:id="rId1537" display="https://www.coingecko.com/pt/moedas/manta-network" xr:uid="{91B9A9A9-095A-4306-8B8E-8F14E307A505}"/>
    <hyperlink ref="DT312" r:id="rId1538" display="https://www.coingecko.com/pt/moedas/manta-network" xr:uid="{BFEBA098-8B3D-408B-8DED-87440D5A68CA}"/>
    <hyperlink ref="DT313" r:id="rId1539" display="https://www.coingecko.com/pt/moedas/skale" xr:uid="{EC399E66-0DA5-4F46-AC95-B1E07F5A5638}"/>
    <hyperlink ref="DT314" r:id="rId1540" display="https://www.coingecko.com/pt/moedas/skale" xr:uid="{A0D5FF48-0CBE-4627-85AF-8C72CB78B5DC}"/>
    <hyperlink ref="DT315" r:id="rId1541" display="https://www.coingecko.com/pt/moedas/skale" xr:uid="{F934F202-7020-4EA0-B522-030CADDB90EB}"/>
    <hyperlink ref="DT319" r:id="rId1542" display="https://www.coingecko.com/pt/moedas/solana" xr:uid="{3F7A63E5-C35D-4764-8314-1D0D9CEFE784}"/>
    <hyperlink ref="DT320" r:id="rId1543" display="https://www.coingecko.com/pt/moedas/solana" xr:uid="{8A32D237-498B-4EBB-8906-E5370A172196}"/>
    <hyperlink ref="DT321" r:id="rId1544" display="https://www.coingecko.com/pt/moedas/solana" xr:uid="{8A0B2927-1598-4735-9979-31AFDA0D643D}"/>
    <hyperlink ref="DT322" r:id="rId1545" display="https://www.coingecko.com/pt/moedas/dione" xr:uid="{BD34B95C-F7DD-41B7-83ED-13277D3044B8}"/>
    <hyperlink ref="DT323" r:id="rId1546" display="https://www.coingecko.com/pt/moedas/dione" xr:uid="{27DAB760-3998-447A-B5D4-64A99813F1F2}"/>
    <hyperlink ref="DT324" r:id="rId1547" display="https://www.coingecko.com/pt/moedas/dione" xr:uid="{6D84CA84-BF76-46D1-A0E1-896B71460F65}"/>
    <hyperlink ref="DT325" r:id="rId1548" display="https://www.coingecko.com/pt/moedas/bitcoin" xr:uid="{3B991460-A8EF-430D-A146-5479EDFFAFDD}"/>
    <hyperlink ref="DT326" r:id="rId1549" display="https://www.coingecko.com/pt/moedas/bitcoin" xr:uid="{F91F49AD-5E4E-41C9-8396-F3D208747D0E}"/>
    <hyperlink ref="DT327" r:id="rId1550" display="https://www.coingecko.com/pt/moedas/bitcoin" xr:uid="{C82519C0-E040-4A19-9498-BC80507E2963}"/>
    <hyperlink ref="DT328" r:id="rId1551" display="https://www.coingecko.com/pt/moedas/pixels" xr:uid="{E1708FEA-E4F7-4687-B41C-379C0673DE71}"/>
    <hyperlink ref="DT329" r:id="rId1552" display="https://www.coingecko.com/pt/moedas/pixels" xr:uid="{B52FE8FD-92CA-42D5-9EC1-15CBFF54EA2E}"/>
    <hyperlink ref="DT330" r:id="rId1553" display="https://www.coingecko.com/pt/moedas/pixels" xr:uid="{26C90178-F669-4B0E-AFAF-4CC3C0FD3635}"/>
    <hyperlink ref="DT331" r:id="rId1554" display="https://www.coingecko.com/pt/moedas/pepe" xr:uid="{6FAC3D28-995C-441F-8C07-9FB031791C3D}"/>
    <hyperlink ref="DT332" r:id="rId1555" display="https://www.coingecko.com/pt/moedas/pepe" xr:uid="{EAA1FD1A-1523-4183-8ECF-279FA6765A31}"/>
    <hyperlink ref="DT333" r:id="rId1556" display="https://www.coingecko.com/pt/moedas/pepe" xr:uid="{2E56317D-4007-4F73-A756-A1E275B71100}"/>
    <hyperlink ref="DT334" r:id="rId1557" display="https://www.coingecko.com/pt/moedas/ethereum" xr:uid="{2C1BEEE5-9401-4951-B01A-6A1A8A867B42}"/>
    <hyperlink ref="DT335" r:id="rId1558" display="https://www.coingecko.com/pt/moedas/ethereum" xr:uid="{FA422CBB-99B6-4F67-BFB2-891C680B510B}"/>
    <hyperlink ref="DT336" r:id="rId1559" display="https://www.coingecko.com/pt/moedas/ethereum" xr:uid="{AD415D1D-1CB6-4D8E-8914-6B3A7F6832A9}"/>
    <hyperlink ref="DT337" r:id="rId1560" display="https://www.coingecko.com/pt/moedas/degen-base" xr:uid="{4E66D697-5A33-4175-BDEA-98E2D8A59F7B}"/>
    <hyperlink ref="DT338" r:id="rId1561" display="https://www.coingecko.com/pt/moedas/degen-base" xr:uid="{0C58C074-A703-4F8B-95BE-6E8E3DBDCB5B}"/>
    <hyperlink ref="DT339" r:id="rId1562" display="https://www.coingecko.com/pt/moedas/degen-base" xr:uid="{C7D60D12-456C-44A2-B8AE-A9BF54417502}"/>
    <hyperlink ref="DT340" r:id="rId1563" display="https://www.coingecko.com/pt/moedas/aerodrome-finance" xr:uid="{4B81E303-0CF6-437A-BF32-FBE1EA6EA0E4}"/>
    <hyperlink ref="DT341" r:id="rId1564" display="https://www.coingecko.com/pt/moedas/aerodrome-finance" xr:uid="{570B042B-12FB-4F93-B994-79AD80A3F579}"/>
    <hyperlink ref="DT342" r:id="rId1565" display="https://www.coingecko.com/pt/moedas/aerodrome-finance" xr:uid="{061FA645-6B8F-4B27-8721-6E91142BC930}"/>
    <hyperlink ref="DT343" r:id="rId1566" display="https://www.coingecko.com/pt/moedas/ronin" xr:uid="{B99C6CB4-1238-4714-8256-E0D168A48968}"/>
    <hyperlink ref="DT344" r:id="rId1567" display="https://www.coingecko.com/pt/moedas/ronin" xr:uid="{9529EC52-92FA-4BB0-B769-73C380FA2247}"/>
    <hyperlink ref="DT345" r:id="rId1568" display="https://www.coingecko.com/pt/moedas/ronin" xr:uid="{CD9205FB-73BF-4E21-92E9-5AFF20B1A60F}"/>
    <hyperlink ref="DT346" r:id="rId1569" display="https://www.coingecko.com/pt/moedas/wormhole" xr:uid="{BA4D5807-CD40-4EFD-A964-047B5666C132}"/>
    <hyperlink ref="DT347" r:id="rId1570" display="https://www.coingecko.com/pt/moedas/wormhole" xr:uid="{E49DD3DF-CA2F-4CA9-94D6-4109BBD692E7}"/>
    <hyperlink ref="DT348" r:id="rId1571" display="https://www.coingecko.com/pt/moedas/wormhole" xr:uid="{DA9DB7B3-9089-4DD4-8322-BEE3A8F8BC98}"/>
    <hyperlink ref="DT357" r:id="rId1572" display="https://www.coingecko.com/pt" xr:uid="{C1AF6474-8EBD-450F-AA98-8DA7B1D37B87}"/>
    <hyperlink ref="DT360" r:id="rId1573" display="https://www.coingecko.com/pt/news" xr:uid="{30B34D0D-6E12-4898-8075-08315DDDCFE1}"/>
    <hyperlink ref="DT361" r:id="rId1574" display="https://www.coingecko.com/pt/public-companies-bitcoin" xr:uid="{E7531C5A-C4BB-47AE-ACD0-A86326DE18DF}"/>
    <hyperlink ref="DT362" r:id="rId1575" display="https://www.coingecko.com/pt/cryptocurrency-heatmap" xr:uid="{D68BCFCD-6DDC-4B9B-A8DC-4C0D325C98F0}"/>
    <hyperlink ref="DT363" r:id="rId1576" display="https://www.coingecko.com/pt/api" xr:uid="{08630251-A4E2-4086-BE7E-01E33CDCE550}"/>
    <hyperlink ref="DT370" r:id="rId1577" display="https://www.coingecko.com/request" xr:uid="{080789B4-D30B-4BC0-BD95-D2FBFBD621C4}"/>
    <hyperlink ref="DT371" r:id="rId1578" display="https://gcko.io/coingeckoads" xr:uid="{B3456E25-6F7C-4DF5-8C90-F5E23C2F88FA}"/>
    <hyperlink ref="DT372" r:id="rId1579" display="https://www.coingecko.com/pt/candy/partners-getting-started" xr:uid="{D3A213FC-153E-43BC-AD43-653DF8BDA610}"/>
    <hyperlink ref="DT373" r:id="rId1580" display="https://support.coingecko.com/" xr:uid="{635D8594-23C6-44A6-B05F-1D23A8B70ADE}"/>
    <hyperlink ref="DT374" r:id="rId1581" display="https://hackenproof.com/coingecko/coingecko" xr:uid="{BD8B778C-7C13-4578-A2E4-81D0274E6AF0}"/>
    <hyperlink ref="DT375" r:id="rId1582" display="https://www.coingecko.com/pt/faq" xr:uid="{B06037CB-CE8F-4643-A4DD-E4F0CAB4295F}"/>
    <hyperlink ref="DT377" r:id="rId1583" display="https://www.coingecko.com/pt/sobre" xr:uid="{E4FE12D2-18E2-44E1-B3A4-995103C1EE81}"/>
    <hyperlink ref="DT378" r:id="rId1584" display="https://careers.coingecko.com/" xr:uid="{F69007CE-0FC5-4837-B1E7-CB5D00A2FE09}"/>
    <hyperlink ref="DT379" r:id="rId1585" display="https://careers.coingecko.com/" xr:uid="{A973E593-EC60-4B22-90C9-AE35F33FBE35}"/>
    <hyperlink ref="DT380" r:id="rId1586" display="https://blog.coingecko.com/" xr:uid="{15DD5EBA-1719-4990-98BD-AF3519B93366}"/>
    <hyperlink ref="DT381" r:id="rId1587" display="https://www.coingecko.com/pt/branding" xr:uid="{803A3ACB-C916-4DEC-95A6-7CC302D2A754}"/>
    <hyperlink ref="DT382" r:id="rId1588" display="https://www.coingecko.com/pt/metodologia" xr:uid="{E45B1AEF-D457-4963-B7A9-1EA0985F8C90}"/>
    <hyperlink ref="DT383" r:id="rId1589" display="https://www.coingecko.com/pt/isen%C3%A7%C3%A3o_de_responsabilidade" xr:uid="{782CF6DD-754D-4FDD-B7BC-61E87501D332}"/>
    <hyperlink ref="DT384" r:id="rId1590" display="https://www.coingecko.com/pt/termos" xr:uid="{6CE2E972-2054-4277-B312-19847D216D2E}"/>
    <hyperlink ref="DT385" r:id="rId1591" display="https://www.coingecko.com/pt/privacidade" xr:uid="{777EF99A-C431-49AD-9245-71FD291160E0}"/>
    <hyperlink ref="DT386" r:id="rId1592" display="https://www.coingecko.com/pt/ad_policy" xr:uid="{4F25D8B4-003E-480D-8174-1A79A38EABD1}"/>
    <hyperlink ref="DT389" r:id="rId1593" display="https://twitter.com/coingecko" xr:uid="{472F12D3-BEED-46D6-A9E6-42F3658728D7}"/>
    <hyperlink ref="DT390" r:id="rId1594" display="https://t.me/coingecko" xr:uid="{BC51FC4C-9D2A-4443-85EB-ED177A0E63A1}"/>
    <hyperlink ref="DT391" r:id="rId1595" display="https://t.me/coingeckonews" xr:uid="{EF464936-BC86-4729-ABB7-C4788A706FE6}"/>
    <hyperlink ref="DT392" r:id="rId1596" display="https://www.instagram.com/coingecko/" xr:uid="{DED6E10F-4A5D-4527-BEBD-082815258A64}"/>
    <hyperlink ref="DT393" r:id="rId1597" display="https://www.reddit.com/r/coingecko/" xr:uid="{D52A4840-9B29-492A-9DDF-F627F6747D8A}"/>
    <hyperlink ref="DT394" r:id="rId1598" display="https://discord.gg/EhrkaCH" xr:uid="{AF9767CC-A97E-4DBA-AD5C-CCE1C436429E}"/>
    <hyperlink ref="DT395" r:id="rId1599" display="https://www.facebook.com/coingecko" xr:uid="{CBF6D36B-2416-409A-9EE8-91BD13082F99}"/>
    <hyperlink ref="DT396" r:id="rId1600" display="https://www.youtube.com/channel/UC-OTgwOAI7KmP0eDAtqN3Ow?sub_confirmation=1" xr:uid="{AB3E5441-09A2-41F9-8102-0B4CAE873C4E}"/>
    <hyperlink ref="DT397" r:id="rId1601" display="https://www.tiktok.com/@coingeckotv" xr:uid="{85A40E0A-D067-40D3-AFF3-44603274C249}"/>
    <hyperlink ref="DT403" r:id="rId1602" display="https://www.coingecko.com/pt/isen%C3%A7%C3%A3o_de_responsabilidade" xr:uid="{8B3076D5-871A-49AE-92C2-E32E140B2663}"/>
    <hyperlink ref="DT653" r:id="rId1603" display="https://coingecko.app.link/lTInCXLGz4" xr:uid="{B2774F67-BFD7-46A5-A05F-A40816C2B383}"/>
    <hyperlink ref="EG2" r:id="rId1604" display="https://www.coingecko.com/pt" xr:uid="{71DB0B83-0D0E-4A27-9175-DF43E5E694BF}"/>
    <hyperlink ref="EG3" r:id="rId1605" display="https://www.coingecko.com/pt/c%C3%A2mbios" xr:uid="{8DF54E4A-131F-4A9D-8C32-FE20A9BEB287}"/>
    <hyperlink ref="EG4" r:id="rId1606" display="https://www.coingecko.com/pt/global-charts" xr:uid="{488EBC75-9A2A-4238-AA5A-5B603473D947}"/>
    <hyperlink ref="EG5" r:id="rId1607" display="https://www.coingecko.com/pt/global-charts" xr:uid="{810007CD-5016-44B2-B506-C64A89EAE6FE}"/>
    <hyperlink ref="EG25" r:id="rId1608" display="https://www.coingecko.com/pt/premium/pricing" xr:uid="{C727BF5E-A9A1-4A3C-947E-CD6BC4846B49}"/>
    <hyperlink ref="EG28:EG29" r:id="rId1609" display="https://coingecko.app.link/lTInCXLGz4" xr:uid="{5CFAB914-920C-403C-94EA-872D69926218}"/>
    <hyperlink ref="EG48" r:id="rId1610" display="https://www.geckoterminal.com/?utm_source=coingecko&amp;utm_medium=referral&amp;utm_campaign=desktop_navigation" xr:uid="{1CE71A52-0761-41C5-BE26-1FF18BDD502E}"/>
    <hyperlink ref="EG49" r:id="rId1611" display="https://www.coingecko.com/pt/candy" xr:uid="{59CDB49E-63D8-4F1A-9242-5CB99EA78770}"/>
    <hyperlink ref="EG50" r:id="rId1612" display="https://www.coingecko.com/pt/candy" xr:uid="{DE3EB08E-A8A0-418B-96A6-76AA7E1EAE8F}"/>
    <hyperlink ref="EG51" r:id="rId1613" display="https://www.coingecko.com/pt/candy" xr:uid="{D4CAAA5E-8685-4B8F-8CD1-AE182A06F455}"/>
    <hyperlink ref="EG52" r:id="rId1614" display="https://www.coingecko.com/pt/portfolio" xr:uid="{2F78D078-1A2A-48E5-BD9D-6257386BC435}"/>
    <hyperlink ref="EG70" r:id="rId1615" display="https://gcko.io/search-survey" xr:uid="{3CE136B0-B548-498D-A54B-97F0CCE22213}"/>
    <hyperlink ref="EG73" r:id="rId1616" display="https://www.coingecko.com/pt" xr:uid="{560C499E-283A-487C-8EB7-6CE623D567EA}"/>
    <hyperlink ref="EG92" r:id="rId1617" display="https://www.coingecko.com/pt/metodologia" xr:uid="{F17C8DA5-AC4B-483D-97D9-8134CFD35620}"/>
    <hyperlink ref="EG102" r:id="rId1618" display="https://www.geckoterminal.com/eth/tokens/0x6de037ef9ad2725eb40118bb1702ebb27e4aeb24?utm_source=coingecko&amp;utm_medium=referral&amp;utm_campaign=livechart-btn" xr:uid="{C5D68E9B-21B8-4D80-A97C-42AB7037218B}"/>
    <hyperlink ref="EG107" r:id="rId1619" display="https://www.coingecko.com/pt/api" xr:uid="{20C77DF9-FA2E-4D63-9FAF-C044E835819F}"/>
    <hyperlink ref="EG123" r:id="rId1620" display="https://www.coingecko.com/pt/metodologia" xr:uid="{9C6D3E93-9502-41F4-A4B5-9B617F61DA1A}"/>
    <hyperlink ref="EG129" r:id="rId1621" display="https://www.coingecko.com/learn/what-is-fully-diluted-valuation-fdv-in-crypto" xr:uid="{4F2AB6D9-7270-49DF-BE90-A883104F1D42}"/>
    <hyperlink ref="EG135" r:id="rId1622" display="https://www.coingecko.com/learn/what-is-fully-diluted-valuation-fdv-in-crypto" xr:uid="{B1F78234-5DD2-450B-AFB4-1B9E77463E7D}"/>
    <hyperlink ref="EG139" r:id="rId1623" display="https://www.coingecko.com/pt/metodologia" xr:uid="{20EFED9D-BABC-4E91-AD78-3ED67156469C}"/>
    <hyperlink ref="EG143" r:id="rId1624" display="https://www.coingecko.com/pt/metodologia" xr:uid="{966F8AE4-F3CB-48DC-8E4B-5A757566639C}"/>
    <hyperlink ref="EH143" r:id="rId1625" display="https://etherscan.io/token/0x6de037ef9ad2725eb40118bb1702ebb27e4aeb24?a=0xB6E39e540e3472E927001bbBf77FFB5AB357b0e0" xr:uid="{E9BA9179-B2F1-4E5B-BE53-09255C50FA81}"/>
    <hyperlink ref="EG162" r:id="rId1626" display="https://forms.gle/ULNnnCGCEAimK9cJ7" xr:uid="{8BCFA77A-1942-4731-8E24-5E14C5ABDBA4}"/>
    <hyperlink ref="EG170" r:id="rId1627" display="http://renderfoundation.com/" xr:uid="{3E7BB211-0D67-4D94-87D4-80C27CC5ADC9}"/>
    <hyperlink ref="EG171" r:id="rId1628" display="http://rendernetwork.com/" xr:uid="{723A851D-656F-4B50-884F-4BCF3BFFAF93}"/>
    <hyperlink ref="EG172" r:id="rId1629" display="http://renderfoundation.com/whitepaper" xr:uid="{F860E210-6E16-4D34-9D16-10EAEBD7440D}"/>
    <hyperlink ref="EG173" r:id="rId1630" display="https://medium.com/render-token" xr:uid="{440F1FFF-6E2F-4FD2-9C09-5579DD76CE2C}"/>
    <hyperlink ref="EG175" r:id="rId1631" display="https://etherscan.io/token/0x6de037ef9ad2725eb40118bb1702ebb27e4aeb24" xr:uid="{F1CD0613-1049-4034-A734-742148DAC6BC}"/>
    <hyperlink ref="EG178" r:id="rId1632" display="https://gcko.io/ledger" xr:uid="{EBC24284-C856-4D1C-8877-9D17D23CAA96}"/>
    <hyperlink ref="EG180" r:id="rId1633" display="https://twitter.com/rendernetwork" xr:uid="{E2C51AFC-35FD-4D21-86EC-F130B8ADF109}"/>
    <hyperlink ref="EG181" r:id="rId1634" display="https://www.facebook.com/8520586012" xr:uid="{1646A643-1689-4F36-8649-D86E16CF1B34}"/>
    <hyperlink ref="EG182" r:id="rId1635" display="https://t.me/rendernetwork" xr:uid="{3F538365-7E6A-43EB-B987-39DEBC31B6A5}"/>
    <hyperlink ref="EG183" r:id="rId1636" display="https://discord.gg/rendernetwork" xr:uid="{20DC0079-FEB2-417E-9415-258973EFB1D5}"/>
    <hyperlink ref="EG184" r:id="rId1637" display="https://rendernetwork.medium.com/" xr:uid="{13B8E6EB-727F-42C2-9A99-B3A34058A296}"/>
    <hyperlink ref="EG185" r:id="rId1638" display="https://www.facebook.com/rendernetwork" xr:uid="{EF4EC9AE-CAF0-4C78-B623-933D7C3CBDF3}"/>
    <hyperlink ref="EG186" r:id="rId1639" display="https://rendernetwork.medium.com/" xr:uid="{52531AD3-D559-41BE-9E4A-21D811A18A33}"/>
    <hyperlink ref="EG188" r:id="rId1640" display="https://twitter.com/search?q=$RNDR" xr:uid="{74A458EC-9716-474B-AE65-E3DAB471405C}"/>
    <hyperlink ref="EG192" r:id="rId1641" display="https://www.coingecko.com/pt/categories/ethereum-ecosystem" xr:uid="{2D2FCEFC-774E-4F5A-B2E6-E94D074A133D}"/>
    <hyperlink ref="EG196" r:id="rId1642" display="https://www.coingecko.com/pt/categories/artificial-intelligence" xr:uid="{B1A1CE82-8A86-4565-8714-F6FF4B41DEA8}"/>
    <hyperlink ref="EG247" r:id="rId1643" display="https://www.coingecko.com/learn/complete-beginners-guide-to-metamask" xr:uid="{BF785BB8-CE8D-482F-8676-ED3AC8162AA5}"/>
    <hyperlink ref="EH259" r:id="rId1644" display="https://www.coingecko.com/pt/c%C3%A2mbios/gate-io" xr:uid="{37E30851-B300-42A6-B318-29C1850B0DB2}"/>
    <hyperlink ref="EH260" r:id="rId1645" display="https://www.coingecko.com/pt/c%C3%A2mbios/gate-io" xr:uid="{9C627BF0-06E1-43DD-AA5B-D123EBD9CEB0}"/>
    <hyperlink ref="EJ259" r:id="rId1646" display="https://gate.io/trade/RNDR_USDT?ref=3018394" xr:uid="{667816B9-C297-4BE3-B0C0-BECD14B33583}"/>
    <hyperlink ref="EH261" r:id="rId1647" display="https://www.coingecko.com/pt/c%C3%A2mbios/binance" xr:uid="{2721B312-820B-408D-B4E8-10A330EA8FC8}"/>
    <hyperlink ref="EH262" r:id="rId1648" display="https://www.coingecko.com/pt/c%C3%A2mbios/binance" xr:uid="{A157FF0C-3698-449A-8528-CC3CE2C282DD}"/>
    <hyperlink ref="EJ261" r:id="rId1649" display="https://www.binance.com/en/trade/RNDR_USDT?ref=37754157" xr:uid="{80ABE263-E6F4-4C0E-8A37-961746DB99AF}"/>
    <hyperlink ref="EH263" r:id="rId1650" display="https://www.coingecko.com/pt/c%C3%A2mbios/weex" xr:uid="{5117939B-E5CD-4366-9BCE-0BBB2C84FD3B}"/>
    <hyperlink ref="EH264" r:id="rId1651" display="https://www.coingecko.com/pt/c%C3%A2mbios/weex" xr:uid="{4A4F7298-208C-4895-BE4E-833A8AF4E3E2}"/>
    <hyperlink ref="EJ263" r:id="rId1652" display="https://www.weex.com/trade/rndr_usdt" xr:uid="{37A41F89-6AD2-451E-9A0C-A88D82D30D2C}"/>
    <hyperlink ref="EH265" r:id="rId1653" display="https://www.coingecko.com/pt/c%C3%A2mbios/bitunix" xr:uid="{73E62AB7-AC9A-4234-BA58-5555E95A75C9}"/>
    <hyperlink ref="EH266" r:id="rId1654" display="https://www.coingecko.com/pt/c%C3%A2mbios/bitunix" xr:uid="{4FC51886-C4D2-450B-98E5-97EA538B093C}"/>
    <hyperlink ref="EJ265" r:id="rId1655" display="https://www.bitunix.com/spot-trade?symbol=RNDRUSDTregister?inviteCode=yq5pr7" xr:uid="{36C1BEDD-2CAA-4F8C-A10A-2771E3B886B9}"/>
    <hyperlink ref="EH267" r:id="rId1656" display="https://www.coingecko.com/pt/c%C3%A2mbios/orangex" xr:uid="{A0735B6F-890C-4356-B67D-6DBB05945BDF}"/>
    <hyperlink ref="EH268" r:id="rId1657" display="https://www.coingecko.com/pt/c%C3%A2mbios/orangex" xr:uid="{C2B0354E-AAF4-4DC2-BA08-4CF765D564F6}"/>
    <hyperlink ref="EJ267" r:id="rId1658" display="https://www.orangex.com/spot/RNDR-USDT-SPOT" xr:uid="{501F2CFA-7581-4FB2-BCE9-175DED514AB2}"/>
    <hyperlink ref="EH269" r:id="rId1659" display="https://www.coingecko.com/pt/c%C3%A2mbios/mexc" xr:uid="{7FB0F55B-8566-4C12-9EAA-BBA3BFF2AD05}"/>
    <hyperlink ref="EH270" r:id="rId1660" display="https://www.coingecko.com/pt/c%C3%A2mbios/mexc" xr:uid="{CF757608-1DDD-4A9A-BB3D-694D9E5E03A8}"/>
    <hyperlink ref="EJ269" r:id="rId1661" display="https://www.mexc.com/exchange/RNDR_USDT?inviteCode=1498J" xr:uid="{E6C035A6-6A76-4CF4-8C57-B90B1952E3A6}"/>
    <hyperlink ref="EH271" r:id="rId1662" display="https://www.coingecko.com/pt/c%C3%A2mbios/coinbase-exchange" xr:uid="{E082595D-F892-4788-84B8-B7613BD677A5}"/>
    <hyperlink ref="EH272" r:id="rId1663" display="https://www.coingecko.com/pt/c%C3%A2mbios/coinbase-exchange" xr:uid="{F31B1F8C-F047-45B8-B7A6-80A2F035191D}"/>
    <hyperlink ref="EJ271" r:id="rId1664" display="https://www.coinbase.com/advanced-trade/spot/RNDR-USD" xr:uid="{28AF3DB1-5AD6-4987-B27B-128A8BFAF1AD}"/>
    <hyperlink ref="EH273" r:id="rId1665" display="https://www.coingecko.com/pt/c%C3%A2mbios/bingx" xr:uid="{85140FEA-0BA3-4CD5-9486-89F066BE7B36}"/>
    <hyperlink ref="EH274" r:id="rId1666" display="https://www.coingecko.com/pt/c%C3%A2mbios/bingx" xr:uid="{CCDD6D0D-86DB-448A-987F-8AD1918F1460}"/>
    <hyperlink ref="EJ273" r:id="rId1667" display="https://bingx.com/en-us/spot/RNDRUSDT?ch=cgk_organic" xr:uid="{B4D1CE19-0171-494D-A5C6-66003007AADE}"/>
    <hyperlink ref="EH275" r:id="rId1668" display="https://www.coingecko.com/pt/c%C3%A2mbios/kucoin" xr:uid="{11FCAE7E-0E27-48BA-BD1A-32505AADC05D}"/>
    <hyperlink ref="EH276" r:id="rId1669" display="https://www.coingecko.com/pt/c%C3%A2mbios/kucoin" xr:uid="{400C11EA-AB96-4E18-81F3-377470A8453C}"/>
    <hyperlink ref="EJ275" r:id="rId1670" display="https://www.kucoin.com/trade/RNDR-USDT?rcode=e21sNJ" xr:uid="{128FDA80-EA10-4AF0-A010-3892CEAF352A}"/>
    <hyperlink ref="EH277" r:id="rId1671" display="https://www.coingecko.com/pt/c%C3%A2mbios/deepcoin" xr:uid="{230DCA84-AA71-4AE5-A342-7152F6E6679F}"/>
    <hyperlink ref="EH278" r:id="rId1672" display="https://www.coingecko.com/pt/c%C3%A2mbios/deepcoin" xr:uid="{83B53BB1-A5D7-4542-A4AF-BC3FA6F3702F}"/>
    <hyperlink ref="EJ277" r:id="rId1673" display="https://www.deepcoin.com/en/Spot?currentId=RNDR&amp;iu=9166912" xr:uid="{8C8187AD-E27A-4A3A-93A9-7BE6403E0D9F}"/>
    <hyperlink ref="EG289" r:id="rId1674" display="https://br.beincrypto.com/altcoins-para-ficar-de-olho-em-maio/" xr:uid="{216FD2E1-6B50-41A9-96E4-B9E4F16AA4E4}"/>
    <hyperlink ref="EG290" r:id="rId1675" display="https://br.beincrypto.com/altcoins-para-ficar-de-olho-em-maio/" xr:uid="{493546C3-9E32-4A57-82DE-7660EFD0BE21}"/>
    <hyperlink ref="EG291" r:id="rId1676" display="https://br.beincrypto.com/altcoins-para-ficar-de-olho-em-maio/" xr:uid="{E12AC1E9-966F-4DE1-9B9D-5DC1E491551A}"/>
    <hyperlink ref="EG292" r:id="rId1677" display="https://br.beincrypto.com/altcoins-para-ficar-de-olho-em-maio/" xr:uid="{36542D95-2D0C-4572-8D67-AB2903F0D5A8}"/>
    <hyperlink ref="EG297" r:id="rId1678" display="https://www.coingecko.com/pt/moedas/render/usd" xr:uid="{D2EEF348-A5A6-477E-A298-785888EE9ABF}"/>
    <hyperlink ref="EG298" r:id="rId1679" display="https://www.coingecko.com/pt/moedas/render/usd" xr:uid="{BAFE1AB6-0122-484A-A1AC-98ACF7F9C9DB}"/>
    <hyperlink ref="EG299" r:id="rId1680" display="https://www.coingecko.com/pt/moedas/render/eur" xr:uid="{99636D56-D5CE-4C1F-B39D-ADDD5BC427D8}"/>
    <hyperlink ref="EG300" r:id="rId1681" display="https://www.coingecko.com/pt/moedas/render/eur" xr:uid="{4D2A0F9E-F13F-4F1B-962F-580682EC7DEF}"/>
    <hyperlink ref="EG301" r:id="rId1682" display="https://www.coingecko.com/pt/moedas/render/brl" xr:uid="{A3F0BEAD-F030-49DD-A02A-349EA4BD3599}"/>
    <hyperlink ref="EG302" r:id="rId1683" display="https://www.coingecko.com/pt/moedas/render/brl" xr:uid="{AC9908B9-A7A8-468F-B1E5-3419AFB37EDF}"/>
    <hyperlink ref="EG306" r:id="rId1684" display="https://www.coingecko.com/pt/moedas/floki" xr:uid="{624B637B-4759-4E35-A056-E3D7AD6218D5}"/>
    <hyperlink ref="EG307" r:id="rId1685" display="https://www.coingecko.com/pt/moedas/floki" xr:uid="{9CB49370-BDDC-4F03-9039-3B7D6692FAEB}"/>
    <hyperlink ref="EG308" r:id="rId1686" display="https://www.coingecko.com/pt/moedas/floki" xr:uid="{8FF25573-E079-447D-AFD1-D84002D74081}"/>
    <hyperlink ref="EG309" r:id="rId1687" display="https://www.coingecko.com/pt/moedas/axie-infinity" xr:uid="{683071FF-30EB-4792-9711-2D62C9A11171}"/>
    <hyperlink ref="EG310" r:id="rId1688" display="https://www.coingecko.com/pt/moedas/axie-infinity" xr:uid="{079832D5-C01F-4984-848C-6A1374EA8475}"/>
    <hyperlink ref="EG311" r:id="rId1689" display="https://www.coingecko.com/pt/moedas/axie-infinity" xr:uid="{A76013DB-7AF9-42DC-98F6-129DB2CC6F6D}"/>
    <hyperlink ref="EG312" r:id="rId1690" display="https://www.coingecko.com/pt/moedas/the-sandbox" xr:uid="{378F4CCA-A06D-4FA0-B927-469F2F7F8622}"/>
    <hyperlink ref="EG313" r:id="rId1691" display="https://www.coingecko.com/pt/moedas/the-sandbox" xr:uid="{A590A354-7122-4585-9FB4-70B5E3CC014B}"/>
    <hyperlink ref="EG314" r:id="rId1692" display="https://www.coingecko.com/pt/moedas/the-sandbox" xr:uid="{EC17CAC3-FBA0-42A0-858D-FF4D5D0B641C}"/>
    <hyperlink ref="EG315" r:id="rId1693" display="https://www.coingecko.com/pt/moedas/decentraland" xr:uid="{E874C6D3-3C08-45D5-BD8C-2522D1254F98}"/>
    <hyperlink ref="EG316" r:id="rId1694" display="https://www.coingecko.com/pt/moedas/decentraland" xr:uid="{A29C581B-E8AA-49E3-B3A8-84D46F2FC859}"/>
    <hyperlink ref="EG317" r:id="rId1695" display="https://www.coingecko.com/pt/moedas/decentraland" xr:uid="{8219A5C7-CC74-4132-BD74-AAEBB9B87FA6}"/>
    <hyperlink ref="EG318" r:id="rId1696" display="https://www.coingecko.com/pt/moedas/illuvium" xr:uid="{887306FC-A551-45DD-BB2F-878B29894529}"/>
    <hyperlink ref="EG319" r:id="rId1697" display="https://www.coingecko.com/pt/moedas/illuvium" xr:uid="{A9090717-F79B-4501-A22D-F46C7892B792}"/>
    <hyperlink ref="EG320" r:id="rId1698" display="https://www.coingecko.com/pt/moedas/illuvium" xr:uid="{78CA67B7-0473-4F97-BBF6-0539D96C6362}"/>
    <hyperlink ref="EG324" r:id="rId1699" display="https://www.coingecko.com/pt/moedas/solana" xr:uid="{D31D424E-88BE-40EF-BB0A-7ABC6BB8EA2F}"/>
    <hyperlink ref="EG325" r:id="rId1700" display="https://www.coingecko.com/pt/moedas/solana" xr:uid="{33606F3F-0E9A-43FA-8A44-E3DF82E0E969}"/>
    <hyperlink ref="EG326" r:id="rId1701" display="https://www.coingecko.com/pt/moedas/solana" xr:uid="{978E7447-588B-4CD8-877F-1129D721C960}"/>
    <hyperlink ref="EG327" r:id="rId1702" display="https://www.coingecko.com/pt/moedas/dione" xr:uid="{E94F9513-7A7F-4497-8788-156785DA2787}"/>
    <hyperlink ref="EG328" r:id="rId1703" display="https://www.coingecko.com/pt/moedas/dione" xr:uid="{D37E1F9D-EFB9-4B67-B092-979FC4DC4917}"/>
    <hyperlink ref="EG329" r:id="rId1704" display="https://www.coingecko.com/pt/moedas/dione" xr:uid="{A75184D1-72F9-4C6F-A168-21ACE4FDDFEA}"/>
    <hyperlink ref="EG330" r:id="rId1705" display="https://www.coingecko.com/pt/moedas/pixels" xr:uid="{7629F102-2A59-407D-97C1-11A629297001}"/>
    <hyperlink ref="EG331" r:id="rId1706" display="https://www.coingecko.com/pt/moedas/pixels" xr:uid="{B66296FC-42C4-4B4F-85A4-C4D080C43A09}"/>
    <hyperlink ref="EG332" r:id="rId1707" display="https://www.coingecko.com/pt/moedas/pixels" xr:uid="{155EA5E4-9F54-45CC-89A3-D0E329D9B3DD}"/>
    <hyperlink ref="EG333" r:id="rId1708" display="https://www.coingecko.com/pt/moedas/bitcoin" xr:uid="{2B9A0260-8253-4903-AAFE-FFF9F551AA71}"/>
    <hyperlink ref="EG334" r:id="rId1709" display="https://www.coingecko.com/pt/moedas/bitcoin" xr:uid="{14EFE0F1-6DC1-4F14-8056-92D352564D02}"/>
    <hyperlink ref="EG335" r:id="rId1710" display="https://www.coingecko.com/pt/moedas/bitcoin" xr:uid="{94E1F509-913C-43DF-B09A-2393092407A4}"/>
    <hyperlink ref="EG336" r:id="rId1711" display="https://www.coingecko.com/pt/moedas/pepe" xr:uid="{4E4E587D-A711-4E26-BD7D-AB3E59994BF0}"/>
    <hyperlink ref="EG337" r:id="rId1712" display="https://www.coingecko.com/pt/moedas/pepe" xr:uid="{1B29D7F1-55F7-4CED-8C41-CE44AE11D9C2}"/>
    <hyperlink ref="EG338" r:id="rId1713" display="https://www.coingecko.com/pt/moedas/pepe" xr:uid="{1EF7C8CC-506D-4449-8AD8-61B3EE3AA9FC}"/>
    <hyperlink ref="EG339" r:id="rId1714" display="https://www.coingecko.com/pt/moedas/degen-base" xr:uid="{10A3BD51-AD60-42E6-A69A-F4277FC7324D}"/>
    <hyperlink ref="EG340" r:id="rId1715" display="https://www.coingecko.com/pt/moedas/degen-base" xr:uid="{371A2AB1-9F69-4CD9-8FB2-A41FEACAA054}"/>
    <hyperlink ref="EG341" r:id="rId1716" display="https://www.coingecko.com/pt/moedas/degen-base" xr:uid="{EBDBEE8C-FD60-48DD-9797-916EBCF5102D}"/>
    <hyperlink ref="EG342" r:id="rId1717" display="https://www.coingecko.com/pt/moedas/wormhole" xr:uid="{53047A9B-FFC6-464F-9433-8DF125AF1D8E}"/>
    <hyperlink ref="EG343" r:id="rId1718" display="https://www.coingecko.com/pt/moedas/wormhole" xr:uid="{246055D6-56A6-4853-ACA9-DE0983E10A68}"/>
    <hyperlink ref="EG344" r:id="rId1719" display="https://www.coingecko.com/pt/moedas/wormhole" xr:uid="{0CB8A5D4-E88A-4289-A2D7-D1D786125058}"/>
    <hyperlink ref="EG345" r:id="rId1720" display="https://www.coingecko.com/pt/moedas/ethereum" xr:uid="{9B68C74B-213F-4F79-8016-23C38BB452D0}"/>
    <hyperlink ref="EG346" r:id="rId1721" display="https://www.coingecko.com/pt/moedas/ethereum" xr:uid="{D67F2F00-D7D7-414D-B2D6-7E8EC5BACBCF}"/>
    <hyperlink ref="EG347" r:id="rId1722" display="https://www.coingecko.com/pt/moedas/ethereum" xr:uid="{822BFE49-0253-4BEF-AC08-9A2397044CA9}"/>
    <hyperlink ref="EG348" r:id="rId1723" display="https://www.coingecko.com/pt/moedas/bittensor" xr:uid="{74EDA641-B17D-46FD-83AF-74ED3CC05D34}"/>
    <hyperlink ref="EG349" r:id="rId1724" display="https://www.coingecko.com/pt/moedas/bittensor" xr:uid="{93CD9968-DB92-4706-8AEF-2661BB40E5A0}"/>
    <hyperlink ref="EG350" r:id="rId1725" display="https://www.coingecko.com/pt/moedas/bittensor" xr:uid="{71E540CA-EB66-429F-9438-46F455D004DF}"/>
    <hyperlink ref="EG351" r:id="rId1726" display="https://www.coingecko.com/pt/moedas/polygon" xr:uid="{BECE454E-B5AE-49D4-9E6E-F5B5D9FB9DA4}"/>
    <hyperlink ref="EG352" r:id="rId1727" display="https://www.coingecko.com/pt/moedas/polygon" xr:uid="{0670912C-AFCC-41FB-A3D1-5928D1D79389}"/>
    <hyperlink ref="EG353" r:id="rId1728" display="https://www.coingecko.com/pt/moedas/polygon" xr:uid="{7DF5C8A8-D526-4ABB-B21A-2F596A6F4890}"/>
    <hyperlink ref="EG362" r:id="rId1729" display="https://www.coingecko.com/pt" xr:uid="{9CE792EE-8D88-4008-A8B3-6841E81FDA00}"/>
    <hyperlink ref="EG365" r:id="rId1730" display="https://www.coingecko.com/pt/news" xr:uid="{A5D2D84E-5FDE-4D07-AA4D-DE20DE646324}"/>
    <hyperlink ref="EG366" r:id="rId1731" display="https://www.coingecko.com/pt/public-companies-bitcoin" xr:uid="{866860DD-09A5-47F1-AC36-3DF81CF3FD56}"/>
    <hyperlink ref="EG367" r:id="rId1732" display="https://www.coingecko.com/pt/cryptocurrency-heatmap" xr:uid="{5AE8A670-F122-4218-956C-06FDAD32EA63}"/>
    <hyperlink ref="EG368" r:id="rId1733" display="https://www.coingecko.com/pt/api" xr:uid="{919EB7F4-8E0E-4465-B155-2DCFFE738A2B}"/>
    <hyperlink ref="EG375" r:id="rId1734" display="https://www.coingecko.com/request" xr:uid="{5BC25ED3-FAE3-4644-A63B-6A3090B33B1D}"/>
    <hyperlink ref="EG376" r:id="rId1735" display="https://gcko.io/coingeckoads" xr:uid="{9696C763-6C53-4B23-882F-99C3DD7D9C63}"/>
    <hyperlink ref="EG377" r:id="rId1736" display="https://www.coingecko.com/pt/candy/partners-getting-started" xr:uid="{D019F8EE-7785-42FE-83AD-0E8E793D61D4}"/>
    <hyperlink ref="EG378" r:id="rId1737" display="https://support.coingecko.com/" xr:uid="{5A1CF12F-DA51-4CBC-88A1-E974D1BECBEA}"/>
    <hyperlink ref="EG379" r:id="rId1738" display="https://hackenproof.com/coingecko/coingecko" xr:uid="{1F000F5D-E918-46A2-B696-ACE1A5D775ED}"/>
    <hyperlink ref="EG380" r:id="rId1739" display="https://www.coingecko.com/pt/faq" xr:uid="{3D79D552-78D9-4420-BA11-DE9AB2FE20ED}"/>
    <hyperlink ref="EG382" r:id="rId1740" display="https://www.coingecko.com/pt/sobre" xr:uid="{FF5C8723-2923-43F6-9E93-4FA22C413F25}"/>
    <hyperlink ref="EG383" r:id="rId1741" display="https://careers.coingecko.com/" xr:uid="{CF93AE3B-38FC-4A39-BFBC-5CF7B0B56F81}"/>
    <hyperlink ref="EG384" r:id="rId1742" display="https://careers.coingecko.com/" xr:uid="{4889EAB3-D487-47C7-9A18-2540389F8424}"/>
    <hyperlink ref="EG385" r:id="rId1743" display="https://blog.coingecko.com/" xr:uid="{5CD0549A-8BE7-43C6-8FB6-9D57F65FD1A4}"/>
    <hyperlink ref="EG386" r:id="rId1744" display="https://www.coingecko.com/pt/branding" xr:uid="{E438E61A-A8EF-43C7-8C48-E43F8F084AA6}"/>
    <hyperlink ref="EG387" r:id="rId1745" display="https://www.coingecko.com/pt/metodologia" xr:uid="{463C6DA6-B091-4CB6-9CA1-BDFC3B970F5C}"/>
    <hyperlink ref="EG388" r:id="rId1746" display="https://www.coingecko.com/pt/isen%C3%A7%C3%A3o_de_responsabilidade" xr:uid="{CAAD07A7-1E62-49C2-AA68-20DDC6BA6C0D}"/>
    <hyperlink ref="EG389" r:id="rId1747" display="https://www.coingecko.com/pt/termos" xr:uid="{C291F1A3-B407-4CED-B38C-2ABF70BDFF99}"/>
    <hyperlink ref="EG390" r:id="rId1748" display="https://www.coingecko.com/pt/privacidade" xr:uid="{95ADF2E3-84B9-4B79-8BA0-D006B891C44B}"/>
    <hyperlink ref="EG391" r:id="rId1749" display="https://www.coingecko.com/pt/ad_policy" xr:uid="{62001BBF-DBC5-4399-B39D-E98BC9618850}"/>
    <hyperlink ref="EG394" r:id="rId1750" display="https://twitter.com/coingecko" xr:uid="{E5CFB0B0-1414-4F23-9C4B-4E3C81F3B8D8}"/>
    <hyperlink ref="EG395" r:id="rId1751" display="https://t.me/coingecko" xr:uid="{338F0DCA-5143-4F53-A4A3-AC9921930553}"/>
    <hyperlink ref="EG396" r:id="rId1752" display="https://t.me/coingeckonews" xr:uid="{36C3A227-D84C-4B67-8852-ACD1E9F1A5A3}"/>
    <hyperlink ref="EG397" r:id="rId1753" display="https://www.instagram.com/coingecko/" xr:uid="{0CFD285A-4685-4D32-8E07-7CA8E8DDAADC}"/>
    <hyperlink ref="EG398" r:id="rId1754" display="https://www.reddit.com/r/coingecko/" xr:uid="{BECCC95B-5EE9-4FAB-9441-3A6B2DB05351}"/>
    <hyperlink ref="EG399" r:id="rId1755" display="https://discord.gg/EhrkaCH" xr:uid="{D4DB5D59-E83E-4A39-9071-7C205D34E846}"/>
    <hyperlink ref="EG400" r:id="rId1756" display="https://www.facebook.com/coingecko" xr:uid="{483FF8CF-FE32-4D2E-98C7-61E4DCEB1FD8}"/>
    <hyperlink ref="EG401" r:id="rId1757" display="https://www.youtube.com/channel/UC-OTgwOAI7KmP0eDAtqN3Ow?sub_confirmation=1" xr:uid="{187100DE-9225-4102-90A2-06A6F6CFF4B9}"/>
    <hyperlink ref="EG402" r:id="rId1758" display="https://www.tiktok.com/@coingeckotv" xr:uid="{F342E699-923B-47FB-AD69-B5066FA7399C}"/>
    <hyperlink ref="EG408" r:id="rId1759" display="https://www.coingecko.com/pt/isen%C3%A7%C3%A3o_de_responsabilidade" xr:uid="{722AAAD8-2818-416D-85FC-2E7CDC56AFF6}"/>
    <hyperlink ref="EG658" r:id="rId1760" display="https://coingecko.app.link/lTInCXLGz4" xr:uid="{32ECC332-FF9E-42C2-9E5C-FD0491A43F81}"/>
    <hyperlink ref="ET2" r:id="rId1761" display="https://www.coingecko.com/pt" xr:uid="{1C37F07D-9A3C-4896-9742-C53295DD3E42}"/>
    <hyperlink ref="ET3" r:id="rId1762" display="https://www.coingecko.com/pt/c%C3%A2mbios" xr:uid="{56E87DF2-85BB-4032-98DE-C665A3EA5856}"/>
    <hyperlink ref="ET4" r:id="rId1763" display="https://www.coingecko.com/pt/global-charts" xr:uid="{5E2E88C3-D82A-40FC-BB00-D3920FDCD17B}"/>
    <hyperlink ref="ET5" r:id="rId1764" display="https://www.coingecko.com/pt/global-charts" xr:uid="{6B5A8EE4-912D-432F-BEEE-C4DE2A9A3130}"/>
    <hyperlink ref="ET25" r:id="rId1765" display="https://www.coingecko.com/pt/premium/pricing" xr:uid="{BDA7083C-F347-4CD7-B46A-890D025ABF50}"/>
    <hyperlink ref="ET28:ET29" r:id="rId1766" display="https://coingecko.app.link/lTInCXLGz4" xr:uid="{70795B38-6A45-4BE5-9F16-39966C82E5A8}"/>
    <hyperlink ref="ET48" r:id="rId1767" display="https://www.geckoterminal.com/?utm_source=coingecko&amp;utm_medium=referral&amp;utm_campaign=desktop_navigation" xr:uid="{759A227C-5B00-43FB-BB19-EA7D1BCAA24A}"/>
    <hyperlink ref="ET49" r:id="rId1768" display="https://www.coingecko.com/pt/candy" xr:uid="{CEEF37A1-C3EF-448B-8A6B-D51C8F17AF57}"/>
    <hyperlink ref="ET50" r:id="rId1769" display="https://www.coingecko.com/pt/candy" xr:uid="{06E7A3AD-DFB7-4BC0-9868-3B8B8D5CAD54}"/>
    <hyperlink ref="ET51" r:id="rId1770" display="https://www.coingecko.com/pt/candy" xr:uid="{D9341D23-121E-4710-AA8D-5F7825AA7059}"/>
    <hyperlink ref="ET52" r:id="rId1771" display="https://www.coingecko.com/pt/portfolio" xr:uid="{4EF25506-D201-4D21-9B6C-4BFC4EC7BB2D}"/>
    <hyperlink ref="ET70" r:id="rId1772" display="https://gcko.io/search-survey" xr:uid="{38288E0E-29F7-46CB-875C-A80FC3FAEF5D}"/>
    <hyperlink ref="ET73" r:id="rId1773" display="https://www.coingecko.com/pt" xr:uid="{6C196FC5-DACB-4CE9-BDDC-0D457B580EAE}"/>
    <hyperlink ref="ET92" r:id="rId1774" display="https://www.coingecko.com/pt/metodologia" xr:uid="{146B04D6-D2BC-47E6-B506-62C073261F0C}"/>
    <hyperlink ref="ET106" r:id="rId1775" display="https://www.coingecko.com/pt/api" xr:uid="{7C9FBFED-857C-41B1-9E3B-E57E0D81BA4A}"/>
    <hyperlink ref="ET107" r:id="rId1776" display="https://www.tradingview.com/?aff_id=132489" xr:uid="{7ACB816F-7005-42BA-BE0B-86702E93BD90}"/>
    <hyperlink ref="ET123" r:id="rId1777" display="https://www.coingecko.com/pt/metodologia" xr:uid="{F05DE8A6-235B-44A5-9184-5AD87A1E6716}"/>
    <hyperlink ref="ET129" r:id="rId1778" display="https://www.coingecko.com/learn/what-is-fully-diluted-valuation-fdv-in-crypto" xr:uid="{397DD79B-C2D2-4036-B44A-4D7FC5E188A1}"/>
    <hyperlink ref="ET139" r:id="rId1779" display="https://www.coingecko.com/learn/what-is-fully-diluted-valuation-fdv-in-crypto" xr:uid="{0AB0F535-4512-4754-A1F2-0F8DED025AB0}"/>
    <hyperlink ref="ET147" r:id="rId1780" display="https://www.coingecko.com/pt/metodologia" xr:uid="{FCE3ECC8-D5CA-485B-8364-B81BE66DC9E1}"/>
    <hyperlink ref="ET151" r:id="rId1781" display="https://defillama.com/" xr:uid="{0963D63A-FBFF-46E5-8D10-8D9B3249378B}"/>
    <hyperlink ref="ET155" r:id="rId1782" display="https://www.coingecko.com/pt/metodologia" xr:uid="{9C5F274E-D7AE-4705-8D76-F9972BCEA6CC}"/>
    <hyperlink ref="EU153" r:id="rId1783" xr:uid="{011BCB08-D6D8-4931-8C5E-41F83C8FE2B0}"/>
    <hyperlink ref="ET171" r:id="rId1784" display="https://forms.gle/ULNnnCGCEAimK9cJ7" xr:uid="{657C06D2-0CC5-45DF-BC54-EFA36F953B18}"/>
    <hyperlink ref="ET173" r:id="rId1785" display="http://stacks.co/" xr:uid="{E0C5D921-EE0F-49D3-AC00-5A1D7823ED0B}"/>
    <hyperlink ref="ET174" r:id="rId1786" display="https://gaia.blockstack.org/hub/1AxyPunHHAHiEffXWESKfbvmBpGQv138Fp/stacks.pdf" xr:uid="{3A8825C6-EABF-4793-9507-EE87C370B4BA}"/>
    <hyperlink ref="ET175" r:id="rId1787" display="https://www.stacks.co/blog" xr:uid="{1914C30E-1988-4C4A-AA7D-7792C4DE4AFD}"/>
    <hyperlink ref="ET177" r:id="rId1788" display="https://explorer.stacks.co/" xr:uid="{FDE42F4B-30FC-420A-BF7A-44E691096FD7}"/>
    <hyperlink ref="ET178" r:id="rId1789" display="https://stxtools.io/)" xr:uid="{2017CFC1-E684-4288-81B7-21A085F2EDD0}"/>
    <hyperlink ref="ET180" r:id="rId1790" display="https://gcko.io/ledger" xr:uid="{DAA6D455-4AE8-49EB-8FE3-BA7C7CE31E9F}"/>
    <hyperlink ref="ET183" r:id="rId1791" display="https://twitter.com/Stacks" xr:uid="{B2ADFBC5-F4CD-4855-A09F-DA81B5249F6E}"/>
    <hyperlink ref="ET184" r:id="rId1792" display="https://t.me/StacksChat" xr:uid="{085F7170-3FB1-4EA8-8A74-9BCDA7DEAE9F}"/>
    <hyperlink ref="ET185" r:id="rId1793" display="https://discord.com/invite/5DJaBrf" xr:uid="{C2CEEAB0-B1DA-4544-AE4D-BB66EB48A508}"/>
    <hyperlink ref="ET186" r:id="rId1794" display="https://www.stacks.co/blog" xr:uid="{ADF5BE7F-E255-42E2-A134-D4DB9382F0D7}"/>
    <hyperlink ref="ET187" r:id="rId1795" display="https://forum.stacks.org/" xr:uid="{5194B64D-783B-44F9-A383-0543FA02979B}"/>
    <hyperlink ref="ET189" r:id="rId1796" display="https://twitter.com/search?q=$STX" xr:uid="{FBB97F75-8FB2-46E6-A336-78FAD3B374B7}"/>
    <hyperlink ref="ET191" r:id="rId1797" display="https://github.com/stacks-network" xr:uid="{B1908E77-B079-46FC-87BE-18D1B3E80EA4}"/>
    <hyperlink ref="ET195" r:id="rId1798" display="https://www.coingecko.com/pt/categories/stacks-ecosystem" xr:uid="{B0720779-1D10-4A3B-B959-8825A9987E18}"/>
    <hyperlink ref="ET197" r:id="rId1799" display="https://www.coingecko.com/pt/categories/infrastructure" xr:uid="{4AC6A197-D6B9-4A49-B4D1-D54A89BC21C8}"/>
    <hyperlink ref="EU254" r:id="rId1800" display="https://www.coingecko.com/pt/c%C3%A2mbios/gate-io" xr:uid="{29EDF04F-37BE-4DBF-9057-21001EDA23DE}"/>
    <hyperlink ref="EU255" r:id="rId1801" display="https://www.coingecko.com/pt/c%C3%A2mbios/gate-io" xr:uid="{37E9E432-61B3-4282-AFA3-325145D10796}"/>
    <hyperlink ref="EW254" r:id="rId1802" display="https://gate.io/trade/STX_USDT?ref=3018394" xr:uid="{E99F9951-321F-45ED-A7F5-31480C62A721}"/>
    <hyperlink ref="EU256" r:id="rId1803" display="https://www.coingecko.com/pt/c%C3%A2mbios/binance" xr:uid="{F07FFF6B-FE9F-4C98-944E-F7A23EAEBDB3}"/>
    <hyperlink ref="EU257" r:id="rId1804" display="https://www.coingecko.com/pt/c%C3%A2mbios/binance" xr:uid="{70494D37-150F-4EF9-BC54-DF91F64FF411}"/>
    <hyperlink ref="EW256" r:id="rId1805" display="https://www.binance.com/en/trade/STX_USDT?ref=37754157" xr:uid="{49E71A94-C4FE-424A-B80E-0C7A220915E5}"/>
    <hyperlink ref="EU258" r:id="rId1806" display="https://www.coingecko.com/pt/c%C3%A2mbios/bingx" xr:uid="{1C240015-E00A-4AFB-AABD-09B8FD2EDCB4}"/>
    <hyperlink ref="EU259" r:id="rId1807" display="https://www.coingecko.com/pt/c%C3%A2mbios/bingx" xr:uid="{6E47FB12-C28D-46BB-9143-7A7FEC1E5FF8}"/>
    <hyperlink ref="EW258" r:id="rId1808" display="https://bingx.com/en-us/spot/STXUSDT?ch=cgk_organic" xr:uid="{F2B82807-CCF1-4850-9BE1-14D2FAA00587}"/>
    <hyperlink ref="EU260" r:id="rId1809" display="https://www.coingecko.com/pt/c%C3%A2mbios/digifinex" xr:uid="{7B4F762A-5A1B-40F4-9330-90F6CEDB74B5}"/>
    <hyperlink ref="EU261" r:id="rId1810" display="https://www.coingecko.com/pt/c%C3%A2mbios/digifinex" xr:uid="{A6DB1BF0-9A68-4A6C-B652-02CA78D62614}"/>
    <hyperlink ref="EW260" r:id="rId1811" display="https://www.digifinex.com/en-ww/trade/USDT/STX" xr:uid="{04350576-AC94-49C3-86AF-EDA84574288B}"/>
    <hyperlink ref="EU262" r:id="rId1812" display="https://www.coingecko.com/pt/c%C3%A2mbios/bitget" xr:uid="{8D363D6A-F7F5-4BE9-8327-A58CEAF04014}"/>
    <hyperlink ref="EU263" r:id="rId1813" display="https://www.coingecko.com/pt/c%C3%A2mbios/bitget" xr:uid="{176C12B5-35CD-47BA-807B-2CA5FEFB98F7}"/>
    <hyperlink ref="EW262" r:id="rId1814" display="https://www.bitget.com/spot/STXUSDT?channelCode=42xn&amp;vipCode=sq59&amp;languageType=0" xr:uid="{93F990A3-C470-4973-BF7D-6280A2F9609F}"/>
    <hyperlink ref="EU264" r:id="rId1815" display="https://www.coingecko.com/pt/c%C3%A2mbios/binance" xr:uid="{1004D1FC-9429-4018-B52A-C31FEAAE9EB1}"/>
    <hyperlink ref="EU265" r:id="rId1816" display="https://www.coingecko.com/pt/c%C3%A2mbios/binance" xr:uid="{E275DDFA-4F07-4374-9C5B-0AA86067E36B}"/>
    <hyperlink ref="EW264" r:id="rId1817" display="https://www.binance.com/en/trade/STX_BTC?ref=37754157" xr:uid="{01582FA1-13AF-4661-9295-AC68A4A11976}"/>
    <hyperlink ref="EU266" r:id="rId1818" display="https://www.coingecko.com/pt/c%C3%A2mbios/mexc" xr:uid="{C3706894-7705-4D99-AA15-B09722904A22}"/>
    <hyperlink ref="EU267" r:id="rId1819" display="https://www.coingecko.com/pt/c%C3%A2mbios/mexc" xr:uid="{55D81818-FF7A-4744-8B79-F674A1D703D4}"/>
    <hyperlink ref="EW266" r:id="rId1820" display="https://www.mexc.com/exchange/STX_USDT?inviteCode=1498J" xr:uid="{0445C41A-AADC-4C7C-AD78-3E581121A8DC}"/>
    <hyperlink ref="EU268" r:id="rId1821" display="https://www.coingecko.com/pt/c%C3%A2mbios/coinbase-exchange" xr:uid="{775100A6-DD56-4770-ABAB-33F19D44C770}"/>
    <hyperlink ref="EU269" r:id="rId1822" display="https://www.coingecko.com/pt/c%C3%A2mbios/coinbase-exchange" xr:uid="{B57EB760-F65D-4E92-82F6-DCCB72EFC894}"/>
    <hyperlink ref="EW268" r:id="rId1823" display="https://www.coinbase.com/advanced-trade/spot/STX-USD" xr:uid="{74ABAA42-0A5B-45EA-8193-CCE21B25E040}"/>
    <hyperlink ref="EU270" r:id="rId1824" display="https://www.coingecko.com/pt/c%C3%A2mbios/crypto_com" xr:uid="{189DA5FD-7837-48A4-8E08-E42A25F9FD54}"/>
    <hyperlink ref="EU271" r:id="rId1825" display="https://www.coingecko.com/pt/c%C3%A2mbios/crypto_com" xr:uid="{D316B91A-4EED-4D2F-9858-71E9429F3B1F}"/>
    <hyperlink ref="EW270" r:id="rId1826" display="https://crypto.com/exchange/trade/spot/STX_USD" xr:uid="{C4739659-5957-482D-BB0B-0C070A5FAA6F}"/>
    <hyperlink ref="EU272" r:id="rId1827" display="https://www.coingecko.com/pt/c%C3%A2mbios/okx" xr:uid="{7117FE45-453C-420A-8FE8-43A13506B9BA}"/>
    <hyperlink ref="EU273" r:id="rId1828" display="https://www.coingecko.com/pt/c%C3%A2mbios/okx" xr:uid="{E4F0B365-05D2-4B12-BD23-A9A9F127267C}"/>
    <hyperlink ref="EW272" r:id="rId1829" display="https://www.okx.com/trade-spot/stx-usdt?channelid=1902090" xr:uid="{FCD5B68E-3D67-4827-ADEB-F847F25F5C09}"/>
    <hyperlink ref="ET284" r:id="rId1830" display="https://www.cryptopolitan.com/pt/pilhas-de-dinheiro-bitcoin-e-rebelde-satoshi-rblz-sao-tres-moedas-que-voce-deveria-comprar-apos-o-halving-do-bitcoin/" xr:uid="{68664A5C-499A-4519-BE5C-2FCBDAD46868}"/>
    <hyperlink ref="ET285" r:id="rId1831" display="https://www.cryptopolitan.com/pt/pilhas-de-dinheiro-bitcoin-e-rebelde-satoshi-rblz-sao-tres-moedas-que-voce-deveria-comprar-apos-o-halving-do-bitcoin/" xr:uid="{FC0777F7-9E04-4B9B-B88C-A2C3AF6DF8DB}"/>
    <hyperlink ref="ET286" r:id="rId1832" display="https://www.cryptopolitan.com/pt/pilhas-de-dinheiro-bitcoin-e-rebelde-satoshi-rblz-sao-tres-moedas-que-voce-deveria-comprar-apos-o-halving-do-bitcoin/" xr:uid="{3113DEDC-0E77-4E4F-B6D4-4E59E2476EEA}"/>
    <hyperlink ref="ET287" r:id="rId1833" display="https://www.cryptopolitan.com/pt/pilhas-de-dinheiro-bitcoin-e-rebelde-satoshi-rblz-sao-tres-moedas-que-voce-deveria-comprar-apos-o-halving-do-bitcoin/" xr:uid="{AD90605C-8A87-42DC-B5E1-779DCC72930A}"/>
    <hyperlink ref="ET288:ET289" r:id="rId1834" display="https://br.beincrypto.com/halving-do-bitcoin-camada-2-desempenho/" xr:uid="{49D17E54-223C-425B-B5A1-8D1BDC199AC5}"/>
    <hyperlink ref="ET290" r:id="rId1835" display="https://br.beincrypto.com/halving-do-bitcoin-camada-2-desempenho/" xr:uid="{7B47515E-85E0-46B7-A45B-EA25546C2288}"/>
    <hyperlink ref="ET291" r:id="rId1836" display="https://br.beincrypto.com/halving-do-bitcoin-camada-2-desempenho/" xr:uid="{7A698AC8-5451-49F0-9129-D691F4D116EE}"/>
    <hyperlink ref="ET296" r:id="rId1837" display="https://www.coingecko.com/pt/moedas/stacks/usd" xr:uid="{0C58C9AE-267D-4A6F-9AD6-3EB84735B449}"/>
    <hyperlink ref="ET297" r:id="rId1838" display="https://www.coingecko.com/pt/moedas/stacks/usd" xr:uid="{437B2BB6-836C-416D-8A14-D492C1DD1623}"/>
    <hyperlink ref="ET298" r:id="rId1839" display="https://www.coingecko.com/pt/moedas/stacks/eur" xr:uid="{8D3CACF1-BC15-4BB0-A9BC-3F6BDCD7B68B}"/>
    <hyperlink ref="ET299" r:id="rId1840" display="https://www.coingecko.com/pt/moedas/stacks/eur" xr:uid="{698C1C55-13A1-461D-B6E2-1BF9CE5AF8E4}"/>
    <hyperlink ref="ET300" r:id="rId1841" display="https://www.coingecko.com/pt/moedas/stacks/brl" xr:uid="{34DF77F4-8B36-4E9A-8340-D6688510FBB0}"/>
    <hyperlink ref="ET301" r:id="rId1842" display="https://www.coingecko.com/pt/moedas/stacks/brl" xr:uid="{3D3B63A3-AA0F-49E1-8619-0CEDF98FD983}"/>
    <hyperlink ref="ET305" r:id="rId1843" display="https://www.coingecko.com/pt/moedas/elastos" xr:uid="{C1503DDD-5F8E-4E36-8B25-26E20CF1EA68}"/>
    <hyperlink ref="ET306" r:id="rId1844" display="https://www.coingecko.com/pt/moedas/elastos" xr:uid="{D475FC85-D29C-4BE3-97A7-2A696DD8AB99}"/>
    <hyperlink ref="ET307" r:id="rId1845" display="https://www.coingecko.com/pt/moedas/elastos" xr:uid="{558172EE-9D1A-479B-8AF8-C98DC410852B}"/>
    <hyperlink ref="ET308" r:id="rId1846" display="https://www.coingecko.com/pt/moedas/satoshivm" xr:uid="{6ECB99AF-292A-45FF-9420-115DD3C8A81D}"/>
    <hyperlink ref="ET309" r:id="rId1847" display="https://www.coingecko.com/pt/moedas/satoshivm" xr:uid="{6E8F61B7-14D1-43B0-A909-DC8289837A7B}"/>
    <hyperlink ref="ET310" r:id="rId1848" display="https://www.coingecko.com/pt/moedas/satoshivm" xr:uid="{8D993DBE-A164-4CF9-A987-04D3F89863C9}"/>
    <hyperlink ref="ET311" r:id="rId1849" display="https://www.coingecko.com/pt/moedas/bitcoin" xr:uid="{721CCB4D-67C7-4C69-9640-AF31C365E899}"/>
    <hyperlink ref="ET312" r:id="rId1850" display="https://www.coingecko.com/pt/moedas/bitcoin" xr:uid="{6C2F3278-B336-4F6D-BEC9-4BCF932463B7}"/>
    <hyperlink ref="ET313" r:id="rId1851" display="https://www.coingecko.com/pt/moedas/bitcoin" xr:uid="{36DBB8F0-A936-4284-9A4C-DE9DB188A705}"/>
    <hyperlink ref="ET314" r:id="rId1852" display="https://www.coingecko.com/pt/moedas/ethereum" xr:uid="{C267368C-E07B-4B1F-8EF2-8D7AE1505B63}"/>
    <hyperlink ref="ET315" r:id="rId1853" display="https://www.coingecko.com/pt/moedas/ethereum" xr:uid="{39B4631A-908F-4E46-9E40-A00CE3D97D2B}"/>
    <hyperlink ref="ET316" r:id="rId1854" display="https://www.coingecko.com/pt/moedas/ethereum" xr:uid="{CF9D30D9-9370-4CD8-B467-D992D83C429D}"/>
    <hyperlink ref="ET317" r:id="rId1855" display="https://www.coingecko.com/pt/moedas/bitcoin-cash" xr:uid="{8804975C-C2C8-4FD6-AF5B-995E858721AF}"/>
    <hyperlink ref="ET318" r:id="rId1856" display="https://www.coingecko.com/pt/moedas/bitcoin-cash" xr:uid="{4DD00DA8-3D2A-4D8A-81E2-5EC2D0A74652}"/>
    <hyperlink ref="ET319" r:id="rId1857" display="https://www.coingecko.com/pt/moedas/bitcoin-cash" xr:uid="{E9B9C8B5-F64D-46C6-B95F-6A29A5C90CF6}"/>
    <hyperlink ref="ET323" r:id="rId1858" display="https://www.coingecko.com/pt/moedas/solana" xr:uid="{462A89B8-CC8E-44CB-A8AD-1815429649FB}"/>
    <hyperlink ref="ET324" r:id="rId1859" display="https://www.coingecko.com/pt/moedas/solana" xr:uid="{CFA16948-2C49-4585-9832-40B4522CC172}"/>
    <hyperlink ref="ET325" r:id="rId1860" display="https://www.coingecko.com/pt/moedas/solana" xr:uid="{4081D9BC-6C2D-4155-8E47-A369BED9C36D}"/>
    <hyperlink ref="ET326" r:id="rId1861" display="https://www.coingecko.com/pt/moedas/dione" xr:uid="{7F760E7C-B1F2-462D-AA74-72C7606D9A45}"/>
    <hyperlink ref="ET327" r:id="rId1862" display="https://www.coingecko.com/pt/moedas/dione" xr:uid="{17D7AAAE-90B9-4FBD-9F43-3EE0755EA363}"/>
    <hyperlink ref="ET328" r:id="rId1863" display="https://www.coingecko.com/pt/moedas/dione" xr:uid="{879EFD62-61E5-4DE8-BB8F-617F0056FB60}"/>
    <hyperlink ref="ET329" r:id="rId1864" display="https://www.coingecko.com/pt/moedas/pixels" xr:uid="{412A20DE-50C7-4EC7-A009-5DAA0EFCC930}"/>
    <hyperlink ref="ET330" r:id="rId1865" display="https://www.coingecko.com/pt/moedas/pixels" xr:uid="{444C5505-B22A-46D4-AD19-A03444831014}"/>
    <hyperlink ref="ET331" r:id="rId1866" display="https://www.coingecko.com/pt/moedas/pixels" xr:uid="{EEFBDAF6-C49C-422E-A59D-B8A29ADDFF5F}"/>
    <hyperlink ref="ET332" r:id="rId1867" display="https://www.coingecko.com/pt/moedas/pepe" xr:uid="{01C0503F-4467-42DD-B9B6-DEB088D116AC}"/>
    <hyperlink ref="ET333" r:id="rId1868" display="https://www.coingecko.com/pt/moedas/pepe" xr:uid="{577F75B1-5AF0-4AE3-B7CE-58B564C47FF2}"/>
    <hyperlink ref="ET334" r:id="rId1869" display="https://www.coingecko.com/pt/moedas/pepe" xr:uid="{7326C2EC-80AF-4E93-B7EA-E9C0581EECA6}"/>
    <hyperlink ref="ET335" r:id="rId1870" display="https://www.coingecko.com/pt/moedas/degen-base" xr:uid="{F075D034-548E-40A3-83CA-42F84A28538A}"/>
    <hyperlink ref="ET336" r:id="rId1871" display="https://www.coingecko.com/pt/moedas/degen-base" xr:uid="{5FD08678-C10D-4775-A23E-8DE264C1FE39}"/>
    <hyperlink ref="ET337" r:id="rId1872" display="https://www.coingecko.com/pt/moedas/degen-base" xr:uid="{B0AA7F77-76AF-4E64-B223-1D0DD0732914}"/>
    <hyperlink ref="ET338" r:id="rId1873" display="https://www.coingecko.com/pt/moedas/bitcoin" xr:uid="{B2BE1D8A-A0EC-4771-B53C-9531EB28A5B9}"/>
    <hyperlink ref="ET339" r:id="rId1874" display="https://www.coingecko.com/pt/moedas/bitcoin" xr:uid="{C13785DD-1AD4-4D6F-B857-758BDA5D2365}"/>
    <hyperlink ref="ET340" r:id="rId1875" display="https://www.coingecko.com/pt/moedas/bitcoin" xr:uid="{8BF27A3B-5994-4974-AD67-4025563777A2}"/>
    <hyperlink ref="ET341" r:id="rId1876" display="https://www.coingecko.com/pt/moedas/ethereum" xr:uid="{70D0E0FA-D740-4FBB-995C-39C888B3546D}"/>
    <hyperlink ref="ET342" r:id="rId1877" display="https://www.coingecko.com/pt/moedas/ethereum" xr:uid="{19265222-2FE7-4E6E-B0D2-FF3E08C3A438}"/>
    <hyperlink ref="ET343" r:id="rId1878" display="https://www.coingecko.com/pt/moedas/ethereum" xr:uid="{AEC6E13A-DF4F-4F8B-A529-74A385AC70AF}"/>
    <hyperlink ref="ET344" r:id="rId1879" display="https://www.coingecko.com/pt/moedas/wormhole" xr:uid="{AA3528A1-E098-4CCB-B595-39D982F7C0CA}"/>
    <hyperlink ref="ET345" r:id="rId1880" display="https://www.coingecko.com/pt/moedas/wormhole" xr:uid="{6BE10AAE-1BD5-4A5A-8765-AB5F476E67E2}"/>
    <hyperlink ref="ET346" r:id="rId1881" display="https://www.coingecko.com/pt/moedas/wormhole" xr:uid="{64260A05-CAA3-40C3-BCDB-88373E5EE98C}"/>
    <hyperlink ref="ET347" r:id="rId1882" display="https://www.coingecko.com/pt/moedas/pendle" xr:uid="{3D5DF255-2D94-4DF7-84AE-FCBEDB997072}"/>
    <hyperlink ref="ET348" r:id="rId1883" display="https://www.coingecko.com/pt/moedas/pendle" xr:uid="{E3D57F11-F744-4026-AFBD-A62785621E33}"/>
    <hyperlink ref="ET349" r:id="rId1884" display="https://www.coingecko.com/pt/moedas/pendle" xr:uid="{C306EC0C-E626-47D7-8A73-8EA4FF691BCC}"/>
    <hyperlink ref="ET350" r:id="rId1885" display="https://www.coingecko.com/pt/moedas/kaspa" xr:uid="{614E8F34-420F-4E40-A963-81260312C34B}"/>
    <hyperlink ref="ET351" r:id="rId1886" display="https://www.coingecko.com/pt/moedas/kaspa" xr:uid="{07C707A1-0478-4D74-A59E-0071B50DBE57}"/>
    <hyperlink ref="ET352" r:id="rId1887" display="https://www.coingecko.com/pt/moedas/kaspa" xr:uid="{84171330-0A33-4806-9D8D-EBED1D13B210}"/>
    <hyperlink ref="ET361" r:id="rId1888" display="https://www.coingecko.com/pt" xr:uid="{A8501A48-7531-4D49-949C-459A6C885346}"/>
    <hyperlink ref="ET364" r:id="rId1889" display="https://www.coingecko.com/pt/news" xr:uid="{60BE2580-0BB7-4CB0-8326-D4E021D1FED2}"/>
    <hyperlink ref="ET365" r:id="rId1890" display="https://www.coingecko.com/pt/public-companies-bitcoin" xr:uid="{191003B2-C7F7-4720-B7FE-AE84FD1E1C9E}"/>
    <hyperlink ref="ET366" r:id="rId1891" display="https://www.coingecko.com/pt/cryptocurrency-heatmap" xr:uid="{CABC0CF0-FE03-40B5-BFDA-FB0275DC87B3}"/>
    <hyperlink ref="ET367" r:id="rId1892" display="https://www.coingecko.com/pt/api" xr:uid="{B446817E-6CA5-4AE1-ABFB-2A46446E1852}"/>
    <hyperlink ref="ET374" r:id="rId1893" display="https://www.coingecko.com/request" xr:uid="{34D57B1F-5C90-4CFB-8224-B23D0AE128AC}"/>
    <hyperlink ref="ET375" r:id="rId1894" display="https://gcko.io/coingeckoads" xr:uid="{9A0815A6-3332-4959-9076-31134AAD4391}"/>
    <hyperlink ref="ET376" r:id="rId1895" display="https://www.coingecko.com/pt/candy/partners-getting-started" xr:uid="{29D596BB-C82E-4FA3-B953-F2EA7F00E88E}"/>
    <hyperlink ref="ET377" r:id="rId1896" display="https://support.coingecko.com/" xr:uid="{61E302F9-AD96-44B9-A2D4-5425A88ECEF9}"/>
    <hyperlink ref="ET378" r:id="rId1897" display="https://hackenproof.com/coingecko/coingecko" xr:uid="{43A29C41-5D65-49FF-B39E-76094D256824}"/>
    <hyperlink ref="ET379" r:id="rId1898" display="https://www.coingecko.com/pt/faq" xr:uid="{5350AA16-32E5-4998-B02B-DAC057AD1214}"/>
    <hyperlink ref="ET381" r:id="rId1899" display="https://www.coingecko.com/pt/sobre" xr:uid="{C2D2C849-A0F2-40AA-BDC2-81FD8B4D20B3}"/>
    <hyperlink ref="ET382" r:id="rId1900" display="https://careers.coingecko.com/" xr:uid="{292D87F8-A62D-440B-BFA9-1039CBFA2556}"/>
    <hyperlink ref="ET383" r:id="rId1901" display="https://careers.coingecko.com/" xr:uid="{5C2CCB53-1BC3-4782-B0B1-93391EF8F3C7}"/>
    <hyperlink ref="ET384" r:id="rId1902" display="https://blog.coingecko.com/" xr:uid="{2E72B151-2CD8-49E9-9E1E-266732CBE0EF}"/>
    <hyperlink ref="ET385" r:id="rId1903" display="https://www.coingecko.com/pt/branding" xr:uid="{2F9A6ED3-AED1-4938-9BDF-C3D340C18DA0}"/>
    <hyperlink ref="ET386" r:id="rId1904" display="https://www.coingecko.com/pt/metodologia" xr:uid="{248D9686-C211-41A3-848A-B16548022B87}"/>
    <hyperlink ref="ET387" r:id="rId1905" display="https://www.coingecko.com/pt/isen%C3%A7%C3%A3o_de_responsabilidade" xr:uid="{B2F732F8-C476-4DA5-BF92-ADFF5AA87C73}"/>
    <hyperlink ref="ET388" r:id="rId1906" display="https://www.coingecko.com/pt/termos" xr:uid="{F70B0EB1-183C-4766-A042-CDFA41ACEE83}"/>
    <hyperlink ref="ET389" r:id="rId1907" display="https://www.coingecko.com/pt/privacidade" xr:uid="{33C9A908-0AE1-4766-96D8-7E6DCC9E7C84}"/>
    <hyperlink ref="ET390" r:id="rId1908" display="https://www.coingecko.com/pt/ad_policy" xr:uid="{F0E72184-CE39-4EF0-813D-7A9A1688678D}"/>
    <hyperlink ref="ET393" r:id="rId1909" display="https://twitter.com/coingecko" xr:uid="{67595716-8D54-4B04-8839-CB7D8FEDD06F}"/>
    <hyperlink ref="ET394" r:id="rId1910" display="https://t.me/coingecko" xr:uid="{686F3EE3-E4BC-4B49-86E2-64E7C9DF1892}"/>
    <hyperlink ref="ET395" r:id="rId1911" display="https://t.me/coingeckonews" xr:uid="{2DDE3D3A-9D33-4AF8-AAEB-66AE8C7962DA}"/>
    <hyperlink ref="ET396" r:id="rId1912" display="https://www.instagram.com/coingecko/" xr:uid="{111E8B06-A81B-402B-9C7A-3E0970A978D8}"/>
    <hyperlink ref="ET397" r:id="rId1913" display="https://www.reddit.com/r/coingecko/" xr:uid="{32099625-94E9-4094-B9F7-E198F99A9249}"/>
    <hyperlink ref="ET398" r:id="rId1914" display="https://discord.gg/EhrkaCH" xr:uid="{748D2A58-32ED-4502-9B9E-8E4341CFF291}"/>
    <hyperlink ref="ET399" r:id="rId1915" display="https://www.facebook.com/coingecko" xr:uid="{D374647E-CF2C-4213-BAF5-11F21833DC0C}"/>
    <hyperlink ref="ET400" r:id="rId1916" display="https://www.youtube.com/channel/UC-OTgwOAI7KmP0eDAtqN3Ow?sub_confirmation=1" xr:uid="{28FDBD0B-8529-4134-BD40-CCF46E2923D4}"/>
    <hyperlink ref="ET401" r:id="rId1917" display="https://www.tiktok.com/@coingeckotv" xr:uid="{0DBF8E68-9945-4171-A085-867DF2B709F7}"/>
    <hyperlink ref="ET407" r:id="rId1918" display="https://www.coingecko.com/pt/isen%C3%A7%C3%A3o_de_responsabilidade" xr:uid="{20E6DF66-502D-411B-A304-B79936846DF4}"/>
    <hyperlink ref="ET657" r:id="rId1919" display="https://coingecko.app.link/lTInCXLGz4" xr:uid="{9C85D3B5-FFCF-4578-A8EE-0F939B2212CF}"/>
    <hyperlink ref="FG2" r:id="rId1920" display="https://www.coingecko.com/pt" xr:uid="{344AA7C2-0209-4DB2-A0C3-46AA22EA2B57}"/>
    <hyperlink ref="FG3" r:id="rId1921" display="https://www.coingecko.com/pt/c%C3%A2mbios" xr:uid="{2402B5C7-D45E-498B-B8A8-B02CE62B54F1}"/>
    <hyperlink ref="FG4" r:id="rId1922" display="https://www.coingecko.com/pt/global-charts" xr:uid="{AD41A304-62AD-4D41-A4B5-B0BE354FB7F2}"/>
    <hyperlink ref="FG5" r:id="rId1923" display="https://www.coingecko.com/pt/global-charts" xr:uid="{F0629A77-D025-4724-BC9C-796EAF10ACA5}"/>
    <hyperlink ref="FG25" r:id="rId1924" display="https://www.coingecko.com/pt/premium/pricing" xr:uid="{5E1C6727-81C0-4A45-B958-27F3C193A8EC}"/>
    <hyperlink ref="FG28:FG29" r:id="rId1925" display="https://coingecko.app.link/lTInCXLGz4" xr:uid="{0F7C3B4F-3D86-49B2-BC2C-4398F0E564B5}"/>
    <hyperlink ref="FG48" r:id="rId1926" display="https://www.geckoterminal.com/?utm_source=coingecko&amp;utm_medium=referral&amp;utm_campaign=desktop_navigation" xr:uid="{4B2FFEF7-69C8-4451-8644-94B20895FDBC}"/>
    <hyperlink ref="FG49" r:id="rId1927" display="https://www.coingecko.com/pt/candy" xr:uid="{62ADCEB8-CA9D-490D-B870-7AF63DD0BBC5}"/>
    <hyperlink ref="FG50" r:id="rId1928" display="https://www.coingecko.com/pt/candy" xr:uid="{425E5434-2433-46F7-A331-6C7B6E4DBDE7}"/>
    <hyperlink ref="FG51" r:id="rId1929" display="https://www.coingecko.com/pt/candy" xr:uid="{2404C706-54C4-4F99-A7F4-05ACBFF7E30D}"/>
    <hyperlink ref="FG52" r:id="rId1930" display="https://www.coingecko.com/pt/portfolio" xr:uid="{AA21E304-37F2-439F-80BD-7C614D74A118}"/>
    <hyperlink ref="FG70" r:id="rId1931" display="https://gcko.io/search-survey" xr:uid="{816C31F3-8B99-463A-9B35-D0A6BDC0CE6E}"/>
    <hyperlink ref="FG73" r:id="rId1932" display="https://www.coingecko.com/pt" xr:uid="{B2CDF22A-E0B3-4951-B882-6AD6CCF094A8}"/>
    <hyperlink ref="FG92" r:id="rId1933" display="https://www.coingecko.com/pt/metodologia" xr:uid="{0E69844A-9262-488F-9DF1-5C5FD752EE6F}"/>
    <hyperlink ref="FG106" r:id="rId1934" display="https://www.coingecko.com/pt/api" xr:uid="{86C1293B-6622-4842-BC9F-B5BD640D33C5}"/>
    <hyperlink ref="FG107" r:id="rId1935" display="https://www.tradingview.com/?aff_id=132489" xr:uid="{4B67682C-496C-4D0D-B060-BF61DF6FD5A6}"/>
    <hyperlink ref="FG123" r:id="rId1936" display="https://www.coingecko.com/pt/metodologia" xr:uid="{5700400D-5B3C-4EAC-B0CE-C2F5D8723A7C}"/>
    <hyperlink ref="FG129" r:id="rId1937" display="https://www.coingecko.com/learn/what-is-fully-diluted-valuation-fdv-in-crypto" xr:uid="{6F8D684C-5613-469E-8DBA-486D5A0E8DC1}"/>
    <hyperlink ref="FG135" r:id="rId1938" display="https://www.coingecko.com/learn/what-is-fully-diluted-valuation-fdv-in-crypto" xr:uid="{E1EDEA17-A691-49CA-A46B-D4DF9B2A7598}"/>
    <hyperlink ref="FG139" r:id="rId1939" display="https://www.coingecko.com/pt/metodologia" xr:uid="{1FDDD1F1-A8F4-4861-A1CB-E89DA20FFC30}"/>
    <hyperlink ref="FG143" r:id="rId1940" display="https://www.coingecko.com/pt/metodologia" xr:uid="{7ACB77B9-493B-4858-8BF3-351F5B2B99E2}"/>
    <hyperlink ref="FH141" r:id="rId1941" xr:uid="{FFAB699C-69CF-4E09-958E-4B517B14DE9D}"/>
    <hyperlink ref="FG159" r:id="rId1942" display="https://forms.gle/ULNnnCGCEAimK9cJ7" xr:uid="{5E4E8D24-E2D0-477F-8E4C-7185E2520240}"/>
    <hyperlink ref="FG161" r:id="rId1943" display="http://dogecoin.com/" xr:uid="{E5FFB769-07F8-4819-8262-9B2C2C3CFD75}"/>
    <hyperlink ref="FG163" r:id="rId1944" display="https://blockchair.com/dogecoin" xr:uid="{21019D5D-6CE3-41EA-820E-6671EE10976A}"/>
    <hyperlink ref="FG166" r:id="rId1945" display="https://gcko.io/ledger" xr:uid="{54FE6CDF-73C0-45A9-AEDF-B358F772DF29}"/>
    <hyperlink ref="FG169" r:id="rId1946" display="https://twitter.com/dogecoin" xr:uid="{343A231D-A3C8-4977-999E-9C3AF7C4FFFB}"/>
    <hyperlink ref="FG170" r:id="rId1947" display="https://www.facebook.com/738700972824847" xr:uid="{70BECB52-3638-4DE4-85B9-29A6E0C346E2}"/>
    <hyperlink ref="FG171" r:id="rId1948" display="https://bitcointalk.org/index.php?topic=361813.0" xr:uid="{1D62FE76-228F-47A1-976A-A8E31F9C3D79}"/>
    <hyperlink ref="FG173" r:id="rId1949" display="https://twitter.com/search?q=$DOGE" xr:uid="{709EE845-F754-4F3C-9B01-CCAD508818B3}"/>
    <hyperlink ref="FG175" r:id="rId1950" display="https://github.com/dogecoin" xr:uid="{E24BA336-F401-4B0E-8091-2E67A54838CA}"/>
    <hyperlink ref="FG179" r:id="rId1951" display="https://www.coingecko.com/pt/categories/binance-smart-chain" xr:uid="{DC3AD92C-9BD5-4BDE-823B-8EB91491F96E}"/>
    <hyperlink ref="FG181" r:id="rId1952" display="https://www.coingecko.com/pt/categories/cryptocurrency" xr:uid="{9F8742DD-D2E5-45BB-8EA2-1FA77B9469C4}"/>
    <hyperlink ref="FH248" r:id="rId1953" display="https://www.coingecko.com/pt/c%C3%A2mbios/pointpay" xr:uid="{DCEAF244-484F-4202-A40D-D96749F427F5}"/>
    <hyperlink ref="FH249" r:id="rId1954" display="https://www.coingecko.com/pt/c%C3%A2mbios/pointpay" xr:uid="{6E41E472-9072-4408-8DDF-F910087D9E96}"/>
    <hyperlink ref="FJ248" r:id="rId1955" display="https://exchange.pointpay.io/trade-classic/DOGE_USDCreferral/40d2c818-a4e9-4834-bcda-c4f11a1b243d" xr:uid="{2FF8EF99-FFA3-4EFE-967A-75319866FDE9}"/>
    <hyperlink ref="FH250" r:id="rId1956" display="https://www.coingecko.com/pt/c%C3%A2mbios/binance" xr:uid="{1F51CAE6-6CBF-4AED-BFF5-45994F76F57D}"/>
    <hyperlink ref="FH251" r:id="rId1957" display="https://www.coingecko.com/pt/c%C3%A2mbios/binance" xr:uid="{8A6832B9-93D2-47A6-8B91-2B12BA3015E4}"/>
    <hyperlink ref="FJ250" r:id="rId1958" display="https://www.binance.com/en/trade/DOGE_USDT?ref=37754157" xr:uid="{CF7612F6-31FA-4DE7-9CF7-EC0FDED59AB4}"/>
    <hyperlink ref="FH252" r:id="rId1959" display="https://www.coingecko.com/pt/c%C3%A2mbios/digifinex" xr:uid="{D2CE9CD7-1369-4E8A-AB1B-A980A6B08BDC}"/>
    <hyperlink ref="FH253" r:id="rId1960" display="https://www.coingecko.com/pt/c%C3%A2mbios/digifinex" xr:uid="{53D4D696-AA83-428D-9F48-2433D572ED29}"/>
    <hyperlink ref="FJ252" r:id="rId1961" display="https://www.digifinex.com/en-ww/trade/USDT/DOGE" xr:uid="{F4A024D9-45FA-43BC-A14F-BF2F5428C673}"/>
    <hyperlink ref="FH254" r:id="rId1962" display="https://www.coingecko.com/pt/c%C3%A2mbios/kraken" xr:uid="{60FC4AC1-FDF3-4168-A3EC-59B9ABD8F920}"/>
    <hyperlink ref="FH255" r:id="rId1963" display="https://www.coingecko.com/pt/c%C3%A2mbios/kraken" xr:uid="{81DF0A68-A9B6-467D-956F-A1327CC73B85}"/>
    <hyperlink ref="FJ254" r:id="rId1964" display="https://pro.kraken.com/app/trade/DOGE-USD?c/2223866/1766749/10583" xr:uid="{F9470082-5C4D-425E-9168-28DC366B5E50}"/>
    <hyperlink ref="FH256" r:id="rId1965" display="https://www.coingecko.com/pt/c%C3%A2mbios/gate-io" xr:uid="{ABF471BD-C492-4E8C-9098-19E779FA53D3}"/>
    <hyperlink ref="FH257" r:id="rId1966" display="https://www.coingecko.com/pt/c%C3%A2mbios/gate-io" xr:uid="{1094C7C0-6F1C-4231-97D4-D26A7D6CCE5D}"/>
    <hyperlink ref="FJ256" r:id="rId1967" display="https://gate.io/trade/DOGE_USDT?ref=3018394" xr:uid="{C9D66EC2-DE27-4082-9304-52557B128A51}"/>
    <hyperlink ref="FH258" r:id="rId1968" display="https://www.coingecko.com/pt/c%C3%A2mbios/whitebit" xr:uid="{86BA1D14-E918-48E5-AC7F-C1AFDB5D4B2F}"/>
    <hyperlink ref="FH259" r:id="rId1969" display="https://www.coingecko.com/pt/c%C3%A2mbios/whitebit" xr:uid="{307EF2D5-DED2-4FD2-97C4-9411641C8533}"/>
    <hyperlink ref="FJ258" r:id="rId1970" display="https://whitebit.com/trade/DOGE_USDT?referral=21d28793-2c37-4ad5-ad65-ec354740a197" xr:uid="{32A43E7A-9BE2-4DE7-86B1-A731BB176430}"/>
    <hyperlink ref="FH260" r:id="rId1971" display="https://www.coingecko.com/pt/c%C3%A2mbios/bingx" xr:uid="{E24E6DFF-019A-40EF-B8BC-8FB8418CCED6}"/>
    <hyperlink ref="FH261" r:id="rId1972" display="https://www.coingecko.com/pt/c%C3%A2mbios/bingx" xr:uid="{B205BE68-4194-4A00-9897-9AD891344264}"/>
    <hyperlink ref="FJ260" r:id="rId1973" display="https://bingx.com/en-us/spot/DOGEUSDT?ch=cgk_organic" xr:uid="{140A89C9-4879-47DD-91E4-A8054749BCAF}"/>
    <hyperlink ref="FH262" r:id="rId1974" display="https://www.coingecko.com/pt/c%C3%A2mbios/crypto_com" xr:uid="{86EE0C63-3517-49FF-B4E7-4985FF161105}"/>
    <hyperlink ref="FH263" r:id="rId1975" display="https://www.coingecko.com/pt/c%C3%A2mbios/crypto_com" xr:uid="{8EE8ED08-12CE-4879-8E6C-2777C5C22629}"/>
    <hyperlink ref="FJ262" r:id="rId1976" display="https://crypto.com/exchange/trade/spot/DOGE_USD" xr:uid="{9E8C25E0-E822-4087-AFE6-76815777D561}"/>
    <hyperlink ref="FH264" r:id="rId1977" display="https://www.coingecko.com/pt/c%C3%A2mbios/okx" xr:uid="{C2C57325-0157-406B-AB8E-C71B2AD1BC82}"/>
    <hyperlink ref="FH265" r:id="rId1978" display="https://www.coingecko.com/pt/c%C3%A2mbios/okx" xr:uid="{057BA9DB-3379-4A2D-9807-D4E225FF917D}"/>
    <hyperlink ref="FJ264" r:id="rId1979" display="https://www.okx.com/trade-spot/doge-usdt?channelid=1902090" xr:uid="{5FCF661E-614C-4DA5-BA59-CD59E3CB8F92}"/>
    <hyperlink ref="FH266" r:id="rId1980" display="https://www.coingecko.com/pt/c%C3%A2mbios/bitget" xr:uid="{3B395B54-0640-4BAB-98F2-42F633B9FB33}"/>
    <hyperlink ref="FH267" r:id="rId1981" display="https://www.coingecko.com/pt/c%C3%A2mbios/bitget" xr:uid="{6CBCA524-C371-4388-BFA5-B1D6E350321F}"/>
    <hyperlink ref="FJ266" r:id="rId1982" display="https://www.bitget.com/spot/DOGEUSDT?channelCode=42xn&amp;vipCode=sq59&amp;languageType=0" xr:uid="{56A1CED8-1335-4CE2-A9E1-620DB8449DBF}"/>
    <hyperlink ref="FG278" r:id="rId1983" display="https://www.criptofacil.com/previsao-de-preco-das-3-principais-memecoins-dogecoin-shiba-inu-e-bonk/" xr:uid="{C485CE29-8CE0-4BDA-85B8-4DC2C0573057}"/>
    <hyperlink ref="FG279" r:id="rId1984" display="https://www.criptofacil.com/previsao-de-preco-das-3-principais-memecoins-dogecoin-shiba-inu-e-bonk/" xr:uid="{4A4824FF-4613-4BC4-A42C-688D6F9C32C3}"/>
    <hyperlink ref="FG280" r:id="rId1985" display="https://www.criptofacil.com/previsao-de-preco-das-3-principais-memecoins-dogecoin-shiba-inu-e-bonk/" xr:uid="{8752D9F0-856F-4991-9319-41AAACE90A12}"/>
    <hyperlink ref="FG281" r:id="rId1986" display="https://www.criptofacil.com/previsao-de-preco-das-3-principais-memecoins-dogecoin-shiba-inu-e-bonk/" xr:uid="{8B0836BA-3027-4FF4-B70A-365AB406712C}"/>
    <hyperlink ref="FG282:FG283" r:id="rId1987" display="https://br.beincrypto.com/dogecoin-solana-xrp-interesse-cai/" xr:uid="{F221B915-932A-4C62-A754-3AD95D92C81E}"/>
    <hyperlink ref="FG284" r:id="rId1988" display="https://br.beincrypto.com/dogecoin-solana-xrp-interesse-cai/" xr:uid="{E9B40DB7-7D47-4FAB-B430-F0FE8B61B4EB}"/>
    <hyperlink ref="FG285" r:id="rId1989" display="https://br.beincrypto.com/dogecoin-solana-xrp-interesse-cai/" xr:uid="{711138DD-5EEA-4D42-B6C2-ECF2279BA5D9}"/>
    <hyperlink ref="FG286:FG287" r:id="rId1990" display="https://br.beincrypto.com/dogecoin-pepe-optimism-e-mais-5-criptomoedas-para-ficar-de-olho-hoje/" xr:uid="{0D8B7AB1-02D0-4651-81A6-2B6CDB068530}"/>
    <hyperlink ref="FG288" r:id="rId1991" display="https://br.beincrypto.com/dogecoin-pepe-optimism-e-mais-5-criptomoedas-para-ficar-de-olho-hoje/" xr:uid="{0E3C1F29-A236-46C2-8844-FFA8FA8386FA}"/>
    <hyperlink ref="FG289" r:id="rId1992" display="https://br.beincrypto.com/dogecoin-pepe-optimism-e-mais-5-criptomoedas-para-ficar-de-olho-hoje/" xr:uid="{16A0CA74-0920-4B3E-BD7F-4D046DDECEF3}"/>
    <hyperlink ref="FG290:FG291" r:id="rId1993" display="https://www.cryptopolitan.com/pt/principais-altcoins-de-baixo-risco-que-tem-potencial-3x-maior-que-dogecoin-doge/" xr:uid="{305B3E22-9F9A-4321-AC59-646EDE248F2C}"/>
    <hyperlink ref="FG292" r:id="rId1994" display="https://www.cryptopolitan.com/pt/principais-altcoins-de-baixo-risco-que-tem-potencial-3x-maior-que-dogecoin-doge/" xr:uid="{40342011-7A23-439E-88FC-20F648556989}"/>
    <hyperlink ref="FG293" r:id="rId1995" display="https://www.cryptopolitan.com/pt/principais-altcoins-de-baixo-risco-que-tem-potencial-3x-maior-que-dogecoin-doge/" xr:uid="{F7B46941-BDB6-48A8-975D-83815C4F0312}"/>
    <hyperlink ref="FG298" r:id="rId1996" display="https://www.coingecko.com/pt/moedas/dogecoin/usd" xr:uid="{CDDFCCDF-73EB-41BA-8570-2FF534674D7B}"/>
    <hyperlink ref="FG299" r:id="rId1997" display="https://www.coingecko.com/pt/moedas/dogecoin/usd" xr:uid="{6E8FFC29-AB22-4398-B48C-93A1B519655C}"/>
    <hyperlink ref="FG300" r:id="rId1998" display="https://www.coingecko.com/pt/moedas/dogecoin/eur" xr:uid="{ACEE1E1E-2691-486E-9EAE-5B96884F8362}"/>
    <hyperlink ref="FG301" r:id="rId1999" display="https://www.coingecko.com/pt/moedas/dogecoin/eur" xr:uid="{5E067504-4100-42BD-86CB-554117FCF7DE}"/>
    <hyperlink ref="FG302" r:id="rId2000" display="https://www.coingecko.com/pt/moedas/dogecoin/brl" xr:uid="{55540904-F735-4924-9293-D914847EA552}"/>
    <hyperlink ref="FG303" r:id="rId2001" display="https://www.coingecko.com/pt/moedas/dogecoin/brl" xr:uid="{806FB5E5-D2E2-483F-8566-65A701CB2FF6}"/>
    <hyperlink ref="FG307" r:id="rId2002" display="https://www.coingecko.com/pt/moedas/dogelon-mars" xr:uid="{E3B9688F-AAFA-41C4-9904-84CD0061BBD6}"/>
    <hyperlink ref="FG308" r:id="rId2003" display="https://www.coingecko.com/pt/moedas/dogelon-mars" xr:uid="{7D815880-86FA-4570-ABAD-618D34CF564E}"/>
    <hyperlink ref="FG309" r:id="rId2004" display="https://www.coingecko.com/pt/moedas/dogelon-mars" xr:uid="{6C9A9580-1E08-404C-A786-433B0A0A5758}"/>
    <hyperlink ref="FG310" r:id="rId2005" display="https://www.coingecko.com/pt/moedas/grok-2" xr:uid="{102B5A64-2E55-4F66-AB24-6425D202DC65}"/>
    <hyperlink ref="FG311" r:id="rId2006" display="https://www.coingecko.com/pt/moedas/grok-2" xr:uid="{5BC6A135-85C8-4B14-902A-DB543301BECE}"/>
    <hyperlink ref="FG312" r:id="rId2007" display="https://www.coingecko.com/pt/moedas/grok-2" xr:uid="{3B9A4404-20C7-424E-B10F-89022B580ADE}"/>
    <hyperlink ref="FG313" r:id="rId2008" display="https://www.coingecko.com/pt/moedas/optimus-ai" xr:uid="{56CB726D-2A26-42C4-BD46-B61FC9EC3BE8}"/>
    <hyperlink ref="FG314" r:id="rId2009" display="https://www.coingecko.com/pt/moedas/optimus-ai" xr:uid="{47F89D54-28D0-423B-8DB6-DC5858ADB7BB}"/>
    <hyperlink ref="FG315" r:id="rId2010" display="https://www.coingecko.com/pt/moedas/optimus-ai" xr:uid="{D274BBB6-1B8A-40CE-AAB5-C6F116ABBBED}"/>
    <hyperlink ref="FG316" r:id="rId2011" display="https://www.coingecko.com/pt/moedas/byte" xr:uid="{643CC84D-2F3F-41FB-B251-5AE96DD0D50F}"/>
    <hyperlink ref="FG317" r:id="rId2012" display="https://www.coingecko.com/pt/moedas/byte" xr:uid="{85FC38B0-422E-43F1-860C-35CD40D51B8A}"/>
    <hyperlink ref="FG318" r:id="rId2013" display="https://www.coingecko.com/pt/moedas/byte" xr:uid="{C7BA8A5D-82A0-4536-85FF-E27B26F08238}"/>
    <hyperlink ref="FG319" r:id="rId2014" display="https://www.coingecko.com/pt/moedas/baby-grok" xr:uid="{405723FA-46C7-48A4-896F-075B80E0A2C0}"/>
    <hyperlink ref="FG320" r:id="rId2015" display="https://www.coingecko.com/pt/moedas/baby-grok" xr:uid="{9D904011-9383-477D-9E65-D1CF33C5142E}"/>
    <hyperlink ref="FG321" r:id="rId2016" display="https://www.coingecko.com/pt/moedas/baby-grok" xr:uid="{A7D5B874-3DE7-4C84-8EF0-F2008E11BCCF}"/>
    <hyperlink ref="FG325" r:id="rId2017" display="https://www.coingecko.com/pt/moedas/solana" xr:uid="{D5F59C4E-3A48-4D24-9760-89D2689599FE}"/>
    <hyperlink ref="FG326" r:id="rId2018" display="https://www.coingecko.com/pt/moedas/solana" xr:uid="{60B4AEC7-2DF7-4441-A548-A0D8FBDFCB22}"/>
    <hyperlink ref="FG327" r:id="rId2019" display="https://www.coingecko.com/pt/moedas/solana" xr:uid="{1803D3F6-24D1-4BB9-8770-EED81C038255}"/>
    <hyperlink ref="FG328" r:id="rId2020" display="https://www.coingecko.com/pt/moedas/dione" xr:uid="{915FB157-51C7-4332-9D60-34914D0EADFB}"/>
    <hyperlink ref="FG329" r:id="rId2021" display="https://www.coingecko.com/pt/moedas/dione" xr:uid="{33353A7B-F8B1-4E44-8E59-7CA354C7F9A6}"/>
    <hyperlink ref="FG330" r:id="rId2022" display="https://www.coingecko.com/pt/moedas/dione" xr:uid="{F4879885-CCAE-412C-8362-01E7302E15E6}"/>
    <hyperlink ref="FG331" r:id="rId2023" display="https://www.coingecko.com/pt/moedas/ethereum" xr:uid="{1081F67B-26EF-4135-8B96-626870F4F0E0}"/>
    <hyperlink ref="FG332" r:id="rId2024" display="https://www.coingecko.com/pt/moedas/ethereum" xr:uid="{632927BD-2B0B-4550-9DF0-EA6237112F8B}"/>
    <hyperlink ref="FG333" r:id="rId2025" display="https://www.coingecko.com/pt/moedas/ethereum" xr:uid="{E40F97BB-35E0-44AD-9E3F-270ABD036DC2}"/>
    <hyperlink ref="FG334" r:id="rId2026" display="https://www.coingecko.com/pt/moedas/pixels" xr:uid="{2C9544CE-5A91-4B28-A777-38E007A0B592}"/>
    <hyperlink ref="FG335" r:id="rId2027" display="https://www.coingecko.com/pt/moedas/pixels" xr:uid="{1A724563-CCF6-444F-A9BD-6D638C67FA45}"/>
    <hyperlink ref="FG336" r:id="rId2028" display="https://www.coingecko.com/pt/moedas/pixels" xr:uid="{49649038-B260-4075-9B9C-B0CD81F6CF3C}"/>
    <hyperlink ref="FG337" r:id="rId2029" display="https://www.coingecko.com/pt/moedas/pepe" xr:uid="{74D684DF-7FAF-4BA2-808C-69794CDFE128}"/>
    <hyperlink ref="FG338" r:id="rId2030" display="https://www.coingecko.com/pt/moedas/pepe" xr:uid="{ECE399EE-033B-48D9-A878-EA735706AB91}"/>
    <hyperlink ref="FG339" r:id="rId2031" display="https://www.coingecko.com/pt/moedas/pepe" xr:uid="{F49A7155-CBC9-4CCE-A130-4F0EA943E0A3}"/>
    <hyperlink ref="FG340" r:id="rId2032" display="https://www.coingecko.com/pt/moedas/bitcoin" xr:uid="{73131132-2685-48D2-A8FD-6CCD4ADFDCAD}"/>
    <hyperlink ref="FG341" r:id="rId2033" display="https://www.coingecko.com/pt/moedas/bitcoin" xr:uid="{3D6B8AF0-E84F-4368-84D7-94ACFBA2B1B2}"/>
    <hyperlink ref="FG342" r:id="rId2034" display="https://www.coingecko.com/pt/moedas/bitcoin" xr:uid="{AE34AD67-965C-4C45-80AE-42F7BD330B35}"/>
    <hyperlink ref="FG343" r:id="rId2035" display="https://www.coingecko.com/pt/moedas/degen-base" xr:uid="{8FC601A8-5587-42C3-8443-DB437CBA5698}"/>
    <hyperlink ref="FG344" r:id="rId2036" display="https://www.coingecko.com/pt/moedas/degen-base" xr:uid="{169DF456-5C7E-41F4-8DEF-E3E7C02E7E30}"/>
    <hyperlink ref="FG345" r:id="rId2037" display="https://www.coingecko.com/pt/moedas/degen-base" xr:uid="{3D31184D-6C51-4320-A122-6A043A89C613}"/>
    <hyperlink ref="FG346" r:id="rId2038" display="https://www.coingecko.com/pt/moedas/aerodrome-finance" xr:uid="{C1EB47F3-9875-45B6-AB59-A70A29BB7CD4}"/>
    <hyperlink ref="FG347" r:id="rId2039" display="https://www.coingecko.com/pt/moedas/aerodrome-finance" xr:uid="{099C75B2-DD41-466D-9AC8-CA46D64D28BD}"/>
    <hyperlink ref="FG348" r:id="rId2040" display="https://www.coingecko.com/pt/moedas/aerodrome-finance" xr:uid="{3307AA25-5C17-4EB7-91DC-49291D67317D}"/>
    <hyperlink ref="FG349" r:id="rId2041" display="https://www.coingecko.com/pt/moedas/jupiter" xr:uid="{C8229BB2-C92E-4D97-949B-C1EF64A2026C}"/>
    <hyperlink ref="FG350" r:id="rId2042" display="https://www.coingecko.com/pt/moedas/jupiter" xr:uid="{33E57A08-79CC-4A53-9175-BDD83F04CA55}"/>
    <hyperlink ref="FG351" r:id="rId2043" display="https://www.coingecko.com/pt/moedas/jupiter" xr:uid="{E36415DE-1440-4F37-8823-C874CF82C0B2}"/>
    <hyperlink ref="FG352" r:id="rId2044" display="https://www.coingecko.com/pt/moedas/ondo" xr:uid="{86B0C5AF-B4F6-411E-83DA-CB56BCE3848D}"/>
    <hyperlink ref="FG353" r:id="rId2045" display="https://www.coingecko.com/pt/moedas/ondo" xr:uid="{CBB7C02C-4800-471A-BB03-6008A35560B0}"/>
    <hyperlink ref="FG354" r:id="rId2046" display="https://www.coingecko.com/pt/moedas/ondo" xr:uid="{A7EDC6E6-EB37-4FEE-BAF1-F5D397D301DF}"/>
    <hyperlink ref="FG363" r:id="rId2047" display="https://www.coingecko.com/pt" xr:uid="{CD2B636B-0D4C-4251-BEE7-79058FB1E97E}"/>
    <hyperlink ref="FG366" r:id="rId2048" display="https://www.coingecko.com/pt/news" xr:uid="{EAAE543B-AD06-4D2F-A3D5-030E3FF2B9FB}"/>
    <hyperlink ref="FG367" r:id="rId2049" display="https://www.coingecko.com/pt/public-companies-bitcoin" xr:uid="{0F0CEE0D-FE18-4591-B243-EDC1C6CB27FB}"/>
    <hyperlink ref="FG368" r:id="rId2050" display="https://www.coingecko.com/pt/cryptocurrency-heatmap" xr:uid="{595E75D8-DE77-4982-AEB9-853CB27254FF}"/>
    <hyperlink ref="FG369" r:id="rId2051" display="https://www.coingecko.com/pt/api" xr:uid="{5A9C6C90-19E0-457C-98FF-B17F5B4E3F64}"/>
    <hyperlink ref="FG376" r:id="rId2052" display="https://www.coingecko.com/request" xr:uid="{7C73B781-2D82-41F6-AB52-E1A4C01BDF1C}"/>
    <hyperlink ref="FG377" r:id="rId2053" display="https://gcko.io/coingeckoads" xr:uid="{31710FB6-CBD5-4029-89B1-45B09D55AFA6}"/>
    <hyperlink ref="FG378" r:id="rId2054" display="https://www.coingecko.com/pt/candy/partners-getting-started" xr:uid="{22CDBB41-B808-4213-BC49-39853168BBC6}"/>
    <hyperlink ref="FG379" r:id="rId2055" display="https://support.coingecko.com/" xr:uid="{4C0D5236-BEAC-444B-9079-994EBA8F265B}"/>
    <hyperlink ref="FG380" r:id="rId2056" display="https://hackenproof.com/coingecko/coingecko" xr:uid="{4470DCB9-87C4-4340-81C4-18A01D8AB98F}"/>
    <hyperlink ref="FG381" r:id="rId2057" display="https://www.coingecko.com/pt/faq" xr:uid="{8608F570-DBD5-4EB4-9471-7CD9F8AB7018}"/>
    <hyperlink ref="FG383" r:id="rId2058" display="https://www.coingecko.com/pt/sobre" xr:uid="{C4AD5244-3FCF-4E7D-B463-0DB110C784C3}"/>
    <hyperlink ref="FG384" r:id="rId2059" display="https://careers.coingecko.com/" xr:uid="{6CE4CDD4-7800-48B3-8D28-6660D2389887}"/>
    <hyperlink ref="FG385" r:id="rId2060" display="https://careers.coingecko.com/" xr:uid="{4FCE2835-3440-46E1-B7A3-993D52818311}"/>
    <hyperlink ref="FG386" r:id="rId2061" display="https://blog.coingecko.com/" xr:uid="{231A161C-7D27-43AB-A5AB-6A73D70FE07C}"/>
    <hyperlink ref="FG387" r:id="rId2062" display="https://www.coingecko.com/pt/branding" xr:uid="{F75045F6-697E-49FE-920F-566B64A5160F}"/>
    <hyperlink ref="FG388" r:id="rId2063" display="https://www.coingecko.com/pt/metodologia" xr:uid="{F3CC0A2A-4945-460C-BECA-A0C16020CB7C}"/>
    <hyperlink ref="FG389" r:id="rId2064" display="https://www.coingecko.com/pt/isen%C3%A7%C3%A3o_de_responsabilidade" xr:uid="{8DA3F4C7-4733-448D-946E-AC5F6F7936A4}"/>
    <hyperlink ref="FG390" r:id="rId2065" display="https://www.coingecko.com/pt/termos" xr:uid="{04852419-CC52-41C4-AE39-FCE5AFFBEE6E}"/>
    <hyperlink ref="FG391" r:id="rId2066" display="https://www.coingecko.com/pt/privacidade" xr:uid="{5A59FF47-8609-47AF-861D-7545FEEB1D67}"/>
    <hyperlink ref="FG392" r:id="rId2067" display="https://www.coingecko.com/pt/ad_policy" xr:uid="{AD5854D9-2A8B-4FE6-8AE6-98CB6526FF40}"/>
    <hyperlink ref="FG395" r:id="rId2068" display="https://twitter.com/coingecko" xr:uid="{311F480F-8968-48EF-A367-01FB361FCDEC}"/>
    <hyperlink ref="FG396" r:id="rId2069" display="https://t.me/coingecko" xr:uid="{15D7DC32-793B-4A50-98C8-486EB06F2FDA}"/>
    <hyperlink ref="FG397" r:id="rId2070" display="https://t.me/coingeckonews" xr:uid="{D74FB8DA-5316-44B7-83EA-1ACBF20C3365}"/>
    <hyperlink ref="FG398" r:id="rId2071" display="https://www.instagram.com/coingecko/" xr:uid="{E189F617-B166-42DF-87EE-51EDF2660BDE}"/>
    <hyperlink ref="FG399" r:id="rId2072" display="https://www.reddit.com/r/coingecko/" xr:uid="{E353CE13-563B-4E18-B4F0-02C8F218DD23}"/>
    <hyperlink ref="FG400" r:id="rId2073" display="https://discord.gg/EhrkaCH" xr:uid="{9ACFD621-EBC4-40E8-98BE-E22D28704FCB}"/>
    <hyperlink ref="FG401" r:id="rId2074" display="https://www.facebook.com/coingecko" xr:uid="{272F4228-A2A1-4287-85D2-9726C54527DC}"/>
    <hyperlink ref="FG402" r:id="rId2075" display="https://www.youtube.com/channel/UC-OTgwOAI7KmP0eDAtqN3Ow?sub_confirmation=1" xr:uid="{3FDCF6E5-F0CB-43D5-B9A0-66646E2C5B8A}"/>
    <hyperlink ref="FG403" r:id="rId2076" display="https://www.tiktok.com/@coingeckotv" xr:uid="{67C66709-28D6-465D-8338-57DBEF69E51B}"/>
    <hyperlink ref="FG409" r:id="rId2077" display="https://www.coingecko.com/pt/isen%C3%A7%C3%A3o_de_responsabilidade" xr:uid="{3C495FBA-0404-48DE-AD8A-65FD127281C7}"/>
    <hyperlink ref="FG659" r:id="rId2078" display="https://coingecko.app.link/lTInCXLGz4" xr:uid="{C93315AA-9822-4297-B1C4-D1C9818EDBAB}"/>
    <hyperlink ref="FT2" r:id="rId2079" display="https://www.coingecko.com/pt" xr:uid="{50A5E064-F2D6-4BCF-AE9D-E76897C181FD}"/>
    <hyperlink ref="FT3" r:id="rId2080" display="https://www.coingecko.com/pt/c%C3%A2mbios" xr:uid="{A4E8F871-5901-43FD-8BB4-E38ECB6BF135}"/>
    <hyperlink ref="FT4" r:id="rId2081" display="https://www.coingecko.com/pt/global-charts" xr:uid="{912A6B3E-9B34-4A91-969C-5D9683E29744}"/>
    <hyperlink ref="FT5" r:id="rId2082" display="https://www.coingecko.com/pt/global-charts" xr:uid="{EFFD5626-0D57-4799-97E2-8C6AD5AACAD7}"/>
    <hyperlink ref="FT25" r:id="rId2083" display="https://www.coingecko.com/pt/premium/pricing" xr:uid="{AD1CBFAF-EB03-4FD4-83D0-64E7DC888EE1}"/>
    <hyperlink ref="FT28:FT29" r:id="rId2084" display="https://coingecko.app.link/lTInCXLGz4" xr:uid="{E72A86CB-1169-4F7B-9C5B-377CC5F1BDB4}"/>
    <hyperlink ref="FT48" r:id="rId2085" display="https://www.geckoterminal.com/?utm_source=coingecko&amp;utm_medium=referral&amp;utm_campaign=desktop_navigation" xr:uid="{96032C4D-1DA7-4D93-A8DD-A9D4E7F3A2DB}"/>
    <hyperlink ref="FT49" r:id="rId2086" display="https://www.coingecko.com/pt/candy" xr:uid="{72E392C0-66C3-45E5-ADCE-8E51AD5DA6F6}"/>
    <hyperlink ref="FT50" r:id="rId2087" display="https://www.coingecko.com/pt/candy" xr:uid="{A1DC4B1F-58F6-47A9-A6D8-8CAE2970B870}"/>
    <hyperlink ref="FT51" r:id="rId2088" display="https://www.coingecko.com/pt/candy" xr:uid="{1D5D6962-47A3-4565-823C-01F3E0463F4F}"/>
    <hyperlink ref="FT52" r:id="rId2089" display="https://www.coingecko.com/pt/portfolio" xr:uid="{CEEDBC9C-EBF7-47D5-B21B-CEC2AC5CB848}"/>
    <hyperlink ref="FT70" r:id="rId2090" display="https://gcko.io/search-survey" xr:uid="{2D5AE26A-BC5B-438D-B0DD-E7F8F95682C2}"/>
    <hyperlink ref="FT73" r:id="rId2091" display="https://www.coingecko.com/pt" xr:uid="{A4BE3B4B-7476-4ACB-BF83-85833C5F9CFD}"/>
    <hyperlink ref="FT92" r:id="rId2092" display="https://www.coingecko.com/pt/metodologia" xr:uid="{22FBB25A-1EE5-48EA-8FBE-6455EBE982A0}"/>
    <hyperlink ref="FT101" r:id="rId2093" display="https://www.geckoterminal.com/solana/tokens/EKpQGSJtjMFqKZ9KQanSqYXRcF8fBopzLHYxdM65zcjm?utm_source=coingecko&amp;utm_medium=referral&amp;utm_campaign=livechart-btn" xr:uid="{8B19B8CA-920C-43ED-AB7D-02A5558448D1}"/>
    <hyperlink ref="FT106" r:id="rId2094" display="https://www.coingecko.com/pt/api" xr:uid="{A91FA23C-34E8-481A-A088-BCB011351F1D}"/>
    <hyperlink ref="FT122" r:id="rId2095" display="https://www.coingecko.com/pt/metodologia" xr:uid="{017C3B03-4C6D-4854-AE2F-12E3796130F4}"/>
    <hyperlink ref="FT128" r:id="rId2096" display="https://www.coingecko.com/learn/what-is-fully-diluted-valuation-fdv-in-crypto" xr:uid="{BE911879-75C9-49F2-87B5-B1854F29DDBC}"/>
    <hyperlink ref="FT134" r:id="rId2097" display="https://www.coingecko.com/learn/what-is-fully-diluted-valuation-fdv-in-crypto" xr:uid="{0A136741-6F08-49BA-BDC2-F4C707CDC93F}"/>
    <hyperlink ref="FT138" r:id="rId2098" display="https://www.coingecko.com/pt/metodologia" xr:uid="{D67F55FC-B31A-4C81-B7BD-8D25CC4C6AD9}"/>
    <hyperlink ref="FT142" r:id="rId2099" display="https://www.coingecko.com/pt/metodologia" xr:uid="{E27A4C7E-B677-454A-9910-F4104F8F700B}"/>
    <hyperlink ref="FT158" r:id="rId2100" display="https://forms.gle/ULNnnCGCEAimK9cJ7" xr:uid="{1A57484A-0CBD-43DB-8BB2-913F08660910}"/>
    <hyperlink ref="FT162" r:id="rId2101" display="https://dogwifcoin.org/" xr:uid="{970EF0F3-BCA9-455D-8486-9A9F871900B9}"/>
    <hyperlink ref="FT164" r:id="rId2102" display="https://solscan.io/token/EKpQGSJtjMFqKZ9KQanSqYXRcF8fBopzLHYxdM65zcjm" xr:uid="{177F0709-3836-4F6A-8BE2-3A4F4C2E5FAA}"/>
    <hyperlink ref="FT166" r:id="rId2103" display="https://twitter.com/dogwifcoin" xr:uid="{386CD458-BC46-42A9-9375-4E063AE09A17}"/>
    <hyperlink ref="FT167" r:id="rId2104" display="https://t.me/dogwifcoin" xr:uid="{19F8FBC2-5CDD-4DB5-90B3-F61E77BEE3E8}"/>
    <hyperlink ref="FT169" r:id="rId2105" display="https://twitter.com/search?q=$WIF" xr:uid="{D60C5DA3-9283-4A5C-AB06-EA0FA4262635}"/>
    <hyperlink ref="FT173" r:id="rId2106" display="https://www.coingecko.com/pt/categories/solana-ecosystem" xr:uid="{5F8DA3A7-236D-4731-9498-0CE9B8DED8E1}"/>
    <hyperlink ref="FT175" r:id="rId2107" display="https://www.coingecko.com/pt/categories/meme-token" xr:uid="{99910B99-D816-46A1-A4D4-61B470C0FD3F}"/>
    <hyperlink ref="FU232" r:id="rId2108" display="https://www.coingecko.com/pt/c%C3%A2mbios/binance" xr:uid="{B8580ECB-C485-45E1-A793-16118DC29983}"/>
    <hyperlink ref="FU233" r:id="rId2109" display="https://www.coingecko.com/pt/c%C3%A2mbios/binance" xr:uid="{4B6D93B8-D047-4E9E-A228-5D3E5B52E88B}"/>
    <hyperlink ref="FW232" r:id="rId2110" display="https://www.binance.com/en/trade/WIF_USDT?ref=37754157" xr:uid="{744E1901-946E-45BF-94D5-D1CEF92B91A9}"/>
    <hyperlink ref="FU234" r:id="rId2111" display="https://www.coingecko.com/pt/c%C3%A2mbios/tokocrypto" xr:uid="{BB23A162-90D9-4C07-A797-8176A513739D}"/>
    <hyperlink ref="FU235" r:id="rId2112" display="https://www.coingecko.com/pt/c%C3%A2mbios/tokocrypto" xr:uid="{996CA8B3-47A3-4496-9A14-753FA5387005}"/>
    <hyperlink ref="FW234" r:id="rId2113" display="https://www.tokocrypto.com/trade/WIFUSDT" xr:uid="{0FE6636C-3051-45A6-8DAA-C48E2F1023DA}"/>
    <hyperlink ref="FU236" r:id="rId2114" display="https://www.coingecko.com/pt/c%C3%A2mbios/bingx" xr:uid="{BFC7AC99-6326-471D-BB82-D2D70F373C3E}"/>
    <hyperlink ref="FU237" r:id="rId2115" display="https://www.coingecko.com/pt/c%C3%A2mbios/bingx" xr:uid="{F3976EA7-48DD-4E56-8ABF-F76157DCBAD9}"/>
    <hyperlink ref="FW236" r:id="rId2116" display="https://bingx.com/en-us/spot/WIFUSDT?ch=cgk_organic" xr:uid="{D51E0323-6EAD-4AB7-83A0-52E4118D2B70}"/>
    <hyperlink ref="FU238" r:id="rId2117" display="https://www.coingecko.com/pt/c%C3%A2mbios/gate-io" xr:uid="{1ED9E44E-E9A5-4F14-B679-2E5D3BFD334B}"/>
    <hyperlink ref="FU239" r:id="rId2118" display="https://www.coingecko.com/pt/c%C3%A2mbios/gate-io" xr:uid="{518AC1DB-7E83-4CCC-BA71-2EE5F969C431}"/>
    <hyperlink ref="FW238" r:id="rId2119" display="https://gate.io/trade/WIF_USDT?ref=3018394" xr:uid="{734C1978-3830-4CBC-8B74-B2CB3AAA8580}"/>
    <hyperlink ref="FU240" r:id="rId2120" display="https://www.coingecko.com/pt/c%C3%A2mbios/whitebit" xr:uid="{5524B2D0-273E-4410-A9B3-E83C3ECFB49E}"/>
    <hyperlink ref="FU241" r:id="rId2121" display="https://www.coingecko.com/pt/c%C3%A2mbios/whitebit" xr:uid="{1057A7CC-8675-48F3-B813-C9339295D43D}"/>
    <hyperlink ref="FW240" r:id="rId2122" display="https://whitebit.com/trade/WIF_USDT?referral=21d28793-2c37-4ad5-ad65-ec354740a197" xr:uid="{E2AA9BF0-2ECA-49D4-A317-510D11F5D303}"/>
    <hyperlink ref="FU242" r:id="rId2123" display="https://www.coingecko.com/pt/c%C3%A2mbios/pionex" xr:uid="{16CCBCE0-07A0-4672-A971-F5D61D9ED06E}"/>
    <hyperlink ref="FU243" r:id="rId2124" display="https://www.coingecko.com/pt/c%C3%A2mbios/pionex" xr:uid="{9B2843F1-FE23-45AF-A9F0-FC013957B941}"/>
    <hyperlink ref="FW242" r:id="rId2125" display="https://www.pionex.com/en/trade/WIF_USDT/Bot?r=04SCvbiCErH" xr:uid="{76FA216E-6A64-4E9F-8600-5D5938DAD490}"/>
    <hyperlink ref="FU244" r:id="rId2126" display="https://www.coingecko.com/pt/c%C3%A2mbios/digifinex" xr:uid="{85303B66-38A7-4B65-84F3-25430F807C6B}"/>
    <hyperlink ref="FU245" r:id="rId2127" display="https://www.coingecko.com/pt/c%C3%A2mbios/digifinex" xr:uid="{4EE87201-E547-4327-B04D-F4C2AAD01D13}"/>
    <hyperlink ref="FW244" r:id="rId2128" display="https://www.digifinex.com/en-ww/trade/USDT/WIF" xr:uid="{033274B8-A0AD-4ABA-80CB-2C606F3F7A14}"/>
    <hyperlink ref="FU246" r:id="rId2129" display="https://www.coingecko.com/pt/c%C3%A2mbios/bit2me" xr:uid="{845A5C80-4A08-401D-AD40-3F01914CCC11}"/>
    <hyperlink ref="FU247" r:id="rId2130" display="https://www.coingecko.com/pt/c%C3%A2mbios/bit2me" xr:uid="{6F3AF04D-64C5-4B8A-800E-A180F6EB43FB}"/>
    <hyperlink ref="FW246" r:id="rId2131" display="https://pro.bit2me.com/exchange/WIF-USDT?ref=285-6HY-TPA&amp;mkt_kind=referral&amp;prm=5DH100" xr:uid="{C92C09E5-A16C-43E5-824D-93E7C341C123}"/>
    <hyperlink ref="FU248" r:id="rId2132" display="https://www.coingecko.com/pt/c%C3%A2mbios/orangex" xr:uid="{3464F9AF-0BAD-4A7D-B14D-CAD7BB02DC5C}"/>
    <hyperlink ref="FU249" r:id="rId2133" display="https://www.coingecko.com/pt/c%C3%A2mbios/orangex" xr:uid="{38EAB2AD-5D29-485B-86DD-94FB35BD2DA2}"/>
    <hyperlink ref="FW248" r:id="rId2134" display="https://www.orangex.com/spot/WIF-USDT-SPOT" xr:uid="{5F04F2EB-E7D3-4456-8DCA-D8D11A8F0C20}"/>
    <hyperlink ref="FU250" r:id="rId2135" display="https://www.coingecko.com/pt/c%C3%A2mbios/kucoin" xr:uid="{17B1A6EC-F928-48AE-87BD-676ABF7762CF}"/>
    <hyperlink ref="FU251" r:id="rId2136" display="https://www.coingecko.com/pt/c%C3%A2mbios/kucoin" xr:uid="{5BAC8E96-EA98-43DC-B655-B7178EE3701A}"/>
    <hyperlink ref="FW250" r:id="rId2137" display="https://www.kucoin.com/trade/WIF-USDT?rcode=e21sNJ" xr:uid="{B88AD3EB-D3A6-462A-8FE3-8A9851EFC243}"/>
    <hyperlink ref="FT262" r:id="rId2138" display="https://br.beincrypto.com/altcoins-para-ficar-de-olho-em-maio/" xr:uid="{E751B7FF-F8A2-4040-95B4-77DABDFE638B}"/>
    <hyperlink ref="FT263" r:id="rId2139" display="https://br.beincrypto.com/altcoins-para-ficar-de-olho-em-maio/" xr:uid="{5A0528E5-04E7-4A1C-B21F-F0502CA7782A}"/>
    <hyperlink ref="FT264" r:id="rId2140" display="https://br.beincrypto.com/altcoins-para-ficar-de-olho-em-maio/" xr:uid="{BD38EFA2-0C9E-4205-8038-AD08A9F6FF1A}"/>
    <hyperlink ref="FT265" r:id="rId2141" display="https://br.beincrypto.com/altcoins-para-ficar-de-olho-em-maio/" xr:uid="{7AF2AFFF-FFC0-49FE-A6EB-6DCC186FC027}"/>
    <hyperlink ref="FT270" r:id="rId2142" display="https://www.coingecko.com/pt/moedas/dogwifhat/usd" xr:uid="{F3D2DC52-88D5-447F-9BAF-CD1E7872C5B9}"/>
    <hyperlink ref="FT271" r:id="rId2143" display="https://www.coingecko.com/pt/moedas/dogwifhat/usd" xr:uid="{A1847B57-B6CD-4D4C-9CFF-996398D0A875}"/>
    <hyperlink ref="FT272" r:id="rId2144" display="https://www.coingecko.com/pt/moedas/dogwifhat/eur" xr:uid="{AF9CA693-0622-4CA3-8A06-CB0350477E3C}"/>
    <hyperlink ref="FT273" r:id="rId2145" display="https://www.coingecko.com/pt/moedas/dogwifhat/eur" xr:uid="{74A2C7B2-9346-49CF-801F-E7C868F5B7B8}"/>
    <hyperlink ref="FT274" r:id="rId2146" display="https://www.coingecko.com/pt/moedas/dogwifhat/brl" xr:uid="{9CFBEB2E-11CF-4D37-844F-B551105EE92F}"/>
    <hyperlink ref="FT275" r:id="rId2147" display="https://www.coingecko.com/pt/moedas/dogwifhat/brl" xr:uid="{470B27FA-D0CF-494C-970E-DCB60541E1EC}"/>
    <hyperlink ref="FT279" r:id="rId2148" display="https://www.coingecko.com/pt/moedas/bonk" xr:uid="{D4E435D0-56D7-4C12-AF37-A8D8ECE917F5}"/>
    <hyperlink ref="FT280" r:id="rId2149" display="https://www.coingecko.com/pt/moedas/bonk" xr:uid="{311CC594-771C-404C-9285-3AD78B7B0434}"/>
    <hyperlink ref="FT281" r:id="rId2150" display="https://www.coingecko.com/pt/moedas/bonk" xr:uid="{17C8E646-9592-4291-AE60-F095B33F5251}"/>
    <hyperlink ref="FT282" r:id="rId2151" display="https://www.coingecko.com/pt/moedas/book-of-meme" xr:uid="{73A859B2-19D9-432A-9DD8-EA4689874796}"/>
    <hyperlink ref="FT283" r:id="rId2152" display="https://www.coingecko.com/pt/moedas/book-of-meme" xr:uid="{5E2B89B9-8F87-45C9-9C82-658125EDD481}"/>
    <hyperlink ref="FT284" r:id="rId2153" display="https://www.coingecko.com/pt/moedas/book-of-meme" xr:uid="{1320CFAF-C406-4A76-AE95-E8BD1E1D6844}"/>
    <hyperlink ref="FT285" r:id="rId2154" display="https://www.coingecko.com/pt/moedas/popcat" xr:uid="{3B4EE2DB-005B-4044-8536-F947BCF7634C}"/>
    <hyperlink ref="FT286" r:id="rId2155" display="https://www.coingecko.com/pt/moedas/popcat" xr:uid="{2ACEBD79-CA7F-40DA-9D9C-1349596322AF}"/>
    <hyperlink ref="FT287" r:id="rId2156" display="https://www.coingecko.com/pt/moedas/popcat" xr:uid="{1E5ABE87-360E-4C3F-8548-E8EEC8C0652C}"/>
    <hyperlink ref="FT288" r:id="rId2157" display="https://www.coingecko.com/pt/moedas/mew" xr:uid="{EAC015B9-E90F-4D0D-AFEE-A8429AB34718}"/>
    <hyperlink ref="FT289" r:id="rId2158" display="https://www.coingecko.com/pt/moedas/mew" xr:uid="{466A3DF3-6EED-4588-80F2-12758BE25A94}"/>
    <hyperlink ref="FT290" r:id="rId2159" display="https://www.coingecko.com/pt/moedas/mew" xr:uid="{2117F576-D30F-4670-B569-03D86A750E95}"/>
    <hyperlink ref="FT291" r:id="rId2160" display="https://www.coingecko.com/pt/moedas/jeo-boden" xr:uid="{28174CED-C9B4-4374-8847-BBB437047D28}"/>
    <hyperlink ref="FT292" r:id="rId2161" display="https://www.coingecko.com/pt/moedas/jeo-boden" xr:uid="{96C41040-C113-4EC8-99DB-9EA2602CBA2C}"/>
    <hyperlink ref="FT293" r:id="rId2162" display="https://www.coingecko.com/pt/moedas/jeo-boden" xr:uid="{BCDD01A3-C1F1-45D6-BA46-61F037F4E418}"/>
    <hyperlink ref="FT297" r:id="rId2163" display="https://www.coingecko.com/pt/moedas/solana" xr:uid="{7D0EBC89-365B-4851-B12B-6FB7F517147C}"/>
    <hyperlink ref="FT298" r:id="rId2164" display="https://www.coingecko.com/pt/moedas/solana" xr:uid="{F78B8FCB-CBF8-4DBA-BBA1-95A909C4ECE7}"/>
    <hyperlink ref="FT299" r:id="rId2165" display="https://www.coingecko.com/pt/moedas/solana" xr:uid="{C13AD4C4-7804-4200-8E86-E72842564F28}"/>
    <hyperlink ref="FT300" r:id="rId2166" display="https://www.coingecko.com/pt/moedas/dione" xr:uid="{61058C62-DD70-453E-9B25-DF96EEFCCFFC}"/>
    <hyperlink ref="FT301" r:id="rId2167" display="https://www.coingecko.com/pt/moedas/dione" xr:uid="{6A08C906-E8AA-4481-84D6-9566A9432B89}"/>
    <hyperlink ref="FT302" r:id="rId2168" display="https://www.coingecko.com/pt/moedas/dione" xr:uid="{0BF817FA-7AC7-4507-AFA6-19CEFCC35BAE}"/>
    <hyperlink ref="FT303" r:id="rId2169" display="https://www.coingecko.com/pt/moedas/ethereum" xr:uid="{577F3D49-9DBE-48E9-8CAF-2392822C8F5D}"/>
    <hyperlink ref="FT304" r:id="rId2170" display="https://www.coingecko.com/pt/moedas/ethereum" xr:uid="{9F5D78BC-DCB7-4BF6-BD0B-6E0684D6BC1C}"/>
    <hyperlink ref="FT305" r:id="rId2171" display="https://www.coingecko.com/pt/moedas/ethereum" xr:uid="{6D67E975-D162-4AA2-8CFD-467CEFE99984}"/>
    <hyperlink ref="FT306" r:id="rId2172" display="https://www.coingecko.com/pt/moedas/bitcoin" xr:uid="{F1D3DE43-E403-4022-B196-2925BF4F83A0}"/>
    <hyperlink ref="FT307" r:id="rId2173" display="https://www.coingecko.com/pt/moedas/bitcoin" xr:uid="{C241AE75-8C61-4EC5-B9E5-7DC987A311F3}"/>
    <hyperlink ref="FT308" r:id="rId2174" display="https://www.coingecko.com/pt/moedas/bitcoin" xr:uid="{3B35C72A-3D8C-49BA-B0E7-8E8993EE50B9}"/>
    <hyperlink ref="FT309" r:id="rId2175" display="https://www.coingecko.com/pt/moedas/pepe" xr:uid="{2F2C89BE-1FA5-4F01-8FFE-8A01EFD07535}"/>
    <hyperlink ref="FT310" r:id="rId2176" display="https://www.coingecko.com/pt/moedas/pepe" xr:uid="{8BEF0A62-3BA3-40C2-9FDD-B7D3F9D9D215}"/>
    <hyperlink ref="FT311" r:id="rId2177" display="https://www.coingecko.com/pt/moedas/pepe" xr:uid="{AD49EB15-B8CF-4000-A553-E42AE0D25248}"/>
    <hyperlink ref="FT312" r:id="rId2178" display="https://www.coingecko.com/pt/moedas/pixels" xr:uid="{3D59EFEB-DC62-4502-945C-D2CDC06C71A2}"/>
    <hyperlink ref="FT313" r:id="rId2179" display="https://www.coingecko.com/pt/moedas/pixels" xr:uid="{056F8D73-EC72-4E83-BF5F-2F141BF8E726}"/>
    <hyperlink ref="FT314" r:id="rId2180" display="https://www.coingecko.com/pt/moedas/pixels" xr:uid="{0CF9E5E8-4BC4-4A5A-9C91-7A685201E60D}"/>
    <hyperlink ref="FT315" r:id="rId2181" display="https://www.coingecko.com/pt/moedas/wormhole" xr:uid="{82D137F0-79DA-4324-8033-28C8284C9BB8}"/>
    <hyperlink ref="FT316" r:id="rId2182" display="https://www.coingecko.com/pt/moedas/wormhole" xr:uid="{42BDD882-1D33-4C4B-9451-0FB4C0C3FD13}"/>
    <hyperlink ref="FT317" r:id="rId2183" display="https://www.coingecko.com/pt/moedas/wormhole" xr:uid="{187CB666-27D8-4992-9B4F-012253F402F8}"/>
    <hyperlink ref="FT318" r:id="rId2184" display="https://www.coingecko.com/pt/moedas/degen-base" xr:uid="{A9210038-2427-4DF4-A753-435DE46D05A7}"/>
    <hyperlink ref="FT319" r:id="rId2185" display="https://www.coingecko.com/pt/moedas/degen-base" xr:uid="{A2F1A02C-6A22-45DA-93E3-92094B0E9BDD}"/>
    <hyperlink ref="FT320" r:id="rId2186" display="https://www.coingecko.com/pt/moedas/degen-base" xr:uid="{1C0BCEB2-0E10-40CC-B56F-9C2352DBA068}"/>
    <hyperlink ref="FT321" r:id="rId2187" display="https://www.coingecko.com/pt/moedas/ondo" xr:uid="{B93B1572-E6DF-4AC4-892B-933B2616E903}"/>
    <hyperlink ref="FT322" r:id="rId2188" display="https://www.coingecko.com/pt/moedas/ondo" xr:uid="{760D6B7E-FC29-4A98-8C72-AC2CF405E8D6}"/>
    <hyperlink ref="FT323" r:id="rId2189" display="https://www.coingecko.com/pt/moedas/ondo" xr:uid="{CCA84455-C216-4968-9F02-0A04A94DD8E3}"/>
    <hyperlink ref="FT324" r:id="rId2190" display="https://www.coingecko.com/pt/moedas/ethena" xr:uid="{BF90CF74-730A-4F55-B2CD-8263C3178131}"/>
    <hyperlink ref="FT325" r:id="rId2191" display="https://www.coingecko.com/pt/moedas/ethena" xr:uid="{36C00B9C-9134-4AB8-A52D-E05FDE9B2929}"/>
    <hyperlink ref="FT326" r:id="rId2192" display="https://www.coingecko.com/pt/moedas/ethena" xr:uid="{158D2269-B2F6-445B-BAD7-B616EBA85DCE}"/>
    <hyperlink ref="FT335" r:id="rId2193" display="https://www.coingecko.com/pt" xr:uid="{D4C9CF75-AB0E-4113-B555-64EEFEF024A9}"/>
    <hyperlink ref="FT338" r:id="rId2194" display="https://www.coingecko.com/pt/news" xr:uid="{BD27409E-D210-4A10-AA42-E740ED1DF863}"/>
    <hyperlink ref="FT339" r:id="rId2195" display="https://www.coingecko.com/pt/public-companies-bitcoin" xr:uid="{F0AB7BFB-3DDD-45E9-AE14-A51602EC8169}"/>
    <hyperlink ref="FT340" r:id="rId2196" display="https://www.coingecko.com/pt/cryptocurrency-heatmap" xr:uid="{6C665167-A010-422D-B6DC-E57C4A81EFD1}"/>
    <hyperlink ref="FT341" r:id="rId2197" display="https://www.coingecko.com/pt/api" xr:uid="{F2F57B59-A7EF-4EE7-9D5E-41F74D4F64C5}"/>
    <hyperlink ref="FT348" r:id="rId2198" display="https://www.coingecko.com/request" xr:uid="{10D54883-188C-448D-A24A-850DB3F80DA3}"/>
    <hyperlink ref="FT349" r:id="rId2199" display="https://gcko.io/coingeckoads" xr:uid="{CDC4968C-CF27-4884-A8EC-9FFD3F3FBF8D}"/>
    <hyperlink ref="FT350" r:id="rId2200" display="https://www.coingecko.com/pt/candy/partners-getting-started" xr:uid="{DFF4BC05-27A9-42A1-9358-C15B1F173C53}"/>
    <hyperlink ref="FT351" r:id="rId2201" display="https://support.coingecko.com/" xr:uid="{2D512BA2-C2BD-48A4-98CA-3A3A556340F7}"/>
    <hyperlink ref="FT352" r:id="rId2202" display="https://hackenproof.com/coingecko/coingecko" xr:uid="{894516FE-16C2-454A-886C-1CAAD5167BFE}"/>
    <hyperlink ref="FT353" r:id="rId2203" display="https://www.coingecko.com/pt/faq" xr:uid="{7E26D54C-49AD-4170-ACF1-2344DAB319D9}"/>
    <hyperlink ref="FT355" r:id="rId2204" display="https://www.coingecko.com/pt/sobre" xr:uid="{60955CDD-8341-40FE-A110-92C2F04266AF}"/>
    <hyperlink ref="FT356" r:id="rId2205" display="https://careers.coingecko.com/" xr:uid="{59870374-C1B5-4E71-8385-715AE60CCA34}"/>
    <hyperlink ref="FT357" r:id="rId2206" display="https://careers.coingecko.com/" xr:uid="{1F105E20-DCEC-4FEF-B3F9-6D0C2528A71A}"/>
    <hyperlink ref="FT358" r:id="rId2207" display="https://blog.coingecko.com/" xr:uid="{BD05FEC2-42ED-419C-8662-CD8DF94A981F}"/>
    <hyperlink ref="FT359" r:id="rId2208" display="https://www.coingecko.com/pt/branding" xr:uid="{92A65292-C73F-4806-A1B8-944C6802E5CB}"/>
    <hyperlink ref="FT360" r:id="rId2209" display="https://www.coingecko.com/pt/metodologia" xr:uid="{5F41D2F5-9C95-43E4-A9BC-A16DAB99487E}"/>
    <hyperlink ref="FT361" r:id="rId2210" display="https://www.coingecko.com/pt/isen%C3%A7%C3%A3o_de_responsabilidade" xr:uid="{83F397D3-E13B-47B9-B4E8-889B542D75BD}"/>
    <hyperlink ref="FT362" r:id="rId2211" display="https://www.coingecko.com/pt/termos" xr:uid="{CC52D77C-67C4-48D1-852F-19CA9CBDB941}"/>
    <hyperlink ref="FT363" r:id="rId2212" display="https://www.coingecko.com/pt/privacidade" xr:uid="{4BE8B01E-F5B0-4A47-8992-00A27BBBEC76}"/>
    <hyperlink ref="FT364" r:id="rId2213" display="https://www.coingecko.com/pt/ad_policy" xr:uid="{A7C2AB5C-64A0-4798-B625-D15CE5B29F11}"/>
    <hyperlink ref="FT367" r:id="rId2214" display="https://twitter.com/coingecko" xr:uid="{104D8529-9EBE-40E3-98CE-5CF3465F9560}"/>
    <hyperlink ref="FT368" r:id="rId2215" display="https://t.me/coingecko" xr:uid="{1165AFDA-9CA1-4233-BA8F-0B27801CDBE0}"/>
    <hyperlink ref="FT369" r:id="rId2216" display="https://t.me/coingeckonews" xr:uid="{5A3BA3F4-28BB-4215-8670-A6F28D543857}"/>
    <hyperlink ref="FT370" r:id="rId2217" display="https://www.instagram.com/coingecko/" xr:uid="{8D3A2383-0B60-4FC4-9C19-1E72B63EDA14}"/>
    <hyperlink ref="FT371" r:id="rId2218" display="https://www.reddit.com/r/coingecko/" xr:uid="{24502E01-C262-4EB3-9490-43B0B16329B0}"/>
    <hyperlink ref="FT372" r:id="rId2219" display="https://discord.gg/EhrkaCH" xr:uid="{057A98DD-F8E0-4E53-94A7-35A4DAF6B097}"/>
    <hyperlink ref="FT373" r:id="rId2220" display="https://www.facebook.com/coingecko" xr:uid="{E2A58193-F1BB-4CE3-B7B9-BD1F40339CC6}"/>
    <hyperlink ref="FT374" r:id="rId2221" display="https://www.youtube.com/channel/UC-OTgwOAI7KmP0eDAtqN3Ow?sub_confirmation=1" xr:uid="{ED9495E4-9304-4F8C-87E7-BC8EF53AF245}"/>
    <hyperlink ref="FT375" r:id="rId2222" display="https://www.tiktok.com/@coingeckotv" xr:uid="{4DE3BABC-B710-46F4-897D-B68206B1FBFA}"/>
    <hyperlink ref="FT381" r:id="rId2223" display="https://www.coingecko.com/pt/isen%C3%A7%C3%A3o_de_responsabilidade" xr:uid="{1ADE26F8-BCAD-46A7-A0EB-13A6020FF1CB}"/>
    <hyperlink ref="FT631" r:id="rId2224" display="https://coingecko.app.link/lTInCXLGz4" xr:uid="{D994C9C7-696F-4E49-BB87-93F536FC3A0C}"/>
    <hyperlink ref="GG2" r:id="rId2225" display="https://www.coingecko.com/pt" xr:uid="{F4D2BF24-414B-4287-A74D-7D161D2AF9D8}"/>
    <hyperlink ref="GG3" r:id="rId2226" display="https://www.coingecko.com/pt/c%C3%A2mbios" xr:uid="{A66EA975-B862-412C-BC78-0B08A5BE608F}"/>
    <hyperlink ref="GG4" r:id="rId2227" display="https://www.coingecko.com/pt/global-charts" xr:uid="{B1C234F9-A925-4231-AA5C-BBACF117F325}"/>
    <hyperlink ref="GG5" r:id="rId2228" display="https://www.coingecko.com/pt/global-charts" xr:uid="{F68B75C1-E59E-4E7E-BA87-E2E93407C46E}"/>
    <hyperlink ref="GG25" r:id="rId2229" display="https://www.coingecko.com/pt/premium/pricing" xr:uid="{1C6C578E-ED7E-485A-8FF8-F220645AE872}"/>
    <hyperlink ref="GG28:GG29" r:id="rId2230" display="https://coingecko.app.link/lTInCXLGz4" xr:uid="{0683698E-AC1F-4E39-A45B-375610A11C46}"/>
    <hyperlink ref="GG48" r:id="rId2231" display="https://www.geckoterminal.com/?utm_source=coingecko&amp;utm_medium=referral&amp;utm_campaign=desktop_navigation" xr:uid="{4BFF67A0-755D-45F3-8C6F-838B80A4F4E3}"/>
    <hyperlink ref="GG49" r:id="rId2232" display="https://www.coingecko.com/pt/candy" xr:uid="{28AFC0AE-C19E-4C61-BCDA-6C8C1FFC381B}"/>
    <hyperlink ref="GG50" r:id="rId2233" display="https://www.coingecko.com/pt/candy" xr:uid="{007371E0-7889-4184-A70A-520A8BC200AC}"/>
    <hyperlink ref="GG51" r:id="rId2234" display="https://www.coingecko.com/pt/candy" xr:uid="{48A30801-A0CB-4539-8796-6A91EBFBA164}"/>
    <hyperlink ref="GG52" r:id="rId2235" display="https://www.coingecko.com/pt/portfolio" xr:uid="{E09EC3BE-698F-447D-A52C-338927AAD48B}"/>
    <hyperlink ref="GG70" r:id="rId2236" display="https://gcko.io/search-survey" xr:uid="{4752B8F0-5D84-4760-A148-9A21847D717B}"/>
    <hyperlink ref="GG73" r:id="rId2237" display="https://www.coingecko.com/pt" xr:uid="{0002088E-8064-4CEA-9E2B-A2B312A2A000}"/>
    <hyperlink ref="GG92" r:id="rId2238" display="https://www.coingecko.com/pt/metodologia" xr:uid="{F9B385B2-9F1C-481A-A1D1-D6D1BD1C3C37}"/>
    <hyperlink ref="GG102" r:id="rId2239" display="https://www.geckoterminal.com/eth/tokens/0x95ad61b0a150d79219dcf64e1e6cc01f0b64c4ce?utm_source=coingecko&amp;utm_medium=referral&amp;utm_campaign=livechart-btn" xr:uid="{6657A764-E204-4208-972B-013D13781488}"/>
    <hyperlink ref="GG107" r:id="rId2240" display="https://www.coingecko.com/pt/api" xr:uid="{28BE924B-6EC0-4C84-B9BD-D15E3A8B8F06}"/>
    <hyperlink ref="GG123" r:id="rId2241" display="https://www.coingecko.com/pt/metodologia" xr:uid="{BAEFF67F-4949-474E-BAC8-4BAA4356FD19}"/>
    <hyperlink ref="GG129" r:id="rId2242" display="https://www.coingecko.com/learn/what-is-fully-diluted-valuation-fdv-in-crypto" xr:uid="{3A57B99B-682B-419F-8E18-5FFFA0193A27}"/>
    <hyperlink ref="GG135" r:id="rId2243" display="https://www.coingecko.com/learn/what-is-fully-diluted-valuation-fdv-in-crypto" xr:uid="{27C3F16F-8B27-40F0-BFA8-0CC8D9B08270}"/>
    <hyperlink ref="GG139" r:id="rId2244" display="https://www.coingecko.com/pt/metodologia" xr:uid="{3FAA021E-870E-4124-B2C4-C68801ED5278}"/>
    <hyperlink ref="GG143" r:id="rId2245" display="https://www.coingecko.com/pt/metodologia" xr:uid="{3EBF35FA-D3C8-4E25-896C-019236E673D5}"/>
    <hyperlink ref="GH143" r:id="rId2246" display="https://etherscan.io/token/0x95ad61b0a150d79219dcf64e1e6cc01f0b64c4ce?a=0x0000000000000000000000000000000000000000" xr:uid="{0C5CD590-3E91-4C5B-BCD0-7BC7F6F7A229}"/>
    <hyperlink ref="GH145" r:id="rId2247" display="https://etherscan.io/token/0x95ad61b0a150d79219dcf64e1e6cc01f0b64c4ce?a=0x000000000000000000000000000000000000dead" xr:uid="{3BE8FE66-46FE-44FE-9C65-880C7266F68C}"/>
    <hyperlink ref="GH147" r:id="rId2248" display="https://etherscan.io/token/0x95ad61b0a150d79219dcf64e1e6cc01f0b64c4ce?a=0x556219c84974ada96e9382e041bac26398d9e214" xr:uid="{88CC8FFC-B61C-4796-887A-85C4D22BCE47}"/>
    <hyperlink ref="GH149" r:id="rId2249" display="https://etherscan.io/token/0x95ad61b0a150d79219dcf64e1e6cc01f0b64c4ce?a=0x9813037ee2218799597d83d4a5b6f3b6778218d9" xr:uid="{2D481177-5DF0-4931-AA9F-4E9A8163E22C}"/>
    <hyperlink ref="GH151" r:id="rId2250" display="https://etherscan.io/token/0x95ad61b0a150d79219dcf64e1e6cc01f0b64c4ce?a=0xadf86e75d8f0f57e0288d0970e7407eaa49b3cab" xr:uid="{A1D3088B-07EB-4E84-B90A-559DED0377D1}"/>
    <hyperlink ref="GH153" r:id="rId2251" display="https://etherscan.io/token/0x95ad61b0a150d79219dcf64e1e6cc01f0b64c4ce?a=0x11450058d796b02eb53e65374be59cff65d3fe7f" xr:uid="{0573AECA-AE4D-4CF5-BB4A-534550950332}"/>
    <hyperlink ref="GH155" r:id="rId2252" display="https://etherscan.io/token/0x95ad61b0a150d79219dcf64e1e6cc01f0b64c4ce?a=0x95aD61b0a150d79219dCF64E1E6Cc01f0B64C4cE" xr:uid="{A5BC08CA-0DE0-496B-B33A-E55C38EC850F}"/>
    <hyperlink ref="GH157" r:id="rId2253" display="https://etherscan.io/token/0x95ad61b0a150d79219dcf64e1e6cc01f0b64c4ce?a=0xdead000000000000000042069420694206942069" xr:uid="{02B57800-2328-4DFC-A519-69B17FE23BC9}"/>
    <hyperlink ref="GH159" r:id="rId2254" display="https://etherscan.io/token/0x95ad61b0a150d79219dcf64e1e6cc01f0b64c4ce?a=0xf7A0383750feF5AbaCe57cc4C9ff98e3790202b3" xr:uid="{A1B16472-A531-424A-9279-FACAACD9761B}"/>
    <hyperlink ref="GH161" r:id="rId2255" display="https://etherscan.io/token/0x95ad61b0a150d79219dcf64e1e6cc01f0b64c4ce?a=0x27C70Cd1946795B66be9d954418546998b546634" xr:uid="{34366A0F-B9BE-4838-B487-CC84E8317244}"/>
    <hyperlink ref="GH163" r:id="rId2256" display="https://etherscan.io/token/0x95ad61b0a150d79219dcf64e1e6cc01f0b64c4ce?a=0x8B3192f5eEBD8579568A2Ed41E6FEB402f93f73F" xr:uid="{B39643E5-A981-426F-9B3E-DBEE0C97CEAB}"/>
    <hyperlink ref="GG178" r:id="rId2257" display="https://forms.gle/ULNnnCGCEAimK9cJ7" xr:uid="{E2CC1BDA-4B9E-4CA3-BC4D-DAE46973AED4}"/>
    <hyperlink ref="GG183" r:id="rId2258" display="https://shibatoken.com/" xr:uid="{0DF8926F-7D7E-4DD6-8437-14C986F969F8}"/>
    <hyperlink ref="GG184" r:id="rId2259" display="https://blog.shibaswap.com/" xr:uid="{8987CBA1-10A5-4390-98DD-313E2086899C}"/>
    <hyperlink ref="GG186" r:id="rId2260" display="https://etherscan.io/token/0x95ad61b0a150d79219dcf64e1e6cc01f0b64c4ce" xr:uid="{035DA11B-3857-468D-BF71-9D4432DBBCB3}"/>
    <hyperlink ref="GG189" r:id="rId2261" display="https://twitter.com/Shibtoken" xr:uid="{B00260DC-2B49-4FCD-99EA-5E74802364BA}"/>
    <hyperlink ref="GG190" r:id="rId2262" display="https://t.me/ShibaInu_Dogecoinkiller" xr:uid="{F1BB4F2D-4015-4183-AE4E-4F4249EECC6D}"/>
    <hyperlink ref="GG191" r:id="rId2263" display="https://discord.com/invite/shibatoken" xr:uid="{C4BA3271-1BB0-45C4-BCA0-01A9321BF47A}"/>
    <hyperlink ref="GG193" r:id="rId2264" display="https://twitter.com/search?q=$SHIB" xr:uid="{2F596464-215A-4310-91C5-B4E46FB2EDCD}"/>
    <hyperlink ref="GG197" r:id="rId2265" display="https://www.coingecko.com/pt/categories/ethereum-ecosystem" xr:uid="{C4BDE99B-A629-47D4-ABED-75F163C7183A}"/>
    <hyperlink ref="GG201" r:id="rId2266" display="https://www.coingecko.com/pt/categories/meme-token" xr:uid="{45F42098-3BBD-44EC-8364-A3C22C807673}"/>
    <hyperlink ref="GG203" r:id="rId2267" display="https://www.coingecko.com/pt/categories/dog-themed-coins" xr:uid="{52D43184-8AD4-4601-BE2D-4F4D05C7CF97}"/>
    <hyperlink ref="GG260" r:id="rId2268" display="https://www.coingecko.com/learn/complete-beginners-guide-to-metamask" xr:uid="{B6856EF5-6ED4-49EE-AEA3-C8A879EE2111}"/>
    <hyperlink ref="GH272" r:id="rId2269" display="https://www.coingecko.com/pt/c%C3%A2mbios/gate-io" xr:uid="{A9341BE1-30DD-41A6-B185-1B89822C25DB}"/>
    <hyperlink ref="GH273" r:id="rId2270" display="https://www.coingecko.com/pt/c%C3%A2mbios/gate-io" xr:uid="{592ECDBE-9103-4A50-9FCD-C262939D50E8}"/>
    <hyperlink ref="GJ272" r:id="rId2271" display="https://gate.io/trade/SHIB_USDT?ref=3018394" xr:uid="{D621E8F1-FEE9-4D66-BA08-FF545943625B}"/>
    <hyperlink ref="GH274" r:id="rId2272" display="https://www.coingecko.com/pt/c%C3%A2mbios/bitget" xr:uid="{CC418E7A-C80C-4770-B5A8-41E5DF4DA2FE}"/>
    <hyperlink ref="GH275" r:id="rId2273" display="https://www.coingecko.com/pt/c%C3%A2mbios/bitget" xr:uid="{0EE0840D-59B9-486A-8CC1-FD55278F9C78}"/>
    <hyperlink ref="GJ274" r:id="rId2274" display="https://www.bitget.com/spot/SHIBUSDT?channelCode=42xn&amp;vipCode=sq59&amp;languageType=0" xr:uid="{E3431C50-282F-4157-A137-0FCE5F2E6FAB}"/>
    <hyperlink ref="GH276" r:id="rId2275" display="https://www.coingecko.com/pt/c%C3%A2mbios/bitvenus-spot" xr:uid="{2308D9DA-0025-4702-BA36-2079E7D54BAD}"/>
    <hyperlink ref="GH277" r:id="rId2276" display="https://www.coingecko.com/pt/c%C3%A2mbios/bitvenus-spot" xr:uid="{49CE8344-6F2B-44B2-884D-9375A0B99568}"/>
    <hyperlink ref="GJ276" r:id="rId2277" display="https://www.bitvenus.me/exchange/SHIB/USDT?register/vh2osI" xr:uid="{52EAC22B-B56B-44F8-842E-1F3F36FE36BA}"/>
    <hyperlink ref="GH278" r:id="rId2278" display="https://www.coingecko.com/pt/c%C3%A2mbios/mexc" xr:uid="{F4FB13CF-5033-4C8D-BBCB-0AC0792690CD}"/>
    <hyperlink ref="GH279" r:id="rId2279" display="https://www.coingecko.com/pt/c%C3%A2mbios/mexc" xr:uid="{02B6A29F-F4E5-4B69-B4D2-E5F958414718}"/>
    <hyperlink ref="GJ278" r:id="rId2280" display="https://www.mexc.com/exchange/SHIB_USDT?inviteCode=1498J" xr:uid="{EC66F4A7-0ADC-4BED-BBE6-971A3E4A2CC4}"/>
    <hyperlink ref="GH280" r:id="rId2281" display="https://www.coingecko.com/pt/c%C3%A2mbios/binance" xr:uid="{8B47ECC5-5F31-4AA1-BB23-E756DA8C51BA}"/>
    <hyperlink ref="GH281" r:id="rId2282" display="https://www.coingecko.com/pt/c%C3%A2mbios/binance" xr:uid="{6D2DB7A1-F1C0-4E95-8BCF-07D3ED6C1798}"/>
    <hyperlink ref="GJ280" r:id="rId2283" display="https://www.binance.com/en/trade/SHIB_USDT?ref=37754157" xr:uid="{59B03C52-C6CC-451D-9357-855AED1A020F}"/>
    <hyperlink ref="GH282" r:id="rId2284" display="https://www.coingecko.com/pt/c%C3%A2mbios/weex" xr:uid="{58EA48E6-39E5-4817-83A4-BC1685BEF2F4}"/>
    <hyperlink ref="GH283" r:id="rId2285" display="https://www.coingecko.com/pt/c%C3%A2mbios/weex" xr:uid="{EF700991-0BAC-4384-91FE-FBD7BFEEE6EB}"/>
    <hyperlink ref="GJ282" r:id="rId2286" display="https://www.weex.com/trade/shib_usdt" xr:uid="{C4712EA7-8AD3-4950-B2B1-E6B9B8B12061}"/>
    <hyperlink ref="GH284" r:id="rId2287" display="https://www.coingecko.com/pt/c%C3%A2mbios/biconomy" xr:uid="{5FA6013C-5F89-4168-89BF-B0C338F58FE6}"/>
    <hyperlink ref="GH285" r:id="rId2288" display="https://www.coingecko.com/pt/c%C3%A2mbios/biconomy" xr:uid="{37ECEE8F-916E-483F-BAF3-845CA76EBDB9}"/>
    <hyperlink ref="GJ284" r:id="rId2289" display="https://www.biconomy.com/exchange/SHIB_USDT" xr:uid="{04F1DB59-389F-4DBB-BD57-9CE9820BCC95}"/>
    <hyperlink ref="GH286" r:id="rId2290" display="https://www.coingecko.com/pt/c%C3%A2mbios/coinbase-exchange" xr:uid="{DAB47A3C-F8B6-4241-9791-35081C23E013}"/>
    <hyperlink ref="GH287" r:id="rId2291" display="https://www.coingecko.com/pt/c%C3%A2mbios/coinbase-exchange" xr:uid="{38EF1CD1-6E43-4703-90FB-7E25F47B29EE}"/>
    <hyperlink ref="GJ286" r:id="rId2292" display="https://www.coinbase.com/advanced-trade/spot/SHIB-USD" xr:uid="{61B8DDBB-A517-4FC1-A65B-1D8BA170C664}"/>
    <hyperlink ref="GH288" r:id="rId2293" display="https://www.coingecko.com/pt/c%C3%A2mbios/digifinex" xr:uid="{2AAF03C0-73F7-4A4B-A9FD-71B060993EBC}"/>
    <hyperlink ref="GH289" r:id="rId2294" display="https://www.coingecko.com/pt/c%C3%A2mbios/digifinex" xr:uid="{384B2BFC-778C-4CAC-99D3-B667A37DD507}"/>
    <hyperlink ref="GJ288" r:id="rId2295" display="https://www.digifinex.com/en-ww/trade/USDT/SHIB" xr:uid="{F6265215-CD8C-4EAA-878D-D8985DAC6E19}"/>
    <hyperlink ref="GH290" r:id="rId2296" display="https://www.coingecko.com/pt/c%C3%A2mbios/pionex" xr:uid="{906C6592-61F6-4594-B312-FF1BEC764866}"/>
    <hyperlink ref="GH291" r:id="rId2297" display="https://www.coingecko.com/pt/c%C3%A2mbios/pionex" xr:uid="{78BF3070-5954-441A-8392-B45F4BCDA000}"/>
    <hyperlink ref="GJ290" r:id="rId2298" display="https://www.pionex.com/en/trade/SHIB_USDT/Bot?r=04SCvbiCErH" xr:uid="{722EFB48-B39D-49AE-A943-66DD05566DF4}"/>
    <hyperlink ref="GG302" r:id="rId2299" display="https://www.criptofacil.com/previsao-de-preco-das-3-principais-memecoins-dogecoin-shiba-inu-e-bonk/" xr:uid="{78680DD1-5461-48EB-ACD6-A9E27C3E04A7}"/>
    <hyperlink ref="GG303" r:id="rId2300" display="https://www.criptofacil.com/previsao-de-preco-das-3-principais-memecoins-dogecoin-shiba-inu-e-bonk/" xr:uid="{78EFA770-581E-4E8B-86E5-6761B656D9AE}"/>
    <hyperlink ref="GG304" r:id="rId2301" display="https://www.criptofacil.com/previsao-de-preco-das-3-principais-memecoins-dogecoin-shiba-inu-e-bonk/" xr:uid="{61AA8286-2925-4074-9AC4-B811EF31122F}"/>
    <hyperlink ref="GG305" r:id="rId2302" display="https://www.criptofacil.com/previsao-de-preco-das-3-principais-memecoins-dogecoin-shiba-inu-e-bonk/" xr:uid="{18D65EC2-92C5-475D-AFDF-4C9651B995BB}"/>
    <hyperlink ref="GG306:GG307" r:id="rId2303" display="https://br.beincrypto.com/altcoin-season-may-2024-cryptos/" xr:uid="{1817CE9A-864A-4C56-97BC-F061A4298C54}"/>
    <hyperlink ref="GG308" r:id="rId2304" display="https://br.beincrypto.com/altcoin-season-may-2024-cryptos/" xr:uid="{FAD3212C-4475-4121-A632-6706BA611E82}"/>
    <hyperlink ref="GG309" r:id="rId2305" display="https://br.beincrypto.com/altcoin-season-may-2024-cryptos/" xr:uid="{209B87F9-34A0-44E6-A9E1-89F85EA327EF}"/>
    <hyperlink ref="GG310:GG311" r:id="rId2306" display="https://br.beincrypto.com/3-criptomoedas-que-as-baleias-estao-comprando-para-ter-lucro-em-maio/" xr:uid="{FCA4B20E-9A2D-4818-ADE4-6C2E6390F58A}"/>
    <hyperlink ref="GG312" r:id="rId2307" display="https://br.beincrypto.com/3-criptomoedas-que-as-baleias-estao-comprando-para-ter-lucro-em-maio/" xr:uid="{3C7BC80A-3855-46C0-B2BD-5262C678C0CA}"/>
    <hyperlink ref="GG313" r:id="rId2308" display="https://br.beincrypto.com/3-criptomoedas-que-as-baleias-estao-comprando-para-ter-lucro-em-maio/" xr:uid="{0791C5FD-595E-4B86-8957-84F197369BB9}"/>
    <hyperlink ref="GG314:GG315" r:id="rId2309" display="https://www.criptofacil.com/rally-das-memecoins-pode-trazer-de-volta-bonk-e-shiba-inu-investidores-esperam-capitalizar-com-a-pre-venda-do-token-recq/" xr:uid="{CF456708-86C5-4F3E-A749-40BD1C3F0909}"/>
    <hyperlink ref="GG316" r:id="rId2310" display="https://www.criptofacil.com/rally-das-memecoins-pode-trazer-de-volta-bonk-e-shiba-inu-investidores-esperam-capitalizar-com-a-pre-venda-do-token-recq/" xr:uid="{7DAE35D1-32C9-454E-8837-0E7F4DD5402E}"/>
    <hyperlink ref="GG317" r:id="rId2311" display="https://www.criptofacil.com/rally-das-memecoins-pode-trazer-de-volta-bonk-e-shiba-inu-investidores-esperam-capitalizar-com-a-pre-venda-do-token-recq/" xr:uid="{22830E37-3135-4CD3-8A17-0C9F91B3E782}"/>
    <hyperlink ref="GG322" r:id="rId2312" display="https://www.coingecko.com/pt/moedas/shiba-inu/usd" xr:uid="{E7651080-9F72-4E95-8693-09DC4EE84836}"/>
    <hyperlink ref="GG323" r:id="rId2313" display="https://www.coingecko.com/pt/moedas/shiba-inu/usd" xr:uid="{1534498F-1254-48E2-9890-B39B0A930522}"/>
    <hyperlink ref="GG324" r:id="rId2314" display="https://www.coingecko.com/pt/moedas/shiba-inu/eur" xr:uid="{5BC8A9E0-A58B-4A9B-A243-3CD6A3CAC274}"/>
    <hyperlink ref="GG325" r:id="rId2315" display="https://www.coingecko.com/pt/moedas/shiba-inu/eur" xr:uid="{33FFD2E9-BD9C-4E8F-9F97-74E15B68FBFF}"/>
    <hyperlink ref="GG326" r:id="rId2316" display="https://www.coingecko.com/pt/moedas/shiba-inu/brl" xr:uid="{14BFE62B-78AE-4D1B-AA18-C1B283AD1C3C}"/>
    <hyperlink ref="GG327" r:id="rId2317" display="https://www.coingecko.com/pt/moedas/shiba-inu/brl" xr:uid="{194B9F73-25EC-458C-8A4A-220B22F80A09}"/>
    <hyperlink ref="GG331" r:id="rId2318" display="https://www.coingecko.com/pt/moedas/bone-shibaswap" xr:uid="{9D0D7975-543E-4E88-8813-535AC07FDFF9}"/>
    <hyperlink ref="GG332" r:id="rId2319" display="https://www.coingecko.com/pt/moedas/bone-shibaswap" xr:uid="{5EAA998E-463A-458A-9882-7A164E129391}"/>
    <hyperlink ref="GG333" r:id="rId2320" display="https://www.coingecko.com/pt/moedas/bone-shibaswap" xr:uid="{82EFEB80-10FF-4F8F-80D1-D2E83B748E79}"/>
    <hyperlink ref="GG334" r:id="rId2321" display="https://www.coingecko.com/pt/moedas/doge-killer" xr:uid="{D9FA0BE4-0CBA-4B8F-ABF5-387D1705A27A}"/>
    <hyperlink ref="GG335" r:id="rId2322" display="https://www.coingecko.com/pt/moedas/doge-killer" xr:uid="{8F43C054-8B61-4D8C-A97F-51FCE394F81C}"/>
    <hyperlink ref="GG336" r:id="rId2323" display="https://www.coingecko.com/pt/moedas/doge-killer" xr:uid="{B7796DA4-7E25-4423-9431-A55E66C16247}"/>
    <hyperlink ref="GG337" r:id="rId2324" display="https://www.coingecko.com/pt/moedas/pawswap" xr:uid="{CE542AE3-FE48-4E5D-A6EB-27D911223FCC}"/>
    <hyperlink ref="GG338" r:id="rId2325" display="https://www.coingecko.com/pt/moedas/pawswap" xr:uid="{076EAF5F-9F0D-4C4F-871E-479FE3043141}"/>
    <hyperlink ref="GG339" r:id="rId2326" display="https://www.coingecko.com/pt/moedas/pawswap" xr:uid="{15C1F488-B567-4974-BA71-3538880124E7}"/>
    <hyperlink ref="GG340" r:id="rId2327" display="https://www.coingecko.com/pt/moedas/xfund" xr:uid="{7C3D81C8-F3CC-42FB-9287-0168E79E0EE4}"/>
    <hyperlink ref="GG341" r:id="rId2328" display="https://www.coingecko.com/pt/moedas/xfund" xr:uid="{28C0489A-486A-4B6C-B802-73BA02F298B2}"/>
    <hyperlink ref="GG342" r:id="rId2329" display="https://www.coingecko.com/pt/moedas/xfund" xr:uid="{D50A2335-D7D2-4BB9-993C-33F87CEF0F24}"/>
    <hyperlink ref="GG343" r:id="rId2330" display="https://www.coingecko.com/pt/moedas/woofwork-io" xr:uid="{B795E95C-1FC3-41CD-82FE-27923A886789}"/>
    <hyperlink ref="GG344" r:id="rId2331" display="https://www.coingecko.com/pt/moedas/woofwork-io" xr:uid="{5980790B-DE53-4164-9B66-E5365F275EBC}"/>
    <hyperlink ref="GG345" r:id="rId2332" display="https://www.coingecko.com/pt/moedas/woofwork-io" xr:uid="{0BE74D12-F4C5-4150-977D-C68601C65F36}"/>
    <hyperlink ref="GG349" r:id="rId2333" display="https://www.coingecko.com/pt/moedas/solana" xr:uid="{63FBB78A-53B2-43A0-8AA6-DA470977361D}"/>
    <hyperlink ref="GG350" r:id="rId2334" display="https://www.coingecko.com/pt/moedas/solana" xr:uid="{FB5ACACB-29B2-41FA-9458-6D0C9C3C5188}"/>
    <hyperlink ref="GG351" r:id="rId2335" display="https://www.coingecko.com/pt/moedas/solana" xr:uid="{4748120E-5356-4D6B-B134-D3A1BB530D78}"/>
    <hyperlink ref="GG352" r:id="rId2336" display="https://www.coingecko.com/pt/moedas/dione" xr:uid="{CBA36F36-D1E8-477C-B842-93C8B2BAD498}"/>
    <hyperlink ref="GG353" r:id="rId2337" display="https://www.coingecko.com/pt/moedas/dione" xr:uid="{39F55701-FFF4-4D9B-A355-4701F3D0A13E}"/>
    <hyperlink ref="GG354" r:id="rId2338" display="https://www.coingecko.com/pt/moedas/dione" xr:uid="{90BF0DEE-0205-4AEA-88C4-FD2A1E3F1B8B}"/>
    <hyperlink ref="GG355" r:id="rId2339" display="https://www.coingecko.com/pt/moedas/pixels" xr:uid="{9D396BAB-1A66-42E0-936A-4DFD94B64FEA}"/>
    <hyperlink ref="GG356" r:id="rId2340" display="https://www.coingecko.com/pt/moedas/pixels" xr:uid="{1867E44D-A673-4C0C-AD66-BC9BED1B16DA}"/>
    <hyperlink ref="GG357" r:id="rId2341" display="https://www.coingecko.com/pt/moedas/pixels" xr:uid="{1F90B977-4CBB-414B-9BA6-EFEB7034EE54}"/>
    <hyperlink ref="GG358" r:id="rId2342" display="https://www.coingecko.com/pt/moedas/bitcoin" xr:uid="{F9EB0075-15EF-4218-AE83-AA2D4EC04E1D}"/>
    <hyperlink ref="GG359" r:id="rId2343" display="https://www.coingecko.com/pt/moedas/bitcoin" xr:uid="{A8897D19-5229-4E43-9F71-B8793F085AAA}"/>
    <hyperlink ref="GG360" r:id="rId2344" display="https://www.coingecko.com/pt/moedas/bitcoin" xr:uid="{C0B7DE51-973F-482A-B0E4-12E655801CF0}"/>
    <hyperlink ref="GG361" r:id="rId2345" display="https://www.coingecko.com/pt/moedas/pepe" xr:uid="{4D6D7688-0A4C-4FCC-8971-DC8B71B3CBF0}"/>
    <hyperlink ref="GG362" r:id="rId2346" display="https://www.coingecko.com/pt/moedas/pepe" xr:uid="{3925B358-53D0-493E-986D-8E32B1F606EE}"/>
    <hyperlink ref="GG363" r:id="rId2347" display="https://www.coingecko.com/pt/moedas/pepe" xr:uid="{D8E78159-680B-4958-8B14-309E3D2BDFF1}"/>
    <hyperlink ref="GG364" r:id="rId2348" display="https://www.coingecko.com/pt/moedas/degen-base" xr:uid="{C75777E3-819D-41A6-A644-0DD044F23264}"/>
    <hyperlink ref="GG365" r:id="rId2349" display="https://www.coingecko.com/pt/moedas/degen-base" xr:uid="{B14AD3DB-6AD2-4503-8B9D-F825E79955EE}"/>
    <hyperlink ref="GG366" r:id="rId2350" display="https://www.coingecko.com/pt/moedas/degen-base" xr:uid="{BBFBB92D-7A52-49DC-8C6F-8EBF2538370B}"/>
    <hyperlink ref="GG367" r:id="rId2351" display="https://www.coingecko.com/pt/moedas/wormhole" xr:uid="{403CF94B-1FE6-4FE8-8E5C-17D9A73802FB}"/>
    <hyperlink ref="GG368" r:id="rId2352" display="https://www.coingecko.com/pt/moedas/wormhole" xr:uid="{9F440C73-E9A8-4C47-B64E-32D969D65B20}"/>
    <hyperlink ref="GG369" r:id="rId2353" display="https://www.coingecko.com/pt/moedas/wormhole" xr:uid="{B9C03570-EC74-4A00-9A7B-9C7FC5C22BF4}"/>
    <hyperlink ref="GG370" r:id="rId2354" display="https://www.coingecko.com/pt/moedas/ethereum" xr:uid="{A33D8A8E-7251-4E32-91C4-90271856A383}"/>
    <hyperlink ref="GG371" r:id="rId2355" display="https://www.coingecko.com/pt/moedas/ethereum" xr:uid="{95B25FD6-381A-40DB-9D7B-325789312053}"/>
    <hyperlink ref="GG372" r:id="rId2356" display="https://www.coingecko.com/pt/moedas/ethereum" xr:uid="{57613B16-DE7B-40AE-8E09-745774F81246}"/>
    <hyperlink ref="GG373" r:id="rId2357" display="https://www.coingecko.com/pt/moedas/bittensor" xr:uid="{170FEB47-568E-40F7-861B-B2D61DC1CA18}"/>
    <hyperlink ref="GG374" r:id="rId2358" display="https://www.coingecko.com/pt/moedas/bittensor" xr:uid="{731002E4-986C-4932-B8B0-9E6D0C40106A}"/>
    <hyperlink ref="GG375" r:id="rId2359" display="https://www.coingecko.com/pt/moedas/bittensor" xr:uid="{797BD084-1A0B-4AF3-9346-B248E6F0A7B8}"/>
    <hyperlink ref="GG376" r:id="rId2360" display="https://www.coingecko.com/pt/moedas/polygon" xr:uid="{7900CD29-2EC9-4020-A953-286748536578}"/>
    <hyperlink ref="GG377" r:id="rId2361" display="https://www.coingecko.com/pt/moedas/polygon" xr:uid="{1C977AAC-2D49-444D-BA7B-BCCB2B423255}"/>
    <hyperlink ref="GG378" r:id="rId2362" display="https://www.coingecko.com/pt/moedas/polygon" xr:uid="{40EAA6BE-9F2F-4422-B4B6-72C47A14943C}"/>
    <hyperlink ref="GG387" r:id="rId2363" display="https://www.coingecko.com/pt" xr:uid="{6469E2DC-192F-4808-8683-1F9E4BBFD22C}"/>
    <hyperlink ref="GG390" r:id="rId2364" display="https://www.coingecko.com/pt/news" xr:uid="{8D6EDC88-8D69-4EC4-B624-71EAE5B9E4B7}"/>
    <hyperlink ref="GG391" r:id="rId2365" display="https://www.coingecko.com/pt/public-companies-bitcoin" xr:uid="{847E21AA-D4DD-4EFF-8045-0CBBDB4AEC45}"/>
    <hyperlink ref="GG392" r:id="rId2366" display="https://www.coingecko.com/pt/cryptocurrency-heatmap" xr:uid="{7B9175B1-B4DA-456C-BE5D-A951A00337FB}"/>
    <hyperlink ref="GG393" r:id="rId2367" display="https://www.coingecko.com/pt/api" xr:uid="{70D823E9-6842-4054-BAB3-82946C7C70E7}"/>
    <hyperlink ref="GG400" r:id="rId2368" display="https://www.coingecko.com/request" xr:uid="{D4C2ED21-E844-421C-8EE9-F29D690FCED4}"/>
    <hyperlink ref="GG401" r:id="rId2369" display="https://gcko.io/coingeckoads" xr:uid="{854B9F8F-49CC-4F63-91DF-FA26E1483D72}"/>
    <hyperlink ref="GG402" r:id="rId2370" display="https://www.coingecko.com/pt/candy/partners-getting-started" xr:uid="{8909B99A-9F78-42AA-BF97-5BD88144BD8B}"/>
    <hyperlink ref="GG403" r:id="rId2371" display="https://support.coingecko.com/" xr:uid="{4A65F045-AB70-491E-9D8A-41A178137E89}"/>
    <hyperlink ref="GG404" r:id="rId2372" display="https://hackenproof.com/coingecko/coingecko" xr:uid="{C66AE37E-1436-444A-9BAA-09DA03A90202}"/>
    <hyperlink ref="GG405" r:id="rId2373" display="https://www.coingecko.com/pt/faq" xr:uid="{E5E78B81-1034-4687-ADAD-8EBF2C863132}"/>
    <hyperlink ref="GG407" r:id="rId2374" display="https://www.coingecko.com/pt/sobre" xr:uid="{6741D207-DC8B-44FC-A245-A3A297C480C7}"/>
    <hyperlink ref="GG408" r:id="rId2375" display="https://careers.coingecko.com/" xr:uid="{1F743022-12DD-468B-87D1-B95354A9BB85}"/>
    <hyperlink ref="GG409" r:id="rId2376" display="https://careers.coingecko.com/" xr:uid="{94DCC892-0413-45C1-A45C-044308264AD5}"/>
    <hyperlink ref="GG410" r:id="rId2377" display="https://blog.coingecko.com/" xr:uid="{6A664CDC-4EC5-4E69-8A2A-B060E6AFD93A}"/>
    <hyperlink ref="GG411" r:id="rId2378" display="https://www.coingecko.com/pt/branding" xr:uid="{78673DA8-B348-4154-9CE5-A92CFBBB2D07}"/>
    <hyperlink ref="GG412" r:id="rId2379" display="https://www.coingecko.com/pt/metodologia" xr:uid="{2409F1AC-FA93-4C2A-9D43-4550CD4DB502}"/>
    <hyperlink ref="GG413" r:id="rId2380" display="https://www.coingecko.com/pt/isen%C3%A7%C3%A3o_de_responsabilidade" xr:uid="{F5305565-28DF-4C3E-B3A7-03315A1B7200}"/>
    <hyperlink ref="GG414" r:id="rId2381" display="https://www.coingecko.com/pt/termos" xr:uid="{C5EA2701-6806-4716-97BB-F188D307B871}"/>
    <hyperlink ref="GG415" r:id="rId2382" display="https://www.coingecko.com/pt/privacidade" xr:uid="{38C75466-4EE8-4575-BEF9-06690195A81D}"/>
    <hyperlink ref="GG416" r:id="rId2383" display="https://www.coingecko.com/pt/ad_policy" xr:uid="{5EDD656C-563E-4CB2-9D4F-F2E1E7E674D2}"/>
    <hyperlink ref="GG419" r:id="rId2384" display="https://twitter.com/coingecko" xr:uid="{7053183E-FD26-4965-9C91-95E43182FDB4}"/>
    <hyperlink ref="GG420" r:id="rId2385" display="https://t.me/coingecko" xr:uid="{C56253B4-5634-4FBE-BACD-F98F1EB1ABB2}"/>
    <hyperlink ref="GG421" r:id="rId2386" display="https://t.me/coingeckonews" xr:uid="{A47641A8-3B14-4CC5-8DF2-007BE20E8DAF}"/>
    <hyperlink ref="GG422" r:id="rId2387" display="https://www.instagram.com/coingecko/" xr:uid="{8DC35542-854C-4ABB-B078-C9CB1D9A35B8}"/>
    <hyperlink ref="GG423" r:id="rId2388" display="https://www.reddit.com/r/coingecko/" xr:uid="{34B70578-E107-43B7-8364-CF9F4259479A}"/>
    <hyperlink ref="GG424" r:id="rId2389" display="https://discord.gg/EhrkaCH" xr:uid="{5A35AE21-B850-439A-BF4A-CAA692F7FB8D}"/>
    <hyperlink ref="GG425" r:id="rId2390" display="https://www.facebook.com/coingecko" xr:uid="{861091CF-2B11-4613-8C00-6EF644C70D66}"/>
    <hyperlink ref="GG426" r:id="rId2391" display="https://www.youtube.com/channel/UC-OTgwOAI7KmP0eDAtqN3Ow?sub_confirmation=1" xr:uid="{A8217518-9A97-43E1-9A6B-A602FFA7451E}"/>
    <hyperlink ref="GG427" r:id="rId2392" display="https://www.tiktok.com/@coingeckotv" xr:uid="{94B08E3B-8CA7-499B-85F6-F50628889AA8}"/>
    <hyperlink ref="GG433" r:id="rId2393" display="https://www.coingecko.com/pt/isen%C3%A7%C3%A3o_de_responsabilidade" xr:uid="{D1048576-F190-44E4-9C5B-16D00536B64E}"/>
    <hyperlink ref="GG683" r:id="rId2394" display="https://coingecko.app.link/lTInCXLGz4" xr:uid="{83614278-331F-4843-8A10-417EE7D663D8}"/>
    <hyperlink ref="A2" r:id="rId2395" display="https://www.google.com/?client=firefox-b-d&amp;sca_esv=8f14c8c94b33adc6&amp;sca_upv=1&amp;output=search&amp;ie=UTF-8&amp;sa=X&amp;ved=0ahUKEwj_2bOd7u6FAxXSpZUCHUfnDMEQPAgC" xr:uid="{15211826-7BE0-4781-9BC3-01D2813F6639}"/>
    <hyperlink ref="B4" r:id="rId2396" display="https://www.google.com/search?q=dollar&amp;client=firefox-b-d&amp;sca_esv=8f14c8c94b33adc6&amp;sca_upv=1&amp;ie=UTF-8&amp;tbm=nws&amp;source=lnms&amp;sa=X&amp;ved=0ahUKEwj_2bOd7u6FAxXSpZUCHUfnDMEQ_AUIBSgB" xr:uid="{6C309511-7AB0-4E34-BE05-BE1BA87BC67E}"/>
    <hyperlink ref="C4" r:id="rId2397" display="https://www.google.com/search?q=dollar&amp;client=firefox-b-d&amp;sca_esv=8f14c8c94b33adc6&amp;sca_upv=1&amp;ie=UTF-8&amp;tbm=isch&amp;source=lnms&amp;sa=X&amp;ved=0ahUKEwj_2bOd7u6FAxXSpZUCHUfnDMEQ_AUIBigC" xr:uid="{175CE9F2-C912-4083-9FCB-C726A655DBF0}"/>
    <hyperlink ref="D4" r:id="rId2398" display="https://www.google.com/search?q=dollar&amp;client=firefox-b-d&amp;sca_esv=8f14c8c94b33adc6&amp;sca_upv=1&amp;ie=UTF-8&amp;tbm=vid&amp;source=lnms&amp;sa=X&amp;ved=0ahUKEwj_2bOd7u6FAxXSpZUCHUfnDMEQ_AUIBygD" xr:uid="{BC9EBC0A-A8B0-49F6-AD0D-58999A7936D4}"/>
    <hyperlink ref="A7" r:id="rId2399" display="https://g.co/gfd" xr:uid="{5A0AB8B0-155E-4709-B0F4-84E57D214633}"/>
    <hyperlink ref="A8" r:id="rId2400" display="https://www.google.com/url?q=https://economia.uol.com.br/cotacoes/cambio/&amp;sa=U&amp;ved=2ahUKEwj_2bOd7u6FAxXSpZUCHUfnDMEQFnoECAsQAg&amp;usg=AOvVaw2bPGd3w8yZTkflHf-ONEeM" xr:uid="{30D42362-BBD2-4D29-9630-E69D23175EAE}"/>
    <hyperlink ref="A10" r:id="rId2401" display="https://www.google.com/url?q=https://www.melhorcambio.com/dolar-hoje&amp;sa=U&amp;ved=2ahUKEwj_2bOd7u6FAxXSpZUCHUfnDMEQFnoECAoQAg&amp;usg=AOvVaw2H1KxaWKspK0osjyGGffTF" xr:uid="{44860181-DE8E-426E-B608-7B6BDA4B9543}"/>
    <hyperlink ref="A12" r:id="rId2402" display="https://www.google.com/url?q=https://www.remessaonline.com.br/cotacao/cotacao-dolar&amp;sa=U&amp;ved=2ahUKEwj_2bOd7u6FAxXSpZUCHUfnDMEQFnoECAkQAg&amp;usg=AOvVaw3I9Ar6EqVXAhivHdQA_ASW" xr:uid="{1C0FE70C-61C8-4025-92E2-8CFC08AC1D69}"/>
    <hyperlink ref="A14" r:id="rId2403" display="https://www.google.com/url?q=https://pt.wikipedia.org/wiki/D%25C3%25B3lar_dos_Estados_Unidos&amp;sa=U&amp;ved=2ahUKEwj_2bOd7u6FAxXSpZUCHUfnDMEQFnoECAUQAg&amp;usg=AOvVaw1hk3aIgNbRXOYaT-uDGBoH" xr:uid="{70B0F02B-D6DC-46BD-8834-F7D64E2F5662}"/>
    <hyperlink ref="A16" r:id="rId2404" display="https://www.google.com/url?q=https://br.investing.com/currencies/usd-brl&amp;sa=U&amp;ved=2ahUKEwj_2bOd7u6FAxXSpZUCHUfnDMEQFnoECAgQAg&amp;usg=AOvVaw2LbLtloxWlAtKnPjZeYVY2" xr:uid="{00E5ED1E-9546-45F2-9510-3D5C42495E85}"/>
    <hyperlink ref="A18" r:id="rId2405" display="https://www.google.com/url?q=https://brasilescola.uol.com.br/economia/dolar.htm&amp;sa=U&amp;ved=2ahUKEwj_2bOd7u6FAxXSpZUCHUfnDMEQFnoECAMQAg&amp;usg=AOvVaw2nmC6GQlMOt8zBdg82Ro4G" xr:uid="{1F539B89-B485-4C32-9ADD-DEB33BEA2A0B}"/>
    <hyperlink ref="A20" r:id="rId2406" display="https://www.google.com/url?q=https://economia.uol.com.br/cotacoes/&amp;sa=U&amp;ved=2ahUKEwj_2bOd7u6FAxXSpZUCHUfnDMEQFnoECAcQAg&amp;usg=AOvVaw3T4AMF5MQ6BH73FtS373Q6" xr:uid="{9B244D5A-8220-4316-8A21-1086F2D229FB}"/>
    <hyperlink ref="A22" r:id="rId2407" display="https://www.google.com/url?q=https://m.br.investing.com/currencies/us-dollar-index&amp;sa=U&amp;ved=2ahUKEwj_2bOd7u6FAxXSpZUCHUfnDMEQFnoECAQQAg&amp;usg=AOvVaw30yIvmHYD6iRJQ7nu3Bu3V" xr:uid="{B599B0D0-266F-4D89-86BF-D68F3E14D653}"/>
    <hyperlink ref="A24" r:id="rId2408" display="https://www.google.com/url?q=https://www.bcb.gov.br/estabilidadefinanceira/fechamentodolar&amp;sa=U&amp;ved=2ahUKEwj_2bOd7u6FAxXSpZUCHUfnDMEQFnoECAYQAg&amp;usg=AOvVaw2B3QEAVibKQA0itvLflAC8" xr:uid="{41F990D7-F978-4AAB-A327-806B13CBD639}"/>
    <hyperlink ref="A26" r:id="rId2409" display="https://www.google.com/url?q=https://g1.globo.com/economia/dolar/&amp;sa=U&amp;ved=2ahUKEwj_2bOd7u6FAxXSpZUCHUfnDMEQFnoECAIQAg&amp;usg=AOvVaw2zC4WyhjzCTDZ_QeIdmkvY" xr:uid="{91F1674A-278B-4C39-8A48-23EFEDD31859}"/>
    <hyperlink ref="A29" r:id="rId2410" display="https://www.google.com/search?client=firefox-b-d&amp;sca_esv=8f14c8c94b33adc6&amp;sca_upv=1&amp;ie=UTF-8&amp;q=dollar+hoje&amp;sa=X&amp;ved=2ahUKEwj_2bOd7u6FAxXSpZUCHUfnDMEQ1QJ6BAgAEAE" xr:uid="{C3DBE614-EB1C-42E0-B4D9-8ACE19B380CE}"/>
    <hyperlink ref="B29" r:id="rId2411" display="https://www.google.com/search?client=firefox-b-d&amp;sca_esv=8f14c8c94b33adc6&amp;sca_upv=1&amp;ie=UTF-8&amp;q=dollar+hoje" xr:uid="{B0351EFC-D1EB-41B7-83C1-BA3385B16369}"/>
    <hyperlink ref="A30" r:id="rId2412" display="https://www.google.com/search?client=firefox-b-d&amp;sca_esv=8f14c8c94b33adc6&amp;sca_upv=1&amp;ie=UTF-8&amp;q=d%C3%B3lar+real&amp;sa=X&amp;ved=2ahUKEwj_2bOd7u6FAxXSpZUCHUfnDMEQ1QJ6BAgAEAI" xr:uid="{B9E7F59B-A066-4478-BFCF-D4C262F50F82}"/>
    <hyperlink ref="B30" r:id="rId2413" display="https://www.google.com/search?client=firefox-b-d&amp;sca_esv=8f14c8c94b33adc6&amp;sca_upv=1&amp;ie=UTF-8&amp;q=d%C3%B3lar+real" xr:uid="{DB0C440D-4071-4C07-9600-F7DF048EFBBA}"/>
    <hyperlink ref="A31" r:id="rId2414" display="https://www.google.com/search?client=firefox-b-d&amp;sca_esv=8f14c8c94b33adc6&amp;sca_upv=1&amp;ie=UTF-8&amp;q=cota%C3%A7%C3%A3o+d%C3%B3lar&amp;sa=X&amp;ved=2ahUKEwj_2bOd7u6FAxXSpZUCHUfnDMEQ1QJ6BAgAEAM" xr:uid="{12209924-673E-4607-BABF-62D9937C7802}"/>
    <hyperlink ref="B31" r:id="rId2415" display="https://www.google.com/search?client=firefox-b-d&amp;sca_esv=8f14c8c94b33adc6&amp;sca_upv=1&amp;ie=UTF-8&amp;q=cota%C3%A7%C3%A3o+d%C3%B3lar" xr:uid="{BFB3BC4E-1D6B-4CBA-A88A-E4E7483B39B4}"/>
    <hyperlink ref="A32" r:id="rId2416" display="https://www.google.com/search?client=firefox-b-d&amp;sca_esv=8f14c8c94b33adc6&amp;sca_upv=1&amp;ie=UTF-8&amp;q=d%C3%B3lar+hoje+turismo&amp;sa=X&amp;ved=2ahUKEwj_2bOd7u6FAxXSpZUCHUfnDMEQ1QJ6BAgAEAQ" xr:uid="{2BC40FAB-951D-4C5D-8A6C-082E40BC34A7}"/>
    <hyperlink ref="B32" r:id="rId2417" display="https://www.google.com/search?client=firefox-b-d&amp;sca_esv=8f14c8c94b33adc6&amp;sca_upv=1&amp;ie=UTF-8&amp;q=d%C3%B3lar+hoje+turismo" xr:uid="{7DC7C731-26C3-489F-A894-B5BD3BCD7880}"/>
    <hyperlink ref="A33" r:id="rId2418" display="https://www.google.com/search?client=firefox-b-d&amp;sca_esv=8f14c8c94b33adc6&amp;sca_upv=1&amp;ie=UTF-8&amp;q=dollar+to+real&amp;sa=X&amp;ved=2ahUKEwj_2bOd7u6FAxXSpZUCHUfnDMEQ1QJ6BAgAEAU" xr:uid="{D1D61C63-27B9-4C00-B21A-0CC29B74D4CA}"/>
    <hyperlink ref="B33" r:id="rId2419" display="https://www.google.com/search?client=firefox-b-d&amp;sca_esv=8f14c8c94b33adc6&amp;sca_upv=1&amp;ie=UTF-8&amp;q=dollar+to+real" xr:uid="{E2B6033D-2FBD-442B-87DF-97D490B080B9}"/>
    <hyperlink ref="A34" r:id="rId2420" display="https://www.google.com/search?client=firefox-b-d&amp;sca_esv=8f14c8c94b33adc6&amp;sca_upv=1&amp;ie=UTF-8&amp;q=cota%C3%A7%C3%A3o+d%C3%B3lar+turismo+hoje+banco+central&amp;sa=X&amp;ved=2ahUKEwj_2bOd7u6FAxXSpZUCHUfnDMEQ1QJ6BAgAEAY" xr:uid="{90C41F15-6DC8-440C-B581-9AE2D10CA0B6}"/>
    <hyperlink ref="B34" r:id="rId2421" display="https://www.google.com/search?client=firefox-b-d&amp;sca_esv=8f14c8c94b33adc6&amp;sca_upv=1&amp;ie=UTF-8&amp;q=cota%C3%A7%C3%A3o+d%C3%B3lar+turismo+hoje+banco+central" xr:uid="{F02C9001-4E77-4A06-8EB5-23231D580C3B}"/>
    <hyperlink ref="A35" r:id="rId2422" display="https://www.google.com/search?client=firefox-b-d&amp;sca_esv=8f14c8c94b33adc6&amp;sca_upv=1&amp;ie=UTF-8&amp;q=d%C3%B3lar+turismo+hoje+venda&amp;sa=X&amp;ved=2ahUKEwj_2bOd7u6FAxXSpZUCHUfnDMEQ1QJ6BAgAEAc" xr:uid="{4E483F5A-BE86-4D7D-A550-EE9A9B56E1F4}"/>
    <hyperlink ref="B35" r:id="rId2423" display="https://www.google.com/search?client=firefox-b-d&amp;sca_esv=8f14c8c94b33adc6&amp;sca_upv=1&amp;ie=UTF-8&amp;q=d%C3%B3lar+turismo+hoje+venda" xr:uid="{3B309952-1C5D-40D3-9186-5094456DC7C7}"/>
    <hyperlink ref="A36" r:id="rId2424" display="https://www.google.com/search?client=firefox-b-d&amp;sca_esv=8f14c8c94b33adc6&amp;sca_upv=1&amp;ie=UTF-8&amp;q=euro+hoje&amp;sa=X&amp;ved=2ahUKEwj_2bOd7u6FAxXSpZUCHUfnDMEQ1QJ6BAgAEAg" xr:uid="{58F6926F-22E3-4706-A2DD-1BD862AA09A1}"/>
    <hyperlink ref="B36" r:id="rId2425" display="https://www.google.com/search?client=firefox-b-d&amp;sca_esv=8f14c8c94b33adc6&amp;sca_upv=1&amp;ie=UTF-8&amp;q=euro+hoje" xr:uid="{8C0DAC9F-E3D1-4C61-A3C0-FF458B333C07}"/>
    <hyperlink ref="A37" r:id="rId2426" display="https://www.google.com/search?q=dollar&amp;client=firefox-b-d&amp;sca_esv=8f14c8c94b33adc6&amp;sca_upv=1&amp;ie=UTF-8&amp;ei=pXgzZr_zJNLL1sQPx86ziAw&amp;start=10&amp;sa=N" xr:uid="{D2425DAC-A368-481D-B555-F565970A9500}"/>
    <hyperlink ref="A39" r:id="rId2427" display="https://www.google.com/url?q=https://support.google.com/websearch%3Fp%3Dws_settings_location%26hl%3Dpt-BR&amp;opi=89978449&amp;sa=U&amp;ved=0ahUKEwj_2bOd7u6FAxXSpZUCHUfnDMEQty4IRg&amp;usg=AOvVaw3hFNM3cEeIHHckCOjhaMKD" xr:uid="{ECE76094-C3F3-4482-9B11-5A469F1489D7}"/>
    <hyperlink ref="A40" r:id="rId2428" display="https://www.google.com/url?q=https://accounts.google.com/ServiceLogin%3Fcontinue%3Dhttps://www.google.com/search%253Fclient%253Dfirefox-b-d%2526q%253Ddollar%26hl%3Dpt-BR&amp;opi=89978449&amp;sa=U&amp;ved=0ahUKEwj_2bOd7u6FAxXSpZUCHUfnDMEQxs8CCEc&amp;usg=AOvVaw2Ihr8aS4e0uyzVYql-ThGq" xr:uid="{C63870AB-AAE5-4779-B4A3-1C645375DE08}"/>
    <hyperlink ref="A41" r:id="rId2429" display="https://www.google.com/preferences?hl=pt-BR&amp;client=firefox-b-d&amp;sa=X&amp;ved=0ahUKEwj_2bOd7u6FAxXSpZUCHUfnDMEQv5YECEg" xr:uid="{9E499DD2-05BE-4DE5-876C-C702339EEE57}"/>
    <hyperlink ref="B41" r:id="rId2430" display="https://www.google.com/intl/pt-BR_br/policies/privacy/" xr:uid="{B64BD914-4C11-42F7-96E6-194D1EF6A289}"/>
    <hyperlink ref="C41" r:id="rId2431" display="https://www.google.com/intl/pt-BR_br/policies/terms/" xr:uid="{B22304BE-1D75-4FA4-BBC9-88321B9CA696}"/>
    <hyperlink ref="GT2" r:id="rId2432" display="https://coinmarketcap.com/pt-br/" xr:uid="{785FA87E-E103-4637-A37F-AAEFA286CD90}"/>
    <hyperlink ref="GT3" r:id="rId2433" display="https://coinmarketcap.com/pt-br/rankings/exchanges/" xr:uid="{7C8DCAB5-9953-4009-A03F-5A5DEC475FED}"/>
    <hyperlink ref="GT5" r:id="rId2434" location="market-cap" display="https://coinmarketcap.com/pt-br/charts/ - market-cap" xr:uid="{17C17609-C13F-4E29-AF08-577FC09ACD44}"/>
    <hyperlink ref="GT8" r:id="rId2435" location="volume-24h" display="https://coinmarketcap.com/pt-br/charts/ - volume-24h" xr:uid="{04F1061F-94FE-45DC-9086-2D17881647B8}"/>
    <hyperlink ref="GT10" r:id="rId2436" location="bitcoin-dominance" display="https://coinmarketcap.com/pt-br/charts/ - bitcoin-dominance" xr:uid="{5CF21F1C-B7EB-499D-9C75-4326A715EFEC}"/>
    <hyperlink ref="GT14" r:id="rId2437" location="fear-and-greed-index" display="https://coinmarketcap.com/pt-br/charts/ - fear-and-greed-index" xr:uid="{039B1022-43F0-459D-A732-6A42E2A01F98}"/>
    <hyperlink ref="GT15" r:id="rId2438" display="https://coinmarketcap.com/pt-br/" xr:uid="{AF3347E5-EC3F-4799-B2C8-8A449F3FD381}"/>
    <hyperlink ref="GT24" r:id="rId2439" display="https://coinmarketcap.com/pt-br/rankings/exchanges/" xr:uid="{52C02C1D-1C8C-4CD4-A70F-653DEFC198DF}"/>
    <hyperlink ref="GT26" r:id="rId2440" display="https://coinmarketcap.com/community/pt-br/" xr:uid="{706763DC-7906-4024-816C-72E50539D7F7}"/>
    <hyperlink ref="GT42" r:id="rId2441" display="https://coinmarketcap.com/pt-br/" xr:uid="{1E148239-BE6F-4599-B48B-70F1150FB2AC}"/>
    <hyperlink ref="GT43" r:id="rId2442" display="https://coinmarketcap.com/pt-br/rankings/exchanges/" xr:uid="{AC682282-814E-4CE5-B3AE-15000C1206FE}"/>
    <hyperlink ref="GT45" r:id="rId2443" location="market-cap" display="https://coinmarketcap.com/pt-br/charts/ - market-cap" xr:uid="{AF9BC749-1F52-4020-88EF-0E0A19DE8752}"/>
    <hyperlink ref="GT48" r:id="rId2444" location="volume-24h" display="https://coinmarketcap.com/pt-br/charts/ - volume-24h" xr:uid="{ECFE8D05-8434-4659-9164-23EA38D77BC7}"/>
    <hyperlink ref="GT50" r:id="rId2445" location="bitcoin-dominance" display="https://coinmarketcap.com/pt-br/charts/ - bitcoin-dominance" xr:uid="{93A60E41-C7F1-4DC6-93C2-1978E6302AC9}"/>
    <hyperlink ref="GT54" r:id="rId2446" location="fear-and-greed-index" display="https://coinmarketcap.com/pt-br/charts/ - fear-and-greed-index" xr:uid="{9E15DAB3-6206-4C9C-A2CA-CCAFB35DC09E}"/>
    <hyperlink ref="GT103" r:id="rId2447" display="https://etherscan.io/token/0x6982508145454ce325ddbe47a25d4ec3d2311933" xr:uid="{DE845141-39CB-4A49-90FD-4B0CBE24C48A}"/>
    <hyperlink ref="GT105" r:id="rId2448" display="https://www.pepe.vip/" xr:uid="{EE730E0C-6305-4612-A8E0-5ED370A51A7A}"/>
    <hyperlink ref="GT107" r:id="rId2449" display="https://twitter.com/pepecoineth" xr:uid="{818AD4D6-501F-480F-9DCE-A72F765AD640}"/>
    <hyperlink ref="GT108" r:id="rId2450" display="https://twitter.com/pepecoineth" xr:uid="{150D7C84-F80A-4183-B82E-E5862825B72A}"/>
    <hyperlink ref="GT114" r:id="rId2451" display="https://cmc.certik-skynet.com/redirect?project=pepe" xr:uid="{5C1DE520-653F-48F4-9AC4-18AAA51FAF4D}"/>
    <hyperlink ref="GT115" r:id="rId2452" display="https://fairyproof.com/report/Pepe" xr:uid="{A97B65B2-70A4-4F79-A19E-ED27F6770D0F}"/>
    <hyperlink ref="GT138" r:id="rId2453" display="https://coinmarketcap.com/pt-br/currencies/pepe/historical-data/" xr:uid="{43A98AB2-4A79-4872-84C9-338D43F51BB9}"/>
    <hyperlink ref="GT143" r:id="rId2454" display="https://coinmarketcap.com/pt-br/view/memes/" xr:uid="{BDD603F5-1EC5-4CD9-B6BA-36B9514447FB}"/>
    <hyperlink ref="GT145" r:id="rId2455" display="https://support.coinmarketcap.com/hc/en-us/articles/16945563933723-CMC-Priority-CMCP-for-page-updates" xr:uid="{35E9D9A2-05F0-4BED-88DD-12A9B5DA6C85}"/>
    <hyperlink ref="GT176" r:id="rId2456" display="https://coinmarketcap.com/affiliate-disclosure/" xr:uid="{FE961373-AA5A-4216-9B7B-8D82F6337224}"/>
    <hyperlink ref="GT241" r:id="rId2457" display="https://coinmarketcap.com/pt-br/currencies/dogecoin/" xr:uid="{1EF0B05B-0F5A-4FF0-A6BA-69AEC641CDBF}"/>
    <hyperlink ref="GT243" r:id="rId2458" display="https://coinmarketcap.com/pt-br/currencies/shiba-inu/" xr:uid="{A5968A33-B720-4EDE-AD4B-7AE807034839}"/>
    <hyperlink ref="GT245" r:id="rId2459" display="https://coinmarketcap.com/pt-br/currencies/uniswap/" xr:uid="{FA993382-A8BE-4B58-833D-F2B98E46B890}"/>
    <hyperlink ref="GT247" r:id="rId2460" display="https://coinmarketcap.com/alexandria/glossary/memecoin" xr:uid="{2F6F5F4A-2AF6-4BFD-B7AC-06A29FDCCAE0}"/>
    <hyperlink ref="GT249" r:id="rId2461" display="https://coinmarketcap.com/alexandria/article/9-funniest-memecoin-names" xr:uid="{2948D96F-A30C-451B-9C05-EDA395F16C1B}"/>
    <hyperlink ref="GT267" r:id="rId2462" display="https://coinmarketcap.com/pt-br/currencies/ethereum/" xr:uid="{F600BFDE-9EA3-45B2-B26D-8BA01972845F}"/>
    <hyperlink ref="GT268" r:id="rId2463" display="https://coinmarketcap.com/pt-br/currencies/ethereum/" xr:uid="{F2E00FC7-1BA9-4543-8C82-27167C0946D9}"/>
    <hyperlink ref="GT269" r:id="rId2464" display="https://coinmarketcap.com/pt-br/currencies/ethereum/" xr:uid="{A23A2515-BB69-4279-A77C-282C0DC6D07D}"/>
    <hyperlink ref="GT270:GT271" r:id="rId2465" display="https://coinmarketcap.com/pt-br/currencies/shiba-inu/" xr:uid="{51DF3E18-FCEE-430C-8B6E-71F1697FDB9A}"/>
    <hyperlink ref="GT272" r:id="rId2466" display="https://coinmarketcap.com/pt-br/currencies/shiba-inu/" xr:uid="{435E4CC8-7E85-4609-9C95-B29A1E25C9EE}"/>
    <hyperlink ref="GT273:GT274" r:id="rId2467" display="https://coinmarketcap.com/pt-br/currencies/chainlink/" xr:uid="{78F19FEF-FAF7-47C1-928A-2F4753B3BC0F}"/>
    <hyperlink ref="GT275" r:id="rId2468" display="https://coinmarketcap.com/pt-br/currencies/chainlink/" xr:uid="{141E603E-7DC0-432D-8AC1-BF4A5D13C369}"/>
    <hyperlink ref="GT276:GT277" r:id="rId2469" display="https://coinmarketcap.com/pt-br/currencies/unus-sed-leo/" xr:uid="{0182E046-DC56-4520-B03E-62A24895C15A}"/>
    <hyperlink ref="GT278" r:id="rId2470" display="https://coinmarketcap.com/pt-br/currencies/unus-sed-leo/" xr:uid="{15C6428D-7AB6-4366-95D5-7FD89D0D2736}"/>
    <hyperlink ref="GT279:GT280" r:id="rId2471" display="https://coinmarketcap.com/pt-br/currencies/uniswap/" xr:uid="{B90067DD-C1B1-4D8C-971D-9AE3EEF541FE}"/>
    <hyperlink ref="GT281" r:id="rId2472" display="https://coinmarketcap.com/pt-br/currencies/uniswap/" xr:uid="{0DA1DF90-5385-4755-93F9-4CBBD13E17E7}"/>
    <hyperlink ref="GT282:GT283" r:id="rId2473" display="https://coinmarketcap.com/pt-br/currencies/immutable-x/" xr:uid="{49BBB5B1-AD03-408A-8B1A-A0A27144115D}"/>
    <hyperlink ref="GT284" r:id="rId2474" display="https://coinmarketcap.com/pt-br/currencies/immutable-x/" xr:uid="{D3D57707-04EF-40F0-A4DD-721B80F0C9FE}"/>
    <hyperlink ref="GT285:GT286" r:id="rId2475" display="https://coinmarketcap.com/pt-br/currencies/axie-infinity/" xr:uid="{2949FCC8-94BC-4CFC-901C-8E1F093A6E32}"/>
    <hyperlink ref="GT287" r:id="rId2476" display="https://coinmarketcap.com/pt-br/currencies/axie-infinity/" xr:uid="{2C3A4A68-3169-4979-8195-E87F0390F1BD}"/>
    <hyperlink ref="GT288:GT289" r:id="rId2477" display="https://coinmarketcap.com/pt-br/currencies/bitget-token-new/" xr:uid="{85479F48-EFFA-4E27-9805-2988B46852EB}"/>
    <hyperlink ref="GT290" r:id="rId2478" display="https://coinmarketcap.com/pt-br/currencies/bitget-token-new/" xr:uid="{A5B66669-4A19-43A8-BA19-B93B062A5F4B}"/>
    <hyperlink ref="GT291:GT292" r:id="rId2479" display="https://coinmarketcap.com/pt-br/currencies/the-sandbox/" xr:uid="{86B93D10-8D2D-4892-8D6B-5E9265487070}"/>
    <hyperlink ref="GT293" r:id="rId2480" display="https://coinmarketcap.com/pt-br/currencies/the-sandbox/" xr:uid="{9C489AA4-CA0F-489B-92A5-4498B53D3339}"/>
    <hyperlink ref="GT294:GT295" r:id="rId2481" display="https://coinmarketcap.com/pt-br/currencies/render/" xr:uid="{E2D515E5-279F-4689-B0DC-521906BC9D1F}"/>
    <hyperlink ref="GT296" r:id="rId2482" display="https://coinmarketcap.com/pt-br/currencies/render/" xr:uid="{733F4732-E41C-481A-8196-6994A00764CA}"/>
    <hyperlink ref="GT297:GT298" r:id="rId2483" display="https://coinmarketcap.com/pt-br/currencies/ondo-finance/" xr:uid="{5405A120-0CC1-4043-8364-D0CC3153D48E}"/>
    <hyperlink ref="GT299" r:id="rId2484" display="https://coinmarketcap.com/pt-br/currencies/ondo-finance/" xr:uid="{B26D8BE8-3051-4226-8702-AB445493B581}"/>
    <hyperlink ref="GT300:GT301" r:id="rId2485" display="https://coinmarketcap.com/pt-br/currencies/maker/" xr:uid="{0FD1B15B-4974-4D5C-BEB1-EC059A150369}"/>
    <hyperlink ref="GT302" r:id="rId2486" display="https://coinmarketcap.com/pt-br/currencies/maker/" xr:uid="{21C4D0F5-FB87-46A3-9C01-BB3F606826A2}"/>
    <hyperlink ref="GT303:GT304" r:id="rId2487" display="https://coinmarketcap.com/pt-br/currencies/wormhole/" xr:uid="{2F86A673-67B1-4211-A6A0-CBB658BE9961}"/>
    <hyperlink ref="GT305" r:id="rId2488" display="https://coinmarketcap.com/pt-br/currencies/wormhole/" xr:uid="{7E9B4323-114E-4069-A7CC-2337706F59F3}"/>
    <hyperlink ref="GT306:GT307" r:id="rId2489" display="https://coinmarketcap.com/pt-br/currencies/singularitynet/" xr:uid="{45CA66DB-5B29-4B3C-9BB1-8099D4F99F78}"/>
    <hyperlink ref="GT308" r:id="rId2490" display="https://coinmarketcap.com/pt-br/currencies/singularitynet/" xr:uid="{5078C4BC-DEB2-4694-9569-30B277C36436}"/>
    <hyperlink ref="GT309:GT310" r:id="rId2491" display="https://coinmarketcap.com/pt-br/currencies/synthetix/" xr:uid="{2A9193A0-5E26-4F2B-9325-9E74A6CBE762}"/>
    <hyperlink ref="GT311" r:id="rId2492" display="https://coinmarketcap.com/pt-br/currencies/synthetix/" xr:uid="{F693E7CC-3FE3-48EB-8388-C9DEDBFC4DD5}"/>
    <hyperlink ref="GT312:GT313" r:id="rId2493" display="https://coinmarketcap.com/pt-br/currencies/spectra-chain/" xr:uid="{9AA63B5C-BF4E-4457-97EC-CAB43E9A14C4}"/>
    <hyperlink ref="GT314" r:id="rId2494" display="https://coinmarketcap.com/pt-br/currencies/spectra-chain/" xr:uid="{F23037B5-1523-4A03-A451-FF94C9B5E07E}"/>
    <hyperlink ref="GT315:GT316" r:id="rId2495" display="https://coinmarketcap.com/pt-br/currencies/inscribe/" xr:uid="{02163357-F483-46B9-9684-6589E9F7D956}"/>
    <hyperlink ref="GT317" r:id="rId2496" display="https://coinmarketcap.com/pt-br/currencies/inscribe/" xr:uid="{8A63C0E8-9387-4A46-8510-ECCA74248C1F}"/>
    <hyperlink ref="GT318:GT319" r:id="rId2497" display="https://coinmarketcap.com/pt-br/currencies/the-kermit/" xr:uid="{2F3C1E1D-10F8-412A-B96A-2A519E9E6D47}"/>
    <hyperlink ref="GT320" r:id="rId2498" display="https://coinmarketcap.com/pt-br/currencies/the-kermit/" xr:uid="{01719072-520C-4E3A-BDBB-E680FEBC71A7}"/>
    <hyperlink ref="GT321:GT322" r:id="rId2499" display="https://coinmarketcap.com/pt-br/currencies/olympus/" xr:uid="{39D7AE4D-D1A8-4AB5-8C27-7AA5F960855E}"/>
    <hyperlink ref="GT323" r:id="rId2500" display="https://coinmarketcap.com/pt-br/currencies/olympus/" xr:uid="{4A378A9B-B913-4710-8601-AEC40D430064}"/>
    <hyperlink ref="GT324:GT325" r:id="rId2501" display="https://coinmarketcap.com/pt-br/currencies/x2y2/" xr:uid="{A4135FD1-B58C-4FEF-89A1-57428E8C5F54}"/>
    <hyperlink ref="GT326" r:id="rId2502" display="https://coinmarketcap.com/pt-br/currencies/x2y2/" xr:uid="{9E5956CC-BB0B-4531-BA1D-E44A1CB16EA4}"/>
    <hyperlink ref="GT327" r:id="rId2503" display="https://coinmarketcap.com/pt-br/currencies/x2y2/" xr:uid="{D9995399-113C-478D-A5AB-368626C081D1}"/>
    <hyperlink ref="GT331" r:id="rId2504" display="https://coinmarketcap.com/pt-br/currencies/node-ai/" xr:uid="{E0958ADD-4175-4FFA-849B-6F506616CC85}"/>
    <hyperlink ref="GT332" r:id="rId2505" display="https://coinmarketcap.com/pt-br/currencies/node-ai/" xr:uid="{5ACB9BFA-4E07-4C47-AB0C-C65F81D6E3C2}"/>
    <hyperlink ref="GT333" r:id="rId2506" display="https://coinmarketcap.com/pt-br/currencies/node-ai/" xr:uid="{8C49212D-C2F4-4D88-B576-2CFCC95190C7}"/>
    <hyperlink ref="GT334:GT335" r:id="rId2507" display="https://coinmarketcap.com/pt-br/currencies/artrade/" xr:uid="{CE42302C-74B4-47A4-AD7A-50E1CD698856}"/>
    <hyperlink ref="GT336" r:id="rId2508" display="https://coinmarketcap.com/pt-br/currencies/artrade/" xr:uid="{168D40EC-03A1-439C-A829-3659AE04EC78}"/>
    <hyperlink ref="GT337:GT338" r:id="rId2509" display="https://coinmarketcap.com/pt-br/currencies/niza-global/" xr:uid="{B9BD6249-E6FF-4EF1-8676-82FE1770549B}"/>
    <hyperlink ref="GT339" r:id="rId2510" display="https://coinmarketcap.com/pt-br/currencies/niza-global/" xr:uid="{AE78A1D5-0109-4463-BE09-FD7AD45F7AE3}"/>
    <hyperlink ref="GT340:GT341" r:id="rId2511" display="https://coinmarketcap.com/pt-br/currencies/catgirl/" xr:uid="{204D0C3C-3AA9-4214-8B63-8D0CC7CC3312}"/>
    <hyperlink ref="GT342" r:id="rId2512" display="https://coinmarketcap.com/pt-br/currencies/catgirl/" xr:uid="{628FB0F3-9765-4927-BDF9-31F0AFFD313C}"/>
    <hyperlink ref="GT343:GT344" r:id="rId2513" display="https://coinmarketcap.com/pt-br/currencies/baby-bonk-coin/" xr:uid="{5C4AA7C3-5CE4-49E0-A758-F0C70961CE99}"/>
    <hyperlink ref="GT345" r:id="rId2514" display="https://coinmarketcap.com/pt-br/currencies/baby-bonk-coin/" xr:uid="{48B6A3D3-DC51-4326-AAC9-7680AAC0EE1B}"/>
    <hyperlink ref="GT346:GT347" r:id="rId2515" display="https://coinmarketcap.com/pt-br/currencies/deepmind-ai/" xr:uid="{BF185244-B3C7-4A12-AF2F-7FA45EB1CAA9}"/>
    <hyperlink ref="GT348" r:id="rId2516" display="https://coinmarketcap.com/pt-br/currencies/deepmind-ai/" xr:uid="{2930B5A4-267B-4BB5-98CA-1B6F45358E84}"/>
    <hyperlink ref="GT349:GT350" r:id="rId2517" display="https://coinmarketcap.com/pt-br/currencies/vps-ai/" xr:uid="{5D81C7EF-9C52-44F1-A87A-8013848CB3FA}"/>
    <hyperlink ref="GT351" r:id="rId2518" display="https://coinmarketcap.com/pt-br/currencies/vps-ai/" xr:uid="{9231F063-4191-4D44-897B-E4F213010EC8}"/>
    <hyperlink ref="GT352:GT353" r:id="rId2519" display="https://coinmarketcap.com/pt-br/currencies/iota/" xr:uid="{C9F5D337-5751-4782-BF0E-FA0F1F87DC2E}"/>
    <hyperlink ref="GT354" r:id="rId2520" display="https://coinmarketcap.com/pt-br/currencies/iota/" xr:uid="{7D069320-C672-456D-A009-A3F691BE1309}"/>
    <hyperlink ref="GT355:GT356" r:id="rId2521" display="https://coinmarketcap.com/pt-br/currencies/waves/" xr:uid="{6DB3D1C8-BBC5-4D1A-A0E5-0E7648A7A427}"/>
    <hyperlink ref="GT357" r:id="rId2522" display="https://coinmarketcap.com/pt-br/currencies/waves/" xr:uid="{E938CAB6-6989-43A3-ADE6-E53C9D88522E}"/>
    <hyperlink ref="GT358:GT359" r:id="rId2523" display="https://coinmarketcap.com/pt-br/currencies/catamoto-cat/" xr:uid="{C22DBE74-C99F-4349-A2A0-DCBE21220783}"/>
    <hyperlink ref="GT360" r:id="rId2524" display="https://coinmarketcap.com/pt-br/currencies/catamoto-cat/" xr:uid="{2047A9A7-D686-4DA7-94C9-5FE581C5A9B3}"/>
    <hyperlink ref="GT361:GT362" r:id="rId2525" display="https://coinmarketcap.com/pt-br/currencies/bitcoin/" xr:uid="{36441AEE-EEA6-402D-B2BE-D68785B9BF89}"/>
    <hyperlink ref="GT363" r:id="rId2526" display="https://coinmarketcap.com/pt-br/currencies/bitcoin/" xr:uid="{6B12DA19-996C-4472-949F-C9DD147104CA}"/>
    <hyperlink ref="GT364:GT365" r:id="rId2527" display="https://coinmarketcap.com/pt-br/currencies/blackcardcoin/" xr:uid="{CBEAFE4F-9DF9-49C6-9C08-F2D7A2D933BB}"/>
    <hyperlink ref="GT366" r:id="rId2528" display="https://coinmarketcap.com/pt-br/currencies/blackcardcoin/" xr:uid="{DC72FB1C-FF17-4B23-A06B-454D3E71FFAC}"/>
    <hyperlink ref="GT367:GT368" r:id="rId2529" display="https://coinmarketcap.com/pt-br/currencies/super-trump-io/" xr:uid="{8AA38B6C-7D96-45CF-BDA5-A92E46226EE8}"/>
    <hyperlink ref="GT369" r:id="rId2530" display="https://coinmarketcap.com/pt-br/currencies/super-trump-io/" xr:uid="{F655870B-516B-4F78-B87F-2E874C84D9F7}"/>
    <hyperlink ref="GT370:GT371" r:id="rId2531" display="https://coinmarketcap.com/pt-br/currencies/solana/" xr:uid="{31C2EA3A-2F6F-479C-9ECC-35FF7D1D5F66}"/>
    <hyperlink ref="GT372" r:id="rId2532" display="https://coinmarketcap.com/pt-br/currencies/solana/" xr:uid="{2C886DB3-5CEA-4271-A86F-7542C8930BE0}"/>
    <hyperlink ref="GT373:GT374" r:id="rId2533" display="https://coinmarketcap.com/pt-br/currencies/ethereum/" xr:uid="{B24990C3-1C1A-4D0B-8664-ABE380B25507}"/>
    <hyperlink ref="GT375" r:id="rId2534" display="https://coinmarketcap.com/pt-br/currencies/ethereum/" xr:uid="{EA54A5C1-C41C-4565-8CFC-25E0EDC596C2}"/>
    <hyperlink ref="GT376:GT377" r:id="rId2535" display="https://coinmarketcap.com/pt-br/currencies/shiba-inu/" xr:uid="{70B62ED0-7606-4AA6-8385-3435D1D477E0}"/>
    <hyperlink ref="GT378" r:id="rId2536" display="https://coinmarketcap.com/pt-br/currencies/shiba-inu/" xr:uid="{F2DB24E0-A9CB-4B3E-BE40-EC4F507566C3}"/>
    <hyperlink ref="GT379:GT380" r:id="rId2537" display="https://coinmarketcap.com/pt-br/currencies/xrp/" xr:uid="{B6605117-FDC4-4655-A36B-E8DEAC29071C}"/>
    <hyperlink ref="GT381" r:id="rId2538" display="https://coinmarketcap.com/pt-br/currencies/xrp/" xr:uid="{8EBCDCF1-5978-484D-936E-48B50CF5764B}"/>
    <hyperlink ref="GT382:GT383" r:id="rId2539" display="https://coinmarketcap.com/pt-br/currencies/dogecoin/" xr:uid="{9F45F33C-EBF2-44E3-9D5D-D59BBCFB968D}"/>
    <hyperlink ref="GT384" r:id="rId2540" display="https://coinmarketcap.com/pt-br/currencies/dogecoin/" xr:uid="{5E35B3C2-1363-4830-9A4B-01DC77088C56}"/>
    <hyperlink ref="GT385:GT386" r:id="rId2541" display="https://coinmarketcap.com/pt-br/currencies/hedera/" xr:uid="{E404492A-A3F0-47DC-A9CB-2A8089AA1C94}"/>
    <hyperlink ref="GT387" r:id="rId2542" display="https://coinmarketcap.com/pt-br/currencies/hedera/" xr:uid="{E3C0B2B1-0105-4671-BB1D-B6BB40445003}"/>
    <hyperlink ref="GT388:GT389" r:id="rId2543" display="https://coinmarketcap.com/pt-br/currencies/cardano/" xr:uid="{6E836B4B-7B4B-41FF-A472-3FE9A0A68D22}"/>
    <hyperlink ref="GT390" r:id="rId2544" display="https://coinmarketcap.com/pt-br/currencies/cardano/" xr:uid="{AB44AA78-F5EB-4571-ACA9-EED0928A566B}"/>
    <hyperlink ref="GT391" r:id="rId2545" display="https://coinmarketcap.com/pt-br/currencies/cardano/" xr:uid="{F3B3E5FB-1077-4535-815B-2C97B2D3E487}"/>
    <hyperlink ref="GT395" r:id="rId2546" display="https://coinmarketcap.com/pt-br/currencies/pepe/pepe/usd/" xr:uid="{D908600E-6555-4F4A-B429-0D89ECC5DA5E}"/>
    <hyperlink ref="GT396" r:id="rId2547" display="https://coinmarketcap.com/pt-br/currencies/pepe/pepe/usd/" xr:uid="{F3D2F503-CCC4-4F35-B5D8-8A1A7F365235}"/>
    <hyperlink ref="GT397:GT398" r:id="rId2548" display="https://coinmarketcap.com/pt-br/currencies/pepe/pepe/brl/" xr:uid="{F2DF563D-4053-47B1-9A2B-8AF51715926D}"/>
    <hyperlink ref="GT399" r:id="rId2549" display="https://coinmarketcap.com/pt-br/currencies/pepe/pepe/brl/" xr:uid="{D9B7AB7F-8BB5-4B42-8215-DE8F4E9EDB23}"/>
    <hyperlink ref="GT400" r:id="rId2550" display="https://coinmarketcap.com/pt-br/currencies/pepe/pepe/brl/" xr:uid="{F7D649BA-E8B8-4820-9C51-16364A06DA91}"/>
    <hyperlink ref="GT404" r:id="rId2551" display="https://coinmarketcap.com/pt-br/currencies/bitcoin/" xr:uid="{872F50C1-00E9-4D1C-8CD0-E6EA01D4F05C}"/>
    <hyperlink ref="GT406" r:id="rId2552" display="https://coinmarketcap.com/pt-br/currencies/bitcoin/" xr:uid="{D5CCDF02-7FA9-4C09-8D3A-59BDEB5625CA}"/>
    <hyperlink ref="GT407:GT409" r:id="rId2553" display="https://coinmarketcap.com/pt-br/currencies/dragonball-z-tribute/" xr:uid="{AEA2506D-4671-486E-892B-D37F5F166D10}"/>
    <hyperlink ref="GT410:GT412" r:id="rId2554" display="https://coinmarketcap.com/pt-br/currencies/omni-network/" xr:uid="{0CBAFF1B-E957-4DA5-8DFC-DAB50509E853}"/>
    <hyperlink ref="GT413:GT415" r:id="rId2555" display="https://coinmarketcap.com/pt-br/currencies/super-trump-io/" xr:uid="{A047B478-B7C7-4B49-84E7-6842F9C954A9}"/>
    <hyperlink ref="GT416:GT418" r:id="rId2556" display="https://coinmarketcap.com/pt-br/currencies/ethena/" xr:uid="{A51D46A1-CAE3-4B05-BAC7-B7FAE7599317}"/>
    <hyperlink ref="GT425" r:id="rId2557" display="https://coinmarketcap.com/pt-br/" xr:uid="{F8903320-E0E8-484F-A95A-5D164C895658}"/>
    <hyperlink ref="GT426" r:id="rId2558" display="https://coinmarketcap.com/pt-br/tokens/" xr:uid="{D5055439-F565-46F9-883A-59DD3BF5EAEC}"/>
    <hyperlink ref="GT427" r:id="rId2559" display="https://coinmarketcap.com/pt-br/currencies/pepe/" xr:uid="{8308C9E1-F142-488F-B8D8-73993E21A2C4}"/>
    <hyperlink ref="GT429" r:id="rId2560" display="https://coinmarketcap.com/product-updates/all/" xr:uid="{A2FCD91C-C6C7-4439-B82C-761A71B71985}"/>
    <hyperlink ref="GT430" r:id="rId2561" display="https://coinmarketcap.com/events/cmc-labs/" xr:uid="{E2E5D24A-B58A-4F9F-A0E2-3AEE06A1107D}"/>
    <hyperlink ref="GT431" r:id="rId2562" display="https://coinmarketcap.com/api/" xr:uid="{484C8E81-7D98-48AE-8F8C-80E2436874EF}"/>
    <hyperlink ref="GT432" r:id="rId2563" display="https://coinmarketcap.com/indices/" xr:uid="{99282BDE-59CB-4EB6-BF2B-13C3EE4E094A}"/>
    <hyperlink ref="GT433" r:id="rId2564" display="https://coinmarketcap.com/pt-br/doodles/" xr:uid="{6980F051-DA69-46D6-B6E2-F434566CC062}"/>
    <hyperlink ref="GT434" r:id="rId2565" display="https://coinmarketcap.com/pt-br/sitemap/cryptocurrencies/" xr:uid="{40B277D3-E58D-42ED-945D-D2A2F2C3077C}"/>
    <hyperlink ref="GT435" r:id="rId2566" display="https://coinmarketcap.com/events/advertise/" xr:uid="{00C16C48-5519-48E1-8888-8CDC7A1B0996}"/>
    <hyperlink ref="GT437" r:id="rId2567" display="https://coinmarketcap.com/pt-br/about/" xr:uid="{7A260A75-EF3F-404A-BAB2-025A30677FF9}"/>
    <hyperlink ref="GT438" r:id="rId2568" display="https://coinmarketcap.com/pt-br/terms/" xr:uid="{3FD1AE9B-EEB4-4CD1-90CB-39011FEA6772}"/>
    <hyperlink ref="GT439" r:id="rId2569" display="https://coinmarketcap.com/pt-br/privacy/" xr:uid="{14B5934F-2857-4B93-BC8A-4845012AB898}"/>
    <hyperlink ref="GT441" r:id="rId2570" display="https://coinmarketcap.com/pt-br/cookie-policy/" xr:uid="{E8004801-62BF-4BD1-997E-3EC080CCC50D}"/>
    <hyperlink ref="GT442" r:id="rId2571" display="https://support.coinmarketcap.com/hc/en-us/articles/4412939497755/" xr:uid="{BAA60981-7057-4381-83D2-F5C5F82CAB8F}"/>
    <hyperlink ref="GT443" r:id="rId2572" display="https://coinmarketcap.com/pt-br/disclaimer/" xr:uid="{298FD8B6-1057-4BCB-8C9D-CEBB46CD1187}"/>
    <hyperlink ref="GT444" r:id="rId2573" display="https://coinmarketcap.com/pt-br/methodology/" xr:uid="{2AF5B227-7147-4956-A974-2B430F6DFCAF}"/>
    <hyperlink ref="GT445" r:id="rId2574" display="https://coinmarketcap.com/jobs/" xr:uid="{4A7E77DD-C054-4A04-8AB8-6C171C7C57E5}"/>
    <hyperlink ref="GT447" r:id="rId2575" display="https://coinmarketcap.com/request/" xr:uid="{5EAD3915-1E44-47F3-AEF8-1BAB3BF771FB}"/>
    <hyperlink ref="GT448" r:id="rId2576" display="https://support-chat.coinmarketcap.com/" xr:uid="{116E78EE-1622-401E-A809-FA5FDD74A513}"/>
    <hyperlink ref="GT449" r:id="rId2577" display="https://coinmarketcap.com/pt-br/faq/" xr:uid="{AF9CF6D2-99A0-4D12-A3F0-0CD8B4A298B1}"/>
    <hyperlink ref="GT450" r:id="rId2578" display="https://coinmarketcap.com/academy/pt/glossary" xr:uid="{FBD5B06C-6D46-4C4B-97A1-4560C73D23E8}"/>
    <hyperlink ref="GT452" r:id="rId2579" display="https://twitter.com/CoinMarketCap" xr:uid="{DE960429-7229-4F41-BA58-8C5C269B4954}"/>
    <hyperlink ref="GT453" r:id="rId2580" display="https://coinmarketcap.com/community/profile/CoinMarketCap/" xr:uid="{43A85486-A009-405A-B28D-8BE8BDD62D2A}"/>
    <hyperlink ref="GT454" r:id="rId2581" display="https://t.me/CoinMarketCapAnnouncements" xr:uid="{AAF85B21-6F7E-498F-A17B-2FAD41C6B454}"/>
    <hyperlink ref="GT455" r:id="rId2582" display="https://www.instagram.com/coinmarketcap/" xr:uid="{33F8AE4D-6F6F-4AC8-9179-090A6AF04FDD}"/>
    <hyperlink ref="GT456" r:id="rId2583" display="https://www.facebook.com/CoinMarketCap" xr:uid="{88B46CF2-158D-4540-B847-EE1FD0A3EBB3}"/>
    <hyperlink ref="GT457" r:id="rId2584" display="https://www.reddit.com/r/CoinMarketCap/" xr:uid="{DD51CE0B-4E77-4CAE-8C4F-4F35FFFC3E9F}"/>
    <hyperlink ref="GT458" r:id="rId2585" display="https://www.linkedin.com/company/coinmarketcap/" xr:uid="{2D04E6C5-A483-40A7-A5B4-7B251EB5A85E}"/>
    <hyperlink ref="HC2" r:id="rId2586" display="https://bit.ly/2024-Q1-Report" xr:uid="{FD0A534F-1AA2-4678-B52A-9C702EEE7E84}"/>
    <hyperlink ref="HC3" r:id="rId2587" display="https://www.coingecko.com/" xr:uid="{4B18B747-F37D-4CCD-85DA-2DD1FD671052}"/>
    <hyperlink ref="HC4" r:id="rId2588" display="https://www.coingecko.com/en/exchanges" xr:uid="{62921A0D-A1EC-446A-A134-6036AB6609D2}"/>
    <hyperlink ref="HC5" r:id="rId2589" display="https://www.coingecko.com/en/global-charts" xr:uid="{19E9A5D4-DC01-43C1-9335-A5EA4D39694C}"/>
    <hyperlink ref="HC6" r:id="rId2590" display="https://www.coingecko.com/en/global-charts" xr:uid="{EED3EA12-2B79-42D3-B461-DA4DA1044532}"/>
    <hyperlink ref="HC26" r:id="rId2591" display="https://www.coingecko.com/en/premium/pricing" xr:uid="{F8323775-5341-4884-8F32-0D161D1E8DD0}"/>
    <hyperlink ref="HC29:HC30" r:id="rId2592" display="https://coingecko.app.link/lTInCXLGz4" xr:uid="{1F8689CB-6563-4FE9-A58E-763E8BE28BB8}"/>
    <hyperlink ref="HC49" r:id="rId2593" display="https://www.geckoterminal.com/?utm_source=coingecko&amp;utm_medium=referral&amp;utm_campaign=desktop_navigation" xr:uid="{50BE23AD-E15C-4C01-9C89-3BE7E836013D}"/>
    <hyperlink ref="HC50" r:id="rId2594" display="https://www.coingecko.com/en/candy" xr:uid="{6AE0503C-AD26-43B9-BAAB-B8FD39476F6E}"/>
    <hyperlink ref="HC51" r:id="rId2595" display="https://www.coingecko.com/en/candy" xr:uid="{46156502-3CA1-482F-A598-B8F8DA7A48DF}"/>
    <hyperlink ref="HC52" r:id="rId2596" display="https://www.coingecko.com/en/candy" xr:uid="{55B65748-8C7A-4F33-8366-D2F1048A5175}"/>
    <hyperlink ref="HC53" r:id="rId2597" display="https://www.coingecko.com/en/portfolio" xr:uid="{F86BF3B3-3504-4095-8A89-BB342EE9DA6C}"/>
    <hyperlink ref="HC71" r:id="rId2598" display="https://gcko.io/search-survey" xr:uid="{F9F95797-90D2-40AF-9964-6F086AB59688}"/>
    <hyperlink ref="HC74" r:id="rId2599" display="https://www.coingecko.com/" xr:uid="{AC60F83F-2DA4-4343-8AE9-EED10D38599D}"/>
    <hyperlink ref="HC93" r:id="rId2600" display="https://www.coingecko.com/en/methodology" xr:uid="{5D1250FC-D5CA-4D44-9306-76368D68486B}"/>
    <hyperlink ref="HC99" r:id="rId2601" display="https://blog.lido.fi/sunset-lido-on-solana/" xr:uid="{83EC773A-C2C5-4DA2-A14C-8134313AEE76}"/>
    <hyperlink ref="HC104" r:id="rId2602" display="https://www.geckoterminal.com/eth/tokens/0x5a98fcbea516cf06857215779fd812ca3bef1b32?utm_source=coingecko&amp;utm_medium=referral&amp;utm_campaign=livechart-btn" xr:uid="{55D0005E-7861-49CA-9871-49845D290108}"/>
    <hyperlink ref="HC109" r:id="rId2603" display="https://www.coingecko.com/en/api" xr:uid="{194118B1-9814-4391-A2D3-8832988D3B8D}"/>
    <hyperlink ref="HC125" r:id="rId2604" display="https://www.coingecko.com/en/methodology" xr:uid="{F5AE9AF0-7BD3-4158-B034-353A6743AD4C}"/>
    <hyperlink ref="HC131" r:id="rId2605" display="https://www.coingecko.com/learn/what-is-fully-diluted-valuation-fdv-in-crypto" xr:uid="{80359BB0-5723-4011-B3AC-BAA4C30172E8}"/>
    <hyperlink ref="HC141" r:id="rId2606" display="https://www.coingecko.com/learn/what-is-fully-diluted-valuation-fdv-in-crypto" xr:uid="{2ECA103A-1908-4BBF-B901-E221BA39947A}"/>
    <hyperlink ref="HC149" r:id="rId2607" display="https://www.coingecko.com/en/methodology" xr:uid="{4FA4E06A-3CD4-4F13-86F6-0D6570BBCB26}"/>
    <hyperlink ref="HC153" r:id="rId2608" display="https://defillama.com/" xr:uid="{71B07B25-7E2E-4929-9FCA-D931B81EBD4F}"/>
    <hyperlink ref="HC157" r:id="rId2609" display="https://www.coingecko.com/en/methodology" xr:uid="{C75BFBEA-6DC8-45B2-B5F0-B532BF35BF4F}"/>
    <hyperlink ref="HD155" r:id="rId2610" xr:uid="{A4143443-4CD1-4F56-934D-3F64D4608E1C}"/>
    <hyperlink ref="HC173" r:id="rId2611" display="https://forms.gle/ULNnnCGCEAimK9cJ7" xr:uid="{1B1BC9D6-EDBD-4784-A368-13649A6F6E01}"/>
    <hyperlink ref="HC182" r:id="rId2612" display="https://stake.lido.fi/" xr:uid="{B4043DDA-BEA9-491E-AE42-BE450FE978D6}"/>
    <hyperlink ref="HC183" r:id="rId2613" display="https://lido.fi/static/Lido:Ethereum-Liquid-Staking.pdf" xr:uid="{98491CED-8779-4B7E-B0D8-7BE4A1C46B43}"/>
    <hyperlink ref="HC184" r:id="rId2614" display="https://blog.lido.fi/" xr:uid="{82A49E15-26B7-4CE1-9948-A7EC03DF2569}"/>
    <hyperlink ref="HC186" r:id="rId2615" display="https://etherscan.io/token/0x5a98fcbea516cf06857215779fd812ca3bef1b32" xr:uid="{5CABF374-A95B-4186-B3B0-136D07EB567D}"/>
    <hyperlink ref="HC189" r:id="rId2616" display="https://twitter.com/lidofinance" xr:uid="{BEF34000-ECD3-42A4-A201-733562B7B4A6}"/>
    <hyperlink ref="HC190" r:id="rId2617" display="https://t.me/lidofinance" xr:uid="{BCB19300-6A9E-432B-B1E2-A7337936E38E}"/>
    <hyperlink ref="HC191" r:id="rId2618" location="/lido-snapshot.eth" display="https://snapshot.org/ - /lido-snapshot.eth" xr:uid="{FF4E6EB8-5E0F-4893-AB3D-8FDEC2857CAF}"/>
    <hyperlink ref="HC192" r:id="rId2619" display="https://discord.com/invite/vgdPfhZ" xr:uid="{A87C2080-2DDB-471A-9B41-2452325B1A88}"/>
    <hyperlink ref="HC194" r:id="rId2620" display="https://twitter.com/search?q=$LDO" xr:uid="{2E941987-3EF3-4387-9CAB-3835F6B4337B}"/>
    <hyperlink ref="HC196" r:id="rId2621" display="https://github.com/lidofinance" xr:uid="{4F71E388-0824-48B5-8B22-09FBA6D49546}"/>
    <hyperlink ref="HC200" r:id="rId2622" display="https://www.coingecko.com/en/categories/ethereum-ecosystem" xr:uid="{520305B0-D905-4C81-83C5-B82A6BCC7E21}"/>
    <hyperlink ref="HC204" r:id="rId2623" display="https://www.coingecko.com/en/categories/infrastructure" xr:uid="{D4B1DA3C-3B72-4D08-B6C1-1C7B1EF8B742}"/>
    <hyperlink ref="HC255" r:id="rId2624" display="https://www.coingecko.com/learn/complete-beginners-guide-to-metamask" xr:uid="{CAC794D8-9D9F-4273-B721-4F92176A7F93}"/>
    <hyperlink ref="HD267" r:id="rId2625" display="https://www.coingecko.com/en/exchanges/pointpay" xr:uid="{2D6C7209-7CEA-4C13-A538-FB7A25170BD7}"/>
    <hyperlink ref="HD268" r:id="rId2626" display="https://www.coingecko.com/en/exchanges/pointpay" xr:uid="{1C7C9D2D-D57F-4A73-A2BA-D05605326472}"/>
    <hyperlink ref="HF267" r:id="rId2627" display="https://exchange.pointpay.io/trade-classic/LDO_USDTreferral/40d2c818-a4e9-4834-bcda-c4f11a1b243d" xr:uid="{464A9B47-C878-4983-93CF-928C1DFDB85F}"/>
    <hyperlink ref="HD269" r:id="rId2628" display="https://www.coingecko.com/en/exchanges/mexc" xr:uid="{652E2932-B7E6-42D0-AD71-2D8C4AD83636}"/>
    <hyperlink ref="HD270" r:id="rId2629" display="https://www.coingecko.com/en/exchanges/mexc" xr:uid="{4C27AC62-6FF7-4287-88C0-53E041269B14}"/>
    <hyperlink ref="HF269" r:id="rId2630" display="https://www.mexc.com/exchange/LDO_USDT?inviteCode=1498J" xr:uid="{0D10B703-EE17-4873-A2EE-C88EDB29D211}"/>
    <hyperlink ref="HD271" r:id="rId2631" display="https://www.coingecko.com/en/exchanges/orangex" xr:uid="{8B8DA253-350D-4B8E-A15D-D18C4464688C}"/>
    <hyperlink ref="HD272" r:id="rId2632" display="https://www.coingecko.com/en/exchanges/orangex" xr:uid="{280AB70C-98F9-4EE9-B294-A86FDB0ED02C}"/>
    <hyperlink ref="HF271" r:id="rId2633" display="https://www.orangex.com/spot/LDO-USDT-SPOT" xr:uid="{A1781126-E5A2-4DA4-9B4F-9E29021A5FCA}"/>
    <hyperlink ref="HD273" r:id="rId2634" display="https://www.coingecko.com/en/exchanges/lbank" xr:uid="{91FBB0D7-A16C-41A3-B258-587BEB13777B}"/>
    <hyperlink ref="HD274" r:id="rId2635" display="https://www.coingecko.com/en/exchanges/lbank" xr:uid="{DEFB024E-3CFA-463A-9621-A05FFB476528}"/>
    <hyperlink ref="HF273" r:id="rId2636" display="https://www.lbank.com/trade/ldo_usdt" xr:uid="{05737EAD-F665-48C1-A656-DC7B95E71DDF}"/>
    <hyperlink ref="HD275" r:id="rId2637" display="https://www.coingecko.com/en/exchanges/bitunix" xr:uid="{4920B365-681B-40F8-8060-FC57C9DA66C9}"/>
    <hyperlink ref="HD276" r:id="rId2638" display="https://www.coingecko.com/en/exchanges/bitunix" xr:uid="{93B920A1-07BA-407D-B14F-AF198440B6E2}"/>
    <hyperlink ref="HF275" r:id="rId2639" display="https://www.bitunix.com/spot-trade?symbol=LDOUSDTregister?inviteCode=yq5pr7" xr:uid="{F77C9247-8ED8-4040-9494-B6C007B691C5}"/>
    <hyperlink ref="HD277" r:id="rId2640" display="https://www.coingecko.com/en/exchanges/binance" xr:uid="{815F279E-CDD0-4DD8-819D-9A9F994C27FF}"/>
    <hyperlink ref="HD278" r:id="rId2641" display="https://www.coingecko.com/en/exchanges/binance" xr:uid="{ED18D6E8-8B8A-443A-9628-1FDD41AE9DE7}"/>
    <hyperlink ref="HF277" r:id="rId2642" display="https://www.binance.com/en/trade/LDO_USDT?ref=37754157" xr:uid="{36C42494-5E1D-4937-9A92-6BD7DDC3E25A}"/>
    <hyperlink ref="HD279" r:id="rId2643" display="https://www.coingecko.com/en/exchanges/bybit_spot" xr:uid="{B10FE631-8AED-4392-86BF-07D174AA879E}"/>
    <hyperlink ref="HD280" r:id="rId2644" display="https://www.coingecko.com/en/exchanges/bybit_spot" xr:uid="{63316A82-AA5A-46B6-AC7A-A583FB4A9FA4}"/>
    <hyperlink ref="HF279" r:id="rId2645" display="https://www.bybit.com/trade/spot/LDO/USDT/?affiliate_id=9763" xr:uid="{FB99880D-89B8-48C8-BECA-7C29C96A2895}"/>
    <hyperlink ref="HD281" r:id="rId2646" display="https://www.coingecko.com/en/exchanges/bitget" xr:uid="{61D30931-8629-43A1-9018-A643C536D4B3}"/>
    <hyperlink ref="HD282" r:id="rId2647" display="https://www.coingecko.com/en/exchanges/bitget" xr:uid="{54C174D7-84EC-4AD8-BC48-2ACB238208B6}"/>
    <hyperlink ref="HF281" r:id="rId2648" display="https://www.bitget.com/spot/LDOUSDT?channelCode=42xn&amp;vipCode=sq59&amp;languageType=0" xr:uid="{538019CF-9057-41A3-941F-E4CB8162C960}"/>
    <hyperlink ref="HD283" r:id="rId2649" display="https://www.coingecko.com/en/exchanges/okx" xr:uid="{00BBA3EE-282A-43A3-BA34-69843316779C}"/>
    <hyperlink ref="HD284" r:id="rId2650" display="https://www.coingecko.com/en/exchanges/okx" xr:uid="{59B60055-3ED9-4BCD-96C9-AB4F36CEC803}"/>
    <hyperlink ref="HF283" r:id="rId2651" display="https://www.okx.com/trade-spot/ldo-usdt?channelid=1902090" xr:uid="{74F1657E-C825-4EC1-B2D9-4FC1DB6BABFC}"/>
    <hyperlink ref="HD285" r:id="rId2652" display="https://www.coingecko.com/en/exchanges/kraken" xr:uid="{CE4AE51E-5A54-4C26-84AD-46508F5D7EA4}"/>
    <hyperlink ref="HD286" r:id="rId2653" display="https://www.coingecko.com/en/exchanges/kraken" xr:uid="{9EB3CD8C-0E45-4148-BA64-519E4543411C}"/>
    <hyperlink ref="HF285" r:id="rId2654" display="https://pro.kraken.com/app/trade/LDO-USD?c/2223866/1766749/10583" xr:uid="{C5DD9961-B812-4DD9-8EEB-BB1BDE923D2D}"/>
    <hyperlink ref="HC297" r:id="rId2655" display="https://beincrypto.com/altcoin-holders-are-losing-money/" xr:uid="{4EE4D4BA-2612-4547-B778-BC720744889B}"/>
    <hyperlink ref="HC298" r:id="rId2656" display="https://beincrypto.com/altcoin-holders-are-losing-money/" xr:uid="{5C3446E7-A5C0-4782-BEFD-F87475B09B17}"/>
    <hyperlink ref="HC299" r:id="rId2657" display="https://beincrypto.com/altcoin-holders-are-losing-money/" xr:uid="{72029B1B-D55B-4943-BA92-84A514BF5AAE}"/>
    <hyperlink ref="HC300" r:id="rId2658" display="https://beincrypto.com/altcoin-holders-are-losing-money/" xr:uid="{2D8EE053-6D12-4486-99B0-2DB0B8908F84}"/>
    <hyperlink ref="HC301:HC302" r:id="rId2659" display="https://www.coingabbar.com/en/crypto-currency-news/crypto-prices-today-30-april-btc-crash-after-hong-kong-etfs" xr:uid="{3A8EB323-A2F6-49A9-9CB7-E9676358A641}"/>
    <hyperlink ref="HC303" r:id="rId2660" display="https://www.coingabbar.com/en/crypto-currency-news/crypto-prices-today-30-april-btc-crash-after-hong-kong-etfs" xr:uid="{CFADB5C6-38BB-4AAB-B4EA-E911182DC39C}"/>
    <hyperlink ref="HC304" r:id="rId2661" display="https://www.coingabbar.com/en/crypto-currency-news/crypto-prices-today-30-april-btc-crash-after-hong-kong-etfs" xr:uid="{D89B2BCD-BA75-459C-A5B9-7A1383E1219E}"/>
    <hyperlink ref="HC305:HC306" r:id="rId2662" display="https://coingape.com/markets/2-crypto-to-buy-to-complete-1-portfolio-in-may/" xr:uid="{8B4BA7AB-AE08-4109-8007-CBB97C233080}"/>
    <hyperlink ref="HC307" r:id="rId2663" display="https://coingape.com/markets/2-crypto-to-buy-to-complete-1-portfolio-in-may/" xr:uid="{43904B0B-5361-4C4E-A35C-F4D52DBA0BE4}"/>
    <hyperlink ref="HC308" r:id="rId2664" display="https://coingape.com/markets/2-crypto-to-buy-to-complete-1-portfolio-in-may/" xr:uid="{4DC4B178-B39C-484E-A72A-570529D892A3}"/>
    <hyperlink ref="HC309:HC310" r:id="rId2665" display="https://coingape.com/markets/lido-dao-price-return-to-yearly-support-may-dip-opportunity/" xr:uid="{0B593922-3594-4A52-82C8-C36E0A9E0247}"/>
    <hyperlink ref="HC311" r:id="rId2666" display="https://coingape.com/markets/lido-dao-price-return-to-yearly-support-may-dip-opportunity/" xr:uid="{74101568-B2E6-4106-AE08-A95DB92BD745}"/>
    <hyperlink ref="HC312" r:id="rId2667" display="https://coingape.com/markets/lido-dao-price-return-to-yearly-support-may-dip-opportunity/" xr:uid="{9F9C8F1A-5F80-49E2-881A-26723BBD952A}"/>
    <hyperlink ref="HC317" r:id="rId2668" display="https://www.coingecko.com/learn/what-is-blast-crypto-l2-optimistic-rollup" xr:uid="{376CCA7E-B3DA-4FFE-8E84-CC04BDC411C9}"/>
    <hyperlink ref="HC318" r:id="rId2669" display="https://www.coingecko.com/learn/what-is-blast-crypto-l2-optimistic-rollup" xr:uid="{CE7CE154-9726-4F76-8265-24DA70096498}"/>
    <hyperlink ref="HC319" r:id="rId2670" display="https://www.coingecko.com/learn/what-is-blast-crypto-l2-optimistic-rollup" xr:uid="{1EBD0AC3-2CC0-47D3-9FED-3DACE7C1248E}"/>
    <hyperlink ref="HC320" r:id="rId2671" display="https://www.coingecko.com/learn/what-is-blast-crypto-l2-optimistic-rollup" xr:uid="{B3CC688F-9D39-4DBD-9321-270A84782F7C}"/>
    <hyperlink ref="HC321" r:id="rId2672" display="https://www.coingecko.com/learn/what-is-blast-crypto-l2-optimistic-rollup" xr:uid="{66EC72E5-BE78-4E65-BFBA-55A28C04D7DE}"/>
    <hyperlink ref="HC322:HC323" r:id="rId2673" display="https://www.coingecko.com/learn/defi-blue-chips" xr:uid="{B9383872-5730-469D-9DD0-4D442AE0D740}"/>
    <hyperlink ref="HC324" r:id="rId2674" display="https://www.coingecko.com/learn/defi-blue-chips" xr:uid="{4C880A40-DACE-48B7-AB98-203C0A5F43A7}"/>
    <hyperlink ref="HC325" r:id="rId2675" display="https://www.coingecko.com/learn/defi-blue-chips" xr:uid="{C051ACC6-B83E-46B5-BD00-4B3C154EFE4C}"/>
    <hyperlink ref="HC326" r:id="rId2676" display="https://www.coingecko.com/learn/defi-blue-chips" xr:uid="{01B851E1-EB60-40D6-B43E-38BC34DCF000}"/>
    <hyperlink ref="HC327:HC328" r:id="rId2677" display="https://www.coingecko.com/research/publications/ethereum-staking-statistics" xr:uid="{2D75DD59-8818-43B6-A299-A8B1FAAB4D12}"/>
    <hyperlink ref="HC329" r:id="rId2678" display="https://www.coingecko.com/research/publications/ethereum-staking-statistics" xr:uid="{CA2EA2B8-BA7C-4447-B667-8CF08E53A3EB}"/>
    <hyperlink ref="HC330" r:id="rId2679" display="https://www.coingecko.com/research/publications/ethereum-staking-statistics" xr:uid="{A6E31B88-8A9A-446E-925D-446A2A9BDE7B}"/>
    <hyperlink ref="HC331" r:id="rId2680" display="https://www.coingecko.com/research/publications/ethereum-staking-statistics" xr:uid="{3F54D040-EB5F-4343-8E62-78F850960235}"/>
    <hyperlink ref="HC332:HC333" r:id="rId2681" display="https://www.coingecko.com/learn/what-is-liquid-staking-liquid-staked-derivatives-you-need-to-know" xr:uid="{3B3EDC2C-BA3F-4404-96A0-11A67E20784E}"/>
    <hyperlink ref="HC334" r:id="rId2682" display="https://www.coingecko.com/learn/what-is-liquid-staking-liquid-staked-derivatives-you-need-to-know" xr:uid="{163DAE39-35AF-425B-BC93-7143E9F11A5D}"/>
    <hyperlink ref="HC335" r:id="rId2683" display="https://www.coingecko.com/learn/what-is-liquid-staking-liquid-staked-derivatives-you-need-to-know" xr:uid="{11AAB080-5A71-42F7-874D-C6CAB009CEE5}"/>
    <hyperlink ref="HC336" r:id="rId2684" display="https://www.coingecko.com/learn/what-is-liquid-staking-liquid-staked-derivatives-you-need-to-know" xr:uid="{85F26F42-62CC-446E-ACED-EDF2BF906605}"/>
    <hyperlink ref="HC341" r:id="rId2685" display="https://www.coingecko.com/en/coins/lido-dao/usd" xr:uid="{23DB1B66-CD43-4DFF-972E-84B845BF95C8}"/>
    <hyperlink ref="HC342" r:id="rId2686" display="https://www.coingecko.com/en/coins/lido-dao/usd" xr:uid="{F887DB46-A144-4BD4-A796-B1A729DDF434}"/>
    <hyperlink ref="HC343" r:id="rId2687" display="https://www.coingecko.com/en/coins/lido-dao/cad" xr:uid="{2B194D28-2512-4EDB-B42E-13A1D1EF5CC2}"/>
    <hyperlink ref="HC344" r:id="rId2688" display="https://www.coingecko.com/en/coins/lido-dao/cad" xr:uid="{ABEA7E9B-6927-4299-836E-C3851FDB3D7E}"/>
    <hyperlink ref="HC345" r:id="rId2689" display="https://www.coingecko.com/en/coins/lido-dao/aud" xr:uid="{5786F113-C0EB-4CA0-895B-F1B92DA96549}"/>
    <hyperlink ref="HC346" r:id="rId2690" display="https://www.coingecko.com/en/coins/lido-dao/aud" xr:uid="{CFED1EEC-8B45-4355-A986-409381257384}"/>
    <hyperlink ref="HC347" r:id="rId2691" display="https://www.coingecko.com/en/coins/lido-dao/gbp" xr:uid="{4CD0F30E-7FF3-4B42-8F89-985EACB69A58}"/>
    <hyperlink ref="HC348" r:id="rId2692" display="https://www.coingecko.com/en/coins/lido-dao/gbp" xr:uid="{AA362C2C-C0AC-4F59-9DCB-AB5818736F84}"/>
    <hyperlink ref="HC349" r:id="rId2693" display="https://www.coingecko.com/en/coins/lido-dao/inr" xr:uid="{0FB0954F-21BB-4769-B2BF-577681D9B086}"/>
    <hyperlink ref="HC350" r:id="rId2694" display="https://www.coingecko.com/en/coins/lido-dao/inr" xr:uid="{DA9D4A65-16D1-461F-83F0-CD17904EC608}"/>
    <hyperlink ref="HC351" r:id="rId2695" display="https://www.coingecko.com/en/coins/lido-dao/php" xr:uid="{63819C23-7DE2-4E24-A45E-AEBAE25A1FA0}"/>
    <hyperlink ref="HC352" r:id="rId2696" display="https://www.coingecko.com/en/coins/lido-dao/php" xr:uid="{BEFAE72A-6858-4F75-983E-B84A1E8979B8}"/>
    <hyperlink ref="HC356" r:id="rId2697" display="https://www.coingecko.com/en/coins/ankr-network" xr:uid="{2E0DE262-80F1-484B-AC6E-26A04CAA5F93}"/>
    <hyperlink ref="HC357" r:id="rId2698" display="https://www.coingecko.com/en/coins/ankr-network" xr:uid="{18CE28EF-6525-473E-9333-623067B293E5}"/>
    <hyperlink ref="HC358" r:id="rId2699" display="https://www.coingecko.com/en/coins/ankr-network" xr:uid="{1240596C-911D-4DF2-BEFF-84B26C67BAA0}"/>
    <hyperlink ref="HC359" r:id="rId2700" display="https://www.coingecko.com/en/coins/jito" xr:uid="{211C6E89-7835-48F2-9282-51EB556DDE3E}"/>
    <hyperlink ref="HC360" r:id="rId2701" display="https://www.coingecko.com/en/coins/jito" xr:uid="{39D746F1-C8C1-441D-B545-BBE0C2ED87D2}"/>
    <hyperlink ref="HC361" r:id="rId2702" display="https://www.coingecko.com/en/coins/jito" xr:uid="{2D9A418D-D795-4184-88DF-AAFB7EBC2799}"/>
    <hyperlink ref="HC362" r:id="rId2703" display="https://www.coingecko.com/en/coins/rocket-pool" xr:uid="{BE609BF7-A64E-4352-BAC2-43F059D129C8}"/>
    <hyperlink ref="HC363" r:id="rId2704" display="https://www.coingecko.com/en/coins/rocket-pool" xr:uid="{9D90F7A4-D883-4C11-B9FE-51525F10F261}"/>
    <hyperlink ref="HC364" r:id="rId2705" display="https://www.coingecko.com/en/coins/rocket-pool" xr:uid="{0847EC47-D7D7-414C-AB1F-795AFE6870E4}"/>
    <hyperlink ref="HC365" r:id="rId2706" display="https://www.coingecko.com/en/coins/frax-share" xr:uid="{2ACAC806-BB7C-40E4-8B0B-23AC4F7CD5E2}"/>
    <hyperlink ref="HC366" r:id="rId2707" display="https://www.coingecko.com/en/coins/frax-share" xr:uid="{948946F5-E7EF-42AB-8249-8AD45BB31D91}"/>
    <hyperlink ref="HC367" r:id="rId2708" display="https://www.coingecko.com/en/coins/frax-share" xr:uid="{2A203F34-BF99-4724-886A-1781BD541206}"/>
    <hyperlink ref="HC368" r:id="rId2709" display="https://www.coingecko.com/en/coins/stride" xr:uid="{C8F5BB41-E3B2-4337-AAE5-C8F17D4E7CDD}"/>
    <hyperlink ref="HC369" r:id="rId2710" display="https://www.coingecko.com/en/coins/stride" xr:uid="{C29E1654-CCBF-43A3-AD87-048C4EEDC8BE}"/>
    <hyperlink ref="HC370" r:id="rId2711" display="https://www.coingecko.com/en/coins/stride" xr:uid="{B21F996A-9E5A-4CD1-A194-4EFB6FDDE169}"/>
    <hyperlink ref="HC374" r:id="rId2712" display="https://www.coingecko.com/en/coins/solana" xr:uid="{9A05B431-D0C0-46E9-8867-FADD9F554689}"/>
    <hyperlink ref="HC375" r:id="rId2713" display="https://www.coingecko.com/en/coins/solana" xr:uid="{CE48B321-2861-47E7-9D2D-ECC1D00B43C4}"/>
    <hyperlink ref="HC376" r:id="rId2714" display="https://www.coingecko.com/en/coins/solana" xr:uid="{0E451038-5C0D-428D-B5D1-45D616B974B9}"/>
    <hyperlink ref="HC377" r:id="rId2715" display="https://www.coingecko.com/en/coins/dione" xr:uid="{02600D1A-62FE-4ABD-B22F-59C373AD6A40}"/>
    <hyperlink ref="HC378" r:id="rId2716" display="https://www.coingecko.com/en/coins/dione" xr:uid="{EA83F69C-D121-4518-848E-F455C18BD84E}"/>
    <hyperlink ref="HC379" r:id="rId2717" display="https://www.coingecko.com/en/coins/dione" xr:uid="{523CF1A1-8AB0-42DB-97D8-37CAFDA69BE5}"/>
    <hyperlink ref="HC380" r:id="rId2718" display="https://www.coingecko.com/en/coins/pixels" xr:uid="{1DC6912E-4135-47A9-AFFD-124E8D4B8553}"/>
    <hyperlink ref="HC381" r:id="rId2719" display="https://www.coingecko.com/en/coins/pixels" xr:uid="{A9D8458D-7EB8-4E00-BB0D-50BDE8BCC9B0}"/>
    <hyperlink ref="HC382" r:id="rId2720" display="https://www.coingecko.com/en/coins/pixels" xr:uid="{4925E411-A239-4443-8B17-9CFC653F9C19}"/>
    <hyperlink ref="HC383" r:id="rId2721" display="https://www.coingecko.com/en/coins/degen-base" xr:uid="{E78F8B24-A4D3-4F8A-AA08-D205E177EA1B}"/>
    <hyperlink ref="HC384" r:id="rId2722" display="https://www.coingecko.com/en/coins/degen-base" xr:uid="{76F35FBD-79DF-44AA-994A-BBDEF03AB83D}"/>
    <hyperlink ref="HC385" r:id="rId2723" display="https://www.coingecko.com/en/coins/degen-base" xr:uid="{BF473867-040E-456C-A323-A343303B8728}"/>
    <hyperlink ref="HC386" r:id="rId2724" display="https://www.coingecko.com/en/coins/ethereum" xr:uid="{15506082-A064-4591-90FC-EF547DBB20CB}"/>
    <hyperlink ref="HC387" r:id="rId2725" display="https://www.coingecko.com/en/coins/ethereum" xr:uid="{AA30164A-B063-4111-A4C8-13AD046F990B}"/>
    <hyperlink ref="HC388" r:id="rId2726" display="https://www.coingecko.com/en/coins/ethereum" xr:uid="{0FF0BC0A-8870-4C67-B436-6507D8915B28}"/>
    <hyperlink ref="HC389" r:id="rId2727" display="https://www.coingecko.com/en/coins/bitcoin" xr:uid="{A965886E-D7ED-48DF-A447-37EE21FB2EBE}"/>
    <hyperlink ref="HC390" r:id="rId2728" display="https://www.coingecko.com/en/coins/bitcoin" xr:uid="{38E56DB7-A089-450E-AAE0-7ABBFADB9622}"/>
    <hyperlink ref="HC391" r:id="rId2729" display="https://www.coingecko.com/en/coins/bitcoin" xr:uid="{50827C52-5CD8-460D-B634-9C72CF4D75D5}"/>
    <hyperlink ref="HC392" r:id="rId2730" display="https://www.coingecko.com/en/coins/pepe" xr:uid="{6F9C8A0D-871B-494A-8806-15D6D701AB6E}"/>
    <hyperlink ref="HC393" r:id="rId2731" display="https://www.coingecko.com/en/coins/pepe" xr:uid="{E872636B-5841-4C1C-9C55-40AFFE240D9D}"/>
    <hyperlink ref="HC394" r:id="rId2732" display="https://www.coingecko.com/en/coins/pepe" xr:uid="{6F9C990C-4407-402B-A3C4-1D9464AF8261}"/>
    <hyperlink ref="HC395" r:id="rId2733" display="https://www.coingecko.com/en/coins/wormhole" xr:uid="{773832B1-0CD7-4BD6-B4E9-76FBC61D23A1}"/>
    <hyperlink ref="HC396" r:id="rId2734" display="https://www.coingecko.com/en/coins/wormhole" xr:uid="{7980F17B-2BE3-4180-BDE8-0CC08A741AB1}"/>
    <hyperlink ref="HC397" r:id="rId2735" display="https://www.coingecko.com/en/coins/wormhole" xr:uid="{D9268B32-DE0F-42CE-A82A-745BFBC58EF8}"/>
    <hyperlink ref="HC398" r:id="rId2736" display="https://www.coingecko.com/en/coins/pendle" xr:uid="{E909A760-CAE4-4237-92FF-3B7DC273394B}"/>
    <hyperlink ref="HC399" r:id="rId2737" display="https://www.coingecko.com/en/coins/pendle" xr:uid="{DC3E3C4D-29FF-46FB-AD94-8B1EF585DD94}"/>
    <hyperlink ref="HC400" r:id="rId2738" display="https://www.coingecko.com/en/coins/pendle" xr:uid="{D7065BC9-1A24-4A81-9945-1A040B6EC26C}"/>
    <hyperlink ref="HC401" r:id="rId2739" display="https://www.coingecko.com/en/coins/ronin" xr:uid="{30B785F0-5259-4895-902D-3C8193C2155D}"/>
    <hyperlink ref="HC402" r:id="rId2740" display="https://www.coingecko.com/en/coins/ronin" xr:uid="{2B5B4E2C-8360-44E4-B810-AA29A0D42E69}"/>
    <hyperlink ref="HC403" r:id="rId2741" display="https://www.coingecko.com/en/coins/ronin" xr:uid="{0ADBF655-13BF-4A4C-94CD-54CD94F94A49}"/>
    <hyperlink ref="HC412" r:id="rId2742" display="https://www.coingecko.com/" xr:uid="{4279D595-C34B-4001-8F51-570B3C9B4746}"/>
    <hyperlink ref="HC415" r:id="rId2743" display="https://www.coingecko.com/en/news" xr:uid="{8CA5E8AD-74B6-4AB8-9E5B-EE979677C767}"/>
    <hyperlink ref="HC416" r:id="rId2744" display="https://www.coingecko.com/en/public-companies-bitcoin" xr:uid="{CAFBFD05-CF4D-43AE-8E79-89D32D74E4A1}"/>
    <hyperlink ref="HC417" r:id="rId2745" display="https://www.coingecko.com/en/cryptocurrency-heatmap" xr:uid="{A8C9D8C6-0851-40AF-B8FD-A22199A6BB71}"/>
    <hyperlink ref="HC418" r:id="rId2746" display="https://www.coingecko.com/en/api" xr:uid="{0BC4B4BA-1F47-4D95-B890-2101091B992C}"/>
    <hyperlink ref="HC425" r:id="rId2747" display="https://www.coingecko.com/request" xr:uid="{AC0AC2B0-BDCE-41EE-986C-550D33EAA213}"/>
    <hyperlink ref="HC426" r:id="rId2748" display="https://gcko.io/coingeckoads" xr:uid="{E55A75BF-F212-4580-A68B-5F0661AF1067}"/>
    <hyperlink ref="HC427" r:id="rId2749" display="https://www.coingecko.com/en/candy/partners-getting-started" xr:uid="{A61EF8C9-E709-493E-BF78-E7D6E58E7B13}"/>
    <hyperlink ref="HC428" r:id="rId2750" display="https://support.coingecko.com/" xr:uid="{D15D24D4-CD90-48A8-8E6C-EFCC3446BA10}"/>
    <hyperlink ref="HC429" r:id="rId2751" display="https://hackenproof.com/coingecko/coingecko" xr:uid="{F04DD101-A9ED-4C4D-A1CE-8ECBF3DE2FAB}"/>
    <hyperlink ref="HC430" r:id="rId2752" display="https://www.coingecko.com/en/faq" xr:uid="{CE5991BF-883C-4A4F-883F-3BE91591AAA9}"/>
    <hyperlink ref="HC432" r:id="rId2753" display="https://www.coingecko.com/en/about" xr:uid="{03B4AE59-51AB-4ECE-A6A8-39F118BCFB68}"/>
    <hyperlink ref="HC433" r:id="rId2754" display="https://careers.coingecko.com/" xr:uid="{ACAA8351-2A25-4B17-B473-643CB9AB9BE5}"/>
    <hyperlink ref="HC434" r:id="rId2755" display="https://careers.coingecko.com/" xr:uid="{E6EB5972-6CC5-4506-89C6-637167EA4BA5}"/>
    <hyperlink ref="HC435" r:id="rId2756" display="https://blog.coingecko.com/" xr:uid="{C1206BA8-7132-4842-AC3C-CF65F362DB35}"/>
    <hyperlink ref="HC436" r:id="rId2757" display="https://www.coingecko.com/en/branding" xr:uid="{AE8DF985-76DA-4ABF-B1D2-67E89B1C2F50}"/>
    <hyperlink ref="HC437" r:id="rId2758" display="https://www.coingecko.com/en/methodology" xr:uid="{E1AB14A8-EDA4-477E-9507-FBB1A7F541FE}"/>
    <hyperlink ref="HC438" r:id="rId2759" display="https://www.coingecko.com/en/disclaimer" xr:uid="{44380E66-9857-41B6-8DA7-03A54FDA6A9A}"/>
    <hyperlink ref="HC439" r:id="rId2760" display="https://www.coingecko.com/en/terms" xr:uid="{79CDF939-644C-4BA5-9BEB-A8A3D1B816BD}"/>
    <hyperlink ref="HC440" r:id="rId2761" display="https://www.coingecko.com/en/privacy" xr:uid="{0957B4C8-070E-4D83-914E-DECB8A821C03}"/>
    <hyperlink ref="HC441" r:id="rId2762" display="https://www.coingecko.com/en/ad_policy" xr:uid="{CF602B6E-2CAE-421D-9202-CA1FD9CC5EEA}"/>
    <hyperlink ref="HC444" r:id="rId2763" display="https://twitter.com/coingecko" xr:uid="{6787C9FA-D381-4D15-A107-A7F2BA288503}"/>
    <hyperlink ref="HC445" r:id="rId2764" display="https://t.me/coingecko" xr:uid="{7D91BAB5-0A83-4FBF-A039-D05FFB610F20}"/>
    <hyperlink ref="HC446" r:id="rId2765" display="https://t.me/coingeckonews" xr:uid="{54A7D5BC-2A57-487A-8C60-06AAEFA16130}"/>
    <hyperlink ref="HC447" r:id="rId2766" display="https://www.instagram.com/coingecko/" xr:uid="{CFE481E0-1877-4721-B39C-BB7E85BF9499}"/>
    <hyperlink ref="HC448" r:id="rId2767" display="https://www.reddit.com/r/coingecko/" xr:uid="{6BF21AD5-1B23-40E2-B510-FB06AD00A567}"/>
    <hyperlink ref="HC449" r:id="rId2768" display="https://discord.gg/EhrkaCH" xr:uid="{FDA9D3B9-220F-4BC0-9D02-E2492C69E3AF}"/>
    <hyperlink ref="HC450" r:id="rId2769" display="https://www.facebook.com/coingecko" xr:uid="{6B61FE92-114A-4ABB-BFAA-E69F7786F2B2}"/>
    <hyperlink ref="HC451" r:id="rId2770" display="https://www.youtube.com/channel/UC-OTgwOAI7KmP0eDAtqN3Ow?sub_confirmation=1" xr:uid="{344551CB-80E0-4E31-94BB-728CECA3895E}"/>
    <hyperlink ref="HC452" r:id="rId2771" display="https://www.tiktok.com/@coingeckotv" xr:uid="{B47AE781-BA2E-40AB-B9CD-090F3B8756C4}"/>
    <hyperlink ref="HC458" r:id="rId2772" display="https://www.coingecko.com/en/disclaimer" xr:uid="{DD60F71B-4401-49F1-B530-79C348DD1EC9}"/>
    <hyperlink ref="HC708" r:id="rId2773" display="https://coingecko.app.link/lTInCXLGz4" xr:uid="{88DE735B-6258-4FB3-82BC-1974341A2BC8}"/>
    <hyperlink ref="HC709" r:id="rId2774" display="https://gcko.io/n97p1v2" xr:uid="{1064BF1E-641B-4CEF-A511-AEC63852FAC9}"/>
    <hyperlink ref="HC712" r:id="rId2775" display="https://gcko.io/vptresd" xr:uid="{B82AADEF-106B-4508-83AD-B5DEF1AC45C9}"/>
    <hyperlink ref="HC713" r:id="rId2776" display="https://gcko.io/vptresd" xr:uid="{A5BC47A4-0A55-4B9D-BE6D-7BEA3FE7CCAB}"/>
    <hyperlink ref="HC716" r:id="rId2777" display="https://gcko.io/wxw4jjq" xr:uid="{F0749A33-DC7D-4633-9824-2216475F81FA}"/>
    <hyperlink ref="HC717" r:id="rId2778" display="https://gcko.io/wxw4jjq" xr:uid="{4E7E0271-C036-4D30-AF67-3EB0A3ADB79F}"/>
  </hyperlinks>
  <pageMargins left="0.511811024" right="0.511811024" top="0.78740157499999996" bottom="0.78740157499999996" header="0.31496062000000002" footer="0.31496062000000002"/>
  <drawing r:id="rId2779"/>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4</vt:i4>
      </vt:variant>
      <vt:variant>
        <vt:lpstr>Intervalos Nomeados</vt:lpstr>
      </vt:variant>
      <vt:variant>
        <vt:i4>51</vt:i4>
      </vt:variant>
    </vt:vector>
  </HeadingPairs>
  <TitlesOfParts>
    <vt:vector size="55" baseType="lpstr">
      <vt:lpstr>Principal</vt:lpstr>
      <vt:lpstr>Movimentos</vt:lpstr>
      <vt:lpstr>Graficos</vt:lpstr>
      <vt:lpstr>Links</vt:lpstr>
      <vt:lpstr>Links!arbitrum</vt:lpstr>
      <vt:lpstr>ARBLink</vt:lpstr>
      <vt:lpstr>Links!bitcoin_1</vt:lpstr>
      <vt:lpstr>BTC</vt:lpstr>
      <vt:lpstr>BTCLink</vt:lpstr>
      <vt:lpstr>Links!chainlink</vt:lpstr>
      <vt:lpstr>Movimentos!Criterios</vt:lpstr>
      <vt:lpstr>Links!dogecoin</vt:lpstr>
      <vt:lpstr>DOGELink</vt:lpstr>
      <vt:lpstr>Links!dogwifhat</vt:lpstr>
      <vt:lpstr>Dollar</vt:lpstr>
      <vt:lpstr>DollarLink</vt:lpstr>
      <vt:lpstr>ETH</vt:lpstr>
      <vt:lpstr>Links!ethereum_1</vt:lpstr>
      <vt:lpstr>ETHLink</vt:lpstr>
      <vt:lpstr>Links!gala</vt:lpstr>
      <vt:lpstr>GALALink</vt:lpstr>
      <vt:lpstr>GanhoPerdaPercent</vt:lpstr>
      <vt:lpstr>GanhoPerdaReal</vt:lpstr>
      <vt:lpstr>Links!immutable_x</vt:lpstr>
      <vt:lpstr>IMXLink</vt:lpstr>
      <vt:lpstr>InvRetDollar</vt:lpstr>
      <vt:lpstr>InvRetReal</vt:lpstr>
      <vt:lpstr>LDOLink</vt:lpstr>
      <vt:lpstr>Links!lido_dao</vt:lpstr>
      <vt:lpstr>LINKLink</vt:lpstr>
      <vt:lpstr>MATICLink</vt:lpstr>
      <vt:lpstr>OPLink</vt:lpstr>
      <vt:lpstr>Links!optimism</vt:lpstr>
      <vt:lpstr>Links!pepe_2</vt:lpstr>
      <vt:lpstr>PEPELINK</vt:lpstr>
      <vt:lpstr>Links!polygon</vt:lpstr>
      <vt:lpstr>Links!render</vt:lpstr>
      <vt:lpstr>RNDRLink</vt:lpstr>
      <vt:lpstr>Links!ronin</vt:lpstr>
      <vt:lpstr>RONLink</vt:lpstr>
      <vt:lpstr>Links!search?client_firefox_b_d_q_dollar</vt:lpstr>
      <vt:lpstr>Links!shiba_inu</vt:lpstr>
      <vt:lpstr>SHIBALink</vt:lpstr>
      <vt:lpstr>Links!solana</vt:lpstr>
      <vt:lpstr>SolLink</vt:lpstr>
      <vt:lpstr>Links!stacks</vt:lpstr>
      <vt:lpstr>STXLink</vt:lpstr>
      <vt:lpstr>TotalInvestDollar</vt:lpstr>
      <vt:lpstr>TotalInvestReal</vt:lpstr>
      <vt:lpstr>TotalMomentoDollar</vt:lpstr>
      <vt:lpstr>TotalMomentoReal</vt:lpstr>
      <vt:lpstr>TotalRetiradoDollar</vt:lpstr>
      <vt:lpstr>TotalRetiradoReal</vt:lpstr>
      <vt:lpstr>UltimaAtt</vt:lpstr>
      <vt:lpstr>WIFLink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Usuário</dc:creator>
  <cp:lastModifiedBy>Usuário</cp:lastModifiedBy>
  <cp:lastPrinted>2024-04-30T19:19:37Z</cp:lastPrinted>
  <dcterms:created xsi:type="dcterms:W3CDTF">2024-04-29T16:31:36Z</dcterms:created>
  <dcterms:modified xsi:type="dcterms:W3CDTF">2024-05-02T13:55:44Z</dcterms:modified>
</cp:coreProperties>
</file>