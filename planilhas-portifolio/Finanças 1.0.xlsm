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Outros computadores\PC Casa\Planilhas e controles\Finanças\Versões\"/>
    </mc:Choice>
  </mc:AlternateContent>
  <xr:revisionPtr revIDLastSave="0" documentId="13_ncr:1_{46831BEC-2579-4044-A189-A336DA548F2D}" xr6:coauthVersionLast="47" xr6:coauthVersionMax="47" xr10:uidLastSave="{00000000-0000-0000-0000-000000000000}"/>
  <bookViews>
    <workbookView xWindow="28680" yWindow="4470" windowWidth="21840" windowHeight="13020" xr2:uid="{00000000-000D-0000-FFFF-FFFF00000000}"/>
  </bookViews>
  <sheets>
    <sheet name="Geral" sheetId="25" r:id="rId1"/>
    <sheet name="Cartão" sheetId="26" r:id="rId2"/>
    <sheet name="Config" sheetId="24" r:id="rId3"/>
  </sheets>
  <externalReferences>
    <externalReference r:id="rId4"/>
    <externalReference r:id="rId5"/>
  </externalReferences>
  <definedNames>
    <definedName name="_xlnm.Database">#REF!</definedName>
    <definedName name="CDV">#REF!</definedName>
    <definedName name="Clientes">'[1]Cliente Contato'!#REF!</definedName>
    <definedName name="DataOrç">#REF!</definedName>
    <definedName name="DataOrçamento">#REF!</definedName>
    <definedName name="DiaHoje">Config!$A$1</definedName>
    <definedName name="email">#REF!</definedName>
    <definedName name="Idioma">#REF!</definedName>
    <definedName name="ObservaçãoPadrão">[2]Condições!#REF!</definedName>
    <definedName name="Plan3">#REF!</definedName>
    <definedName name="Rec_P">'[1]Itens Orçados'!$A$1</definedName>
    <definedName name="req">#REF!</definedName>
    <definedName name="Teste">#REF!</definedName>
    <definedName name="TipoCondição">#REF!</definedName>
    <definedName name="Vendedores">#REF!</definedName>
  </definedNames>
  <calcPr calcId="181029"/>
</workbook>
</file>

<file path=xl/calcChain.xml><?xml version="1.0" encoding="utf-8"?>
<calcChain xmlns="http://schemas.openxmlformats.org/spreadsheetml/2006/main">
  <c r="A1" i="24" l="1"/>
  <c r="B1" i="24"/>
  <c r="C32" i="26" l="1"/>
  <c r="C4" i="26"/>
  <c r="C18" i="26"/>
  <c r="C44" i="26"/>
  <c r="C30" i="26"/>
  <c r="C16" i="26"/>
  <c r="AD15" i="25"/>
  <c r="AB15" i="25"/>
  <c r="X14" i="25"/>
  <c r="V14" i="25"/>
  <c r="R13" i="25"/>
  <c r="P13" i="25"/>
  <c r="N15" i="25"/>
  <c r="N13" i="25"/>
  <c r="L14" i="25"/>
  <c r="L13" i="25"/>
  <c r="Q44" i="26"/>
  <c r="P44" i="26"/>
  <c r="O44" i="26"/>
  <c r="Z15" i="25" s="1"/>
  <c r="N44" i="26"/>
  <c r="X15" i="25" s="1"/>
  <c r="M44" i="26"/>
  <c r="V15" i="25" s="1"/>
  <c r="L44" i="26"/>
  <c r="T15" i="25" s="1"/>
  <c r="K44" i="26"/>
  <c r="R15" i="25" s="1"/>
  <c r="J44" i="26"/>
  <c r="P15" i="25" s="1"/>
  <c r="I44" i="26"/>
  <c r="H44" i="26"/>
  <c r="L15" i="25" s="1"/>
  <c r="G44" i="26"/>
  <c r="J15" i="25" s="1"/>
  <c r="F44" i="26"/>
  <c r="H15" i="25" s="1"/>
  <c r="Q30" i="26"/>
  <c r="AD14" i="25" s="1"/>
  <c r="P30" i="26"/>
  <c r="AB14" i="25" s="1"/>
  <c r="O30" i="26"/>
  <c r="Z14" i="25" s="1"/>
  <c r="N30" i="26"/>
  <c r="M30" i="26"/>
  <c r="L30" i="26"/>
  <c r="T14" i="25" s="1"/>
  <c r="K30" i="26"/>
  <c r="R14" i="25" s="1"/>
  <c r="J30" i="26"/>
  <c r="P14" i="25" s="1"/>
  <c r="I30" i="26"/>
  <c r="N14" i="25" s="1"/>
  <c r="H30" i="26"/>
  <c r="G30" i="26"/>
  <c r="J14" i="25" s="1"/>
  <c r="F30" i="26"/>
  <c r="H14" i="25" s="1"/>
  <c r="Q16" i="26"/>
  <c r="AD13" i="25" s="1"/>
  <c r="P16" i="26"/>
  <c r="AB13" i="25" s="1"/>
  <c r="O16" i="26"/>
  <c r="Z13" i="25" s="1"/>
  <c r="N16" i="26"/>
  <c r="X13" i="25" s="1"/>
  <c r="M16" i="26"/>
  <c r="V13" i="25" s="1"/>
  <c r="L16" i="26"/>
  <c r="T13" i="25" s="1"/>
  <c r="K16" i="26"/>
  <c r="J16" i="26"/>
  <c r="I16" i="26"/>
  <c r="H16" i="26"/>
  <c r="G16" i="26"/>
  <c r="J13" i="25" s="1"/>
  <c r="F16" i="26"/>
  <c r="H13" i="25" s="1"/>
  <c r="AD22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AC16" i="25"/>
  <c r="AA16" i="25"/>
  <c r="Y16" i="25"/>
  <c r="W16" i="25"/>
  <c r="U16" i="25"/>
  <c r="S16" i="25"/>
  <c r="Q16" i="25"/>
  <c r="O16" i="25"/>
  <c r="M16" i="25"/>
  <c r="K16" i="25"/>
  <c r="I16" i="25"/>
  <c r="G16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H10" i="25"/>
  <c r="I10" i="25"/>
  <c r="G10" i="25"/>
  <c r="E22" i="25"/>
  <c r="E16" i="25"/>
  <c r="E10" i="25"/>
  <c r="AD10" i="25"/>
  <c r="V16" i="25" l="1"/>
  <c r="V24" i="25" s="1"/>
  <c r="T16" i="25"/>
  <c r="T24" i="25" s="1"/>
  <c r="P16" i="25"/>
  <c r="P24" i="25" s="1"/>
  <c r="R16" i="25"/>
  <c r="R24" i="25" s="1"/>
  <c r="Z16" i="25"/>
  <c r="Z24" i="25" s="1"/>
  <c r="X16" i="25"/>
  <c r="X24" i="25" s="1"/>
  <c r="AD16" i="25"/>
  <c r="AD24" i="25" s="1"/>
  <c r="AB16" i="25"/>
  <c r="AB24" i="25" s="1"/>
  <c r="P2" i="26"/>
  <c r="J16" i="25"/>
  <c r="J24" i="25" s="1"/>
  <c r="L16" i="25"/>
  <c r="L24" i="25" s="1"/>
  <c r="N16" i="25"/>
  <c r="N24" i="25" s="1"/>
  <c r="N2" i="26"/>
  <c r="O2" i="26"/>
  <c r="Q2" i="26"/>
  <c r="J2" i="26"/>
  <c r="K2" i="26"/>
  <c r="G2" i="26"/>
  <c r="I2" i="26"/>
  <c r="L2" i="26"/>
  <c r="H2" i="26"/>
  <c r="M2" i="26"/>
  <c r="H16" i="25"/>
  <c r="H24" i="25" s="1"/>
  <c r="F2" i="26"/>
  <c r="I24" i="25"/>
  <c r="U24" i="25"/>
  <c r="K24" i="25"/>
  <c r="S24" i="25"/>
  <c r="Q24" i="25"/>
  <c r="M24" i="25"/>
  <c r="AA24" i="25"/>
  <c r="AC24" i="25"/>
  <c r="Y24" i="25"/>
  <c r="W24" i="25"/>
  <c r="O24" i="25"/>
  <c r="G24" i="25"/>
  <c r="E24" i="25"/>
  <c r="C1" i="24"/>
</calcChain>
</file>

<file path=xl/sharedStrings.xml><?xml version="1.0" encoding="utf-8"?>
<sst xmlns="http://schemas.openxmlformats.org/spreadsheetml/2006/main" count="155" uniqueCount="47">
  <si>
    <t>Dia</t>
  </si>
  <si>
    <t>Novembro</t>
  </si>
  <si>
    <t>Dezembro</t>
  </si>
  <si>
    <t>Gastos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</si>
  <si>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</si>
  <si>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</si>
  <si>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</si>
  <si>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</si>
  <si>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</si>
  <si>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</si>
  <si>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</si>
  <si>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</si>
  <si>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Janeiro</t>
  </si>
  <si>
    <t>Fevereiro</t>
  </si>
  <si>
    <t>Gasto</t>
  </si>
  <si>
    <t>Tipo</t>
  </si>
  <si>
    <t>Classe</t>
  </si>
  <si>
    <t>R$ Max</t>
  </si>
  <si>
    <t>JaneiroEst</t>
  </si>
  <si>
    <t>FevereiroEst</t>
  </si>
  <si>
    <t>MarçoEst</t>
  </si>
  <si>
    <t>AbrilEst</t>
  </si>
  <si>
    <t>MaioEst</t>
  </si>
  <si>
    <t>JunhoEst</t>
  </si>
  <si>
    <t>JulhoEst</t>
  </si>
  <si>
    <t>AgostoEst</t>
  </si>
  <si>
    <t>SetembroEst</t>
  </si>
  <si>
    <t>OutubroEst</t>
  </si>
  <si>
    <t>NovembroEst</t>
  </si>
  <si>
    <t>DezembroEst</t>
  </si>
  <si>
    <t>Total</t>
  </si>
  <si>
    <t>Coluna1</t>
  </si>
  <si>
    <t>Cartão</t>
  </si>
  <si>
    <t>Entrada</t>
  </si>
  <si>
    <t>Relação Totais</t>
  </si>
  <si>
    <t>*=Gastos[Janeiro];Gastos[Fevereiro];Gastos[Março];Gastos[Abril];Gastos[Maio];Gastos[Junho];Gastos[Julho];Gastos[Agosto];Gastos[Setembro];Gastos[Outubro];Gastos[Novembro];Gastos[Dezembro];
Cartão[Janeiro];Cartão[Fevereiro];Cartão[Março];Cartão[Abril];Cartão[Maio];Cartão[Junho];Cartão[Julho];Cartão[Agosto];Cartão[Setembro];Cartão[Outubro];Cartão[Novembro];Cartão[Dezembro]</t>
  </si>
  <si>
    <t>Para formatação verde ou vermelho</t>
  </si>
  <si>
    <t>Controle Financeiro</t>
  </si>
  <si>
    <t>Ultima Att</t>
  </si>
  <si>
    <t>Adicionar cartão</t>
  </si>
  <si>
    <t>Cartão de crédito</t>
  </si>
  <si>
    <t xml:space="preserve">Dia Vencimento </t>
  </si>
  <si>
    <t>Total Cartões</t>
  </si>
  <si>
    <t>Cartão 1</t>
  </si>
  <si>
    <t>Cartão 2</t>
  </si>
  <si>
    <t>Cartão 3</t>
  </si>
  <si>
    <t>R$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</si>
</sst>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11"/>
      <color theme="0" tint="-4.9989318521683403E-2"/>
      <name val="Tahoma"/>
      <family val="2"/>
    </font>
    <font>
      <sz val="14"/>
      <color theme="1"/>
      <name val="Calibri"/>
      <family val="2"/>
      <scheme val="minor"/>
    </font>
    <font>
      <sz val="14"/>
      <color theme="1"/>
      <name val="Tahoma"/>
      <family val="2"/>
    </font>
    <font>
      <sz val="12"/>
      <color theme="1"/>
      <name val="Tahoma"/>
      <family val="2"/>
    </font>
    <font>
      <sz val="20"/>
      <color theme="1"/>
      <name val="Tahoma"/>
      <family val="2"/>
    </font>
    <font>
      <b/>
      <sz val="11"/>
      <color theme="0"/>
      <name val="Tahoma"/>
      <family val="2"/>
    </font>
    <font>
      <b/>
      <sz val="11"/>
      <color theme="0" tint="-4.9989318521683403E-2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2" fillId="0" borderId="0"/>
    <xf numFmtId="164" fontId="3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2" fillId="3" borderId="0" xfId="1" applyFill="1" applyAlignment="1">
      <alignment vertical="center"/>
    </xf>
    <xf numFmtId="14" fontId="2" fillId="3" borderId="0" xfId="1" applyNumberFormat="1" applyFill="1" applyAlignment="1">
      <alignment vertical="center"/>
    </xf>
    <xf numFmtId="0" fontId="5" fillId="0" borderId="0" xfId="0" applyFont="1" applyAlignment="1">
      <alignment horizontal="center" vertical="center"/>
    </xf>
    <xf numFmtId="44" fontId="7" fillId="0" borderId="6" xfId="4" applyFont="1" applyBorder="1" applyAlignment="1">
      <alignment horizontal="center" vertical="center"/>
    </xf>
    <xf numFmtId="44" fontId="7" fillId="0" borderId="0" xfId="4" applyFont="1" applyBorder="1" applyAlignment="1">
      <alignment horizontal="center" vertical="center"/>
    </xf>
    <xf numFmtId="44" fontId="7" fillId="0" borderId="5" xfId="4" applyFont="1" applyBorder="1" applyAlignment="1">
      <alignment horizontal="center" vertical="center"/>
    </xf>
    <xf numFmtId="44" fontId="7" fillId="0" borderId="10" xfId="4" applyFont="1" applyBorder="1" applyAlignment="1">
      <alignment horizontal="center" vertical="center"/>
    </xf>
    <xf numFmtId="44" fontId="7" fillId="0" borderId="2" xfId="4" applyFont="1" applyBorder="1" applyAlignment="1">
      <alignment horizontal="center" vertical="center"/>
    </xf>
    <xf numFmtId="44" fontId="7" fillId="0" borderId="4" xfId="4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Continuous" vertical="center"/>
    </xf>
    <xf numFmtId="0" fontId="5" fillId="0" borderId="9" xfId="0" applyFont="1" applyBorder="1" applyAlignment="1">
      <alignment horizontal="center" vertical="center"/>
    </xf>
    <xf numFmtId="44" fontId="7" fillId="0" borderId="9" xfId="0" applyNumberFormat="1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5" fillId="0" borderId="7" xfId="0" applyFont="1" applyBorder="1" applyAlignment="1">
      <alignment horizontal="centerContinuous" vertical="center"/>
    </xf>
    <xf numFmtId="44" fontId="7" fillId="0" borderId="7" xfId="0" applyNumberFormat="1" applyFont="1" applyBorder="1" applyAlignment="1">
      <alignment horizontal="center" vertical="center"/>
    </xf>
    <xf numFmtId="44" fontId="7" fillId="3" borderId="8" xfId="0" applyNumberFormat="1" applyFont="1" applyFill="1" applyBorder="1" applyAlignment="1">
      <alignment horizontal="center" vertical="center"/>
    </xf>
    <xf numFmtId="44" fontId="7" fillId="3" borderId="9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Continuous" vertical="center"/>
    </xf>
    <xf numFmtId="44" fontId="5" fillId="0" borderId="5" xfId="4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" fontId="7" fillId="0" borderId="6" xfId="4" applyNumberFormat="1" applyFont="1" applyBorder="1" applyAlignment="1">
      <alignment horizontal="center" vertical="center"/>
    </xf>
    <xf numFmtId="1" fontId="7" fillId="0" borderId="10" xfId="4" applyNumberFormat="1" applyFont="1" applyBorder="1" applyAlignment="1">
      <alignment horizontal="center" vertical="center"/>
    </xf>
    <xf numFmtId="1" fontId="7" fillId="5" borderId="7" xfId="0" applyNumberFormat="1" applyFont="1" applyFill="1" applyBorder="1" applyAlignment="1">
      <alignment horizontal="centerContinuous" vertical="center"/>
    </xf>
    <xf numFmtId="44" fontId="8" fillId="0" borderId="7" xfId="0" applyNumberFormat="1" applyFont="1" applyBorder="1" applyAlignment="1">
      <alignment horizontal="center" vertical="center"/>
    </xf>
    <xf numFmtId="44" fontId="8" fillId="3" borderId="8" xfId="0" applyNumberFormat="1" applyFont="1" applyFill="1" applyBorder="1" applyAlignment="1">
      <alignment horizontal="center" vertical="center"/>
    </xf>
    <xf numFmtId="1" fontId="8" fillId="5" borderId="7" xfId="0" applyNumberFormat="1" applyFont="1" applyFill="1" applyBorder="1" applyAlignment="1">
      <alignment horizontal="centerContinuous" vertical="center"/>
    </xf>
    <xf numFmtId="0" fontId="8" fillId="5" borderId="8" xfId="0" applyFont="1" applyFill="1" applyBorder="1" applyAlignment="1">
      <alignment horizontal="centerContinuous" vertical="center"/>
    </xf>
    <xf numFmtId="44" fontId="8" fillId="0" borderId="9" xfId="0" applyNumberFormat="1" applyFont="1" applyBorder="1" applyAlignment="1">
      <alignment horizontal="center" vertical="center"/>
    </xf>
    <xf numFmtId="44" fontId="8" fillId="3" borderId="9" xfId="0" applyNumberFormat="1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44" fontId="7" fillId="4" borderId="12" xfId="4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1" fontId="11" fillId="4" borderId="0" xfId="0" applyNumberFormat="1" applyFont="1" applyFill="1" applyAlignment="1">
      <alignment horizontal="left" vertical="center"/>
    </xf>
    <xf numFmtId="1" fontId="0" fillId="4" borderId="0" xfId="0" applyNumberFormat="1" applyFill="1" applyAlignment="1">
      <alignment horizontal="center" vertical="center"/>
    </xf>
    <xf numFmtId="44" fontId="0" fillId="4" borderId="0" xfId="0" applyNumberFormat="1" applyFill="1" applyAlignment="1">
      <alignment horizontal="center" vertical="center"/>
    </xf>
    <xf numFmtId="1" fontId="13" fillId="4" borderId="0" xfId="0" applyNumberFormat="1" applyFont="1" applyFill="1" applyAlignment="1">
      <alignment horizontal="left" vertical="top"/>
    </xf>
    <xf numFmtId="14" fontId="10" fillId="2" borderId="14" xfId="0" applyNumberFormat="1" applyFont="1" applyFill="1" applyBorder="1" applyAlignment="1">
      <alignment horizontal="center" vertical="center"/>
    </xf>
    <xf numFmtId="14" fontId="12" fillId="3" borderId="3" xfId="0" applyNumberFormat="1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Continuous" vertical="center"/>
    </xf>
    <xf numFmtId="44" fontId="7" fillId="7" borderId="16" xfId="4" applyFont="1" applyFill="1" applyBorder="1" applyAlignment="1">
      <alignment horizontal="center" vertical="center"/>
    </xf>
    <xf numFmtId="44" fontId="7" fillId="7" borderId="15" xfId="4" applyFont="1" applyFill="1" applyBorder="1" applyAlignment="1">
      <alignment horizontal="center" vertical="center"/>
    </xf>
    <xf numFmtId="44" fontId="7" fillId="0" borderId="16" xfId="4" applyFont="1" applyBorder="1" applyAlignment="1">
      <alignment horizontal="center" vertical="center"/>
    </xf>
    <xf numFmtId="44" fontId="7" fillId="0" borderId="15" xfId="4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44" fontId="8" fillId="0" borderId="1" xfId="0" applyNumberFormat="1" applyFont="1" applyBorder="1" applyAlignment="1">
      <alignment horizontal="center" vertical="center"/>
    </xf>
    <xf numFmtId="44" fontId="7" fillId="0" borderId="17" xfId="4" applyFont="1" applyBorder="1" applyAlignment="1">
      <alignment horizontal="center" vertical="center"/>
    </xf>
    <xf numFmtId="44" fontId="7" fillId="0" borderId="18" xfId="4" applyFont="1" applyBorder="1" applyAlignment="1">
      <alignment horizontal="center" vertical="center"/>
    </xf>
    <xf numFmtId="0" fontId="13" fillId="4" borderId="0" xfId="0" applyFont="1" applyFill="1" applyAlignment="1">
      <alignment horizontal="left" vertical="top"/>
    </xf>
    <xf numFmtId="0" fontId="7" fillId="7" borderId="16" xfId="4" applyNumberFormat="1" applyFont="1" applyFill="1" applyBorder="1" applyAlignment="1">
      <alignment horizontal="center" vertical="center"/>
    </xf>
    <xf numFmtId="0" fontId="7" fillId="0" borderId="16" xfId="4" applyNumberFormat="1" applyFont="1" applyBorder="1" applyAlignment="1">
      <alignment horizontal="center" vertical="center"/>
    </xf>
    <xf numFmtId="0" fontId="7" fillId="0" borderId="17" xfId="4" applyNumberFormat="1" applyFont="1" applyBorder="1" applyAlignment="1">
      <alignment horizontal="center" vertical="center"/>
    </xf>
    <xf numFmtId="0" fontId="7" fillId="0" borderId="18" xfId="4" applyNumberFormat="1" applyFont="1" applyBorder="1" applyAlignment="1">
      <alignment horizontal="center" vertical="center"/>
    </xf>
    <xf numFmtId="0" fontId="8" fillId="5" borderId="7" xfId="0" applyFont="1" applyFill="1" applyBorder="1" applyAlignment="1">
      <alignment horizontal="centerContinuous" vertical="center"/>
    </xf>
    <xf numFmtId="0" fontId="14" fillId="8" borderId="9" xfId="0" applyFont="1" applyFill="1" applyBorder="1" applyAlignment="1">
      <alignment horizontal="centerContinuous" vertical="center"/>
    </xf>
    <xf numFmtId="0" fontId="8" fillId="5" borderId="9" xfId="0" applyFont="1" applyFill="1" applyBorder="1" applyAlignment="1">
      <alignment horizontal="centerContinuous" vertical="center"/>
    </xf>
    <xf numFmtId="44" fontId="14" fillId="8" borderId="7" xfId="0" applyNumberFormat="1" applyFont="1" applyFill="1" applyBorder="1" applyAlignment="1">
      <alignment horizontal="centerContinuous" vertical="center"/>
    </xf>
  </cellXfs>
  <cellStyles count="5">
    <cellStyle name="%" xfId="3" xr:uid="{00000000-0005-0000-0000-000000000000}"/>
    <cellStyle name="Moeda" xfId="4" builtinId="4"/>
    <cellStyle name="Moeda 2" xfId="2" xr:uid="{00000000-0005-0000-0000-000002000000}"/>
    <cellStyle name="Normal" xfId="0" builtinId="0"/>
    <cellStyle name="Normal_Cópia de Contas de Casa_v2" xfId="1" xr:uid="{00000000-0005-0000-0000-000004000000}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Continuous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 tint="-4.9989318521683403E-2"/>
        </top>
        <bottom style="thin">
          <color theme="0" tint="-4.9989318521683403E-2"/>
        </bottom>
        <vertical/>
        <horizontal style="thin">
          <color theme="0" tint="-4.9989318521683403E-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71FF71"/>
      <color rgb="FFB2FF65"/>
      <color rgb="FFFFFF9B"/>
      <color rgb="FFFF7171"/>
      <color rgb="FFFF5757"/>
      <color rgb="FF9ED561"/>
      <color rgb="FFA9DA74"/>
      <color rgb="FF333399"/>
      <color rgb="FF3333CC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Cart&#227;o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G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42173</xdr:colOff>
      <xdr:row>2</xdr:row>
      <xdr:rowOff>22818</xdr:rowOff>
    </xdr:from>
    <xdr:to>
      <xdr:col>7</xdr:col>
      <xdr:colOff>959220</xdr:colOff>
      <xdr:row>4</xdr:row>
      <xdr:rowOff>152400</xdr:rowOff>
    </xdr:to>
    <xdr:sp macro="[0]!OcultarEs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F25DE60-93A8-99E0-1AB7-5499C3133CF1}"/>
            </a:ext>
          </a:extLst>
        </xdr:cNvPr>
        <xdr:cNvSpPr/>
      </xdr:nvSpPr>
      <xdr:spPr>
        <a:xfrm>
          <a:off x="6711914" y="605524"/>
          <a:ext cx="917047" cy="55988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Ocultar Estimativas</a:t>
          </a:r>
        </a:p>
      </xdr:txBody>
    </xdr:sp>
    <xdr:clientData/>
  </xdr:twoCellAnchor>
  <xdr:twoCellAnchor>
    <xdr:from>
      <xdr:col>8</xdr:col>
      <xdr:colOff>74977</xdr:colOff>
      <xdr:row>2</xdr:row>
      <xdr:rowOff>16298</xdr:rowOff>
    </xdr:from>
    <xdr:to>
      <xdr:col>8</xdr:col>
      <xdr:colOff>986117</xdr:colOff>
      <xdr:row>4</xdr:row>
      <xdr:rowOff>139440</xdr:rowOff>
    </xdr:to>
    <xdr:sp macro="[0]!ExibirEs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B0525CC-7B51-4CE3-A055-75228B7F8899}"/>
            </a:ext>
          </a:extLst>
        </xdr:cNvPr>
        <xdr:cNvSpPr/>
      </xdr:nvSpPr>
      <xdr:spPr>
        <a:xfrm>
          <a:off x="7757730" y="599004"/>
          <a:ext cx="911140" cy="55344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Exibir Estimativas</a:t>
          </a:r>
        </a:p>
      </xdr:txBody>
    </xdr:sp>
    <xdr:clientData/>
  </xdr:twoCellAnchor>
  <xdr:twoCellAnchor>
    <xdr:from>
      <xdr:col>2</xdr:col>
      <xdr:colOff>121428</xdr:colOff>
      <xdr:row>3</xdr:row>
      <xdr:rowOff>98612</xdr:rowOff>
    </xdr:from>
    <xdr:to>
      <xdr:col>3</xdr:col>
      <xdr:colOff>295832</xdr:colOff>
      <xdr:row>4</xdr:row>
      <xdr:rowOff>134471</xdr:rowOff>
    </xdr:to>
    <xdr:sp macro="[0]!OcultarDetalhe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DB60723-0322-4B7D-B564-06A9DD4A24E6}"/>
            </a:ext>
          </a:extLst>
        </xdr:cNvPr>
        <xdr:cNvSpPr/>
      </xdr:nvSpPr>
      <xdr:spPr>
        <a:xfrm>
          <a:off x="1968157" y="896471"/>
          <a:ext cx="1268099" cy="25101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Ocultar detalhes</a:t>
          </a:r>
        </a:p>
        <a:p>
          <a:pPr marL="0" indent="0" algn="ctr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80682</xdr:colOff>
      <xdr:row>3</xdr:row>
      <xdr:rowOff>98613</xdr:rowOff>
    </xdr:from>
    <xdr:to>
      <xdr:col>1</xdr:col>
      <xdr:colOff>1165412</xdr:colOff>
      <xdr:row>4</xdr:row>
      <xdr:rowOff>134471</xdr:rowOff>
    </xdr:to>
    <xdr:sp macro="[0]!ExibirDetalh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F755E4B-2723-42FC-8DA7-C41C49689352}"/>
            </a:ext>
          </a:extLst>
        </xdr:cNvPr>
        <xdr:cNvSpPr/>
      </xdr:nvSpPr>
      <xdr:spPr>
        <a:xfrm>
          <a:off x="690282" y="896472"/>
          <a:ext cx="1084730" cy="25101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Ver Detalhes</a:t>
          </a:r>
        </a:p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152399</xdr:colOff>
      <xdr:row>3</xdr:row>
      <xdr:rowOff>62753</xdr:rowOff>
    </xdr:from>
    <xdr:to>
      <xdr:col>6</xdr:col>
      <xdr:colOff>878541</xdr:colOff>
      <xdr:row>4</xdr:row>
      <xdr:rowOff>161365</xdr:rowOff>
    </xdr:to>
    <xdr:sp macro="[0]!Atualiz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57B1A82-479C-493E-BED8-3D3204C27BF8}"/>
            </a:ext>
          </a:extLst>
        </xdr:cNvPr>
        <xdr:cNvSpPr/>
      </xdr:nvSpPr>
      <xdr:spPr>
        <a:xfrm>
          <a:off x="5809128" y="986118"/>
          <a:ext cx="726142" cy="31376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>
    <xdr:from>
      <xdr:col>10</xdr:col>
      <xdr:colOff>188259</xdr:colOff>
      <xdr:row>2</xdr:row>
      <xdr:rowOff>188258</xdr:rowOff>
    </xdr:from>
    <xdr:to>
      <xdr:col>10</xdr:col>
      <xdr:colOff>833718</xdr:colOff>
      <xdr:row>4</xdr:row>
      <xdr:rowOff>143435</xdr:rowOff>
    </xdr:to>
    <xdr:sp macro="[0]!AjustarTel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74AFCE54-7D2A-43C4-8E6D-DCECF156F9AC}"/>
            </a:ext>
          </a:extLst>
        </xdr:cNvPr>
        <xdr:cNvSpPr/>
      </xdr:nvSpPr>
      <xdr:spPr>
        <a:xfrm>
          <a:off x="4670612" y="770964"/>
          <a:ext cx="645459" cy="5109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Ajustar Tela</a:t>
          </a:r>
        </a:p>
        <a:p>
          <a:pPr marL="0" indent="0" algn="ctr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79016</xdr:colOff>
      <xdr:row>1</xdr:row>
      <xdr:rowOff>434505</xdr:rowOff>
    </xdr:from>
    <xdr:to>
      <xdr:col>1</xdr:col>
      <xdr:colOff>681078</xdr:colOff>
      <xdr:row>2</xdr:row>
      <xdr:rowOff>182879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8F4FA9-A5DA-C707-628A-D8EED56DEDDE}"/>
            </a:ext>
          </a:extLst>
        </xdr:cNvPr>
        <xdr:cNvSpPr/>
      </xdr:nvSpPr>
      <xdr:spPr>
        <a:xfrm>
          <a:off x="79016" y="434505"/>
          <a:ext cx="1214975" cy="328157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Cartão de credito</a:t>
          </a:r>
        </a:p>
      </xdr:txBody>
    </xdr:sp>
    <xdr:clientData/>
  </xdr:twoCellAnchor>
  <xdr:twoCellAnchor>
    <xdr:from>
      <xdr:col>5</xdr:col>
      <xdr:colOff>55869</xdr:colOff>
      <xdr:row>4</xdr:row>
      <xdr:rowOff>44013</xdr:rowOff>
    </xdr:from>
    <xdr:to>
      <xdr:col>5</xdr:col>
      <xdr:colOff>285783</xdr:colOff>
      <xdr:row>5</xdr:row>
      <xdr:rowOff>71866</xdr:rowOff>
    </xdr:to>
    <xdr:sp macro="[0]!AddGasto" textlink="">
      <xdr:nvSpPr>
        <xdr:cNvPr id="11" name="Sinal de Adição 10">
          <a:extLst>
            <a:ext uri="{FF2B5EF4-FFF2-40B4-BE49-F238E27FC236}">
              <a16:creationId xmlns:a16="http://schemas.microsoft.com/office/drawing/2014/main" id="{3933414B-EBE6-60AE-C217-7A994CBC360C}"/>
            </a:ext>
          </a:extLst>
        </xdr:cNvPr>
        <xdr:cNvSpPr/>
      </xdr:nvSpPr>
      <xdr:spPr>
        <a:xfrm>
          <a:off x="1903391" y="1185371"/>
          <a:ext cx="229914" cy="241344"/>
        </a:xfrm>
        <a:prstGeom prst="mathPlus">
          <a:avLst/>
        </a:prstGeom>
        <a:solidFill>
          <a:srgbClr val="71FF71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55869</xdr:colOff>
      <xdr:row>10</xdr:row>
      <xdr:rowOff>67595</xdr:rowOff>
    </xdr:from>
    <xdr:to>
      <xdr:col>5</xdr:col>
      <xdr:colOff>285783</xdr:colOff>
      <xdr:row>11</xdr:row>
      <xdr:rowOff>72588</xdr:rowOff>
    </xdr:to>
    <xdr:sp macro="[0]!AddCartao" textlink="">
      <xdr:nvSpPr>
        <xdr:cNvPr id="18" name="Sinal de Adição 17">
          <a:extLst>
            <a:ext uri="{FF2B5EF4-FFF2-40B4-BE49-F238E27FC236}">
              <a16:creationId xmlns:a16="http://schemas.microsoft.com/office/drawing/2014/main" id="{35BDEE36-8925-4A74-BC8F-DFDE8627B537}"/>
            </a:ext>
          </a:extLst>
        </xdr:cNvPr>
        <xdr:cNvSpPr/>
      </xdr:nvSpPr>
      <xdr:spPr>
        <a:xfrm>
          <a:off x="1903391" y="2489901"/>
          <a:ext cx="229914" cy="218484"/>
        </a:xfrm>
        <a:prstGeom prst="mathPlus">
          <a:avLst/>
        </a:prstGeom>
        <a:solidFill>
          <a:srgbClr val="71FF71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59679</xdr:colOff>
      <xdr:row>16</xdr:row>
      <xdr:rowOff>77120</xdr:rowOff>
    </xdr:from>
    <xdr:to>
      <xdr:col>5</xdr:col>
      <xdr:colOff>281973</xdr:colOff>
      <xdr:row>17</xdr:row>
      <xdr:rowOff>74492</xdr:rowOff>
    </xdr:to>
    <xdr:sp macro="[0]!AddEntrada" textlink="">
      <xdr:nvSpPr>
        <xdr:cNvPr id="19" name="Sinal de Adição 18">
          <a:extLst>
            <a:ext uri="{FF2B5EF4-FFF2-40B4-BE49-F238E27FC236}">
              <a16:creationId xmlns:a16="http://schemas.microsoft.com/office/drawing/2014/main" id="{D716DC5E-CD00-440B-A006-AF0290C44284}"/>
            </a:ext>
          </a:extLst>
        </xdr:cNvPr>
        <xdr:cNvSpPr/>
      </xdr:nvSpPr>
      <xdr:spPr>
        <a:xfrm>
          <a:off x="1907201" y="3780374"/>
          <a:ext cx="222294" cy="210864"/>
        </a:xfrm>
        <a:prstGeom prst="mathPlus">
          <a:avLst/>
        </a:prstGeom>
        <a:solidFill>
          <a:srgbClr val="71FF71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54169</xdr:colOff>
      <xdr:row>0</xdr:row>
      <xdr:rowOff>358140</xdr:rowOff>
    </xdr:from>
    <xdr:to>
      <xdr:col>3</xdr:col>
      <xdr:colOff>364555</xdr:colOff>
      <xdr:row>0</xdr:row>
      <xdr:rowOff>625005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16C1AA-AF3C-2373-4DD6-399CEADB8D9D}"/>
            </a:ext>
          </a:extLst>
        </xdr:cNvPr>
        <xdr:cNvSpPr/>
      </xdr:nvSpPr>
      <xdr:spPr>
        <a:xfrm>
          <a:off x="54169" y="358140"/>
          <a:ext cx="923299" cy="266865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Marketing%20Company\Cota&#231;&#245;es\Cota&#231;&#245;es%202007\Modelos%20de%20cota&#231;&#227;o\Modelo%20Novo%20-%20Testar%20e%20Criticar\Cota&#231;&#245;es%20Busak+Shamb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Marketing%20Company\Cota&#231;&#245;es\Cota&#231;&#245;es%202007\Modelos%20de%20cota&#231;&#227;o\Modelo%20Novo%20-%20Testar%20e%20Criticar\Cota&#231;&#227;o%20Emitente%20Claudi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ente Contato"/>
      <sheetName val="Unidade de Medida_Período"/>
      <sheetName val="Condições Gerais"/>
      <sheetName val="Itens Orçados"/>
      <sheetName val="Orçamento"/>
    </sheetNames>
    <sheetDataSet>
      <sheetData sheetId="0"/>
      <sheetData sheetId="1"/>
      <sheetData sheetId="2"/>
      <sheetData sheetId="3">
        <row r="1">
          <cell r="A1">
            <v>2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a"/>
      <sheetName val="Nomes"/>
      <sheetName val="Entrada"/>
      <sheetName val="Condições"/>
      <sheetName val="Condições Gerais"/>
      <sheetName val="Dados do Cliente"/>
      <sheetName val="Itens"/>
      <sheetName val="Dados Principais"/>
      <sheetName val="Orçamento"/>
      <sheetName val="TabDin Itens"/>
      <sheetName val="Medi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71A72A-076F-4933-A171-CF69ACE3CC93}" name="Gastos" displayName="Gastos" ref="A6:AD10" totalsRowCount="1" headerRowDxfId="225" dataDxfId="224" dataCellStyle="Moeda">
  <autoFilter ref="A6:AD9" xr:uid="{DB71A72A-076F-4933-A171-CF69ACE3CC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sortState xmlns:xlrd2="http://schemas.microsoft.com/office/spreadsheetml/2017/richdata2" ref="A7:AD9">
    <sortCondition ref="A6:A9"/>
  </sortState>
  <tableColumns count="30">
    <tableColumn id="1" xr3:uid="{0F7FB4BB-74D8-4BEE-BD8F-CAA1352EE228}" name="Dia" totalsRowLabel="Total" dataDxfId="223" totalsRowDxfId="29" dataCellStyle="Moeda"/>
    <tableColumn id="2" xr3:uid="{8590CDD0-9229-4B5E-B01D-4B2CD933F2C6}" name="Gasto" dataDxfId="222" totalsRowDxfId="28" dataCellStyle="Moeda"/>
    <tableColumn id="3" xr3:uid="{C3ED638D-B5A9-4BB0-B0DC-BA5BFF65E996}" name="Classe" dataDxfId="221" totalsRowDxfId="27" dataCellStyle="Moeda"/>
    <tableColumn id="4" xr3:uid="{34FDA270-FAF0-4878-B0CE-A98F3F20D601}" name="Tipo" dataDxfId="220" totalsRowDxfId="26" dataCellStyle="Moeda"/>
    <tableColumn id="5" xr3:uid="{2C192C6A-33A5-4E7E-816A-4B42B132068E}" name="R$ Max" totalsRowFunction="sum" dataDxfId="219" totalsRowDxfId="25" dataCellStyle="Moeda"/>
    <tableColumn id="6" xr3:uid="{2296ADEF-6DDC-4F4C-AFC8-DB2442606A55}" name="Coluna1" dataDxfId="218" totalsRowDxfId="24" dataCellStyle="Moeda"/>
    <tableColumn id="7" xr3:uid="{528BA342-B498-47C8-BBB5-A89AD920C647}" name="Janeiro" totalsRowFunction="sum" dataDxfId="217" totalsRowDxfId="23" dataCellStyle="Moeda"/>
    <tableColumn id="8" xr3:uid="{B50DE7E2-41A7-47E7-BBEF-0260F8690D59}" name="JaneiroEst" totalsRowFunction="sum" dataDxfId="216" totalsRowDxfId="22" dataCellStyle="Moeda"/>
    <tableColumn id="9" xr3:uid="{042FBF6F-CC95-407F-A0E1-903539B112DF}" name="Fevereiro" totalsRowFunction="sum" dataDxfId="215" totalsRowDxfId="21" dataCellStyle="Moeda"/>
    <tableColumn id="10" xr3:uid="{F78DABB8-8BD1-42FA-BB56-B64A6BAF85F2}" name="FevereiroEst" totalsRowFunction="sum" dataDxfId="214" totalsRowDxfId="20" dataCellStyle="Moeda"/>
    <tableColumn id="11" xr3:uid="{7C5EB5F7-CD6E-4FEA-9051-F3F4C1967F7E}" name="Março" totalsRowFunction="sum" dataDxfId="213" totalsRowDxfId="19" dataCellStyle="Moeda"/>
    <tableColumn id="12" xr3:uid="{1D59799C-5B9E-460F-B57D-50EDBE1361C6}" name="MarçoEst" totalsRowFunction="sum" dataDxfId="212" totalsRowDxfId="18" dataCellStyle="Moeda"/>
    <tableColumn id="13" xr3:uid="{53FF3857-ED17-4A91-B14C-2B32D6F91D63}" name="Abril" totalsRowFunction="sum" dataDxfId="211" totalsRowDxfId="17" dataCellStyle="Moeda"/>
    <tableColumn id="14" xr3:uid="{101A564E-9254-4E49-8B3F-C6F119DBBA85}" name="AbrilEst" totalsRowFunction="sum" dataDxfId="210" totalsRowDxfId="16" dataCellStyle="Moeda"/>
    <tableColumn id="15" xr3:uid="{2FF5FFDA-7E2C-4054-9E07-DEE6BC6D43A1}" name="Maio" totalsRowFunction="sum" dataDxfId="209" totalsRowDxfId="15" dataCellStyle="Moeda"/>
    <tableColumn id="16" xr3:uid="{E4D698F7-B3FF-44D6-8805-21C199D19566}" name="MaioEst" totalsRowFunction="sum" dataDxfId="208" totalsRowDxfId="14" dataCellStyle="Moeda"/>
    <tableColumn id="17" xr3:uid="{33932C15-4395-436F-A171-146F16AE9B09}" name="Junho" totalsRowFunction="sum" dataDxfId="207" totalsRowDxfId="13" dataCellStyle="Moeda"/>
    <tableColumn id="18" xr3:uid="{9905197B-EA89-4279-BA82-775CFA14AC55}" name="JunhoEst" totalsRowFunction="sum" dataDxfId="206" totalsRowDxfId="12" dataCellStyle="Moeda"/>
    <tableColumn id="19" xr3:uid="{24A6DBB0-37AC-4223-A118-8EF10A235016}" name="Julho" totalsRowFunction="sum" dataDxfId="205" totalsRowDxfId="11" dataCellStyle="Moeda"/>
    <tableColumn id="20" xr3:uid="{5346DECA-70AD-426C-B8EB-14554E2F8E23}" name="JulhoEst" totalsRowFunction="sum" dataDxfId="204" totalsRowDxfId="10" dataCellStyle="Moeda"/>
    <tableColumn id="21" xr3:uid="{D803DD01-CA93-471E-B17B-E9038E407FBA}" name="Agosto" totalsRowFunction="sum" dataDxfId="203" totalsRowDxfId="9" dataCellStyle="Moeda"/>
    <tableColumn id="22" xr3:uid="{5463D7E3-E10B-40F0-8E96-A446A0D80ADB}" name="AgostoEst" totalsRowFunction="sum" dataDxfId="202" totalsRowDxfId="8" dataCellStyle="Moeda"/>
    <tableColumn id="23" xr3:uid="{654C3B64-8BAB-4CF8-B456-3B52D7C050BE}" name="Setembro" totalsRowFunction="sum" dataDxfId="201" totalsRowDxfId="7" dataCellStyle="Moeda"/>
    <tableColumn id="24" xr3:uid="{E5F174F1-E273-439D-AE66-5C01F3BB58B8}" name="SetembroEst" totalsRowFunction="sum" dataDxfId="200" totalsRowDxfId="6" dataCellStyle="Moeda"/>
    <tableColumn id="25" xr3:uid="{AA54EB92-41C1-4EEA-B284-46F94C619612}" name="Outubro" totalsRowFunction="sum" dataDxfId="199" totalsRowDxfId="5" dataCellStyle="Moeda"/>
    <tableColumn id="26" xr3:uid="{8452B4F4-9395-46FE-A0BC-56EFA6B45130}" name="OutubroEst" totalsRowFunction="sum" dataDxfId="198" totalsRowDxfId="4" dataCellStyle="Moeda"/>
    <tableColumn id="27" xr3:uid="{1F6DBA8B-AD8A-44DA-BD04-3C46BF7E83DC}" name="Novembro" totalsRowFunction="sum" dataDxfId="197" totalsRowDxfId="3" dataCellStyle="Moeda"/>
    <tableColumn id="28" xr3:uid="{DE1E0CA9-135C-471B-91A6-A4838C1AE7A4}" name="NovembroEst" totalsRowFunction="sum" dataDxfId="196" totalsRowDxfId="2" dataCellStyle="Moeda"/>
    <tableColumn id="29" xr3:uid="{0C959428-594C-4545-AF20-6D74DB59DB29}" name="Dezembro" totalsRowFunction="sum" dataDxfId="195" totalsRowDxfId="1" dataCellStyle="Moeda"/>
    <tableColumn id="30" xr3:uid="{F6533173-6DD1-4113-A75A-46C2855B0E75}" name="DezembroEst" totalsRowFunction="count" dataDxfId="194" totalsRowDxfId="0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A7B2E4-2500-41E5-80DE-E0898E2998D3}" name="Cartão" displayName="Cartão" ref="A12:AD16" totalsRowCount="1" headerRowDxfId="193" dataDxfId="192" dataCellStyle="Moeda">
  <autoFilter ref="A12:AD15" xr:uid="{FEA7B2E4-2500-41E5-80DE-E0898E2998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sortState xmlns:xlrd2="http://schemas.microsoft.com/office/spreadsheetml/2017/richdata2" ref="A13:AD15">
    <sortCondition ref="A12:A15"/>
  </sortState>
  <tableColumns count="30">
    <tableColumn id="1" xr3:uid="{B6A42144-AE1F-440F-A00F-346D94F4C6D1}" name="Dia" totalsRowLabel="Total" dataDxfId="191" totalsRowDxfId="190" dataCellStyle="Moeda"/>
    <tableColumn id="2" xr3:uid="{AE37EF8F-710E-4FC6-B238-87D687B1E992}" name="Gasto" dataDxfId="189" totalsRowDxfId="188" dataCellStyle="Moeda"/>
    <tableColumn id="3" xr3:uid="{C6F14D54-4250-479D-87ED-1DDAFD22DCF8}" name="Classe" dataDxfId="187" totalsRowDxfId="186" dataCellStyle="Moeda"/>
    <tableColumn id="4" xr3:uid="{AE41B35F-7F16-4EF5-ACAB-9A49E5FE708D}" name="Tipo" dataDxfId="185" totalsRowDxfId="184" dataCellStyle="Moeda"/>
    <tableColumn id="5" xr3:uid="{BCF95AEF-20F9-4E50-A2F0-8A863779EA7C}" name="R$ Max" totalsRowFunction="sum" totalsRowDxfId="183" dataCellStyle="Moeda"/>
    <tableColumn id="6" xr3:uid="{E5DC9842-1D59-4D59-BAE3-EAC149723D9D}" name="Coluna1" dataDxfId="182" totalsRowDxfId="181" dataCellStyle="Moeda"/>
    <tableColumn id="7" xr3:uid="{0C4BD3D8-D98E-4E7C-8525-CAB9D8400A6C}" name="Janeiro" totalsRowFunction="sum" dataDxfId="180" totalsRowDxfId="179" dataCellStyle="Moeda"/>
    <tableColumn id="8" xr3:uid="{D310B17C-7BEF-41F4-820E-DA53600299E0}" name="JaneiroEst" totalsRowFunction="sum" dataDxfId="178" totalsRowDxfId="177" dataCellStyle="Moeda"/>
    <tableColumn id="9" xr3:uid="{6B426D80-F176-497A-8DF8-5D35A2A4CE49}" name="Fevereiro" totalsRowFunction="sum" dataDxfId="176" totalsRowDxfId="175" dataCellStyle="Moeda"/>
    <tableColumn id="10" xr3:uid="{08BF531B-8007-4434-89C8-494E128D0700}" name="FevereiroEst" totalsRowFunction="sum" dataDxfId="174" totalsRowDxfId="173" dataCellStyle="Moeda"/>
    <tableColumn id="11" xr3:uid="{6E9CD101-290A-4208-A988-8B8AA7972B67}" name="Março" totalsRowFunction="sum" dataDxfId="172" totalsRowDxfId="171" dataCellStyle="Moeda"/>
    <tableColumn id="12" xr3:uid="{1D19125C-014F-464A-AD46-68A2A0F865D9}" name="MarçoEst" totalsRowFunction="sum" dataDxfId="170" totalsRowDxfId="169" dataCellStyle="Moeda"/>
    <tableColumn id="13" xr3:uid="{1D79FF37-24EC-4BEC-A013-8939FDC477B3}" name="Abril" totalsRowFunction="sum" dataDxfId="168" totalsRowDxfId="167" dataCellStyle="Moeda"/>
    <tableColumn id="14" xr3:uid="{D7B25050-E381-480D-8924-78C7B881FF72}" name="AbrilEst" totalsRowFunction="sum" dataDxfId="166" totalsRowDxfId="165" dataCellStyle="Moeda"/>
    <tableColumn id="15" xr3:uid="{107B9053-58F8-4A51-A981-4F32BDE9436A}" name="Maio" totalsRowFunction="sum" dataDxfId="164" totalsRowDxfId="163" dataCellStyle="Moeda"/>
    <tableColumn id="16" xr3:uid="{C8C764A7-A04E-49C5-AED8-FA17FF7E7987}" name="MaioEst" totalsRowFunction="sum" dataDxfId="162" totalsRowDxfId="161" dataCellStyle="Moeda"/>
    <tableColumn id="17" xr3:uid="{E79C858C-373F-4833-B8F9-BA80128CEAAD}" name="Junho" totalsRowFunction="sum" dataDxfId="160" totalsRowDxfId="159" dataCellStyle="Moeda"/>
    <tableColumn id="18" xr3:uid="{F2C7D2BE-4C35-413D-A369-5201E6FF1E0D}" name="JunhoEst" totalsRowFunction="sum" dataDxfId="158" totalsRowDxfId="157" dataCellStyle="Moeda"/>
    <tableColumn id="19" xr3:uid="{72AA0B7C-C274-49DD-9250-3797B61B5F81}" name="Julho" totalsRowFunction="sum" dataDxfId="156" totalsRowDxfId="155" dataCellStyle="Moeda"/>
    <tableColumn id="20" xr3:uid="{08839BDA-6FCD-4616-8CDF-4E83659FAF82}" name="JulhoEst" totalsRowFunction="sum" dataDxfId="154" totalsRowDxfId="153" dataCellStyle="Moeda"/>
    <tableColumn id="21" xr3:uid="{013655C6-B9B0-4EF6-87D0-D0190D063E92}" name="Agosto" totalsRowFunction="sum" dataDxfId="152" totalsRowDxfId="151" dataCellStyle="Moeda"/>
    <tableColumn id="22" xr3:uid="{143A9225-0543-41B0-8D42-678EB5D1DD8E}" name="AgostoEst" totalsRowFunction="sum" dataDxfId="150" totalsRowDxfId="149" dataCellStyle="Moeda"/>
    <tableColumn id="23" xr3:uid="{C6BAD9F1-50C9-414B-B139-E62F083D8761}" name="Setembro" totalsRowFunction="sum" dataDxfId="148" totalsRowDxfId="147" dataCellStyle="Moeda"/>
    <tableColumn id="24" xr3:uid="{57881783-51BC-41F5-AD69-9DDD8BECA849}" name="SetembroEst" totalsRowFunction="sum" dataDxfId="146" totalsRowDxfId="145" dataCellStyle="Moeda"/>
    <tableColumn id="25" xr3:uid="{AB0D10B3-E33F-4A2E-836E-49D1E9971D70}" name="Outubro" totalsRowFunction="sum" dataDxfId="144" totalsRowDxfId="143" dataCellStyle="Moeda"/>
    <tableColumn id="26" xr3:uid="{96CD6F0F-13CB-477A-A8CE-53F272697D7D}" name="OutubroEst" totalsRowFunction="sum" dataDxfId="142" totalsRowDxfId="141" dataCellStyle="Moeda"/>
    <tableColumn id="27" xr3:uid="{2315154F-9EFF-4E96-97CB-B27CDA519EA3}" name="Novembro" totalsRowFunction="sum" dataDxfId="140" totalsRowDxfId="139" dataCellStyle="Moeda"/>
    <tableColumn id="28" xr3:uid="{6640142A-ECC7-4126-9E30-6EEA16E87A0D}" name="NovembroEst" totalsRowFunction="sum" dataDxfId="138" totalsRowDxfId="137" dataCellStyle="Moeda"/>
    <tableColumn id="29" xr3:uid="{DF3827AF-970E-48E3-8CE5-9C6AA1C86CBC}" name="Dezembro" totalsRowFunction="sum" dataDxfId="136" totalsRowDxfId="135" dataCellStyle="Moeda"/>
    <tableColumn id="30" xr3:uid="{956D6B02-C6E1-40B5-9A07-671FBE47BD4D}" name="DezembroEst" totalsRowFunction="sum" dataDxfId="134" totalsRowDxfId="133" dataCellStyle="Mo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F6D470-602E-4951-9D6E-7DFA0399FE9E}" name="Entrada" displayName="Entrada" ref="A18:AD22" totalsRowCount="1" headerRowDxfId="132" dataDxfId="131" dataCellStyle="Moeda">
  <autoFilter ref="A18:AD21" xr:uid="{1EF6D470-602E-4951-9D6E-7DFA0399FE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sortState xmlns:xlrd2="http://schemas.microsoft.com/office/spreadsheetml/2017/richdata2" ref="A19:AD21">
    <sortCondition ref="A18:A21"/>
  </sortState>
  <tableColumns count="30">
    <tableColumn id="1" xr3:uid="{23140EA0-C924-4458-9279-BF0E54DE4348}" name="Dia" totalsRowLabel="Total" dataDxfId="130" totalsRowDxfId="129" dataCellStyle="Moeda"/>
    <tableColumn id="2" xr3:uid="{C3DE11AC-EFA9-49BC-914B-E32A790696F8}" name="Gasto" dataDxfId="128" totalsRowDxfId="127" dataCellStyle="Moeda"/>
    <tableColumn id="3" xr3:uid="{65649713-9217-4418-B8D2-8B07E3BD3C8E}" name="Classe" dataDxfId="126" totalsRowDxfId="125" dataCellStyle="Moeda"/>
    <tableColumn id="4" xr3:uid="{DD803161-A05D-4572-A99F-3D5F3E689D48}" name="Tipo" dataDxfId="124" totalsRowDxfId="123" dataCellStyle="Moeda"/>
    <tableColumn id="5" xr3:uid="{00C5ACAD-366E-45D9-B707-4291357FB1B1}" name="R$ Min" totalsRowFunction="sum" totalsRowDxfId="122" dataCellStyle="Moeda"/>
    <tableColumn id="6" xr3:uid="{D54B2DF7-6E00-464C-B61C-09DAA445AE7E}" name="Coluna1" dataDxfId="121" totalsRowDxfId="120" dataCellStyle="Moeda"/>
    <tableColumn id="7" xr3:uid="{C0851E7F-D9E1-4EBD-97E1-16BBE00D5DEC}" name="Janeiro" totalsRowFunction="sum" dataDxfId="119" totalsRowDxfId="118" dataCellStyle="Moeda"/>
    <tableColumn id="8" xr3:uid="{AF162B14-08CC-4FD0-A8C0-1CA8383E37A4}" name="JaneiroEst" totalsRowFunction="sum" dataDxfId="117" totalsRowDxfId="116" dataCellStyle="Moeda"/>
    <tableColumn id="9" xr3:uid="{2A44ADE4-661E-4686-AE95-9C78E28DBD3B}" name="Fevereiro" totalsRowFunction="sum" dataDxfId="115" totalsRowDxfId="114" dataCellStyle="Moeda"/>
    <tableColumn id="10" xr3:uid="{5F219E52-8A0C-4B58-B1CF-A4AFBBA01C79}" name="FevereiroEst" totalsRowFunction="sum" dataDxfId="113" totalsRowDxfId="112" dataCellStyle="Moeda"/>
    <tableColumn id="11" xr3:uid="{639F7D1E-9909-4357-B4C5-35A97782235F}" name="Março" totalsRowFunction="sum" dataDxfId="111" totalsRowDxfId="110" dataCellStyle="Moeda"/>
    <tableColumn id="12" xr3:uid="{FDFCAFF9-0F31-41CB-98BB-E91854C38594}" name="MarçoEst" totalsRowFunction="sum" dataDxfId="109" totalsRowDxfId="108" dataCellStyle="Moeda"/>
    <tableColumn id="13" xr3:uid="{936983AA-5581-4F00-9909-98FD2743A1DD}" name="Abril" totalsRowFunction="sum" dataDxfId="107" totalsRowDxfId="106" dataCellStyle="Moeda"/>
    <tableColumn id="14" xr3:uid="{1CB7433F-CE9A-45A0-BA25-9DC0016CC06A}" name="AbrilEst" totalsRowFunction="sum" dataDxfId="105" totalsRowDxfId="104" dataCellStyle="Moeda"/>
    <tableColumn id="15" xr3:uid="{AF6FBB24-FBF2-4ED9-BF3B-C4E7FB41C0D9}" name="Maio" totalsRowFunction="sum" dataDxfId="103" totalsRowDxfId="102" dataCellStyle="Moeda"/>
    <tableColumn id="16" xr3:uid="{A65590F5-3FF2-48ED-A2B4-DB2E875B93A9}" name="MaioEst" totalsRowFunction="sum" dataDxfId="101" totalsRowDxfId="100" dataCellStyle="Moeda"/>
    <tableColumn id="17" xr3:uid="{2DE3DCD5-078B-49FA-9E16-B0D951B6335E}" name="Junho" totalsRowFunction="sum" dataDxfId="99" totalsRowDxfId="98" dataCellStyle="Moeda"/>
    <tableColumn id="18" xr3:uid="{5729CDF3-5A3D-4F41-B673-F4CF51B73639}" name="JunhoEst" totalsRowFunction="sum" dataDxfId="97" totalsRowDxfId="96" dataCellStyle="Moeda"/>
    <tableColumn id="19" xr3:uid="{DEC7461A-769E-41A2-BFBA-59999EBC350E}" name="Julho" totalsRowFunction="sum" dataDxfId="95" totalsRowDxfId="94" dataCellStyle="Moeda"/>
    <tableColumn id="20" xr3:uid="{A46CBF85-93C2-4A82-86B3-021D002E9B52}" name="JulhoEst" totalsRowFunction="sum" dataDxfId="93" totalsRowDxfId="92" dataCellStyle="Moeda"/>
    <tableColumn id="21" xr3:uid="{413D86E5-BFA5-4CA4-BD3B-6F9B0BB7AF76}" name="Agosto" totalsRowFunction="sum" dataDxfId="91" totalsRowDxfId="90" dataCellStyle="Moeda"/>
    <tableColumn id="22" xr3:uid="{D52CEB3F-E644-4928-B410-2C1FF84A181C}" name="AgostoEst" totalsRowFunction="sum" dataDxfId="89" totalsRowDxfId="88" dataCellStyle="Moeda"/>
    <tableColumn id="23" xr3:uid="{1023709C-CC86-4719-8CA3-4C0DDECEF0CB}" name="Setembro" totalsRowFunction="sum" dataDxfId="87" totalsRowDxfId="86" dataCellStyle="Moeda"/>
    <tableColumn id="24" xr3:uid="{D5B685D4-81A0-4774-B7B2-F223D58295C4}" name="SetembroEst" totalsRowFunction="sum" dataDxfId="85" totalsRowDxfId="84" dataCellStyle="Moeda"/>
    <tableColumn id="25" xr3:uid="{93D0FE44-734C-4938-B781-016EDEF2C25B}" name="Outubro" totalsRowFunction="sum" dataDxfId="83" totalsRowDxfId="82" dataCellStyle="Moeda"/>
    <tableColumn id="26" xr3:uid="{481BE500-368F-4988-91A8-835AA195C03C}" name="OutubroEst" totalsRowFunction="sum" dataDxfId="81" totalsRowDxfId="80" dataCellStyle="Moeda"/>
    <tableColumn id="27" xr3:uid="{363E4AA3-7017-4AFE-A249-166D2239EF6C}" name="Novembro" totalsRowFunction="sum" dataDxfId="79" totalsRowDxfId="78" dataCellStyle="Moeda"/>
    <tableColumn id="28" xr3:uid="{2D78DE9B-72FA-4E02-A815-028C5647C85A}" name="NovembroEst" totalsRowFunction="sum" dataDxfId="77" totalsRowDxfId="76" dataCellStyle="Moeda"/>
    <tableColumn id="29" xr3:uid="{B6962F9C-736E-4C6E-AE37-6BFFB18301F9}" name="Dezembro" totalsRowFunction="sum" dataDxfId="75" totalsRowDxfId="74" dataCellStyle="Moeda"/>
    <tableColumn id="30" xr3:uid="{A3BAE5EC-D7A6-43FE-A5C2-FE471FBEAF5F}" name="DezembroEst" totalsRowFunction="count" dataDxfId="73" totalsRowDxfId="72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F19751-EFC9-4DD5-9545-1A9DC8D07582}" name="Cartão1" displayName="Cartão1" ref="C5:Q15" headerRowDxfId="47" tableBorderDxfId="46">
  <autoFilter ref="C5:Q15" xr:uid="{A7F19751-EFC9-4DD5-9545-1A9DC8D075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042CD10-453A-46B5-B4C9-79B21EB12D9F}" name="Dia" totalsRowLabel="Total" dataDxfId="45"/>
    <tableColumn id="2" xr3:uid="{525114A4-78CF-4653-946E-3BBC91CD2372}" name="Gasto"/>
    <tableColumn id="3" xr3:uid="{556911AA-2518-4953-99DE-010589AA4836}" name="Coluna1" dataDxfId="44" totalsRowDxfId="43" dataCellStyle="Moeda"/>
    <tableColumn id="4" xr3:uid="{23CEA72D-E6B4-4268-BBCF-D75A372B187E}" name="Janeiro"/>
    <tableColumn id="5" xr3:uid="{83126186-2520-4EE9-8D88-C71619BB1A5D}" name="Fevereiro"/>
    <tableColumn id="6" xr3:uid="{AD27F37E-0668-4351-BB7A-AB5E0C68BE52}" name="Março"/>
    <tableColumn id="7" xr3:uid="{A257EC4E-EF56-4330-9D32-34310C75EB80}" name="Abril"/>
    <tableColumn id="8" xr3:uid="{0262A6AA-BC9E-4CFB-A0A2-086439DADD5C}" name="Maio"/>
    <tableColumn id="9" xr3:uid="{226B2EEE-C92D-486D-8B4A-7CDF1F3FD7A4}" name="Junho"/>
    <tableColumn id="10" xr3:uid="{ACFFB568-6030-46CD-8692-A183951A964A}" name="Julho"/>
    <tableColumn id="11" xr3:uid="{C472F860-8A56-44CF-859A-BB6F8872F70F}" name="Agosto"/>
    <tableColumn id="12" xr3:uid="{BE267337-EE21-41E2-91CA-E6305B9BF538}" name="Setembro"/>
    <tableColumn id="13" xr3:uid="{DAF2F5AE-E08C-4487-9492-80E80EA52A1C}" name="Outubro"/>
    <tableColumn id="14" xr3:uid="{14D777AF-F3A2-4369-B137-95E939D0EFDD}" name="Novembro"/>
    <tableColumn id="15" xr3:uid="{FA44C17A-1220-4B8C-9BAD-A457918855FA}" name="Dezembro" totalsRowFunction="count" dataDxfId="4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63995D-932C-4415-945F-EE14F8201C43}" name="Cartão2" displayName="Cartão2" ref="C19:Q29" headerRowDxfId="41" tableBorderDxfId="40">
  <autoFilter ref="C19:Q29" xr:uid="{DF63995D-932C-4415-945F-EE14F8201C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111209D-4D49-4757-A173-B2423C9C3E26}" name="Dia" totalsRowLabel="Total" dataDxfId="39"/>
    <tableColumn id="2" xr3:uid="{6A839AD1-49C6-406F-8825-65DD8AE19B75}" name="Gasto"/>
    <tableColumn id="3" xr3:uid="{20FCE278-2C63-49A4-91D3-82F95371BBD4}" name="Coluna1" dataDxfId="38" totalsRowDxfId="37" dataCellStyle="Moeda"/>
    <tableColumn id="4" xr3:uid="{98A49194-CC41-4264-8681-AE9838C1A077}" name="Janeiro"/>
    <tableColumn id="5" xr3:uid="{D05DBA5E-64C9-48FD-AA99-F734CEB672DA}" name="Fevereiro"/>
    <tableColumn id="6" xr3:uid="{315EB52E-BEFD-4752-A59D-5388E5B1C06A}" name="Março"/>
    <tableColumn id="7" xr3:uid="{8F9511E4-D370-4F2F-B0DE-FC1A393E5D93}" name="Abril"/>
    <tableColumn id="8" xr3:uid="{89F434D1-4045-4B2A-816F-07ECF89E1014}" name="Maio"/>
    <tableColumn id="9" xr3:uid="{3F42218A-37CF-4091-A5DC-80CB152B54B9}" name="Junho"/>
    <tableColumn id="10" xr3:uid="{2AAF32CE-7DA4-4157-8656-2A3F3A60596C}" name="Julho"/>
    <tableColumn id="11" xr3:uid="{41690148-EA9D-49E6-960F-B73D7111CF83}" name="Agosto"/>
    <tableColumn id="12" xr3:uid="{9C803158-AB95-4B76-80EC-D1E70DF7C447}" name="Setembro"/>
    <tableColumn id="13" xr3:uid="{CCB1B7ED-E9EC-4FD8-9987-8F461F0E3A6F}" name="Outubro"/>
    <tableColumn id="14" xr3:uid="{25AE8041-22E9-4186-9252-2A7AD7922FC4}" name="Novembro"/>
    <tableColumn id="15" xr3:uid="{13BEACF1-E3D6-4774-A22E-58107A87E5F2}" name="Dezembro" totalsRowFunction="count" dataDxfId="36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5CE33A-2827-4D4A-9CB1-82A7D438B665}" name="Cartão3" displayName="Cartão3" ref="C33:Q43" headerRowDxfId="35" tableBorderDxfId="34">
  <autoFilter ref="C33:Q43" xr:uid="{4F5CE33A-2827-4D4A-9CB1-82A7D438B6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DA8A881-C5A2-4924-B9EA-5F0989A5B3E4}" name="Dia" totalsRowLabel="Total" dataDxfId="33"/>
    <tableColumn id="2" xr3:uid="{CB34B0C4-F026-47F7-B983-F6B3FBAC4965}" name="Gasto"/>
    <tableColumn id="3" xr3:uid="{2ED40982-605A-45E9-BEE4-D515B7613040}" name="Coluna1" dataDxfId="32" totalsRowDxfId="31" dataCellStyle="Moeda"/>
    <tableColumn id="4" xr3:uid="{0F878CDE-4095-4714-A046-E05098C59334}" name="Janeiro"/>
    <tableColumn id="5" xr3:uid="{63E7B722-9755-47C2-B270-F095F56F0B8C}" name="Fevereiro"/>
    <tableColumn id="6" xr3:uid="{D9A7BD74-40A8-4EEB-9267-ACBEDB75282D}" name="Março"/>
    <tableColumn id="7" xr3:uid="{D8FBC75F-277E-4579-93D4-3837779643C3}" name="Abril"/>
    <tableColumn id="8" xr3:uid="{8F00CD72-880B-4B57-9A75-2BDE4307A2E1}" name="Maio"/>
    <tableColumn id="9" xr3:uid="{66DEA365-2CC1-4629-86FA-010337E5AA47}" name="Junho"/>
    <tableColumn id="10" xr3:uid="{403E6478-E35C-4D59-8632-AF26F9DFB6B0}" name="Julho"/>
    <tableColumn id="11" xr3:uid="{5587299A-185A-42D2-BEC5-2478D4A5D451}" name="Agosto"/>
    <tableColumn id="12" xr3:uid="{8A5C4AF0-5C5B-44F9-929F-7677F3C9F645}" name="Setembro"/>
    <tableColumn id="13" xr3:uid="{685546A6-1A13-4DD5-A59A-91DC4255A2A9}" name="Outubro"/>
    <tableColumn id="14" xr3:uid="{9F9424F9-C24B-45BF-9B45-F96457CE2D7B}" name="Novembro"/>
    <tableColumn id="15" xr3:uid="{23012D9C-B3A0-453D-B037-7F4BD4DEB059}" name="Dezembro" totalsRowFunction="count" dataDxfId="30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9819-1674-47C3-9524-B637A2126B69}">
  <sheetPr codeName="Planilha3"/>
  <dimension ref="A1:AE219"/>
  <sheetViews>
    <sheetView tabSelected="1" zoomScale="93" zoomScaleNormal="93" workbookViewId="0">
      <pane xSplit="5" topLeftCell="F1" activePane="topRight" state="frozen"/>
      <selection pane="topRight" activeCell="A2" sqref="A2"/>
    </sheetView>
  </sheetViews>
  <sheetFormatPr defaultColWidth="0" defaultRowHeight="16.8" customHeight="1" x14ac:dyDescent="0.3"/>
  <cols>
    <col min="1" max="1" width="8.88671875" style="23" customWidth="1"/>
    <col min="2" max="2" width="18" style="1" customWidth="1"/>
    <col min="3" max="3" width="15.88671875" style="1" hidden="1" customWidth="1"/>
    <col min="4" max="4" width="15.6640625" style="1" hidden="1" customWidth="1"/>
    <col min="5" max="5" width="15" style="1" hidden="1" customWidth="1"/>
    <col min="6" max="6" width="8.88671875" style="1" customWidth="1"/>
    <col min="7" max="7" width="14.77734375" style="1" customWidth="1"/>
    <col min="8" max="8" width="14.77734375" style="1" hidden="1" customWidth="1"/>
    <col min="9" max="9" width="14.77734375" style="1" customWidth="1"/>
    <col min="10" max="10" width="14.77734375" style="1" hidden="1" customWidth="1"/>
    <col min="11" max="11" width="14.77734375" style="1" customWidth="1"/>
    <col min="12" max="12" width="14.77734375" style="1" hidden="1" customWidth="1"/>
    <col min="13" max="13" width="14.77734375" style="1" customWidth="1"/>
    <col min="14" max="14" width="14.77734375" style="1" hidden="1" customWidth="1"/>
    <col min="15" max="15" width="14.77734375" style="1" customWidth="1"/>
    <col min="16" max="16" width="14.77734375" style="1" hidden="1" customWidth="1"/>
    <col min="17" max="17" width="14.77734375" style="1" customWidth="1"/>
    <col min="18" max="18" width="14.77734375" style="1" hidden="1" customWidth="1"/>
    <col min="19" max="19" width="14.77734375" style="1" customWidth="1"/>
    <col min="20" max="20" width="14.77734375" style="1" hidden="1" customWidth="1"/>
    <col min="21" max="21" width="14.77734375" style="1" customWidth="1"/>
    <col min="22" max="22" width="14.77734375" style="1" hidden="1" customWidth="1"/>
    <col min="23" max="23" width="14.77734375" style="1" customWidth="1"/>
    <col min="24" max="24" width="14.77734375" style="1" hidden="1" customWidth="1"/>
    <col min="25" max="25" width="14.77734375" style="1" customWidth="1"/>
    <col min="26" max="26" width="14.77734375" style="1" hidden="1" customWidth="1"/>
    <col min="27" max="27" width="14.77734375" style="1" customWidth="1"/>
    <col min="28" max="28" width="14.77734375" style="1" hidden="1" customWidth="1"/>
    <col min="29" max="29" width="14.77734375" style="1" customWidth="1"/>
    <col min="30" max="30" width="14.77734375" style="1" hidden="1" customWidth="1"/>
    <col min="31" max="31" width="8.88671875" style="1" customWidth="1"/>
    <col min="32" max="16384" width="8.88671875" style="1" hidden="1"/>
  </cols>
  <sheetData>
    <row r="1" spans="1:31" s="15" customFormat="1" ht="16.8" hidden="1" customHeight="1" thickBot="1" x14ac:dyDescent="0.35">
      <c r="A1" s="41"/>
      <c r="G1" s="15">
        <v>1</v>
      </c>
      <c r="H1" s="15">
        <v>1</v>
      </c>
      <c r="I1" s="15">
        <v>2</v>
      </c>
      <c r="J1" s="15">
        <v>2</v>
      </c>
      <c r="K1" s="15">
        <v>3</v>
      </c>
      <c r="L1" s="15">
        <v>3</v>
      </c>
      <c r="M1" s="15">
        <v>4</v>
      </c>
      <c r="N1" s="15">
        <v>4</v>
      </c>
      <c r="O1" s="15">
        <v>5</v>
      </c>
      <c r="P1" s="15">
        <v>5</v>
      </c>
      <c r="Q1" s="15">
        <v>6</v>
      </c>
      <c r="R1" s="15">
        <v>6</v>
      </c>
      <c r="S1" s="15">
        <v>7</v>
      </c>
      <c r="T1" s="15">
        <v>7</v>
      </c>
      <c r="U1" s="15">
        <v>8</v>
      </c>
      <c r="V1" s="15">
        <v>8</v>
      </c>
      <c r="W1" s="15">
        <v>9</v>
      </c>
      <c r="X1" s="15">
        <v>9</v>
      </c>
      <c r="Y1" s="15">
        <v>10</v>
      </c>
      <c r="Z1" s="15">
        <v>10</v>
      </c>
      <c r="AA1" s="15">
        <v>11</v>
      </c>
      <c r="AB1" s="15">
        <v>11</v>
      </c>
      <c r="AC1" s="15">
        <v>12</v>
      </c>
      <c r="AD1" s="15">
        <v>12</v>
      </c>
    </row>
    <row r="2" spans="1:31" ht="45.6" customHeight="1" x14ac:dyDescent="0.3">
      <c r="A2" s="43" t="s">
        <v>37</v>
      </c>
      <c r="B2" s="15"/>
      <c r="C2" s="15"/>
      <c r="D2" s="15"/>
      <c r="E2" s="15"/>
      <c r="F2" s="15"/>
      <c r="G2" s="44">
        <v>45377</v>
      </c>
      <c r="H2" s="15"/>
      <c r="I2" s="42"/>
      <c r="J2" s="15"/>
      <c r="K2" s="42"/>
      <c r="L2" s="15"/>
      <c r="M2" s="42"/>
      <c r="N2" s="15"/>
      <c r="O2" s="42"/>
      <c r="P2" s="15"/>
      <c r="Q2" s="42"/>
      <c r="R2" s="15"/>
      <c r="S2" s="42"/>
      <c r="T2" s="15"/>
      <c r="U2" s="42"/>
      <c r="V2" s="15"/>
      <c r="W2" s="42"/>
      <c r="X2" s="15"/>
      <c r="Y2" s="42"/>
      <c r="Z2" s="15"/>
      <c r="AA2" s="42"/>
      <c r="AB2" s="15"/>
      <c r="AC2" s="42"/>
      <c r="AD2" s="15"/>
      <c r="AE2" s="15"/>
    </row>
    <row r="3" spans="1:31" ht="27" customHeight="1" thickBot="1" x14ac:dyDescent="0.35">
      <c r="A3" s="41"/>
      <c r="B3" s="15"/>
      <c r="C3" s="15"/>
      <c r="D3" s="15"/>
      <c r="E3" s="15"/>
      <c r="F3" s="15"/>
      <c r="G3" s="45" t="s">
        <v>38</v>
      </c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ht="16.8" customHeight="1" x14ac:dyDescent="0.3">
      <c r="A4" s="41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</row>
    <row r="5" spans="1:31" ht="16.8" customHeight="1" thickBot="1" x14ac:dyDescent="0.35">
      <c r="A5" s="40" t="s">
        <v>3</v>
      </c>
      <c r="B5" s="15"/>
      <c r="C5" s="15"/>
      <c r="D5" s="15"/>
      <c r="E5" s="15"/>
      <c r="F5" s="34"/>
      <c r="G5" s="42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</row>
    <row r="6" spans="1:31" s="4" customFormat="1" ht="16.8" customHeight="1" thickBot="1" x14ac:dyDescent="0.35">
      <c r="A6" s="24" t="s">
        <v>0</v>
      </c>
      <c r="B6" s="11" t="s">
        <v>14</v>
      </c>
      <c r="C6" s="11" t="s">
        <v>16</v>
      </c>
      <c r="D6" s="11" t="s">
        <v>15</v>
      </c>
      <c r="E6" s="13" t="s">
        <v>17</v>
      </c>
      <c r="F6" s="37" t="s">
        <v>31</v>
      </c>
      <c r="G6" s="17" t="s">
        <v>12</v>
      </c>
      <c r="H6" s="12" t="s">
        <v>18</v>
      </c>
      <c r="I6" s="11" t="s">
        <v>13</v>
      </c>
      <c r="J6" s="11" t="s">
        <v>19</v>
      </c>
      <c r="K6" s="11" t="s">
        <v>4</v>
      </c>
      <c r="L6" s="11" t="s">
        <v>20</v>
      </c>
      <c r="M6" s="11" t="s">
        <v>5</v>
      </c>
      <c r="N6" s="11" t="s">
        <v>21</v>
      </c>
      <c r="O6" s="11" t="s">
        <v>6</v>
      </c>
      <c r="P6" s="11" t="s">
        <v>22</v>
      </c>
      <c r="Q6" s="11" t="s">
        <v>7</v>
      </c>
      <c r="R6" s="11" t="s">
        <v>23</v>
      </c>
      <c r="S6" s="11" t="s">
        <v>8</v>
      </c>
      <c r="T6" s="11" t="s">
        <v>24</v>
      </c>
      <c r="U6" s="11" t="s">
        <v>9</v>
      </c>
      <c r="V6" s="11" t="s">
        <v>25</v>
      </c>
      <c r="W6" s="11" t="s">
        <v>10</v>
      </c>
      <c r="X6" s="11" t="s">
        <v>26</v>
      </c>
      <c r="Y6" s="11" t="s">
        <v>11</v>
      </c>
      <c r="Z6" s="11" t="s">
        <v>27</v>
      </c>
      <c r="AA6" s="11" t="s">
        <v>1</v>
      </c>
      <c r="AB6" s="11" t="s">
        <v>28</v>
      </c>
      <c r="AC6" s="11" t="s">
        <v>2</v>
      </c>
      <c r="AD6" s="13" t="s">
        <v>29</v>
      </c>
      <c r="AE6" s="15"/>
    </row>
    <row r="7" spans="1:31" ht="16.8" customHeight="1" x14ac:dyDescent="0.3">
      <c r="A7" s="25">
        <v>1</v>
      </c>
      <c r="B7" s="6"/>
      <c r="C7" s="6"/>
      <c r="D7" s="6"/>
      <c r="E7" s="7"/>
      <c r="F7" s="35"/>
      <c r="G7" s="5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7"/>
      <c r="AE7" s="15"/>
    </row>
    <row r="8" spans="1:31" ht="16.8" customHeight="1" x14ac:dyDescent="0.3">
      <c r="A8" s="25">
        <v>1</v>
      </c>
      <c r="B8" s="6"/>
      <c r="C8" s="6"/>
      <c r="D8" s="6"/>
      <c r="E8" s="7"/>
      <c r="F8" s="35"/>
      <c r="G8" s="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7"/>
      <c r="AE8" s="15"/>
    </row>
    <row r="9" spans="1:31" ht="16.8" customHeight="1" thickBot="1" x14ac:dyDescent="0.35">
      <c r="A9" s="25">
        <v>1</v>
      </c>
      <c r="B9" s="6"/>
      <c r="C9" s="6"/>
      <c r="D9" s="6"/>
      <c r="E9" s="7"/>
      <c r="F9" s="35"/>
      <c r="G9" s="5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7"/>
      <c r="AE9" s="15"/>
    </row>
    <row r="10" spans="1:31" ht="16.8" customHeight="1" thickBot="1" x14ac:dyDescent="0.35">
      <c r="A10" s="27" t="s">
        <v>30</v>
      </c>
      <c r="B10" s="21"/>
      <c r="C10" s="21"/>
      <c r="D10" s="21"/>
      <c r="E10" s="14">
        <f>SUBTOTAL(109,Gastos[R$ Max])</f>
        <v>0</v>
      </c>
      <c r="F10" s="38"/>
      <c r="G10" s="18">
        <f>SUBTOTAL(109,Gastos[Janeiro])</f>
        <v>0</v>
      </c>
      <c r="H10" s="19">
        <f>SUBTOTAL(109,Gastos[JaneiroEst])</f>
        <v>0</v>
      </c>
      <c r="I10" s="18">
        <f>SUBTOTAL(109,Gastos[Fevereiro])</f>
        <v>0</v>
      </c>
      <c r="J10" s="19">
        <f>SUBTOTAL(109,Gastos[FevereiroEst])</f>
        <v>0</v>
      </c>
      <c r="K10" s="18">
        <f>SUBTOTAL(109,Gastos[Março])</f>
        <v>0</v>
      </c>
      <c r="L10" s="19">
        <f>SUBTOTAL(109,Gastos[MarçoEst])</f>
        <v>0</v>
      </c>
      <c r="M10" s="18">
        <f>SUBTOTAL(109,Gastos[Abril])</f>
        <v>0</v>
      </c>
      <c r="N10" s="19">
        <f>SUBTOTAL(109,Gastos[AbrilEst])</f>
        <v>0</v>
      </c>
      <c r="O10" s="18">
        <f>SUBTOTAL(109,Gastos[Maio])</f>
        <v>0</v>
      </c>
      <c r="P10" s="19">
        <f>SUBTOTAL(109,Gastos[MaioEst])</f>
        <v>0</v>
      </c>
      <c r="Q10" s="18">
        <f>SUBTOTAL(109,Gastos[Junho])</f>
        <v>0</v>
      </c>
      <c r="R10" s="19">
        <f>SUBTOTAL(109,Gastos[JunhoEst])</f>
        <v>0</v>
      </c>
      <c r="S10" s="18">
        <f>SUBTOTAL(109,Gastos[Julho])</f>
        <v>0</v>
      </c>
      <c r="T10" s="19">
        <f>SUBTOTAL(109,Gastos[JulhoEst])</f>
        <v>0</v>
      </c>
      <c r="U10" s="18">
        <f>SUBTOTAL(109,Gastos[Agosto])</f>
        <v>0</v>
      </c>
      <c r="V10" s="19">
        <f>SUBTOTAL(109,Gastos[AgostoEst])</f>
        <v>0</v>
      </c>
      <c r="W10" s="18">
        <f>SUBTOTAL(109,Gastos[Setembro])</f>
        <v>0</v>
      </c>
      <c r="X10" s="19">
        <f>SUBTOTAL(109,Gastos[SetembroEst])</f>
        <v>0</v>
      </c>
      <c r="Y10" s="18">
        <f>SUBTOTAL(109,Gastos[Outubro])</f>
        <v>0</v>
      </c>
      <c r="Z10" s="19">
        <f>SUBTOTAL(109,Gastos[OutubroEst])</f>
        <v>0</v>
      </c>
      <c r="AA10" s="18">
        <f>SUBTOTAL(109,Gastos[Novembro])</f>
        <v>0</v>
      </c>
      <c r="AB10" s="19">
        <f>SUBTOTAL(109,Gastos[NovembroEst])</f>
        <v>0</v>
      </c>
      <c r="AC10" s="18">
        <f>SUBTOTAL(109,Gastos[Dezembro])</f>
        <v>0</v>
      </c>
      <c r="AD10" s="20">
        <f>SUBTOTAL(103,Gastos[DezembroEst])</f>
        <v>0</v>
      </c>
      <c r="AE10" s="15"/>
    </row>
    <row r="11" spans="1:31" ht="16.8" customHeight="1" thickBot="1" x14ac:dyDescent="0.35">
      <c r="A11" s="40" t="s">
        <v>32</v>
      </c>
      <c r="B11" s="16"/>
      <c r="C11" s="16"/>
      <c r="D11" s="16"/>
      <c r="E11" s="16"/>
      <c r="F11" s="3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5"/>
    </row>
    <row r="12" spans="1:31" ht="16.8" customHeight="1" thickBot="1" x14ac:dyDescent="0.35">
      <c r="A12" s="24" t="s">
        <v>0</v>
      </c>
      <c r="B12" s="11" t="s">
        <v>14</v>
      </c>
      <c r="C12" s="11" t="s">
        <v>16</v>
      </c>
      <c r="D12" s="11" t="s">
        <v>15</v>
      </c>
      <c r="E12" s="13" t="s">
        <v>17</v>
      </c>
      <c r="F12" s="37" t="s">
        <v>31</v>
      </c>
      <c r="G12" s="17" t="s">
        <v>12</v>
      </c>
      <c r="H12" s="12" t="s">
        <v>18</v>
      </c>
      <c r="I12" s="11" t="s">
        <v>13</v>
      </c>
      <c r="J12" s="11" t="s">
        <v>19</v>
      </c>
      <c r="K12" s="11" t="s">
        <v>4</v>
      </c>
      <c r="L12" s="11" t="s">
        <v>20</v>
      </c>
      <c r="M12" s="11" t="s">
        <v>5</v>
      </c>
      <c r="N12" s="11" t="s">
        <v>21</v>
      </c>
      <c r="O12" s="11" t="s">
        <v>6</v>
      </c>
      <c r="P12" s="11" t="s">
        <v>22</v>
      </c>
      <c r="Q12" s="11" t="s">
        <v>7</v>
      </c>
      <c r="R12" s="11" t="s">
        <v>23</v>
      </c>
      <c r="S12" s="11" t="s">
        <v>8</v>
      </c>
      <c r="T12" s="11" t="s">
        <v>24</v>
      </c>
      <c r="U12" s="11" t="s">
        <v>9</v>
      </c>
      <c r="V12" s="11" t="s">
        <v>25</v>
      </c>
      <c r="W12" s="11" t="s">
        <v>10</v>
      </c>
      <c r="X12" s="11" t="s">
        <v>26</v>
      </c>
      <c r="Y12" s="11" t="s">
        <v>11</v>
      </c>
      <c r="Z12" s="11" t="s">
        <v>27</v>
      </c>
      <c r="AA12" s="11" t="s">
        <v>1</v>
      </c>
      <c r="AB12" s="11" t="s">
        <v>28</v>
      </c>
      <c r="AC12" s="11" t="s">
        <v>2</v>
      </c>
      <c r="AD12" s="13" t="s">
        <v>29</v>
      </c>
      <c r="AE12" s="15"/>
    </row>
    <row r="13" spans="1:31" ht="16.8" customHeight="1" x14ac:dyDescent="0.3">
      <c r="A13" s="25"/>
      <c r="B13" s="6" t="s">
        <v>43</v>
      </c>
      <c r="C13" s="6"/>
      <c r="D13" s="6"/>
      <c r="E13" s="22"/>
      <c r="F13" s="35"/>
      <c r="G13" s="5"/>
      <c r="H13" s="6">
        <f>'Cartão'!$F$16</f>
        <v>0</v>
      </c>
      <c r="I13" s="6"/>
      <c r="J13" s="6">
        <f>'Cartão'!$G$16</f>
        <v>0</v>
      </c>
      <c r="K13" s="6"/>
      <c r="L13" s="6">
        <f>'Cartão'!$H$16</f>
        <v>0</v>
      </c>
      <c r="M13" s="6"/>
      <c r="N13" s="6">
        <f>'Cartão'!$I$16</f>
        <v>0</v>
      </c>
      <c r="O13" s="6"/>
      <c r="P13" s="6">
        <f>'Cartão'!$J$16</f>
        <v>0</v>
      </c>
      <c r="Q13" s="6"/>
      <c r="R13" s="6">
        <f>'Cartão'!$K$16</f>
        <v>0</v>
      </c>
      <c r="S13" s="6"/>
      <c r="T13" s="6">
        <f>'Cartão'!$L$16</f>
        <v>0</v>
      </c>
      <c r="U13" s="6"/>
      <c r="V13" s="6">
        <f>'Cartão'!$M$16</f>
        <v>0</v>
      </c>
      <c r="W13" s="6"/>
      <c r="X13" s="6">
        <f>'Cartão'!$N$16</f>
        <v>0</v>
      </c>
      <c r="Y13" s="6"/>
      <c r="Z13" s="6">
        <f>'Cartão'!$O$16</f>
        <v>0</v>
      </c>
      <c r="AA13" s="6"/>
      <c r="AB13" s="6">
        <f>'Cartão'!$P$16</f>
        <v>0</v>
      </c>
      <c r="AC13" s="6"/>
      <c r="AD13" s="7">
        <f>'Cartão'!$Q$16</f>
        <v>0</v>
      </c>
      <c r="AE13" s="15"/>
    </row>
    <row r="14" spans="1:31" ht="16.8" customHeight="1" x14ac:dyDescent="0.3">
      <c r="A14" s="25"/>
      <c r="B14" s="6" t="s">
        <v>44</v>
      </c>
      <c r="C14" s="6"/>
      <c r="D14" s="6"/>
      <c r="E14" s="22"/>
      <c r="F14" s="35"/>
      <c r="G14" s="5"/>
      <c r="H14" s="6">
        <f>'Cartão'!$F$30</f>
        <v>0</v>
      </c>
      <c r="I14" s="6"/>
      <c r="J14" s="6">
        <f>'Cartão'!$G$30</f>
        <v>0</v>
      </c>
      <c r="K14" s="6"/>
      <c r="L14" s="6">
        <f>'Cartão'!$H$30</f>
        <v>0</v>
      </c>
      <c r="M14" s="6"/>
      <c r="N14" s="6">
        <f>'Cartão'!$I$30</f>
        <v>0</v>
      </c>
      <c r="O14" s="6"/>
      <c r="P14" s="6">
        <f>'Cartão'!$J$30</f>
        <v>0</v>
      </c>
      <c r="Q14" s="6"/>
      <c r="R14" s="6">
        <f>'Cartão'!$K$30</f>
        <v>0</v>
      </c>
      <c r="S14" s="6"/>
      <c r="T14" s="6">
        <f>'Cartão'!$L$30</f>
        <v>0</v>
      </c>
      <c r="U14" s="6"/>
      <c r="V14" s="6">
        <f>'Cartão'!$M$30</f>
        <v>0</v>
      </c>
      <c r="W14" s="6"/>
      <c r="X14" s="6">
        <f>'Cartão'!$N$30</f>
        <v>0</v>
      </c>
      <c r="Y14" s="6"/>
      <c r="Z14" s="6">
        <f>'Cartão'!$O$30</f>
        <v>0</v>
      </c>
      <c r="AA14" s="6"/>
      <c r="AB14" s="6">
        <f>'Cartão'!$P$30</f>
        <v>0</v>
      </c>
      <c r="AC14" s="6"/>
      <c r="AD14" s="7">
        <f>'Cartão'!$Q$30</f>
        <v>0</v>
      </c>
      <c r="AE14" s="15"/>
    </row>
    <row r="15" spans="1:31" ht="16.8" customHeight="1" thickBot="1" x14ac:dyDescent="0.35">
      <c r="A15" s="25"/>
      <c r="B15" s="6" t="s">
        <v>45</v>
      </c>
      <c r="C15" s="6"/>
      <c r="D15" s="6"/>
      <c r="E15" s="22"/>
      <c r="F15" s="35"/>
      <c r="G15" s="5"/>
      <c r="H15" s="6">
        <f>'Cartão'!$F$44</f>
        <v>0</v>
      </c>
      <c r="I15" s="6"/>
      <c r="J15" s="6">
        <f>'Cartão'!$G$44</f>
        <v>0</v>
      </c>
      <c r="K15" s="6"/>
      <c r="L15" s="6">
        <f>'Cartão'!$H$44</f>
        <v>0</v>
      </c>
      <c r="M15" s="6"/>
      <c r="N15" s="6">
        <f>'Cartão'!$I$44</f>
        <v>0</v>
      </c>
      <c r="O15" s="6"/>
      <c r="P15" s="6">
        <f>'Cartão'!$J$44</f>
        <v>0</v>
      </c>
      <c r="Q15" s="6"/>
      <c r="R15" s="6">
        <f>'Cartão'!$K$44</f>
        <v>0</v>
      </c>
      <c r="S15" s="6"/>
      <c r="T15" s="6">
        <f>'Cartão'!$L$44</f>
        <v>0</v>
      </c>
      <c r="U15" s="6"/>
      <c r="V15" s="6">
        <f>'Cartão'!$M$44</f>
        <v>0</v>
      </c>
      <c r="W15" s="6"/>
      <c r="X15" s="6">
        <f>'Cartão'!$N$44</f>
        <v>0</v>
      </c>
      <c r="Y15" s="6"/>
      <c r="Z15" s="6">
        <f>'Cartão'!$O$44</f>
        <v>0</v>
      </c>
      <c r="AA15" s="6"/>
      <c r="AB15" s="6">
        <f>'Cartão'!$P$44</f>
        <v>0</v>
      </c>
      <c r="AC15" s="6"/>
      <c r="AD15" s="7">
        <f>'Cartão'!$Q$44</f>
        <v>0</v>
      </c>
      <c r="AE15" s="15"/>
    </row>
    <row r="16" spans="1:31" ht="16.8" customHeight="1" thickBot="1" x14ac:dyDescent="0.35">
      <c r="A16" s="27" t="s">
        <v>30</v>
      </c>
      <c r="B16" s="21"/>
      <c r="C16" s="21"/>
      <c r="D16" s="21"/>
      <c r="E16" s="14">
        <f>SUBTOTAL(109,Cartão[R$ Max])</f>
        <v>0</v>
      </c>
      <c r="F16" s="38"/>
      <c r="G16" s="18">
        <f>SUBTOTAL(109,Cartão[Janeiro])</f>
        <v>0</v>
      </c>
      <c r="H16" s="19">
        <f>SUBTOTAL(109,Cartão[JaneiroEst])</f>
        <v>0</v>
      </c>
      <c r="I16" s="18">
        <f>SUBTOTAL(109,Cartão[Fevereiro])</f>
        <v>0</v>
      </c>
      <c r="J16" s="19">
        <f>SUBTOTAL(109,Cartão[FevereiroEst])</f>
        <v>0</v>
      </c>
      <c r="K16" s="18">
        <f>SUBTOTAL(109,Cartão[Março])</f>
        <v>0</v>
      </c>
      <c r="L16" s="19">
        <f>SUBTOTAL(109,Cartão[MarçoEst])</f>
        <v>0</v>
      </c>
      <c r="M16" s="18">
        <f>SUBTOTAL(109,Cartão[Abril])</f>
        <v>0</v>
      </c>
      <c r="N16" s="19">
        <f>SUBTOTAL(109,Cartão[AbrilEst])</f>
        <v>0</v>
      </c>
      <c r="O16" s="18">
        <f>SUBTOTAL(109,Cartão[Maio])</f>
        <v>0</v>
      </c>
      <c r="P16" s="19">
        <f>SUBTOTAL(109,Cartão[MaioEst])</f>
        <v>0</v>
      </c>
      <c r="Q16" s="18">
        <f>SUBTOTAL(109,Cartão[Junho])</f>
        <v>0</v>
      </c>
      <c r="R16" s="19">
        <f>SUBTOTAL(109,Cartão[JunhoEst])</f>
        <v>0</v>
      </c>
      <c r="S16" s="18">
        <f>SUBTOTAL(109,Cartão[Julho])</f>
        <v>0</v>
      </c>
      <c r="T16" s="19">
        <f>SUBTOTAL(109,Cartão[JulhoEst])</f>
        <v>0</v>
      </c>
      <c r="U16" s="18">
        <f>SUBTOTAL(109,Cartão[Agosto])</f>
        <v>0</v>
      </c>
      <c r="V16" s="19">
        <f>SUBTOTAL(109,Cartão[AgostoEst])</f>
        <v>0</v>
      </c>
      <c r="W16" s="18">
        <f>SUBTOTAL(109,Cartão[Setembro])</f>
        <v>0</v>
      </c>
      <c r="X16" s="19">
        <f>SUBTOTAL(109,Cartão[SetembroEst])</f>
        <v>0</v>
      </c>
      <c r="Y16" s="18">
        <f>SUBTOTAL(109,Cartão[Outubro])</f>
        <v>0</v>
      </c>
      <c r="Z16" s="19">
        <f>SUBTOTAL(109,Cartão[OutubroEst])</f>
        <v>0</v>
      </c>
      <c r="AA16" s="18">
        <f>SUBTOTAL(109,Cartão[Novembro])</f>
        <v>0</v>
      </c>
      <c r="AB16" s="19">
        <f>SUBTOTAL(109,Cartão[NovembroEst])</f>
        <v>0</v>
      </c>
      <c r="AC16" s="18">
        <f>SUBTOTAL(109,Cartão[Dezembro])</f>
        <v>0</v>
      </c>
      <c r="AD16" s="20">
        <f>SUBTOTAL(109,Cartão[DezembroEst])</f>
        <v>0</v>
      </c>
      <c r="AE16" s="15"/>
    </row>
    <row r="17" spans="1:31" ht="16.8" customHeight="1" thickBot="1" x14ac:dyDescent="0.35">
      <c r="A17" s="40" t="s">
        <v>33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</row>
    <row r="18" spans="1:31" ht="16.8" customHeight="1" thickBot="1" x14ac:dyDescent="0.35">
      <c r="A18" s="24" t="s">
        <v>0</v>
      </c>
      <c r="B18" s="11" t="s">
        <v>14</v>
      </c>
      <c r="C18" s="11" t="s">
        <v>16</v>
      </c>
      <c r="D18" s="11" t="s">
        <v>15</v>
      </c>
      <c r="E18" s="13" t="s">
        <v>46</v>
      </c>
      <c r="F18" s="37" t="s">
        <v>31</v>
      </c>
      <c r="G18" s="17" t="s">
        <v>12</v>
      </c>
      <c r="H18" s="12" t="s">
        <v>18</v>
      </c>
      <c r="I18" s="11" t="s">
        <v>13</v>
      </c>
      <c r="J18" s="11" t="s">
        <v>19</v>
      </c>
      <c r="K18" s="11" t="s">
        <v>4</v>
      </c>
      <c r="L18" s="11" t="s">
        <v>20</v>
      </c>
      <c r="M18" s="11" t="s">
        <v>5</v>
      </c>
      <c r="N18" s="11" t="s">
        <v>21</v>
      </c>
      <c r="O18" s="11" t="s">
        <v>6</v>
      </c>
      <c r="P18" s="11" t="s">
        <v>22</v>
      </c>
      <c r="Q18" s="11" t="s">
        <v>7</v>
      </c>
      <c r="R18" s="11" t="s">
        <v>23</v>
      </c>
      <c r="S18" s="11" t="s">
        <v>8</v>
      </c>
      <c r="T18" s="11" t="s">
        <v>24</v>
      </c>
      <c r="U18" s="11" t="s">
        <v>9</v>
      </c>
      <c r="V18" s="11" t="s">
        <v>25</v>
      </c>
      <c r="W18" s="11" t="s">
        <v>10</v>
      </c>
      <c r="X18" s="11" t="s">
        <v>26</v>
      </c>
      <c r="Y18" s="11" t="s">
        <v>11</v>
      </c>
      <c r="Z18" s="11" t="s">
        <v>27</v>
      </c>
      <c r="AA18" s="11" t="s">
        <v>1</v>
      </c>
      <c r="AB18" s="11" t="s">
        <v>28</v>
      </c>
      <c r="AC18" s="11" t="s">
        <v>2</v>
      </c>
      <c r="AD18" s="13" t="s">
        <v>29</v>
      </c>
      <c r="AE18" s="15"/>
    </row>
    <row r="19" spans="1:31" ht="16.8" customHeight="1" x14ac:dyDescent="0.3">
      <c r="A19" s="25"/>
      <c r="B19" s="6"/>
      <c r="C19" s="6"/>
      <c r="D19" s="6"/>
      <c r="E19" s="22"/>
      <c r="F19" s="35"/>
      <c r="G19" s="5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7"/>
      <c r="AE19" s="15"/>
    </row>
    <row r="20" spans="1:31" ht="16.8" customHeight="1" x14ac:dyDescent="0.3">
      <c r="A20" s="25"/>
      <c r="B20" s="6"/>
      <c r="C20" s="6"/>
      <c r="D20" s="6"/>
      <c r="E20" s="22"/>
      <c r="F20" s="35"/>
      <c r="G20" s="5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7"/>
      <c r="AE20" s="15"/>
    </row>
    <row r="21" spans="1:31" ht="16.8" customHeight="1" thickBot="1" x14ac:dyDescent="0.35">
      <c r="A21" s="26"/>
      <c r="B21" s="9"/>
      <c r="C21" s="9"/>
      <c r="D21" s="9"/>
      <c r="E21" s="10"/>
      <c r="F21" s="35"/>
      <c r="G21" s="8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7"/>
      <c r="AE21" s="15"/>
    </row>
    <row r="22" spans="1:31" ht="16.8" customHeight="1" thickBot="1" x14ac:dyDescent="0.35">
      <c r="A22" s="27" t="s">
        <v>30</v>
      </c>
      <c r="B22" s="21"/>
      <c r="C22" s="21"/>
      <c r="D22" s="21"/>
      <c r="E22" s="14">
        <f>SUBTOTAL(109,Entrada[R$ Min])</f>
        <v>0</v>
      </c>
      <c r="F22" s="38"/>
      <c r="G22" s="18">
        <f>SUBTOTAL(109,Entrada[Janeiro])</f>
        <v>0</v>
      </c>
      <c r="H22" s="19">
        <f>SUBTOTAL(109,Entrada[JaneiroEst])</f>
        <v>0</v>
      </c>
      <c r="I22" s="18">
        <f>SUBTOTAL(109,Entrada[Fevereiro])</f>
        <v>0</v>
      </c>
      <c r="J22" s="19">
        <f>SUBTOTAL(109,Entrada[FevereiroEst])</f>
        <v>0</v>
      </c>
      <c r="K22" s="18">
        <f>SUBTOTAL(109,Entrada[Março])</f>
        <v>0</v>
      </c>
      <c r="L22" s="19">
        <f>SUBTOTAL(109,Entrada[MarçoEst])</f>
        <v>0</v>
      </c>
      <c r="M22" s="18">
        <f>SUBTOTAL(109,Entrada[Abril])</f>
        <v>0</v>
      </c>
      <c r="N22" s="19">
        <f>SUBTOTAL(109,Entrada[AbrilEst])</f>
        <v>0</v>
      </c>
      <c r="O22" s="18">
        <f>SUBTOTAL(109,Entrada[Maio])</f>
        <v>0</v>
      </c>
      <c r="P22" s="19">
        <f>SUBTOTAL(109,Entrada[MaioEst])</f>
        <v>0</v>
      </c>
      <c r="Q22" s="18">
        <f>SUBTOTAL(109,Entrada[Junho])</f>
        <v>0</v>
      </c>
      <c r="R22" s="19">
        <f>SUBTOTAL(109,Entrada[JunhoEst])</f>
        <v>0</v>
      </c>
      <c r="S22" s="18">
        <f>SUBTOTAL(109,Entrada[Julho])</f>
        <v>0</v>
      </c>
      <c r="T22" s="19">
        <f>SUBTOTAL(109,Entrada[JulhoEst])</f>
        <v>0</v>
      </c>
      <c r="U22" s="18">
        <f>SUBTOTAL(109,Entrada[Agosto])</f>
        <v>0</v>
      </c>
      <c r="V22" s="19">
        <f>SUBTOTAL(109,Entrada[AgostoEst])</f>
        <v>0</v>
      </c>
      <c r="W22" s="18">
        <f>SUBTOTAL(109,Entrada[Setembro])</f>
        <v>0</v>
      </c>
      <c r="X22" s="19">
        <f>SUBTOTAL(109,Entrada[SetembroEst])</f>
        <v>0</v>
      </c>
      <c r="Y22" s="18">
        <f>SUBTOTAL(109,Entrada[Outubro])</f>
        <v>0</v>
      </c>
      <c r="Z22" s="19">
        <f>SUBTOTAL(109,Entrada[OutubroEst])</f>
        <v>0</v>
      </c>
      <c r="AA22" s="18">
        <f>SUBTOTAL(109,Entrada[Novembro])</f>
        <v>0</v>
      </c>
      <c r="AB22" s="19">
        <f>SUBTOTAL(109,Entrada[NovembroEst])</f>
        <v>0</v>
      </c>
      <c r="AC22" s="18">
        <f>SUBTOTAL(109,Entrada[Dezembro])</f>
        <v>0</v>
      </c>
      <c r="AD22" s="20">
        <f>SUBTOTAL(103,Entrada[DezembroEst])</f>
        <v>0</v>
      </c>
      <c r="AE22" s="15"/>
    </row>
    <row r="23" spans="1:31" ht="16.8" customHeight="1" thickBot="1" x14ac:dyDescent="0.35">
      <c r="A23" s="41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</row>
    <row r="24" spans="1:31" ht="16.8" customHeight="1" thickBot="1" x14ac:dyDescent="0.35">
      <c r="A24" s="30" t="s">
        <v>34</v>
      </c>
      <c r="B24" s="31"/>
      <c r="C24" s="31"/>
      <c r="D24" s="31"/>
      <c r="E24" s="32">
        <f>Entrada[[#Totals],[R$ Min]]-Cartão[[#Totals],[R$ Max]]-Gastos[[#Totals],[R$ Max]]</f>
        <v>0</v>
      </c>
      <c r="F24" s="46"/>
      <c r="G24" s="28">
        <f>Entrada[[#Totals],[Janeiro]]-Cartão[[#Totals],[Janeiro]]-Gastos[[#Totals],[Janeiro]]</f>
        <v>0</v>
      </c>
      <c r="H24" s="29">
        <f>Entrada[[#Totals],[JaneiroEst]]-Cartão[[#Totals],[JaneiroEst]]-Gastos[[#Totals],[JaneiroEst]]</f>
        <v>0</v>
      </c>
      <c r="I24" s="28">
        <f>Entrada[[#Totals],[Fevereiro]]-Cartão[[#Totals],[Fevereiro]]-Gastos[[#Totals],[Fevereiro]]</f>
        <v>0</v>
      </c>
      <c r="J24" s="29">
        <f>Entrada[[#Totals],[FevereiroEst]]-Cartão[[#Totals],[FevereiroEst]]-Gastos[[#Totals],[FevereiroEst]]</f>
        <v>0</v>
      </c>
      <c r="K24" s="28">
        <f>Entrada[[#Totals],[Março]]-Cartão[[#Totals],[Março]]-Gastos[[#Totals],[Março]]</f>
        <v>0</v>
      </c>
      <c r="L24" s="29">
        <f>Entrada[[#Totals],[MarçoEst]]-Cartão[[#Totals],[MarçoEst]]-Gastos[[#Totals],[MarçoEst]]</f>
        <v>0</v>
      </c>
      <c r="M24" s="28">
        <f>Entrada[[#Totals],[Abril]]-Cartão[[#Totals],[Abril]]-Gastos[[#Totals],[Abril]]</f>
        <v>0</v>
      </c>
      <c r="N24" s="29">
        <f>Entrada[[#Totals],[AbrilEst]]-Cartão[[#Totals],[AbrilEst]]-Gastos[[#Totals],[AbrilEst]]</f>
        <v>0</v>
      </c>
      <c r="O24" s="28">
        <f>Entrada[[#Totals],[Maio]]-Cartão[[#Totals],[Maio]]-Gastos[[#Totals],[Maio]]</f>
        <v>0</v>
      </c>
      <c r="P24" s="29">
        <f>Entrada[[#Totals],[MaioEst]]-Cartão[[#Totals],[MaioEst]]-Gastos[[#Totals],[MaioEst]]</f>
        <v>0</v>
      </c>
      <c r="Q24" s="28">
        <f>Entrada[[#Totals],[Junho]]-Cartão[[#Totals],[Junho]]-Gastos[[#Totals],[Junho]]</f>
        <v>0</v>
      </c>
      <c r="R24" s="29">
        <f>Entrada[[#Totals],[JunhoEst]]-Cartão[[#Totals],[JunhoEst]]-Gastos[[#Totals],[JunhoEst]]</f>
        <v>0</v>
      </c>
      <c r="S24" s="28">
        <f>Entrada[[#Totals],[Julho]]-Cartão[[#Totals],[Julho]]-Gastos[[#Totals],[Julho]]</f>
        <v>0</v>
      </c>
      <c r="T24" s="29">
        <f>Entrada[[#Totals],[JulhoEst]]-Cartão[[#Totals],[JulhoEst]]-Gastos[[#Totals],[JulhoEst]]</f>
        <v>0</v>
      </c>
      <c r="U24" s="28">
        <f>Entrada[[#Totals],[Agosto]]-Cartão[[#Totals],[Agosto]]-Gastos[[#Totals],[Agosto]]</f>
        <v>0</v>
      </c>
      <c r="V24" s="29">
        <f>Entrada[[#Totals],[AgostoEst]]-Cartão[[#Totals],[AgostoEst]]-Gastos[[#Totals],[AgostoEst]]</f>
        <v>0</v>
      </c>
      <c r="W24" s="28">
        <f>Entrada[[#Totals],[Setembro]]-Cartão[[#Totals],[Setembro]]-Gastos[[#Totals],[Setembro]]</f>
        <v>0</v>
      </c>
      <c r="X24" s="29">
        <f>Entrada[[#Totals],[SetembroEst]]-Cartão[[#Totals],[SetembroEst]]-Gastos[[#Totals],[SetembroEst]]</f>
        <v>0</v>
      </c>
      <c r="Y24" s="28">
        <f>Entrada[[#Totals],[Outubro]]-Cartão[[#Totals],[Outubro]]-Gastos[[#Totals],[Outubro]]</f>
        <v>0</v>
      </c>
      <c r="Z24" s="29">
        <f>Entrada[[#Totals],[OutubroEst]]-Cartão[[#Totals],[OutubroEst]]-Gastos[[#Totals],[OutubroEst]]</f>
        <v>0</v>
      </c>
      <c r="AA24" s="28">
        <f>Entrada[[#Totals],[Novembro]]-Cartão[[#Totals],[Novembro]]-Gastos[[#Totals],[Novembro]]</f>
        <v>0</v>
      </c>
      <c r="AB24" s="29">
        <f>Entrada[[#Totals],[NovembroEst]]-Cartão[[#Totals],[NovembroEst]]-Gastos[[#Totals],[NovembroEst]]</f>
        <v>0</v>
      </c>
      <c r="AC24" s="28">
        <f>Entrada[[#Totals],[Dezembro]]-Cartão[[#Totals],[Dezembro]]-Gastos[[#Totals],[Dezembro]]</f>
        <v>0</v>
      </c>
      <c r="AD24" s="33">
        <f>Entrada[[#Totals],[DezembroEst]]-Cartão[[#Totals],[DezembroEst]]-Gastos[[#Totals],[DezembroEst]]</f>
        <v>0</v>
      </c>
      <c r="AE24" s="15"/>
    </row>
    <row r="25" spans="1:31" ht="16.8" customHeight="1" x14ac:dyDescent="0.3">
      <c r="A25" s="41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</row>
    <row r="26" spans="1:31" ht="16.8" customHeight="1" x14ac:dyDescent="0.3">
      <c r="A26" s="41"/>
      <c r="B26" s="15"/>
      <c r="C26" s="15"/>
      <c r="D26" s="15"/>
      <c r="E26" s="15"/>
      <c r="F26" s="15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</row>
    <row r="27" spans="1:31" ht="16.8" customHeight="1" x14ac:dyDescent="0.3">
      <c r="A27" s="41"/>
      <c r="B27" s="15"/>
      <c r="C27" s="15"/>
      <c r="D27" s="15"/>
      <c r="E27" s="15"/>
      <c r="F27" s="15"/>
      <c r="G27" s="15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</row>
    <row r="28" spans="1:31" ht="16.8" customHeight="1" x14ac:dyDescent="0.3">
      <c r="A28" s="41"/>
      <c r="B28" s="15"/>
      <c r="C28" s="15"/>
      <c r="D28" s="15"/>
      <c r="E28" s="15"/>
      <c r="F28" s="15"/>
      <c r="G28" s="15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1:31" ht="16.8" customHeight="1" x14ac:dyDescent="0.3">
      <c r="A29" s="41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</row>
    <row r="30" spans="1:31" ht="16.8" customHeight="1" x14ac:dyDescent="0.3">
      <c r="A30" s="41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spans="1:31" ht="16.8" customHeight="1" x14ac:dyDescent="0.3">
      <c r="A31" s="41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spans="1:31" ht="16.8" customHeight="1" x14ac:dyDescent="0.3">
      <c r="A32" s="41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spans="1:31" ht="16.8" customHeight="1" x14ac:dyDescent="0.3">
      <c r="A33" s="41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spans="1:31" ht="16.8" customHeight="1" x14ac:dyDescent="0.3">
      <c r="A34" s="41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spans="1:31" ht="16.8" customHeight="1" x14ac:dyDescent="0.3">
      <c r="A35" s="41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spans="1:31" ht="16.8" customHeight="1" x14ac:dyDescent="0.3">
      <c r="A36" s="41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spans="1:31" ht="16.8" customHeight="1" x14ac:dyDescent="0.3">
      <c r="A37" s="41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spans="1:31" ht="16.8" customHeight="1" x14ac:dyDescent="0.3">
      <c r="A38" s="41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spans="1:31" ht="16.8" customHeight="1" x14ac:dyDescent="0.3">
      <c r="A39" s="41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spans="1:31" ht="16.8" customHeight="1" x14ac:dyDescent="0.3">
      <c r="A40" s="41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spans="1:31" ht="16.8" customHeight="1" x14ac:dyDescent="0.3">
      <c r="A41" s="41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spans="1:31" ht="16.8" customHeight="1" x14ac:dyDescent="0.3">
      <c r="A42" s="41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spans="1:31" ht="16.8" customHeight="1" x14ac:dyDescent="0.3">
      <c r="A43" s="41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spans="1:31" ht="16.8" customHeight="1" x14ac:dyDescent="0.3">
      <c r="A44" s="41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spans="1:31" ht="16.8" customHeight="1" x14ac:dyDescent="0.3">
      <c r="A45" s="41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spans="1:31" ht="16.8" customHeight="1" x14ac:dyDescent="0.3">
      <c r="A46" s="41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spans="1:31" ht="16.8" customHeight="1" x14ac:dyDescent="0.3">
      <c r="A47" s="41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spans="1:31" ht="16.8" customHeight="1" x14ac:dyDescent="0.3">
      <c r="A48" s="41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spans="1:31" ht="16.8" customHeight="1" x14ac:dyDescent="0.3">
      <c r="A49" s="41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spans="1:31" ht="16.8" customHeight="1" x14ac:dyDescent="0.3">
      <c r="A50" s="41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spans="1:31" ht="16.8" customHeight="1" x14ac:dyDescent="0.3">
      <c r="A51" s="41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</row>
    <row r="52" spans="1:31" ht="16.8" customHeight="1" x14ac:dyDescent="0.3">
      <c r="A52" s="41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</row>
    <row r="53" spans="1:31" ht="16.8" customHeight="1" x14ac:dyDescent="0.3">
      <c r="A53" s="41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</row>
    <row r="54" spans="1:31" ht="16.8" customHeight="1" x14ac:dyDescent="0.3">
      <c r="A54" s="41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</row>
    <row r="55" spans="1:31" ht="16.8" customHeight="1" x14ac:dyDescent="0.3">
      <c r="A55" s="41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</row>
    <row r="56" spans="1:31" ht="16.8" customHeight="1" x14ac:dyDescent="0.3">
      <c r="A56" s="41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</row>
    <row r="57" spans="1:31" ht="16.8" customHeight="1" x14ac:dyDescent="0.3">
      <c r="A57" s="41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</row>
    <row r="58" spans="1:31" ht="16.8" customHeight="1" x14ac:dyDescent="0.3">
      <c r="A58" s="41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</row>
    <row r="59" spans="1:31" ht="16.8" customHeight="1" x14ac:dyDescent="0.3">
      <c r="A59" s="41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</row>
    <row r="60" spans="1:31" ht="16.8" customHeight="1" x14ac:dyDescent="0.3">
      <c r="A60" s="41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</row>
    <row r="61" spans="1:31" ht="16.8" customHeight="1" x14ac:dyDescent="0.3">
      <c r="A61" s="41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</row>
    <row r="62" spans="1:31" ht="16.8" customHeight="1" x14ac:dyDescent="0.3">
      <c r="A62" s="41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</row>
    <row r="63" spans="1:31" ht="16.8" customHeight="1" x14ac:dyDescent="0.3">
      <c r="A63" s="41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</row>
    <row r="64" spans="1:31" ht="16.8" customHeight="1" x14ac:dyDescent="0.3">
      <c r="A64" s="41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</row>
    <row r="65" spans="1:31" ht="16.8" customHeight="1" x14ac:dyDescent="0.3">
      <c r="A65" s="41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</row>
    <row r="66" spans="1:31" ht="16.8" customHeight="1" x14ac:dyDescent="0.3">
      <c r="A66" s="41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</row>
    <row r="67" spans="1:31" ht="16.8" customHeight="1" x14ac:dyDescent="0.3">
      <c r="A67" s="41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</row>
    <row r="68" spans="1:31" ht="16.8" customHeight="1" x14ac:dyDescent="0.3">
      <c r="A68" s="41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</row>
    <row r="69" spans="1:31" ht="16.8" customHeight="1" x14ac:dyDescent="0.3">
      <c r="A69" s="41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</row>
    <row r="70" spans="1:31" ht="16.8" customHeight="1" x14ac:dyDescent="0.3">
      <c r="A70" s="41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</row>
    <row r="71" spans="1:31" ht="16.8" customHeight="1" x14ac:dyDescent="0.3">
      <c r="A71" s="41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</row>
    <row r="72" spans="1:31" ht="16.8" customHeight="1" x14ac:dyDescent="0.3">
      <c r="A72" s="41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</row>
    <row r="73" spans="1:31" ht="16.8" customHeight="1" x14ac:dyDescent="0.3">
      <c r="A73" s="41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</row>
    <row r="74" spans="1:31" ht="16.8" customHeight="1" x14ac:dyDescent="0.3">
      <c r="A74" s="41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</row>
    <row r="75" spans="1:31" ht="16.8" customHeight="1" x14ac:dyDescent="0.3">
      <c r="A75" s="41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</row>
    <row r="76" spans="1:31" ht="16.8" customHeight="1" x14ac:dyDescent="0.3">
      <c r="A76" s="41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</row>
    <row r="77" spans="1:31" ht="16.8" customHeight="1" x14ac:dyDescent="0.3">
      <c r="A77" s="41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</row>
    <row r="78" spans="1:31" ht="16.8" customHeight="1" x14ac:dyDescent="0.3">
      <c r="A78" s="41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</row>
    <row r="79" spans="1:31" ht="16.8" customHeight="1" x14ac:dyDescent="0.3">
      <c r="A79" s="41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</row>
    <row r="80" spans="1:31" ht="16.8" customHeight="1" x14ac:dyDescent="0.3">
      <c r="A80" s="41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</row>
    <row r="81" spans="1:31" ht="16.8" customHeight="1" x14ac:dyDescent="0.3">
      <c r="A81" s="41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</row>
    <row r="82" spans="1:31" ht="16.8" customHeight="1" x14ac:dyDescent="0.3">
      <c r="A82" s="41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</row>
    <row r="83" spans="1:31" ht="16.8" customHeight="1" x14ac:dyDescent="0.3">
      <c r="A83" s="41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</row>
    <row r="84" spans="1:31" ht="16.8" customHeight="1" x14ac:dyDescent="0.3">
      <c r="A84" s="41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</row>
    <row r="85" spans="1:31" ht="16.8" customHeight="1" x14ac:dyDescent="0.3">
      <c r="A85" s="41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</row>
    <row r="86" spans="1:31" ht="16.8" customHeight="1" x14ac:dyDescent="0.3">
      <c r="A86" s="41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</row>
    <row r="87" spans="1:31" ht="16.8" customHeight="1" x14ac:dyDescent="0.3">
      <c r="A87" s="41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</row>
    <row r="88" spans="1:31" ht="16.8" customHeight="1" x14ac:dyDescent="0.3">
      <c r="A88" s="41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</row>
    <row r="89" spans="1:31" ht="16.8" customHeight="1" x14ac:dyDescent="0.3">
      <c r="A89" s="41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</row>
    <row r="90" spans="1:31" ht="16.8" customHeight="1" x14ac:dyDescent="0.3">
      <c r="A90" s="41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</row>
    <row r="91" spans="1:31" ht="16.8" customHeight="1" x14ac:dyDescent="0.3">
      <c r="A91" s="41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</row>
    <row r="92" spans="1:31" ht="16.8" customHeight="1" x14ac:dyDescent="0.3">
      <c r="A92" s="41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</row>
    <row r="93" spans="1:31" ht="16.8" customHeight="1" x14ac:dyDescent="0.3">
      <c r="A93" s="41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</row>
    <row r="94" spans="1:31" ht="16.8" customHeight="1" x14ac:dyDescent="0.3">
      <c r="A94" s="41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</row>
    <row r="95" spans="1:31" ht="16.8" customHeight="1" x14ac:dyDescent="0.3">
      <c r="A95" s="41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</row>
    <row r="96" spans="1:31" ht="16.8" customHeight="1" x14ac:dyDescent="0.3">
      <c r="A96" s="41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</row>
    <row r="97" spans="1:31" ht="16.8" customHeight="1" x14ac:dyDescent="0.3">
      <c r="A97" s="41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</row>
    <row r="98" spans="1:31" ht="16.8" customHeight="1" x14ac:dyDescent="0.3">
      <c r="A98" s="41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</row>
    <row r="99" spans="1:31" ht="16.8" customHeight="1" x14ac:dyDescent="0.3">
      <c r="A99" s="41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</row>
    <row r="100" spans="1:31" ht="16.8" customHeight="1" x14ac:dyDescent="0.3">
      <c r="A100" s="41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</row>
    <row r="101" spans="1:31" ht="16.8" customHeight="1" x14ac:dyDescent="0.3">
      <c r="A101" s="41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</row>
    <row r="102" spans="1:31" ht="16.8" customHeight="1" x14ac:dyDescent="0.3">
      <c r="A102" s="41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</row>
    <row r="103" spans="1:31" ht="16.8" customHeight="1" x14ac:dyDescent="0.3">
      <c r="A103" s="41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</row>
    <row r="104" spans="1:31" ht="16.8" customHeight="1" x14ac:dyDescent="0.3">
      <c r="A104" s="41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</row>
    <row r="105" spans="1:31" ht="16.8" customHeight="1" x14ac:dyDescent="0.3">
      <c r="A105" s="41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</row>
    <row r="106" spans="1:31" ht="16.8" customHeight="1" x14ac:dyDescent="0.3">
      <c r="A106" s="41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</row>
    <row r="107" spans="1:31" ht="16.8" customHeight="1" x14ac:dyDescent="0.3">
      <c r="A107" s="41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</row>
    <row r="108" spans="1:31" ht="16.8" customHeight="1" x14ac:dyDescent="0.3">
      <c r="A108" s="41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</row>
    <row r="109" spans="1:31" ht="16.8" customHeight="1" x14ac:dyDescent="0.3">
      <c r="A109" s="41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</row>
    <row r="110" spans="1:31" ht="16.8" customHeight="1" x14ac:dyDescent="0.3">
      <c r="A110" s="41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</row>
    <row r="111" spans="1:31" ht="16.8" customHeight="1" x14ac:dyDescent="0.3">
      <c r="A111" s="41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</row>
    <row r="112" spans="1:31" ht="16.8" customHeight="1" x14ac:dyDescent="0.3">
      <c r="A112" s="41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</row>
    <row r="113" spans="1:31" ht="16.8" customHeight="1" x14ac:dyDescent="0.3">
      <c r="A113" s="41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</row>
    <row r="114" spans="1:31" ht="16.8" customHeight="1" x14ac:dyDescent="0.3">
      <c r="A114" s="41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</row>
    <row r="115" spans="1:31" ht="16.8" customHeight="1" x14ac:dyDescent="0.3">
      <c r="A115" s="41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</row>
    <row r="116" spans="1:31" ht="16.8" customHeight="1" x14ac:dyDescent="0.3">
      <c r="A116" s="41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</row>
    <row r="117" spans="1:31" ht="16.8" customHeight="1" x14ac:dyDescent="0.3">
      <c r="A117" s="41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</row>
    <row r="118" spans="1:31" ht="16.8" customHeight="1" x14ac:dyDescent="0.3">
      <c r="A118" s="41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</row>
    <row r="119" spans="1:31" ht="16.8" customHeight="1" x14ac:dyDescent="0.3">
      <c r="A119" s="41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</row>
    <row r="120" spans="1:31" ht="16.8" customHeight="1" x14ac:dyDescent="0.3">
      <c r="A120" s="41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</row>
    <row r="121" spans="1:31" ht="16.8" customHeight="1" x14ac:dyDescent="0.3">
      <c r="A121" s="41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</row>
    <row r="122" spans="1:31" ht="16.8" customHeight="1" x14ac:dyDescent="0.3">
      <c r="A122" s="41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</row>
    <row r="123" spans="1:31" ht="16.8" customHeight="1" x14ac:dyDescent="0.3">
      <c r="A123" s="41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</row>
    <row r="124" spans="1:31" ht="16.8" customHeight="1" x14ac:dyDescent="0.3">
      <c r="A124" s="41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</row>
    <row r="125" spans="1:31" ht="16.8" customHeight="1" x14ac:dyDescent="0.3">
      <c r="A125" s="41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</row>
    <row r="126" spans="1:31" ht="16.8" customHeight="1" x14ac:dyDescent="0.3">
      <c r="A126" s="41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</row>
    <row r="127" spans="1:31" ht="16.8" customHeight="1" x14ac:dyDescent="0.3">
      <c r="A127" s="41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</row>
    <row r="128" spans="1:31" ht="16.8" customHeight="1" x14ac:dyDescent="0.3">
      <c r="A128" s="41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</row>
    <row r="129" spans="1:31" ht="16.8" customHeight="1" x14ac:dyDescent="0.3">
      <c r="A129" s="41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</row>
    <row r="130" spans="1:31" ht="16.8" customHeight="1" x14ac:dyDescent="0.3">
      <c r="A130" s="41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</row>
    <row r="131" spans="1:31" ht="16.8" customHeight="1" x14ac:dyDescent="0.3">
      <c r="A131" s="41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</row>
    <row r="132" spans="1:31" ht="16.8" customHeight="1" x14ac:dyDescent="0.3">
      <c r="A132" s="41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</row>
    <row r="133" spans="1:31" ht="16.8" customHeight="1" x14ac:dyDescent="0.3">
      <c r="A133" s="41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</row>
    <row r="134" spans="1:31" ht="16.8" customHeight="1" x14ac:dyDescent="0.3">
      <c r="A134" s="41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</row>
    <row r="135" spans="1:31" ht="16.8" customHeight="1" x14ac:dyDescent="0.3">
      <c r="A135" s="41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</row>
    <row r="136" spans="1:31" ht="16.8" customHeight="1" x14ac:dyDescent="0.3">
      <c r="A136" s="41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</row>
    <row r="137" spans="1:31" ht="16.8" customHeight="1" x14ac:dyDescent="0.3">
      <c r="A137" s="41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</row>
    <row r="138" spans="1:31" ht="16.8" customHeight="1" x14ac:dyDescent="0.3">
      <c r="A138" s="41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</row>
    <row r="139" spans="1:31" ht="16.8" customHeight="1" x14ac:dyDescent="0.3">
      <c r="A139" s="41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</row>
    <row r="140" spans="1:31" ht="16.8" customHeight="1" x14ac:dyDescent="0.3">
      <c r="A140" s="41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</row>
    <row r="141" spans="1:31" ht="16.8" customHeight="1" x14ac:dyDescent="0.3">
      <c r="A141" s="41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</row>
    <row r="142" spans="1:31" ht="16.8" customHeight="1" x14ac:dyDescent="0.3">
      <c r="A142" s="41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</row>
    <row r="143" spans="1:31" ht="16.8" customHeight="1" x14ac:dyDescent="0.3">
      <c r="A143" s="41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</row>
    <row r="144" spans="1:31" ht="16.8" customHeight="1" x14ac:dyDescent="0.3">
      <c r="A144" s="41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</row>
    <row r="145" spans="1:31" ht="16.8" customHeight="1" x14ac:dyDescent="0.3">
      <c r="A145" s="41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</row>
    <row r="146" spans="1:31" ht="16.8" customHeight="1" x14ac:dyDescent="0.3">
      <c r="A146" s="41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</row>
    <row r="147" spans="1:31" ht="16.8" customHeight="1" x14ac:dyDescent="0.3">
      <c r="A147" s="41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</row>
    <row r="148" spans="1:31" ht="16.8" customHeight="1" x14ac:dyDescent="0.3">
      <c r="A148" s="41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</row>
    <row r="149" spans="1:31" ht="16.8" customHeight="1" x14ac:dyDescent="0.3">
      <c r="A149" s="41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</row>
    <row r="150" spans="1:31" ht="16.8" customHeight="1" x14ac:dyDescent="0.3">
      <c r="A150" s="41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</row>
    <row r="151" spans="1:31" ht="16.8" customHeight="1" x14ac:dyDescent="0.3">
      <c r="A151" s="41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</row>
    <row r="152" spans="1:31" ht="16.8" customHeight="1" x14ac:dyDescent="0.3">
      <c r="A152" s="41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</row>
    <row r="153" spans="1:31" ht="16.8" customHeight="1" x14ac:dyDescent="0.3">
      <c r="A153" s="41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1" ht="16.8" customHeight="1" x14ac:dyDescent="0.3">
      <c r="A154" s="41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1" ht="16.8" customHeight="1" x14ac:dyDescent="0.3">
      <c r="A155" s="41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1" ht="16.8" customHeight="1" x14ac:dyDescent="0.3">
      <c r="A156" s="41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1" ht="16.8" customHeight="1" x14ac:dyDescent="0.3">
      <c r="A157" s="41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1" ht="16.8" customHeight="1" x14ac:dyDescent="0.3">
      <c r="A158" s="41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1" ht="16.8" customHeight="1" x14ac:dyDescent="0.3">
      <c r="A159" s="41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1" ht="16.8" customHeight="1" x14ac:dyDescent="0.3">
      <c r="A160" s="41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ht="16.8" customHeight="1" x14ac:dyDescent="0.3">
      <c r="A161" s="41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ht="16.8" customHeight="1" x14ac:dyDescent="0.3">
      <c r="A162" s="41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ht="16.8" customHeight="1" x14ac:dyDescent="0.3">
      <c r="A163" s="41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ht="16.8" customHeight="1" x14ac:dyDescent="0.3">
      <c r="A164" s="41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ht="16.8" customHeight="1" x14ac:dyDescent="0.3">
      <c r="A165" s="41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ht="16.8" customHeight="1" x14ac:dyDescent="0.3">
      <c r="A166" s="41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ht="16.8" customHeight="1" x14ac:dyDescent="0.3">
      <c r="A167" s="41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ht="16.8" customHeight="1" x14ac:dyDescent="0.3">
      <c r="A168" s="41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ht="16.8" customHeight="1" x14ac:dyDescent="0.3">
      <c r="A169" s="41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ht="16.8" customHeight="1" x14ac:dyDescent="0.3">
      <c r="A170" s="41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ht="16.8" customHeight="1" x14ac:dyDescent="0.3">
      <c r="A171" s="41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ht="16.8" customHeight="1" x14ac:dyDescent="0.3">
      <c r="A172" s="41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ht="16.8" customHeight="1" x14ac:dyDescent="0.3">
      <c r="A173" s="41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ht="16.8" customHeight="1" x14ac:dyDescent="0.3">
      <c r="A174" s="41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ht="16.8" customHeight="1" x14ac:dyDescent="0.3">
      <c r="A175" s="41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ht="16.8" customHeight="1" x14ac:dyDescent="0.3">
      <c r="A176" s="41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ht="16.8" customHeight="1" x14ac:dyDescent="0.3">
      <c r="A177" s="41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ht="16.8" customHeight="1" x14ac:dyDescent="0.3">
      <c r="A178" s="41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ht="16.8" customHeight="1" x14ac:dyDescent="0.3">
      <c r="A179" s="41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ht="16.8" customHeight="1" x14ac:dyDescent="0.3">
      <c r="A180" s="41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ht="16.8" customHeight="1" x14ac:dyDescent="0.3">
      <c r="A181" s="41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ht="16.8" customHeight="1" x14ac:dyDescent="0.3">
      <c r="A182" s="41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ht="16.8" customHeight="1" x14ac:dyDescent="0.3">
      <c r="A183" s="41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ht="16.8" customHeight="1" x14ac:dyDescent="0.3">
      <c r="A184" s="41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ht="16.8" customHeight="1" x14ac:dyDescent="0.3">
      <c r="A185" s="41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ht="16.8" customHeight="1" x14ac:dyDescent="0.3">
      <c r="A186" s="41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ht="16.8" customHeight="1" x14ac:dyDescent="0.3">
      <c r="A187" s="41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ht="16.8" customHeight="1" x14ac:dyDescent="0.3">
      <c r="A188" s="41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ht="16.8" customHeight="1" x14ac:dyDescent="0.3">
      <c r="A189" s="41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ht="16.8" customHeight="1" x14ac:dyDescent="0.3">
      <c r="A190" s="41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ht="16.8" customHeight="1" x14ac:dyDescent="0.3">
      <c r="A191" s="41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ht="16.8" customHeight="1" x14ac:dyDescent="0.3">
      <c r="A192" s="41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ht="16.8" customHeight="1" x14ac:dyDescent="0.3">
      <c r="A193" s="41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ht="16.8" customHeight="1" x14ac:dyDescent="0.3">
      <c r="A194" s="41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ht="16.8" customHeight="1" x14ac:dyDescent="0.3">
      <c r="A195" s="41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ht="16.8" customHeight="1" x14ac:dyDescent="0.3">
      <c r="A196" s="41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ht="16.8" customHeight="1" x14ac:dyDescent="0.3">
      <c r="A197" s="41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ht="16.8" customHeight="1" x14ac:dyDescent="0.3">
      <c r="A198" s="41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ht="16.8" customHeight="1" x14ac:dyDescent="0.3">
      <c r="A199" s="41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ht="16.8" customHeight="1" x14ac:dyDescent="0.3">
      <c r="A200" s="41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ht="16.8" customHeight="1" x14ac:dyDescent="0.3">
      <c r="A201" s="41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ht="16.8" customHeight="1" x14ac:dyDescent="0.3">
      <c r="A202" s="41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ht="16.8" customHeight="1" x14ac:dyDescent="0.3">
      <c r="A203" s="41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ht="16.8" customHeight="1" x14ac:dyDescent="0.3">
      <c r="A204" s="41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ht="16.8" customHeight="1" x14ac:dyDescent="0.3">
      <c r="A205" s="41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ht="16.8" customHeight="1" x14ac:dyDescent="0.3">
      <c r="A206" s="41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ht="16.8" customHeight="1" x14ac:dyDescent="0.3">
      <c r="A207" s="41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ht="16.8" customHeight="1" x14ac:dyDescent="0.3">
      <c r="A208" s="41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ht="16.8" customHeight="1" x14ac:dyDescent="0.3">
      <c r="A209" s="41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ht="16.8" customHeight="1" x14ac:dyDescent="0.3">
      <c r="A210" s="41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ht="16.8" customHeight="1" x14ac:dyDescent="0.3">
      <c r="A211" s="41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ht="16.8" customHeight="1" x14ac:dyDescent="0.3">
      <c r="A212" s="41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ht="16.8" customHeight="1" x14ac:dyDescent="0.3">
      <c r="A213" s="41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ht="16.8" customHeight="1" x14ac:dyDescent="0.3">
      <c r="A214" s="41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ht="16.8" customHeight="1" x14ac:dyDescent="0.3">
      <c r="A215" s="41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ht="16.8" customHeight="1" x14ac:dyDescent="0.3">
      <c r="A216" s="41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ht="16.8" customHeight="1" x14ac:dyDescent="0.3">
      <c r="A217" s="41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ht="16.8" customHeight="1" x14ac:dyDescent="0.3">
      <c r="A218" s="41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ht="16.8" customHeight="1" x14ac:dyDescent="0.3">
      <c r="A219" s="41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</sheetData>
  <phoneticPr fontId="4" type="noConversion"/>
  <conditionalFormatting sqref="G13:G15 I13:I15 K13:K15 M13:M15 O13:O15 Q13:Q15 S13:S15 U13:U15 W13:W15 Y13:Y15 AA13:AA15 AC13:AC15 G7:G9 I7:I9 K7:K9 M7:M9 O7:O9 Q7:Q9 S7:S9 U7:U9 W7:W9 Y7:Y9 AA7:AA9 AC7:AC9">
    <cfRule type="cellIs" dxfId="243" priority="19" operator="greaterThan">
      <formula>H7</formula>
    </cfRule>
    <cfRule type="cellIs" dxfId="242" priority="20" operator="lessThanOrEqual">
      <formula>H7</formula>
    </cfRule>
  </conditionalFormatting>
  <conditionalFormatting sqref="G24:AD24">
    <cfRule type="cellIs" dxfId="241" priority="16" operator="greaterThanOrEqual">
      <formula>0</formula>
    </cfRule>
    <cfRule type="cellIs" dxfId="240" priority="17" operator="lessThan">
      <formula>0</formula>
    </cfRule>
  </conditionalFormatting>
  <conditionalFormatting sqref="G19:G21 I19:I21 K19:K21 M19:M21 O19:O21 Q19:Q21 S19:S21 U19:U21 W19:W21 Y19:Y21 AA19:AA21 AC19:AC21">
    <cfRule type="cellIs" dxfId="239" priority="1" operator="lessThan">
      <formula>H19</formula>
    </cfRule>
    <cfRule type="cellIs" dxfId="238" priority="2" operator="greaterThanOrEqual">
      <formula>H19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085E903E-B9B2-46CE-958A-C2E991A775E9}">
            <xm:f>OR(AND($G$1=Config!$B$1,A7&lt;Config!$A$1,G7=""),AND($G$1&lt;Config!$B$1,G7=""))</xm:f>
            <x14:dxf>
              <fill>
                <patternFill>
                  <bgColor theme="9" tint="0.59996337778862885"/>
                </patternFill>
              </fill>
            </x14:dxf>
          </x14:cfRule>
          <xm:sqref>G13:G15 G7:G9</xm:sqref>
        </x14:conditionalFormatting>
        <x14:conditionalFormatting xmlns:xm="http://schemas.microsoft.com/office/excel/2006/main">
          <x14:cfRule type="expression" priority="13" id="{EBF73AB3-D459-4C21-A5B2-60C18F30E826}">
            <xm:f>OR(AND($I$1=Config!$B$1,A7&lt;Config!$A$1,I7=""),AND($I$1&lt;Config!$B$1,I7=""))</xm:f>
            <x14:dxf>
              <fill>
                <patternFill>
                  <bgColor theme="9" tint="0.59996337778862885"/>
                </patternFill>
              </fill>
            </x14:dxf>
          </x14:cfRule>
          <xm:sqref>I13:I15 I7:I9</xm:sqref>
        </x14:conditionalFormatting>
        <x14:conditionalFormatting xmlns:xm="http://schemas.microsoft.com/office/excel/2006/main">
          <x14:cfRule type="expression" priority="12" id="{C1061D21-FB45-42CC-BCD3-6A4B8A939042}">
            <xm:f>OR(AND($K$1=Config!$B$1,A7&lt;Config!$A$1,K7=""),AND($K$1&lt;Config!$B$1,K7=""))</xm:f>
            <x14:dxf>
              <fill>
                <patternFill>
                  <bgColor theme="9" tint="0.59996337778862885"/>
                </patternFill>
              </fill>
            </x14:dxf>
          </x14:cfRule>
          <xm:sqref>K13:K15 K7:K9</xm:sqref>
        </x14:conditionalFormatting>
        <x14:conditionalFormatting xmlns:xm="http://schemas.microsoft.com/office/excel/2006/main">
          <x14:cfRule type="expression" priority="11" id="{C57A8ADD-61F0-4269-BFDE-B500F08E5333}">
            <xm:f>OR(AND($M$1=Config!$B$1,A7&lt;Config!$A$1,M7=""),AND($M$1&lt;Config!$B$1,M7=""))</xm:f>
            <x14:dxf>
              <fill>
                <patternFill>
                  <bgColor theme="9" tint="0.59996337778862885"/>
                </patternFill>
              </fill>
            </x14:dxf>
          </x14:cfRule>
          <xm:sqref>M13:M15 M7:M9</xm:sqref>
        </x14:conditionalFormatting>
        <x14:conditionalFormatting xmlns:xm="http://schemas.microsoft.com/office/excel/2006/main">
          <x14:cfRule type="expression" priority="10" id="{241CA26B-8D48-4013-B38C-BE63A8173644}">
            <xm:f>OR(AND($O$1=Config!$B$1,A7&lt;Config!$A$1,O7=""),AND($O$1&lt;Config!$B$1,O7=""))</xm:f>
            <x14:dxf>
              <fill>
                <patternFill>
                  <bgColor theme="9" tint="0.59996337778862885"/>
                </patternFill>
              </fill>
            </x14:dxf>
          </x14:cfRule>
          <xm:sqref>O13:O15 O7:O9</xm:sqref>
        </x14:conditionalFormatting>
        <x14:conditionalFormatting xmlns:xm="http://schemas.microsoft.com/office/excel/2006/main">
          <x14:cfRule type="expression" priority="9" id="{F36D2D38-9BB4-4D06-B26E-D2EE08419D9B}">
            <xm:f>OR(AND($Q$1=Config!$B$1,A7&lt;Config!$A$1,Q7=""),AND($Q$1&lt;Config!$B$1,Q7=""))</xm:f>
            <x14:dxf>
              <fill>
                <patternFill>
                  <bgColor theme="9" tint="0.59996337778862885"/>
                </patternFill>
              </fill>
            </x14:dxf>
          </x14:cfRule>
          <xm:sqref>Q13:Q15 Q7:Q9</xm:sqref>
        </x14:conditionalFormatting>
        <x14:conditionalFormatting xmlns:xm="http://schemas.microsoft.com/office/excel/2006/main">
          <x14:cfRule type="expression" priority="8" id="{18D3C374-EAA6-405C-82D0-5DB8997F161A}">
            <xm:f>OR(AND($S$1=Config!$B$1,A7&lt;Config!$A$1,S7=""),AND($S$1&lt;Config!$B$1,S7=""))</xm:f>
            <x14:dxf>
              <fill>
                <patternFill>
                  <bgColor theme="9" tint="0.59996337778862885"/>
                </patternFill>
              </fill>
            </x14:dxf>
          </x14:cfRule>
          <xm:sqref>S13:S15 S7:S9</xm:sqref>
        </x14:conditionalFormatting>
        <x14:conditionalFormatting xmlns:xm="http://schemas.microsoft.com/office/excel/2006/main">
          <x14:cfRule type="expression" priority="7" id="{83136349-B08C-41E7-87F6-BF88F1F8DAD3}">
            <xm:f>OR(AND($U$1=Config!$B$1,A7&lt;Config!$A$1,U7=""),AND($U$1&lt;Config!$B$1,U7=""))</xm:f>
            <x14:dxf>
              <fill>
                <patternFill>
                  <bgColor theme="9" tint="0.59996337778862885"/>
                </patternFill>
              </fill>
            </x14:dxf>
          </x14:cfRule>
          <xm:sqref>U13:U15 U7:U9</xm:sqref>
        </x14:conditionalFormatting>
        <x14:conditionalFormatting xmlns:xm="http://schemas.microsoft.com/office/excel/2006/main">
          <x14:cfRule type="expression" priority="6" id="{C609E5AB-2841-4E11-A4E0-626AB714FEA9}">
            <xm:f>OR(AND($W$1=Config!$B$1,A7&lt;Config!$A$1,W7=""),AND($W$1&lt;Config!$B$1,W7=""))</xm:f>
            <x14:dxf>
              <fill>
                <patternFill>
                  <bgColor theme="9" tint="0.59996337778862885"/>
                </patternFill>
              </fill>
            </x14:dxf>
          </x14:cfRule>
          <xm:sqref>W13:W15 W7:W9</xm:sqref>
        </x14:conditionalFormatting>
        <x14:conditionalFormatting xmlns:xm="http://schemas.microsoft.com/office/excel/2006/main">
          <x14:cfRule type="expression" priority="5" id="{607B248A-2C1C-4A99-BE5E-2634B03C276E}">
            <xm:f>OR(AND($Y$1=Config!$B$1,A7&lt;Config!$A$1,Y7=""),AND($Y$1&lt;Config!$B$1,Y7=""))</xm:f>
            <x14:dxf>
              <fill>
                <patternFill>
                  <bgColor theme="9" tint="0.59996337778862885"/>
                </patternFill>
              </fill>
            </x14:dxf>
          </x14:cfRule>
          <xm:sqref>Y13:Y15 Y7:Y9</xm:sqref>
        </x14:conditionalFormatting>
        <x14:conditionalFormatting xmlns:xm="http://schemas.microsoft.com/office/excel/2006/main">
          <x14:cfRule type="expression" priority="4" id="{06E97415-4C39-4E1E-A0BC-DBF4D9B6CB36}">
            <xm:f>OR(AND($AA$1=Config!$B$1,A7&lt;Config!$A$1,AA7=""),AND($AA$1&lt;Config!$B$1,AA7=""))</xm:f>
            <x14:dxf>
              <fill>
                <patternFill>
                  <bgColor theme="9" tint="0.59996337778862885"/>
                </patternFill>
              </fill>
            </x14:dxf>
          </x14:cfRule>
          <xm:sqref>AA13:AA15 AA7:AA9</xm:sqref>
        </x14:conditionalFormatting>
        <x14:conditionalFormatting xmlns:xm="http://schemas.microsoft.com/office/excel/2006/main">
          <x14:cfRule type="expression" priority="3" id="{DB3F7515-ACF3-43D5-970B-4B80AA6C6C45}">
            <xm:f>OR(AND($AC$1=Config!$B$1,A7&lt;Config!$A$1,AC7=""),AND($AC$1&lt;Config!$B$1,AC7=""))</xm:f>
            <x14:dxf>
              <fill>
                <patternFill>
                  <bgColor theme="9" tint="0.59996337778862885"/>
                </patternFill>
              </fill>
            </x14:dxf>
          </x14:cfRule>
          <xm:sqref>AC13:AC15 AC7:AC9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70CB-8656-473C-B6E5-E6535CFB42DE}">
  <sheetPr codeName="Planilha1"/>
  <dimension ref="A1:R44"/>
  <sheetViews>
    <sheetView topLeftCell="B1" zoomScale="81" zoomScaleNormal="81" workbookViewId="0">
      <selection activeCell="B1" sqref="B1"/>
    </sheetView>
  </sheetViews>
  <sheetFormatPr defaultColWidth="0" defaultRowHeight="13.8" x14ac:dyDescent="0.3"/>
  <cols>
    <col min="1" max="1" width="0" style="47" hidden="1" customWidth="1"/>
    <col min="2" max="2" width="4.33203125" style="47" customWidth="1"/>
    <col min="3" max="3" width="8.88671875" style="47" customWidth="1"/>
    <col min="4" max="4" width="18.5546875" style="47" customWidth="1"/>
    <col min="5" max="5" width="4.33203125" style="47" customWidth="1"/>
    <col min="6" max="13" width="12.33203125" style="47" customWidth="1"/>
    <col min="14" max="14" width="12.5546875" style="47" customWidth="1"/>
    <col min="15" max="15" width="12.33203125" style="47" customWidth="1"/>
    <col min="16" max="16" width="13.33203125" style="47" customWidth="1"/>
    <col min="17" max="17" width="13.109375" style="47" customWidth="1"/>
    <col min="18" max="18" width="4.33203125" style="47" customWidth="1"/>
    <col min="19" max="16384" width="8.88671875" style="47" hidden="1"/>
  </cols>
  <sheetData>
    <row r="1" spans="1:17" ht="72.599999999999994" customHeight="1" thickBot="1" x14ac:dyDescent="0.35">
      <c r="A1" s="47">
        <v>1</v>
      </c>
      <c r="C1" s="59" t="s">
        <v>40</v>
      </c>
    </row>
    <row r="2" spans="1:17" ht="15" thickBot="1" x14ac:dyDescent="0.35">
      <c r="A2" s="47">
        <v>1</v>
      </c>
      <c r="C2" s="64" t="s">
        <v>42</v>
      </c>
      <c r="D2" s="66"/>
      <c r="F2" s="28">
        <f>F16+F30+F44</f>
        <v>0</v>
      </c>
      <c r="G2" s="28">
        <f t="shared" ref="G2:Q2" si="0">G16+G30+G44</f>
        <v>0</v>
      </c>
      <c r="H2" s="28">
        <f t="shared" si="0"/>
        <v>0</v>
      </c>
      <c r="I2" s="28">
        <f t="shared" si="0"/>
        <v>0</v>
      </c>
      <c r="J2" s="28">
        <f t="shared" si="0"/>
        <v>0</v>
      </c>
      <c r="K2" s="28">
        <f t="shared" si="0"/>
        <v>0</v>
      </c>
      <c r="L2" s="28">
        <f t="shared" si="0"/>
        <v>0</v>
      </c>
      <c r="M2" s="28">
        <f t="shared" si="0"/>
        <v>0</v>
      </c>
      <c r="N2" s="28">
        <f t="shared" si="0"/>
        <v>0</v>
      </c>
      <c r="O2" s="28">
        <f t="shared" si="0"/>
        <v>0</v>
      </c>
      <c r="P2" s="28">
        <f t="shared" si="0"/>
        <v>0</v>
      </c>
      <c r="Q2" s="56">
        <f t="shared" si="0"/>
        <v>0</v>
      </c>
    </row>
    <row r="3" spans="1:17" ht="14.4" thickBot="1" x14ac:dyDescent="0.35">
      <c r="A3" s="47">
        <v>1</v>
      </c>
    </row>
    <row r="4" spans="1:17" ht="14.4" thickBot="1" x14ac:dyDescent="0.35">
      <c r="A4" s="47">
        <v>1</v>
      </c>
      <c r="C4" s="67" t="str">
        <f>Geral!B13</f>
        <v>Cartão 1</v>
      </c>
      <c r="D4" s="65"/>
    </row>
    <row r="5" spans="1:17" ht="14.4" thickBot="1" x14ac:dyDescent="0.35">
      <c r="A5" s="47">
        <v>1</v>
      </c>
      <c r="C5" s="48" t="s">
        <v>0</v>
      </c>
      <c r="D5" s="48" t="s">
        <v>14</v>
      </c>
      <c r="E5" s="49" t="s">
        <v>31</v>
      </c>
      <c r="F5" s="50" t="s">
        <v>12</v>
      </c>
      <c r="G5" s="48" t="s">
        <v>13</v>
      </c>
      <c r="H5" s="48" t="s">
        <v>4</v>
      </c>
      <c r="I5" s="48" t="s">
        <v>5</v>
      </c>
      <c r="J5" s="48" t="s">
        <v>6</v>
      </c>
      <c r="K5" s="48" t="s">
        <v>7</v>
      </c>
      <c r="L5" s="48" t="s">
        <v>8</v>
      </c>
      <c r="M5" s="48" t="s">
        <v>9</v>
      </c>
      <c r="N5" s="48" t="s">
        <v>10</v>
      </c>
      <c r="O5" s="48" t="s">
        <v>11</v>
      </c>
      <c r="P5" s="48" t="s">
        <v>1</v>
      </c>
      <c r="Q5" s="48" t="s">
        <v>2</v>
      </c>
    </row>
    <row r="6" spans="1:17" ht="14.4" x14ac:dyDescent="0.3">
      <c r="C6" s="60"/>
      <c r="D6" s="51"/>
      <c r="E6" s="35"/>
      <c r="F6" s="52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4.4" x14ac:dyDescent="0.3">
      <c r="C7" s="61"/>
      <c r="D7" s="53"/>
      <c r="E7" s="35"/>
      <c r="F7" s="54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</row>
    <row r="8" spans="1:17" ht="14.4" x14ac:dyDescent="0.3">
      <c r="C8" s="62"/>
      <c r="D8" s="57"/>
      <c r="E8" s="35"/>
      <c r="F8" s="58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 x14ac:dyDescent="0.3">
      <c r="C9" s="63"/>
      <c r="D9" s="57"/>
      <c r="E9" s="35"/>
      <c r="F9" s="58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  <row r="10" spans="1:17" ht="14.4" x14ac:dyDescent="0.3">
      <c r="C10" s="61"/>
      <c r="D10" s="57"/>
      <c r="E10" s="35"/>
      <c r="F10" s="58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7" ht="14.4" x14ac:dyDescent="0.3">
      <c r="C11" s="62"/>
      <c r="D11" s="57"/>
      <c r="E11" s="35"/>
      <c r="F11" s="58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</row>
    <row r="12" spans="1:17" ht="14.4" x14ac:dyDescent="0.3">
      <c r="C12" s="60"/>
      <c r="D12" s="57"/>
      <c r="E12" s="35"/>
      <c r="F12" s="58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17" ht="14.4" x14ac:dyDescent="0.3">
      <c r="C13" s="61"/>
      <c r="D13" s="57"/>
      <c r="E13" s="35"/>
      <c r="F13" s="58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</row>
    <row r="14" spans="1:17" ht="14.4" x14ac:dyDescent="0.3">
      <c r="C14" s="62"/>
      <c r="D14" s="57"/>
      <c r="E14" s="35"/>
      <c r="F14" s="58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</row>
    <row r="15" spans="1:17" ht="15" thickBot="1" x14ac:dyDescent="0.35">
      <c r="C15" s="63"/>
      <c r="D15" s="57"/>
      <c r="E15" s="35"/>
      <c r="F15" s="58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</row>
    <row r="16" spans="1:17" ht="15" thickBot="1" x14ac:dyDescent="0.35">
      <c r="C16" s="30">
        <f>Geral!A13</f>
        <v>0</v>
      </c>
      <c r="D16" s="31" t="s">
        <v>41</v>
      </c>
      <c r="E16" s="55"/>
      <c r="F16" s="28">
        <f>SUM(Cartão1[Janeiro])</f>
        <v>0</v>
      </c>
      <c r="G16" s="28">
        <f>SUM(Cartão1[Fevereiro])</f>
        <v>0</v>
      </c>
      <c r="H16" s="28">
        <f>SUM(Cartão1[Março])</f>
        <v>0</v>
      </c>
      <c r="I16" s="28">
        <f>SUM(Cartão1[Abril])</f>
        <v>0</v>
      </c>
      <c r="J16" s="28">
        <f>SUM(Cartão1[Maio])</f>
        <v>0</v>
      </c>
      <c r="K16" s="28">
        <f>SUM(Cartão1[Junho])</f>
        <v>0</v>
      </c>
      <c r="L16" s="28">
        <f>SUM(Cartão1[Julho])</f>
        <v>0</v>
      </c>
      <c r="M16" s="28">
        <f>SUM(Cartão1[Agosto])</f>
        <v>0</v>
      </c>
      <c r="N16" s="28">
        <f>SUM(Cartão1[Setembro])</f>
        <v>0</v>
      </c>
      <c r="O16" s="28">
        <f>SUM(Cartão1[Outubro])</f>
        <v>0</v>
      </c>
      <c r="P16" s="28">
        <f>SUM(Cartão1[Novembro])</f>
        <v>0</v>
      </c>
      <c r="Q16" s="56">
        <f>SUM(Cartão1[Dezembro])</f>
        <v>0</v>
      </c>
    </row>
    <row r="17" spans="3:17" ht="14.4" thickBot="1" x14ac:dyDescent="0.35"/>
    <row r="18" spans="3:17" ht="14.4" thickBot="1" x14ac:dyDescent="0.35">
      <c r="C18" s="67" t="str">
        <f>Geral!B14</f>
        <v>Cartão 2</v>
      </c>
      <c r="D18" s="65"/>
    </row>
    <row r="19" spans="3:17" ht="14.4" thickBot="1" x14ac:dyDescent="0.35">
      <c r="C19" s="48" t="s">
        <v>0</v>
      </c>
      <c r="D19" s="48" t="s">
        <v>14</v>
      </c>
      <c r="E19" s="49" t="s">
        <v>31</v>
      </c>
      <c r="F19" s="50" t="s">
        <v>12</v>
      </c>
      <c r="G19" s="48" t="s">
        <v>13</v>
      </c>
      <c r="H19" s="48" t="s">
        <v>4</v>
      </c>
      <c r="I19" s="48" t="s">
        <v>5</v>
      </c>
      <c r="J19" s="48" t="s">
        <v>6</v>
      </c>
      <c r="K19" s="48" t="s">
        <v>7</v>
      </c>
      <c r="L19" s="48" t="s">
        <v>8</v>
      </c>
      <c r="M19" s="48" t="s">
        <v>9</v>
      </c>
      <c r="N19" s="48" t="s">
        <v>10</v>
      </c>
      <c r="O19" s="48" t="s">
        <v>11</v>
      </c>
      <c r="P19" s="48" t="s">
        <v>1</v>
      </c>
      <c r="Q19" s="48" t="s">
        <v>2</v>
      </c>
    </row>
    <row r="20" spans="3:17" ht="14.4" x14ac:dyDescent="0.3">
      <c r="C20" s="60"/>
      <c r="D20" s="51"/>
      <c r="E20" s="35"/>
      <c r="F20" s="52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3:17" ht="14.4" x14ac:dyDescent="0.3">
      <c r="C21" s="61"/>
      <c r="D21" s="53"/>
      <c r="E21" s="35"/>
      <c r="F21" s="5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</row>
    <row r="22" spans="3:17" ht="14.4" x14ac:dyDescent="0.3">
      <c r="C22" s="62"/>
      <c r="D22" s="57"/>
      <c r="E22" s="35"/>
      <c r="F22" s="58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</row>
    <row r="23" spans="3:17" ht="14.4" x14ac:dyDescent="0.3">
      <c r="C23" s="63"/>
      <c r="D23" s="57"/>
      <c r="E23" s="35"/>
      <c r="F23" s="58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</row>
    <row r="24" spans="3:17" ht="14.4" x14ac:dyDescent="0.3">
      <c r="C24" s="61"/>
      <c r="D24" s="57"/>
      <c r="E24" s="35"/>
      <c r="F24" s="58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</row>
    <row r="25" spans="3:17" ht="14.4" x14ac:dyDescent="0.3">
      <c r="C25" s="62"/>
      <c r="D25" s="57"/>
      <c r="E25" s="35"/>
      <c r="F25" s="58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</row>
    <row r="26" spans="3:17" ht="14.4" x14ac:dyDescent="0.3">
      <c r="C26" s="60"/>
      <c r="D26" s="57"/>
      <c r="E26" s="35"/>
      <c r="F26" s="58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</row>
    <row r="27" spans="3:17" ht="14.4" x14ac:dyDescent="0.3">
      <c r="C27" s="61"/>
      <c r="D27" s="57"/>
      <c r="E27" s="35"/>
      <c r="F27" s="58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</row>
    <row r="28" spans="3:17" ht="14.4" x14ac:dyDescent="0.3">
      <c r="C28" s="62"/>
      <c r="D28" s="57"/>
      <c r="E28" s="35"/>
      <c r="F28" s="58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</row>
    <row r="29" spans="3:17" ht="15" thickBot="1" x14ac:dyDescent="0.35">
      <c r="C29" s="63"/>
      <c r="D29" s="57"/>
      <c r="E29" s="35"/>
      <c r="F29" s="58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</row>
    <row r="30" spans="3:17" ht="15" thickBot="1" x14ac:dyDescent="0.35">
      <c r="C30" s="30">
        <f>Geral!A14</f>
        <v>0</v>
      </c>
      <c r="D30" s="31" t="s">
        <v>41</v>
      </c>
      <c r="E30" s="55"/>
      <c r="F30" s="28">
        <f>SUM(Cartão2[Janeiro])</f>
        <v>0</v>
      </c>
      <c r="G30" s="28">
        <f>SUM(Cartão2[Fevereiro])</f>
        <v>0</v>
      </c>
      <c r="H30" s="28">
        <f>SUM(Cartão2[Março])</f>
        <v>0</v>
      </c>
      <c r="I30" s="28">
        <f>SUM(Cartão2[Abril])</f>
        <v>0</v>
      </c>
      <c r="J30" s="28">
        <f>SUM(Cartão2[Maio])</f>
        <v>0</v>
      </c>
      <c r="K30" s="28">
        <f>SUM(Cartão2[Junho])</f>
        <v>0</v>
      </c>
      <c r="L30" s="28">
        <f>SUM(Cartão2[Julho])</f>
        <v>0</v>
      </c>
      <c r="M30" s="28">
        <f>SUM(Cartão2[Agosto])</f>
        <v>0</v>
      </c>
      <c r="N30" s="28">
        <f>SUM(Cartão2[Setembro])</f>
        <v>0</v>
      </c>
      <c r="O30" s="28">
        <f>SUM(Cartão2[Outubro])</f>
        <v>0</v>
      </c>
      <c r="P30" s="28">
        <f>SUM(Cartão2[Novembro])</f>
        <v>0</v>
      </c>
      <c r="Q30" s="56">
        <f>SUM(Cartão2[Dezembro])</f>
        <v>0</v>
      </c>
    </row>
    <row r="31" spans="3:17" ht="14.4" thickBot="1" x14ac:dyDescent="0.35"/>
    <row r="32" spans="3:17" ht="14.4" thickBot="1" x14ac:dyDescent="0.35">
      <c r="C32" s="67" t="str">
        <f>Geral!B15</f>
        <v>Cartão 3</v>
      </c>
      <c r="D32" s="65"/>
    </row>
    <row r="33" spans="3:17" ht="14.4" thickBot="1" x14ac:dyDescent="0.35">
      <c r="C33" s="48" t="s">
        <v>0</v>
      </c>
      <c r="D33" s="48" t="s">
        <v>14</v>
      </c>
      <c r="E33" s="49" t="s">
        <v>31</v>
      </c>
      <c r="F33" s="50" t="s">
        <v>12</v>
      </c>
      <c r="G33" s="48" t="s">
        <v>13</v>
      </c>
      <c r="H33" s="48" t="s">
        <v>4</v>
      </c>
      <c r="I33" s="48" t="s">
        <v>5</v>
      </c>
      <c r="J33" s="48" t="s">
        <v>6</v>
      </c>
      <c r="K33" s="48" t="s">
        <v>7</v>
      </c>
      <c r="L33" s="48" t="s">
        <v>8</v>
      </c>
      <c r="M33" s="48" t="s">
        <v>9</v>
      </c>
      <c r="N33" s="48" t="s">
        <v>10</v>
      </c>
      <c r="O33" s="48" t="s">
        <v>11</v>
      </c>
      <c r="P33" s="48" t="s">
        <v>1</v>
      </c>
      <c r="Q33" s="48" t="s">
        <v>2</v>
      </c>
    </row>
    <row r="34" spans="3:17" ht="14.4" x14ac:dyDescent="0.3">
      <c r="C34" s="60"/>
      <c r="D34" s="51"/>
      <c r="E34" s="35"/>
      <c r="F34" s="52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  <row r="35" spans="3:17" ht="14.4" x14ac:dyDescent="0.3">
      <c r="C35" s="61"/>
      <c r="D35" s="53"/>
      <c r="E35" s="35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</row>
    <row r="36" spans="3:17" ht="14.4" x14ac:dyDescent="0.3">
      <c r="C36" s="62"/>
      <c r="D36" s="57"/>
      <c r="E36" s="35"/>
      <c r="F36" s="58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</row>
    <row r="37" spans="3:17" ht="14.4" x14ac:dyDescent="0.3">
      <c r="C37" s="63"/>
      <c r="D37" s="57"/>
      <c r="E37" s="35"/>
      <c r="F37" s="58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</row>
    <row r="38" spans="3:17" ht="14.4" x14ac:dyDescent="0.3">
      <c r="C38" s="61"/>
      <c r="D38" s="57"/>
      <c r="E38" s="35"/>
      <c r="F38" s="58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</row>
    <row r="39" spans="3:17" ht="14.4" x14ac:dyDescent="0.3">
      <c r="C39" s="62"/>
      <c r="D39" s="57"/>
      <c r="E39" s="35"/>
      <c r="F39" s="58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</row>
    <row r="40" spans="3:17" ht="14.4" x14ac:dyDescent="0.3">
      <c r="C40" s="60"/>
      <c r="D40" s="57"/>
      <c r="E40" s="35"/>
      <c r="F40" s="58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</row>
    <row r="41" spans="3:17" ht="14.4" x14ac:dyDescent="0.3">
      <c r="C41" s="61"/>
      <c r="D41" s="57"/>
      <c r="E41" s="35"/>
      <c r="F41" s="58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</row>
    <row r="42" spans="3:17" ht="14.4" x14ac:dyDescent="0.3">
      <c r="C42" s="62"/>
      <c r="D42" s="57"/>
      <c r="E42" s="35"/>
      <c r="F42" s="58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</row>
    <row r="43" spans="3:17" ht="15" thickBot="1" x14ac:dyDescent="0.35">
      <c r="C43" s="63"/>
      <c r="D43" s="57"/>
      <c r="E43" s="35"/>
      <c r="F43" s="58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</row>
    <row r="44" spans="3:17" ht="15" thickBot="1" x14ac:dyDescent="0.35">
      <c r="C44" s="30">
        <f>Geral!A15</f>
        <v>0</v>
      </c>
      <c r="D44" s="31" t="s">
        <v>41</v>
      </c>
      <c r="E44" s="55"/>
      <c r="F44" s="28">
        <f>SUM(Cartão3[Janeiro])</f>
        <v>0</v>
      </c>
      <c r="G44" s="28">
        <f>SUM(Cartão3[Fevereiro])</f>
        <v>0</v>
      </c>
      <c r="H44" s="28">
        <f>SUM(Cartão3[Março])</f>
        <v>0</v>
      </c>
      <c r="I44" s="28">
        <f>SUM(Cartão3[Abril])</f>
        <v>0</v>
      </c>
      <c r="J44" s="28">
        <f>SUM(Cartão3[Maio])</f>
        <v>0</v>
      </c>
      <c r="K44" s="28">
        <f>SUM(Cartão3[Junho])</f>
        <v>0</v>
      </c>
      <c r="L44" s="28">
        <f>SUM(Cartão3[Julho])</f>
        <v>0</v>
      </c>
      <c r="M44" s="28">
        <f>SUM(Cartão3[Agosto])</f>
        <v>0</v>
      </c>
      <c r="N44" s="28">
        <f>SUM(Cartão3[Setembro])</f>
        <v>0</v>
      </c>
      <c r="O44" s="28">
        <f>SUM(Cartão3[Outubro])</f>
        <v>0</v>
      </c>
      <c r="P44" s="28">
        <f>SUM(Cartão3[Novembro])</f>
        <v>0</v>
      </c>
      <c r="Q44" s="56">
        <f>SUM(Cartão3[Dezembro])</f>
        <v>0</v>
      </c>
    </row>
  </sheetData>
  <conditionalFormatting sqref="F6:P15">
    <cfRule type="cellIs" dxfId="71" priority="52" operator="greaterThan">
      <formula>#REF!</formula>
    </cfRule>
    <cfRule type="cellIs" dxfId="70" priority="53" operator="lessThanOrEqual">
      <formula>#REF!</formula>
    </cfRule>
  </conditionalFormatting>
  <conditionalFormatting sqref="C9">
    <cfRule type="cellIs" dxfId="69" priority="45" operator="greaterThan">
      <formula>#REF!</formula>
    </cfRule>
    <cfRule type="cellIs" dxfId="68" priority="46" operator="lessThanOrEqual">
      <formula>#REF!</formula>
    </cfRule>
  </conditionalFormatting>
  <conditionalFormatting sqref="C15">
    <cfRule type="cellIs" dxfId="67" priority="43" operator="greaterThan">
      <formula>#REF!</formula>
    </cfRule>
    <cfRule type="cellIs" dxfId="66" priority="44" operator="lessThanOrEqual">
      <formula>#REF!</formula>
    </cfRule>
  </conditionalFormatting>
  <conditionalFormatting sqref="F20:P29">
    <cfRule type="cellIs" dxfId="65" priority="31" operator="greaterThan">
      <formula>#REF!</formula>
    </cfRule>
    <cfRule type="cellIs" dxfId="64" priority="32" operator="lessThanOrEqual">
      <formula>#REF!</formula>
    </cfRule>
  </conditionalFormatting>
  <conditionalFormatting sqref="C23">
    <cfRule type="cellIs" dxfId="63" priority="27" operator="greaterThan">
      <formula>#REF!</formula>
    </cfRule>
    <cfRule type="cellIs" dxfId="62" priority="28" operator="lessThanOrEqual">
      <formula>#REF!</formula>
    </cfRule>
  </conditionalFormatting>
  <conditionalFormatting sqref="C29">
    <cfRule type="cellIs" dxfId="61" priority="25" operator="greaterThan">
      <formula>#REF!</formula>
    </cfRule>
    <cfRule type="cellIs" dxfId="60" priority="26" operator="lessThanOrEqual">
      <formula>#REF!</formula>
    </cfRule>
  </conditionalFormatting>
  <conditionalFormatting sqref="F34:P43">
    <cfRule type="cellIs" dxfId="59" priority="13" operator="greaterThan">
      <formula>#REF!</formula>
    </cfRule>
    <cfRule type="cellIs" dxfId="58" priority="14" operator="lessThanOrEqual">
      <formula>#REF!</formula>
    </cfRule>
  </conditionalFormatting>
  <conditionalFormatting sqref="C37">
    <cfRule type="cellIs" dxfId="57" priority="9" operator="greaterThan">
      <formula>#REF!</formula>
    </cfRule>
    <cfRule type="cellIs" dxfId="56" priority="10" operator="lessThanOrEqual">
      <formula>#REF!</formula>
    </cfRule>
  </conditionalFormatting>
  <conditionalFormatting sqref="C43">
    <cfRule type="cellIs" dxfId="55" priority="7" operator="greaterThan">
      <formula>#REF!</formula>
    </cfRule>
    <cfRule type="cellIs" dxfId="54" priority="8" operator="lessThanOrEqual">
      <formula>#REF!</formula>
    </cfRule>
  </conditionalFormatting>
  <conditionalFormatting sqref="Q6:Q15">
    <cfRule type="cellIs" dxfId="53" priority="5" operator="greaterThan">
      <formula>#REF!</formula>
    </cfRule>
    <cfRule type="cellIs" dxfId="52" priority="6" operator="lessThanOrEqual">
      <formula>#REF!</formula>
    </cfRule>
  </conditionalFormatting>
  <conditionalFormatting sqref="Q34:Q43">
    <cfRule type="cellIs" dxfId="51" priority="3" operator="greaterThan">
      <formula>#REF!</formula>
    </cfRule>
    <cfRule type="cellIs" dxfId="50" priority="4" operator="lessThanOrEqual">
      <formula>#REF!</formula>
    </cfRule>
  </conditionalFormatting>
  <conditionalFormatting sqref="Q20:Q29">
    <cfRule type="cellIs" dxfId="49" priority="1" operator="greaterThan">
      <formula>#REF!</formula>
    </cfRule>
    <cfRule type="cellIs" dxfId="48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35B3-0441-4E55-8A61-13E8E1162743}">
  <sheetPr codeName="Planilha4"/>
  <dimension ref="A1:E5"/>
  <sheetViews>
    <sheetView workbookViewId="0">
      <selection activeCell="C1" sqref="C1"/>
    </sheetView>
  </sheetViews>
  <sheetFormatPr defaultRowHeight="14.4" x14ac:dyDescent="0.3"/>
  <cols>
    <col min="1" max="3" width="17.5546875" customWidth="1"/>
  </cols>
  <sheetData>
    <row r="1" spans="1:5" ht="44.25" customHeight="1" x14ac:dyDescent="0.3">
      <c r="A1" s="2">
        <f ca="1">DAY(TODAY())</f>
        <v>26</v>
      </c>
      <c r="B1" s="2">
        <f ca="1">MONTH(TODAY())</f>
        <v>3</v>
      </c>
      <c r="C1" s="3">
        <f ca="1">TODAY()</f>
        <v>45377</v>
      </c>
      <c r="E1" t="s">
        <v>36</v>
      </c>
    </row>
    <row r="2" spans="1:5" ht="20.399999999999999" customHeight="1" x14ac:dyDescent="0.3">
      <c r="E2" s="39" t="s">
        <v>35</v>
      </c>
    </row>
    <row r="3" spans="1:5" x14ac:dyDescent="0.3">
      <c r="A3" t="s">
        <v>39</v>
      </c>
    </row>
    <row r="4" spans="1:5" ht="13.8" customHeight="1" x14ac:dyDescent="0.3"/>
    <row r="5" spans="1:5" ht="13.8" customHeight="1" x14ac:dyDescent="0.3"/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152ec2e-c0c1-4834-9aa1-dc782ab0e2aa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56EA362C-5DA9-49EB-BDFC-C816724F85A6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Geral</vt:lpstr>
      <vt:lpstr>Cartão</vt:lpstr>
      <vt:lpstr>Config</vt:lpstr>
      <vt:lpstr>DiaHoje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Finanças</dc:title>
  <dc:creator>Felipe Marques;Victor Renaud</dc:creator>
  <cp:lastModifiedBy>Victor Tomazoni Renaud</cp:lastModifiedBy>
  <cp:lastPrinted>2023-05-29T21:22:51Z</cp:lastPrinted>
  <dcterms:created xsi:type="dcterms:W3CDTF">2019-03-05T18:55:16Z</dcterms:created>
  <dcterms:modified xsi:type="dcterms:W3CDTF">2024-03-26T19:42:24Z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c582559d-d10c-4bbd-8f9a-d2e7212609b4</vt:lpwstr>
  </property>
  <property fmtid="{D5CDD505-2E9C-101B-9397-08002B2CF9AE}" pid="3" name="bjSaver">
    <vt:lpwstr>Ccd+XbQpZ6MNdToR6MJq9g3cFwl85onI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policy="2152ec2e-c0c1-4834-9aa1-dc782ab0e2aa"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P U B L I C   </vt:lpwstr>
  </property>
</Properties>
</file>